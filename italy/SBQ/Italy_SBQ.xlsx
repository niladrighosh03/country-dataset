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io" sheetId="1" r:id="rId4"/>
    <sheet state="visible" name="Ruzzola" sheetId="2" r:id="rId5"/>
    <sheet state="visible" name="Pallanuoto" sheetId="3" r:id="rId6"/>
    <sheet state="visible" name="Pallavolo" sheetId="4" r:id="rId7"/>
    <sheet state="visible" name="Bocce" sheetId="5" r:id="rId8"/>
    <sheet state="visible" name="Pallone" sheetId="6" r:id="rId9"/>
    <sheet state="visible" name="Palio" sheetId="7" r:id="rId10"/>
    <sheet state="visible" name="Skiing" sheetId="8" r:id="rId11"/>
    <sheet state="visible" name="Morra" sheetId="9" r:id="rId12"/>
  </sheets>
  <definedNames/>
  <calcPr/>
</workbook>
</file>

<file path=xl/sharedStrings.xml><?xml version="1.0" encoding="utf-8"?>
<sst xmlns="http://schemas.openxmlformats.org/spreadsheetml/2006/main" count="7489" uniqueCount="4014">
  <si>
    <t>Question Number</t>
  </si>
  <si>
    <t>Domanda</t>
  </si>
  <si>
    <t>Opzioni</t>
  </si>
  <si>
    <t>Risposta corretta</t>
  </si>
  <si>
    <t>Question</t>
  </si>
  <si>
    <t>Options</t>
  </si>
  <si>
    <t>Correct Option</t>
  </si>
  <si>
    <t>Se un giocatore fa un fallo gravecosa succede?</t>
  </si>
  <si>
    <t>A. Il gioco continua B. Il giocatore viene espulso C. Il giocatore riceve un cartellino giallo D. Il gioco viene fermato</t>
  </si>
  <si>
    <t>Il giocatore viene espulso</t>
  </si>
  <si>
    <t>Se un giocatore commette un fallo ma non viene visto dall'arbitrocosa succede?</t>
  </si>
  <si>
    <t>A. Il gioco continua B. La squadra avversaria chiede un rinvio C. Il gioco è interrotto D. La squadra guadagna un calcio di punizione</t>
  </si>
  <si>
    <t>Il gioco continua</t>
  </si>
  <si>
    <t>Se la palla tocca il terreno fuori dal campocosa succede?</t>
  </si>
  <si>
    <t>A. Il gioco continua B. La palla viene restituita alla squadra avversaria C. Il gioco è fermato D. La squadra ottiene un calcio di punizione</t>
  </si>
  <si>
    <t>La palla viene restituita alla squadra avversaria</t>
  </si>
  <si>
    <t>Se un giocatore ferisce un avversario accidentalmentecosa succede?</t>
  </si>
  <si>
    <t>A. Il gioco continua B. Il giocatore viene ammonito C. Il gioco è fermato D. Il giocatore riceve una punizione</t>
  </si>
  <si>
    <t>Il gioco è fermato</t>
  </si>
  <si>
    <t>Se un giocatore segna un puntocosa succede?</t>
  </si>
  <si>
    <t>A. Il gioco continua normalmente B. La squadra avversaria guadagna un calcio di punizione C. Il gioco viene fermato D. La squadra ottiene un vantaggio</t>
  </si>
  <si>
    <t>Il gioco continua normalmente</t>
  </si>
  <si>
    <t>Se un giocatore entra in un’area di gioco proibitacosa succede?</t>
  </si>
  <si>
    <t>A. Il gioco continua B. Il giocatore riceve un calcio di punizione C. Il giocatore è espulso D. Il gioco è fermato</t>
  </si>
  <si>
    <t>Il giocatore riceve un calcio di punizione</t>
  </si>
  <si>
    <t>Se un giocatore tocca la palla con il piede in modo violentocosa succede?</t>
  </si>
  <si>
    <t>A. Il gioco continua B. La squadra avversaria riceve un calcio di punizione C. Il giocatore riceve un cartellino giallo D. Il gioco è interrotto</t>
  </si>
  <si>
    <t>Il giocatore riceve un cartellino giallo</t>
  </si>
  <si>
    <t>Se un giocatore colpisce un avversario intenzionalmentecosa succede?</t>
  </si>
  <si>
    <t>A. Il gioco continua B. Il giocatore riceve un cartellino rosso C. Il gioco è fermato D. Il giocatore riceve un cartellino giallo</t>
  </si>
  <si>
    <t>Il giocatore riceve un cartellino rosso</t>
  </si>
  <si>
    <t>Se una squadra segna un puntocosa succede?</t>
  </si>
  <si>
    <t>A. Il gioco continua normalmente B. La squadra avversaria guadagna un calcio di punizione C. Il gioco viene fermato D. La squadra segna due punti</t>
  </si>
  <si>
    <t>Se un giocatore calcia un calcio di punizione ma la palla va fuori dal campocosa succede?</t>
  </si>
  <si>
    <t>A. La squadra avversaria guadagna la palla B. Il gioco continua normalmente C. Il calcio di punizione è ripetuto D. La squadra riceve un nuovo calcio di punizione</t>
  </si>
  <si>
    <t>Il calcio di punizione è ripetuto</t>
  </si>
  <si>
    <t>Se un giocatore tocca il terreno con le mani durante il giococosa succede?</t>
  </si>
  <si>
    <t>A. Il gioco continua B. Il giocatore riceve un cartellino rosso C. Il gioco è fermato D. La squadra avversaria guadagna un calcio di punizione</t>
  </si>
  <si>
    <t>Se un giocatore viene espulsocosa succede?</t>
  </si>
  <si>
    <t>A. Il gioco continua normalmente B. Il giocatore deve uscire dal campo C. Il giocatore deve restare in panchina D. La squadra gioca con un giocatore in meno</t>
  </si>
  <si>
    <t>Il giocatore deve uscire dal campo</t>
  </si>
  <si>
    <t>Se il gioco è interrotto per un infortuniocosa succede?</t>
  </si>
  <si>
    <t>A. Il gioco continua B. Il giocatore infortunato è sostituito C. Il gioco è sospeso per il tempo necessario D. Il giocatore infortunato riceve un trattamento</t>
  </si>
  <si>
    <t>Il gioco è sospeso per il tempo necessario</t>
  </si>
  <si>
    <t>Se una squadra guadagna un calcio di punizione in una zona pericolosacosa succede?</t>
  </si>
  <si>
    <t>A. Il gioco continua B. Il giocatore tira il calcio di punizione C. Il gioco è fermato D. Il calcio di punizione è ripetuto</t>
  </si>
  <si>
    <t>Il giocatore tira il calcio di punizione</t>
  </si>
  <si>
    <t>Se un giocatore non è in grado di continuare a giocare a causa di un infortuniocosa succede?</t>
  </si>
  <si>
    <t>A. Il gioco continua normalmente B. Il giocatore è sostituito C. Il giocatore riceve un trattamento D. Il gioco è fermato</t>
  </si>
  <si>
    <t>Il giocatore è sostituito</t>
  </si>
  <si>
    <t>Se un giocatore viene ammonitocosa succede?</t>
  </si>
  <si>
    <t>A. Il gioco continua normalmente B. Il giocatore riceve una punizione C. Il giocatore è espulso D. Il giocatore riceve un avvertimento</t>
  </si>
  <si>
    <t>Se un giocatore fa un fallo che non è visto dall'arbitrocosa succede?</t>
  </si>
  <si>
    <t>A. Il gioco continua B. Il fallo viene sanzionato retroattivamente C. Il giocatore è ammonito D. Il gioco viene fermato</t>
  </si>
  <si>
    <t>Se un giocatore si avvicina troppo all'arbitrocosa succede?</t>
  </si>
  <si>
    <t>A. Il gioco continua normalmente B. Il giocatore riceve un avvertimento C. Il gioco è fermato D. Il giocatore è ammonito</t>
  </si>
  <si>
    <t>Il giocatore riceve un avvertimento</t>
  </si>
  <si>
    <t>Se un giocatore calcia la palla contro la testa di un avversariocosa succede?</t>
  </si>
  <si>
    <t>A. Il gioco continua B. Il giocatore riceve un cartellino rosso C. Il giocatore riceve un cartellino giallo D. Il gioco viene fermato</t>
  </si>
  <si>
    <t>Se una squadra commette un fallo da ultimo uomocosa succede?</t>
  </si>
  <si>
    <t>A. Il gioco continua normalmente B. Il giocatore viene espulso C. Il gioco è fermato D. La squadra avversaria riceve un calcio di punizione</t>
  </si>
  <si>
    <t>Se un giocatore corre con la palla senza passarla per troppo tempocosa succede?</t>
  </si>
  <si>
    <t>A. Il gioco continua B. Il giocatore è ammonito C. Il gioco viene fermato D. La squadra avversaria riceve un calcio di punizione</t>
  </si>
  <si>
    <t>Se un giocatore tiene la palla troppo a lungo senza cercare di segnarecosa succede?</t>
  </si>
  <si>
    <t>A. Il gioco continua B. Il giocatore riceve un avvertimento C. Il gioco viene fermato D. La squadra avversaria riceve un calcio di punizione</t>
  </si>
  <si>
    <t>Il gioco viene fermato</t>
  </si>
  <si>
    <t>Se un giocatore è fuori gioco durante il giococosa succede?</t>
  </si>
  <si>
    <t>A. Il gioco continua B. La squadra avversaria guadagna un calcio di punizione C. Il gioco è fermato D. Il giocatore è espulso</t>
  </si>
  <si>
    <t>Se un giocatore fa un'entrata pericolosacosa succede?</t>
  </si>
  <si>
    <t>Se un giocatore segnando un gol ma tocca la linea di porta primacosa succede?</t>
  </si>
  <si>
    <t>A. Il gol è valido B. Il gioco continua C. Il gol non è valido D. Il gioco viene fermato</t>
  </si>
  <si>
    <t>Il gol non è valido</t>
  </si>
  <si>
    <t>Se un giocatore esce dal campo senza permessocosa succede?</t>
  </si>
  <si>
    <t>A. Il gioco continua normalmente B. Il giocatore è ammonito C. Il giocatore riceve un cartellino rosso D. Il gioco è fermato</t>
  </si>
  <si>
    <t>Il giocatore è ammonito</t>
  </si>
  <si>
    <t>Se la palla viene calciata fuori dal campo da una squadracosa succede?</t>
  </si>
  <si>
    <t>A. Il gioco continua B. La squadra avversaria ottiene la palla C. Il gioco è fermato D. La squadra guadagna un punto</t>
  </si>
  <si>
    <t>La squadra avversaria ottiene la palla</t>
  </si>
  <si>
    <t>Se un giocatore simula un fallocosa succede?</t>
  </si>
  <si>
    <t>A. Il gioco continua B. Il giocatore riceve un cartellino giallo C. Il giocatore riceve un cartellino rosso D. Il gioco viene fermato</t>
  </si>
  <si>
    <t>Se un giocatore impedisce un avversario di segnarecosa succede?</t>
  </si>
  <si>
    <t>A. Il gioco continua B. Il giocatore viene ammonito C. La squadra avversaria guadagna un calcio di punizione D. Il giocatore riceve un cartellino rosso</t>
  </si>
  <si>
    <t>Se un giocatore inizia un attacco violento verso un avversariocosa succede?</t>
  </si>
  <si>
    <t>A. Il gioco continua B. Il giocatore riceve un cartellino rosso C. Il giocatore riceve un cartellino giallo D. Il gioco è fermato</t>
  </si>
  <si>
    <t>Se un giocatore riceve un cartellino rossocosa succede?</t>
  </si>
  <si>
    <t>A. Il giocatore deve uscire dal campo B. Il gioco continua C. Il gioco è fermato D. Il giocatore viene ammonito</t>
  </si>
  <si>
    <t>Se un giocatore colpisce la palla con il pettocosa succede?</t>
  </si>
  <si>
    <t>A. Il gioco continua B. Il giocatore viene ammonito C. Il gioco è fermato D. Il giocatore riceve un cartellino rosso</t>
  </si>
  <si>
    <t>Se un giocatore blocca il tiro di un avversario con le manicosa succede?</t>
  </si>
  <si>
    <t>A. Il gioco continua B. La squadra avversaria ottiene un calcio di punizione C. Il gioco è fermato D. Il giocatore riceve un cartellino giallo</t>
  </si>
  <si>
    <t>La squadra avversaria ottiene un calcio di punizione</t>
  </si>
  <si>
    <t>Se un giocatore sferra un colpo a un avversario in facciacosa succede?</t>
  </si>
  <si>
    <t>Se un giocatore segna un gol ma la palla era fuori giococosa succede?</t>
  </si>
  <si>
    <t>A. Il gol è annullato B. Il gioco continua normalmente C. Il gol è valido D. Il gioco è fermato</t>
  </si>
  <si>
    <t>Il gol è annullato</t>
  </si>
  <si>
    <t>Se un giocatore commette un fallo durante un calcio di punizionecosa succede?</t>
  </si>
  <si>
    <t>A. Il calcio di punizione è ripetuto B. Il gioco continua normalmente C. Il giocatore è ammonito D. Il gioco viene fermato</t>
  </si>
  <si>
    <t>Se un giocatore tocca la palla con il piede mentre è a terracosa succede?</t>
  </si>
  <si>
    <t>A. Il gioco continua B. La squadra avversaria riceve un calcio di punizione C. Il gioco è fermato D. Il giocatore riceve un cartellino giallo</t>
  </si>
  <si>
    <t>Se un giocatore tenta di ostacolare un avversario con il corpo senza motivocosa succede?</t>
  </si>
  <si>
    <t>Se un giocatore urla insulti verso l'arbitrocosa succede?</t>
  </si>
  <si>
    <t>A. Il gioco continua B. Il giocatore riceve un cartellino giallo C. Il gioco è fermato D. Il giocatore riceve un cartellino rosso</t>
  </si>
  <si>
    <t>Se un giocatore tocca la palla con la testa durante un attaccocosa succede?</t>
  </si>
  <si>
    <t>A. Il gioco continua B. La squadra avversaria guadagna un calcio di punizione C. Il gioco è fermato D. Il giocatore riceve un cartellino rosso</t>
  </si>
  <si>
    <t>Se un giocatore spinge un avversario senza motivocosa succede?</t>
  </si>
  <si>
    <t>Se un giocatore fa un fallo di mano intenzionalecosa succede?</t>
  </si>
  <si>
    <t>A. Il gioco continua B. La squadra avversaria riceve un calcio di punizione C. Il giocatore riceve un cartellino giallo D. Il gioco è fermato</t>
  </si>
  <si>
    <t>La squadra avversaria riceve un calcio di punizione</t>
  </si>
  <si>
    <t>Se un giocatore tocca la palla con la mano durante il gioco ma senza intenzionecosa succede?</t>
  </si>
  <si>
    <t>Se un giocatore commette un fallo per impedire a un avversario di segnarecosa succede?</t>
  </si>
  <si>
    <t>A. Il gioco è fermato B. Il giocatore riceve un cartellino rosso C. La squadra avversaria guadagna un calcio di punizione D. Il gioco continua</t>
  </si>
  <si>
    <t>La squadra avversaria guadagna un calcio di punizione</t>
  </si>
  <si>
    <t>Se una squadra ha un vantaggio di punticosa succede?</t>
  </si>
  <si>
    <t>A. Il gioco continua normalmente B. La squadra avversaria guadagna un calcio di punizione C. Il gioco viene fermato D. Il vantaggio viene annullato</t>
  </si>
  <si>
    <t>Se un giocatore fa un'entrata su un avversario che è in possesso della pallacosa succede?</t>
  </si>
  <si>
    <t>A. Il gioco continua B. La squadra avversaria riceve un calcio di punizione C. Il gioco è fermato D. Il giocatore riceve un cartellino rosso</t>
  </si>
  <si>
    <t>Se il gioco è interrotto per una grave feritacosa succede?</t>
  </si>
  <si>
    <t>A. Il gioco continua B. Il giocatore è sostituito C. Il gioco è sospeso fino a che il giocatore non si riprende D. Il giocatore riceve un trattamento</t>
  </si>
  <si>
    <t>Il gioco è sospeso fino a che il giocatore non si riprende</t>
  </si>
  <si>
    <t>Se un giocatore entra in campo senza il permesso dell'arbitrocosa succede?</t>
  </si>
  <si>
    <t>Se una squadra segnala una violazione ma l'arbitro non intervienecosa succede?</t>
  </si>
  <si>
    <t>Se un giocatore perde la palla durante il giococosa succede?</t>
  </si>
  <si>
    <t>A. Il gioco continua B. La squadra avversaria guadagna la palla C. Il gioco è fermato D. Il giocatore riceve un cartellino rosso</t>
  </si>
  <si>
    <t>La squadra avversaria guadagna la palla</t>
  </si>
  <si>
    <t>Se un giocatore calcia la palla fuori dal campo durante il tempo aggiuntivocosa succede?</t>
  </si>
  <si>
    <t>A. Il gioco continua B. La squadra avversaria guadagna la palla C. Il gioco è fermato D. Il giocatore riceve un cartellino giallo</t>
  </si>
  <si>
    <t>Se un giocatore colpisce l'arbitro accidentalmente con la pallacosa succede?</t>
  </si>
  <si>
    <t>A. Il gioco continua B. Il gioco è fermato C. La squadra avversaria guadagna un calcio di punizione D. Il giocatore riceve un cartellino rosso</t>
  </si>
  <si>
    <t>Se un giocatore impedisce un gol con la manocosa succede?</t>
  </si>
  <si>
    <t>A. Il gol è annullato B. Il gioco continua C. La squadra avversaria riceve un calcio di punizione D. Il giocatore riceve un cartellino rosso</t>
  </si>
  <si>
    <t>Se un giocatore si comporta in modo aggressivo nei confronti di un arbitrocosa succede?</t>
  </si>
  <si>
    <t>Se un giocatore calcia un calcio di punizione che va fuori dal campocosa succede?</t>
  </si>
  <si>
    <t>A. Il calcio di punizione è ripetuto B. Il gioco continua C. La squadra avversaria guadagna la palla D. Il gioco è fermato</t>
  </si>
  <si>
    <t>Se un giocatore perde la propria maglia durante il giococosa succede?</t>
  </si>
  <si>
    <t>A. Il gioco continua B. Il giocatore riceve un cartellino giallo C. Il gioco è fermato D. Il giocatore deve cambiare maglia</t>
  </si>
  <si>
    <t>Se un giocatore calcia un avversario durante un contrastocosa succede?</t>
  </si>
  <si>
    <t>Se un giocatore fa un fallo di mano mentre è in attaccocosa succede?</t>
  </si>
  <si>
    <t>A. Il gioco è fermato B. La squadra avversaria guadagna un calcio di punizione C. Il gol è annullato D. Il gioco continua</t>
  </si>
  <si>
    <t>Se un giocatore commette un fallo vicino alla linea di portacosa succede?</t>
  </si>
  <si>
    <t>A. La squadra avversaria guadagna un calcio di punizione B. Il gioco è fermato C. Il giocatore riceve un cartellino giallo D. Il gioco continua</t>
  </si>
  <si>
    <t>Se un giocatore tira la palla fuori dai limiti del campocosa succede?</t>
  </si>
  <si>
    <t>A. Il gioco continua B. La squadra avversaria riceve la palla C. Il gioco è fermato D. Il giocatore riceve un cartellino rosso</t>
  </si>
  <si>
    <t>La squadra avversaria riceve la palla</t>
  </si>
  <si>
    <t>Se un giocatore viene infortunato ma non può alzarsicosa succede?</t>
  </si>
  <si>
    <t>A. Il gioco viene sospeso fino a che il giocatore non viene assistito B. Il gioco continua C. Il giocatore deve lasciare il campo D. Il gioco è fermato</t>
  </si>
  <si>
    <t>Il gioco viene sospeso fino a che il giocatore non viene assistito</t>
  </si>
  <si>
    <t>Se un giocatore esegue un tackle scivolato su un avversariocosa succede?</t>
  </si>
  <si>
    <t>A. Il gioco è fermato B. Il giocatore riceve un cartellino rosso C. Il giocatore riceve un cartellino giallo D. Il gioco continua</t>
  </si>
  <si>
    <t>Se un giocatore ferisce un avversario intenzionalmentecosa succede?</t>
  </si>
  <si>
    <t>Se il gioco è interrotto per un problema tecnicocosa succede?</t>
  </si>
  <si>
    <t>A. Il gioco continua B. Il gioco viene ripreso dal punto in cui era stato interrotto C. La squadra avversaria guadagna la palla D. Il gioco è sospeso</t>
  </si>
  <si>
    <t>Il gioco viene ripreso dal punto in cui era stato interrotto</t>
  </si>
  <si>
    <t>Se un giocatore segna un gol ma è in posizione di fuori giococosa succede?</t>
  </si>
  <si>
    <t>A. Il gol è annullato B. Il gioco continua C. Il giocatore riceve un cartellino rosso D. Il gioco è fermato</t>
  </si>
  <si>
    <t>Se un giocatore fa un fallo su un avversario durante una mischiacosa succede?</t>
  </si>
  <si>
    <t>A. Il gioco è fermato B. Il giocatore riceve un cartellino giallo C. Il gioco continua D. La squadra avversaria guadagna un calcio di punizione</t>
  </si>
  <si>
    <t>Se il portiere si allontana dalla propria area e commette un fallocosa succede?</t>
  </si>
  <si>
    <t>Se un giocatore trattiene la palla troppo a lungo senza passarecosa succede?</t>
  </si>
  <si>
    <t>A. Il gioco continua B. La squadra avversaria guadagna la palla C. Il giocatore riceve un cartellino giallo D. Il gioco è fermato</t>
  </si>
  <si>
    <t>Se un giocatore fa una brutta simulazione di un fallocosa succede?</t>
  </si>
  <si>
    <t>Se un giocatore colpisce la palla con la testa in modo scorrettocosa succede?</t>
  </si>
  <si>
    <t>A. Il gioco è fermato B. Il gioco continua C. Il giocatore riceve un cartellino giallo D. Il giocatore riceve un cartellino rosso</t>
  </si>
  <si>
    <t>Se un giocatore commette un fallo da dietro su un avversariocosa succede?</t>
  </si>
  <si>
    <t>A. Il gioco è fermato B. Il giocatore riceve un cartellino rosso C. Il gioco continua D. Il giocatore riceve un cartellino giallo</t>
  </si>
  <si>
    <t>Se un giocatore usa le mani per fermare un attaccocosa succede?</t>
  </si>
  <si>
    <t>A. Il gioco è fermato B. La squadra avversaria guadagna un calcio di punizione C. Il gioco continua D. Il giocatore riceve un cartellino giallo</t>
  </si>
  <si>
    <t>Se un giocatore non rispetta un calcio di punizionecosa succede?</t>
  </si>
  <si>
    <t>A. Il gioco è fermato B. Il giocatore riceve un cartellino rosso C. Il gioco continua D. Il calcio di punizione è ripetuto</t>
  </si>
  <si>
    <t>Se un giocatore utilizza un comportamento violento durante una partitacosa succede?</t>
  </si>
  <si>
    <t>Se il portiere fa un errore nel prendere la palla e questa va in retecosa succede?</t>
  </si>
  <si>
    <t>A. Il gol è valido B. Il gol è annullato C. Il gioco è fermato D. Il portiere riceve un cartellino giallo</t>
  </si>
  <si>
    <t>Il gol è valido</t>
  </si>
  <si>
    <t>Se un giocatore spinge un avversario durante una partitacosa succede?</t>
  </si>
  <si>
    <t>Se un giocatore fa un tackle in scivolata su un avversario e lo feriscecosa succede?</t>
  </si>
  <si>
    <t>Se un giocatore calcia il pallone in modo scorretto durante il giococosa succede?</t>
  </si>
  <si>
    <t>Se un giocatore fa un gesto violento nei confronti di un avversariocosa succede?</t>
  </si>
  <si>
    <t>Se un giocatore non rispetta le regole di comportamentocosa succede?</t>
  </si>
  <si>
    <t>Se un giocatore colpisce l'arbitro durante il giococosa succede?</t>
  </si>
  <si>
    <t>Se un giocatore si trova in una posizione irregolare durante una mischiacosa succede?</t>
  </si>
  <si>
    <t>A. Il gioco è fermato B. Il giocatore riceve un cartellino giallo C. Il gioco continua D. Il giocatore riceve un cartellino rosso</t>
  </si>
  <si>
    <t>Se un giocatore colpisce la palla con il piede in modo non correttocosa succede?</t>
  </si>
  <si>
    <t>Se un giocatore mette la mano sulla palla intenzionalmentecosa succede?</t>
  </si>
  <si>
    <t>A. Il gioco continua B. Il giocatore riceve un cartellino rosso C. Il gioco è fermato D. La squadra avversaria riceve un calcio di punizione</t>
  </si>
  <si>
    <t>Se un giocatore calcia un avversario senza motivocosa succede?</t>
  </si>
  <si>
    <t>Se il gioco è fermato per infortuniocosa succede?</t>
  </si>
  <si>
    <t>A. Il gioco continua normalmente B. Il giocatore infortunato viene sostituito C. Il gioco è fermato per un lungo periodo D. Il giocatore è sostituito</t>
  </si>
  <si>
    <t>Se un giocatore mette la palla in rete con un colpo di testacosa succede?</t>
  </si>
  <si>
    <t>A. Il gol è valido B. Il gol è annullato C. Il gioco è fermato D. Il giocatore riceve un cartellino rosso</t>
  </si>
  <si>
    <t>Se un giocatore viene espulso durante la partitacosa succede?</t>
  </si>
  <si>
    <t>A. Il gioco continua B. Il giocatore deve lasciare il campo e non può tornare C. La squadra continua a giocare con un numero ridotto di giocatori D. Il gioco è fermato</t>
  </si>
  <si>
    <t>Il giocatore deve lasciare il campo e non può tornare</t>
  </si>
  <si>
    <t>Se un giocatore commette un fallo di mano e l'arbitro non lo vedecosa succede?</t>
  </si>
  <si>
    <t>Se un giocatore spinge un avversario fuori dal campocosa succede?</t>
  </si>
  <si>
    <t>A. Il gioco è fermato B. Il giocatore riceve un cartellino giallo C. La squadra avversaria guadagna un calcio di punizione D. Il gioco continua</t>
  </si>
  <si>
    <t>Se un giocatore inizia un gioco scorretto durante un calcio d'iniziocosa succede?</t>
  </si>
  <si>
    <t>A. Il gioco è fermato B. Il giocatore riceve un cartellino rosso C. Il calcio d'inizio è ripetuto D. Il gioco continua</t>
  </si>
  <si>
    <t>Il calcio d'inizio è ripetuto</t>
  </si>
  <si>
    <t>Se un giocatore è in fuori gioco ma non viene chiamatocosa succede?</t>
  </si>
  <si>
    <t>A. Il gioco continua B. Il gol è annullato C. La squadra avversaria guadagna la palla D. Il gioco è fermato</t>
  </si>
  <si>
    <t>Se un giocatore ferisce un avversario senza volerlocosa succede?</t>
  </si>
  <si>
    <t>Se un giocatore commette un fallo dentro l'area di rigorecosa succede?</t>
  </si>
  <si>
    <t>A. Il gioco è fermato B. La squadra avversaria guadagna un calcio di rigore C. Il gioco continua D. Il giocatore riceve un cartellino rosso</t>
  </si>
  <si>
    <t>La squadra avversaria guadagna un calcio di rigore</t>
  </si>
  <si>
    <t>Se un giocatore fa un fallo su un avversario senza contatto fisicocosa succede?</t>
  </si>
  <si>
    <t>Se un giocatore esegue un dribbling e colpisce involontariamente un avversariocosa succede?</t>
  </si>
  <si>
    <t>Se un giocatore viene accusato di simulazionecosa succede?</t>
  </si>
  <si>
    <t>Se un giocatore lascia il campo senza il permesso dell'arbitrocosa succede?</t>
  </si>
  <si>
    <t>A. Il gioco è fermato B. Il giocatore riceve un cartellino rosso C. Il gioco continua D. La squadra avversaria guadagna un calcio di punizione</t>
  </si>
  <si>
    <t>Se un giocatore ferisce un avversario involontariamente e l'arbitro lo considera gravecosa succede?</t>
  </si>
  <si>
    <t>Se un giocatore intercetta un passaggio e viene fermato per un fallocosa succede?</t>
  </si>
  <si>
    <t>A. Il gioco è fermato B. Il gioco continua C. Il giocatore riceve un cartellino giallo D. La squadra avversaria guadagna un calcio di punizione</t>
  </si>
  <si>
    <t>Se un giocatore sbaglia un calcio di rigore e la palla rimbalza fuori dal campocosa succede?</t>
  </si>
  <si>
    <t>A. Il gioco continua B. Il calcio di rigore è ripetuto C. La squadra avversaria guadagna la palla D. Il gioco è fermato</t>
  </si>
  <si>
    <t>Il calcio di rigore è ripetuto</t>
  </si>
  <si>
    <t>Se un giocatore commette un fallo su un avversario senza che l'arbitro lo vedacosa succede?</t>
  </si>
  <si>
    <t>Se un giocatore calcia un pallone fuori dal campo senza che venga fischiato un fallocosa succede?</t>
  </si>
  <si>
    <t>Se un giocatore effettua un passaggio lungo e la palla esce dai limiti del campocosa succede?</t>
  </si>
  <si>
    <t>A. Il gioco è fermato B. La squadra avversaria guadagna la palla C. Il gioco continua D. Il giocatore riceve un cartellino rosso</t>
  </si>
  <si>
    <t>Se un giocatore inizia una partita con un infortunio e non è in grado di giocarecosa succede?</t>
  </si>
  <si>
    <t>A. Il gioco è fermato B. Il giocatore viene sostituito C. Il gioco continua D. La squadra gioca con un numero ridotto di giocatori</t>
  </si>
  <si>
    <t>Il giocatore viene sostituito</t>
  </si>
  <si>
    <t>Se un giocatore subisce un infortunio e non può continuare a giocarecosa succede?</t>
  </si>
  <si>
    <t>Se un giocatore commette un fallo all'inizio della partitacosa succede?</t>
  </si>
  <si>
    <t>A. Il gioco è fermato B. Il giocatore riceve un cartellino giallo C. Il gioco continua D. Il gioco è fermato</t>
  </si>
  <si>
    <t>Se un giocatore fa un fallo su un avversario dentro l'areacosa succede?</t>
  </si>
  <si>
    <t>Se un giocatore si sposta all'interno del campo senza la pallacosa succede?</t>
  </si>
  <si>
    <t>Se un giocatore esegue un tackle su un avversario senza entrare in contattocosa succede?</t>
  </si>
  <si>
    <t>Se un giocatore si infortuna durante un fallocosa succede?</t>
  </si>
  <si>
    <t>Se un giocatore effettua un passaggio al portiere che poi non riesce a fermarecosa succede?</t>
  </si>
  <si>
    <t>A. Il gol è valido B. Il gioco continua C. Il portiere riceve un cartellino rosso D. Il gioco è fermato</t>
  </si>
  <si>
    <t>Se un giocatore lancia la palla verso la porta ma il tiro finisce fuoricosa succede?</t>
  </si>
  <si>
    <t>A. Il gioco continua B. La squadra avversaria guadagna la palla C. Il tiro viene ripetuto D. Il gioco è fermato</t>
  </si>
  <si>
    <t>Se un giocatore ferisce un avversario durante un contrastocosa succede?</t>
  </si>
  <si>
    <t>Se un giocatore commette un fallo di gioco scorretto e l'arbitro non fischiacosa succede?</t>
  </si>
  <si>
    <t>Se un giocatore viene espulso per un fallo gravecosa succede?</t>
  </si>
  <si>
    <t>A. La squadra gioca con un numero ridotto di giocatori B. Il gioco è fermato C. Il giocatore riceve un cartellino giallo D. Il gioco continua</t>
  </si>
  <si>
    <t>La squadra gioca con un numero ridotto di giocatori</t>
  </si>
  <si>
    <t>Se un giocatore entra in campo senza permesso durante una sostituzionecosa succede?</t>
  </si>
  <si>
    <t>A. Il gioco è fermato B. Il giocatore riceve un cartellino giallo C. La squadra avversaria guadagna un calcio di punizione D. Il giocatore viene espulso</t>
  </si>
  <si>
    <t>Se un giocatore commette un fallo di gioco per impedire a un avversario di segnarecosa succede?</t>
  </si>
  <si>
    <t>A. Il gioco è fermato B. La squadra avversaria guadagna un calcio di rigore C. Il giocatore riceve un cartellino rosso D. Il gioco continua</t>
  </si>
  <si>
    <t>Se un giocatore calcia la palla fuori dal campo durante un'azionecosa succede?</t>
  </si>
  <si>
    <t>A. La squadra avversaria guadagna un calcio di punizione B. Il gioco è fermato C. Il gioco continua D. La palla viene restituita alla squadra</t>
  </si>
  <si>
    <t>Se un giocatore subisce un infortunio gravecosa succede?</t>
  </si>
  <si>
    <t>A. Il gioco è fermato B. Il giocatore viene sostituito C. Il gioco continua D. Il giocatore riceve un cartellino rosso</t>
  </si>
  <si>
    <t>Se un giocatore viene colpito dalla palla durante un'azione senza intenzionecosa succede?</t>
  </si>
  <si>
    <t>A. Il gioco continua B. Il gioco è fermato C. Il giocatore riceve un cartellino giallo D. Il giocatore riceve un cartellino rosso</t>
  </si>
  <si>
    <t>Se un giocatore tocca il pallone con la mano dentro la propria area di rigorecosa succede?</t>
  </si>
  <si>
    <t>Se un giocatore commette un fallo su un avversario al limite dell'area di rigorecosa succede?</t>
  </si>
  <si>
    <t>A. Il gioco è fermato B. La squadra avversaria guadagna un calcio di punizione C. Il gioco continua D. Il giocatore riceve un cartellino rosso</t>
  </si>
  <si>
    <t>Se un giocatore usa un linguaggio offensivo verso l'arbitrocosa succede?</t>
  </si>
  <si>
    <t>Se un giocatore scivola e colpisce accidentalmente un avversariocosa succede?</t>
  </si>
  <si>
    <t>Se un giocatore commette un fallo al centro del campocosa succede?</t>
  </si>
  <si>
    <t>A. Il gioco è fermato B. Il gioco continua C. La squadra avversaria guadagna un calcio di punizione D. Il giocatore riceve un cartellino giallo</t>
  </si>
  <si>
    <t>Se un giocatore calcia il pallone fuori dal campo volontariamentecosa succede?</t>
  </si>
  <si>
    <t>Se un giocatore fa un passaggio a un compagno di squadra che non riesce a controllarlocosa succede?</t>
  </si>
  <si>
    <t>Se un giocatore subisce un fallaccio e l'arbitro non lo vedecosa succede?</t>
  </si>
  <si>
    <t>A. Il gioco continua B. Il giocatore riceve un cartellino giallo C. Il gioco è fermato D. La squadra avversaria guadagna la palla</t>
  </si>
  <si>
    <t>Se un giocatore segna un gol da fuori areacosa succede?</t>
  </si>
  <si>
    <t>A. Il gol è valido B. Il gol è annullato C. Il gioco è fermato D. Il gol è convalidato</t>
  </si>
  <si>
    <t>Se un giocatore salta per colpire la palla e atterra su un altro giocatorecosa succede?</t>
  </si>
  <si>
    <t>Se un giocatore urta accidentalmente un avversario durante una corsacosa succede?</t>
  </si>
  <si>
    <t>Se un giocatore commette un fallo di gioco per fermare un attacco promettentecosa succede?</t>
  </si>
  <si>
    <t>Se un giocatore effettua un passaggio lungo e la palla non arriva a destinazionecosa succede?</t>
  </si>
  <si>
    <t>A. Il gioco continua B. La squadra avversaria guadagna la palla C. Il gioco è fermato D. Il passaggio viene ripetuto</t>
  </si>
  <si>
    <t>Se un giocatore fa un dribbling e riesce a superare tre avversaricosa succede?</t>
  </si>
  <si>
    <t>Se un giocatore subisce un infortunio ma non può continuarecosa succede?</t>
  </si>
  <si>
    <t>Se un giocatore commette un fallo da dietrocosa succede?</t>
  </si>
  <si>
    <t>Se un giocatore non riesce a controllare un pallone e finisce fuori dal campocosa succede?</t>
  </si>
  <si>
    <t>Se un giocatore esegue un tiro potente ma il portiere lo paracosa succede?</t>
  </si>
  <si>
    <t>A. Il gioco continua B. Il gol è annullato C. Il portiere riceve un cartellino rosso D. Il gioco è fermato</t>
  </si>
  <si>
    <t>Se un giocatore fa un fallo su un avversario fuori dalla sua area di rigorecosa succede?</t>
  </si>
  <si>
    <t>Se un giocatore calcia un avversario senza intenzione di far malecosa succede?</t>
  </si>
  <si>
    <t>Se un giocatore fa una sostituzione ma la sostituzione non è registratacosa succede?</t>
  </si>
  <si>
    <t>A. Il gioco è fermato B. Il giocatore rimane in campo C. La squadra avversaria guadagna un calcio di punizione D. Il gioco continua</t>
  </si>
  <si>
    <t>Il giocatore rimane in campo</t>
  </si>
  <si>
    <t>Se un giocatore è in ritardo per la partita e arriva mentre il gioco è già iniziatocosa succede?</t>
  </si>
  <si>
    <t>A. Il gioco continua B. Il giocatore non può partecipare C. Il gioco è fermato D. La squadra avversaria guadagna un calcio di punizione</t>
  </si>
  <si>
    <t>Il giocatore non può partecipare</t>
  </si>
  <si>
    <t>Se un giocatore non rispetta le regole del giococosa succede?</t>
  </si>
  <si>
    <t>Se un giocatore commette un fallo di gioco all'interno dell'area di rigorecosa succede?</t>
  </si>
  <si>
    <t>Se un giocatore viene colpito da un avversario durante un attaccocosa succede?</t>
  </si>
  <si>
    <t>Se un giocatore tocca il pallone con il piede in modo volontario durante un'azionecosa succede?</t>
  </si>
  <si>
    <t>A. Il gioco continua B. Il gioco è fermato C. La squadra avversaria guadagna un calcio di punizione D. Il giocatore riceve un cartellino giallo</t>
  </si>
  <si>
    <t>Se un giocatore salta e colpisce accidentalmente un altro giocatorecosa succede?</t>
  </si>
  <si>
    <t>Se un giocatore tocca il pallone con la testa durante una partitacosa succede?</t>
  </si>
  <si>
    <t>Se un giocatore cerca di bloccare un avversario con un fallo volontariocosa succede?</t>
  </si>
  <si>
    <t>A. Il gioco è fermato B. Il giocatore riceve un cartellino rosso C. La squadra avversaria guadagna un calcio di punizione D. Il giocatore riceve un cartellino giallo</t>
  </si>
  <si>
    <t>Se un giocatore calcia la palla in modo improprio durante un'azionecosa succede?</t>
  </si>
  <si>
    <t>Se un giocatore commette un fallo di gioco ma l'arbitro non lo vedecosa succede?</t>
  </si>
  <si>
    <t>A. Il gioco continua B. Il giocatore riceve un cartellino rosso C. Il gioco è fermato D. Il gioco continua</t>
  </si>
  <si>
    <t>Se un giocatore cerca di marcare un avversario durante un dribblingcosa succede?</t>
  </si>
  <si>
    <t>A. Il gioco è fermato B. Il gioco continua C. Il giocatore riceve un cartellino giallo D. Il gioco è fermato</t>
  </si>
  <si>
    <t>Se un giocatore subisce un infortunio durante un'azionecosa succede?</t>
  </si>
  <si>
    <t>Se un giocatore tocca la palla con la mano fuori dall'areacosa succede?</t>
  </si>
  <si>
    <t>Se un giocatore cade per un infortunio e l'arbitro non ferma il giococosa succede?</t>
  </si>
  <si>
    <t>A. Il gioco continua B. Il gioco è fermato C. Il giocatore viene sostituito D. Il giocatore riceve un cartellino giallo</t>
  </si>
  <si>
    <t>Se un giocatore calcia un avversario intenzionalmentecosa succede?</t>
  </si>
  <si>
    <t>A. Il giocatore riceve un cartellino rosso B. Il gioco è fermato C. Il giocatore riceve un cartellino giallo D. Il gioco continua</t>
  </si>
  <si>
    <t>A. Il gioco continua con un giocatore in meno B. Il gioco è fermato C. La squadra avversaria guadagna un calcio di rigore D. Il gioco è fermato</t>
  </si>
  <si>
    <t>Se un giocatore esegue un fallo per fermare un attacco promettentecosa succede?</t>
  </si>
  <si>
    <t>Se un giocatore commette un fallo di gioco durante una fase offensivacosa succede?</t>
  </si>
  <si>
    <t>Se un giocatore esegue una sostituzione durante un attaccocosa succede?</t>
  </si>
  <si>
    <t>A. Il gioco è fermato B. Il giocatore sostituito non può tornare in campo C. Il gioco continua D. Il gioco è fermato</t>
  </si>
  <si>
    <t>Se un giocatore subisce un fallo dentro l'area di rigorecosa succede?</t>
  </si>
  <si>
    <t>Se un giocatore tocca il pallone in modo intenzionale fuori dalla sua areacosa succede?</t>
  </si>
  <si>
    <t>Se un giocatore fa un passaggio e il pallone finisce direttamente fuori dal campocosa succede?</t>
  </si>
  <si>
    <t>A. La squadra avversaria guadagna la palla B. Il gioco continua C. Il gioco è fermato D. Il giocatore riceve un cartellino giallo</t>
  </si>
  <si>
    <t>Se un giocatore calcia un pallone verso la porta ma il portiere lo paracosa succede?</t>
  </si>
  <si>
    <t>A. Il gioco continua B. Il gol è annullato C. Il gioco è fermato D. Il portiere riceve un cartellino giallo</t>
  </si>
  <si>
    <t>Se un giocatore commette un fallo di gioco al centro del campocosa succede?</t>
  </si>
  <si>
    <t>Se un giocatore è costretto a fermarsi a causa di un infortuniocosa succede?</t>
  </si>
  <si>
    <t>A. Il gioco è fermato B. Il giocatore riceve un cartellino rosso C. Il gioco continua D. Il gioco è fermato</t>
  </si>
  <si>
    <t>Se un giocatore commette un fallo ma l'arbitro non lo vedecosa succede?</t>
  </si>
  <si>
    <t>A. Il gioco continua B. Il giocatore riceve un cartellino giallo C. Il gioco è fermato D. La squadra avversaria guadagna un calcio di punizione</t>
  </si>
  <si>
    <t>Se un giocatore riesce a segnare un gol ma viene annullato per un errore dell'arbitrocosa succede?</t>
  </si>
  <si>
    <t>A. Il gioco continua B. Il gol è validato C. Il gioco è fermato D. Il gol è annullato</t>
  </si>
  <si>
    <t>A. La squadra avversaria guadagna la palla B. Il gioco continua C. Il gioco è fermato D. Il giocatore riceve un cartellino rosso</t>
  </si>
  <si>
    <t>Se un giocatore non rispetta il regolamento durante una partitacosa succede?</t>
  </si>
  <si>
    <t>Se un giocatore commette un fallo sulla linea di portacosa succede?</t>
  </si>
  <si>
    <t>Se un giocatore subisce un fallo e l'arbitro non lo vedecosa succede?</t>
  </si>
  <si>
    <t>A. Il gioco continua B. Il giocatore riceve un cartellino giallo C. Il gioco è fermato D. Il giocatore viene sostituito</t>
  </si>
  <si>
    <t>Se un giocatore calcia un avversario durante una fase difensivacosa succede?</t>
  </si>
  <si>
    <t>A. Il giocatore riceve un cartellino rosso B. Il gioco continua C. Il gioco è fermato D. Il giocatore riceve un cartellino giallo</t>
  </si>
  <si>
    <t>A. La squadra gioca con un giocatore in meno B. Il gioco è fermato C. Il giocatore sostituisce la sua posizione D. La squadra avversaria guadagna un calcio di punizione</t>
  </si>
  <si>
    <t>La squadra gioca con un giocatore in meno</t>
  </si>
  <si>
    <t>Se un giocatore calcia la palla in modo scorretto durante il giococosa succede?</t>
  </si>
  <si>
    <t>Se un giocatore cade involontariamente durante una fase difensivacosa succede?</t>
  </si>
  <si>
    <t>A. Il gioco continua B. Il gioco è fermato C. Il giocatore riceve un cartellino rosso D. Il gioco è fermato</t>
  </si>
  <si>
    <t>Se un giocatore esegue un fallo nel tentativo di bloccare un passaggiocosa succede?</t>
  </si>
  <si>
    <t>Se un giocatore non ha intenzione di commettere un fallo ma lo fa accidentalmentecosa succede?</t>
  </si>
  <si>
    <t>A. Il gioco continua B. Il gioco è fermato C. Il giocatore riceve un cartellino rosso D. La squadra avversaria guadagna un calcio di punizione</t>
  </si>
  <si>
    <t>Se un giocatore viene messo in fuorigioco durante una fase offensivacosa succede?</t>
  </si>
  <si>
    <t>Se un giocatore non rispetta i limiti del campo durante il giococosa succede?</t>
  </si>
  <si>
    <t>A. Il gioco è fermato B. La squadra avversaria guadagna un calcio di punizione C. Il giocatore riceve un cartellino rosso D. Il gioco continua</t>
  </si>
  <si>
    <t>Se un giocatore colpisce un avversario con un fallo durante il giococosa succede?</t>
  </si>
  <si>
    <t>A. Il giocatore riceve un cartellino giallo B. Il gioco è fermato C. Il gioco continua D. La squadra avversaria guadagna un calcio di punizione</t>
  </si>
  <si>
    <t>Se un giocatore commette un fallo dentro l'areacosa succede?</t>
  </si>
  <si>
    <t>Se un giocatore commette un fallo fuori dall'areacosa succede?</t>
  </si>
  <si>
    <t>Se un giocatore esegue un attacco troppo violentocosa succede?</t>
  </si>
  <si>
    <t>Se un giocatore colpisce il pallone con la testa durante un'azione offensivacosa succede?</t>
  </si>
  <si>
    <t>A. Il gioco continua B. Il gioco è fermato C. Il gioco continua D. La squadra avversaria guadagna un calcio di punizione</t>
  </si>
  <si>
    <t>Se un giocatore esegue un dribbling e perde il pallone senza contatto con un avversariocosa succede?</t>
  </si>
  <si>
    <t>A. Il gioco continua B. Il gioco è fermato C. Il giocatore riceve un cartellino rosso D. Il gioco continua</t>
  </si>
  <si>
    <t>Se un giocatore tenta di fare un passaggio ma il pallone va fuori dal campocosa succede?</t>
  </si>
  <si>
    <t>A. La squadra avversaria guadagna la palla B. Il gioco è fermato C. Il gioco continua D. Il giocatore riceve un cartellino rosso</t>
  </si>
  <si>
    <t>Se un giocatore perde l'equilibrio durante un'azione e colpisce un avversariocosa succede?</t>
  </si>
  <si>
    <t>Se un giocatore si trova in una posizione di vantaggio ma viene fermato per fallocosa succede?</t>
  </si>
  <si>
    <t>A. Il gioco è fermato B. Il gioco continua C. La squadra avversaria guadagna un calcio di punizione D. Il giocatore riceve un cartellino rosso</t>
  </si>
  <si>
    <t>A. La squadra gioca con un giocatore in meno B. Il gioco continua C. Il gioco è fermato D. La squadra avversaria guadagna un calcio di punizione</t>
  </si>
  <si>
    <t>Se un giocatore calcia un avversario intenzionalmente durante una fase difensivacosa succede?</t>
  </si>
  <si>
    <t>Se un giocatore blocca un pallone con la mano durante un'azionecosa succede?</t>
  </si>
  <si>
    <t>Se un giocatore cerca di fermare un avversario con un fallo senza intenzione di farlocosa succede?</t>
  </si>
  <si>
    <t>Se un giocatore esegue un fallo durante un'azione offensiva e l'arbitro non lo vedecosa succede?</t>
  </si>
  <si>
    <t>A. Il gioco continua B. Il gioco è fermato C. La squadra avversaria guadagna un calcio di punizione D. Il gioco è fermato</t>
  </si>
  <si>
    <t>Se un giocatore commette un fallo durante un attacco che potrebbe causare un infortuniocosa succede?</t>
  </si>
  <si>
    <t>Se un giocatore riceve un cartellino giallo per un fallocosa succede?</t>
  </si>
  <si>
    <t>A. Il gioco continua B. Il giocatore riceve un altro cartellino rosso C. Il gioco è fermato D. Il gioco continua</t>
  </si>
  <si>
    <t>Se un giocatore subisce un contatto violento e l'arbitro non ferma il giococosa succede?</t>
  </si>
  <si>
    <t>A. Il gioco continua B. Il giocatore riceve un cartellino rosso C. Il gioco è fermato D. Il giocatore viene sostituito</t>
  </si>
  <si>
    <t>Se un giocatore commette un fallo di gioco in area ma l'arbitro non lo sanzionacosa succede?</t>
  </si>
  <si>
    <t>A. Il gioco continua B. La squadra avversaria guadagna un calcio di rigore C. Il gioco è fermato D. Il giocatore riceve un cartellino rosso</t>
  </si>
  <si>
    <t>Se un giocatore esegue un passaggio ma il pallone va fuori dal campo senza toccare un altro giocatorecosa succede?</t>
  </si>
  <si>
    <t>A. La squadra avversaria guadagna la palla B. Il gioco è fermato C. Il gioco continua D. Il gioco è fermato</t>
  </si>
  <si>
    <t>Se un giocatore commette un fallo per fermare un attacco che potrebbe risultare pericolosocosa succede?</t>
  </si>
  <si>
    <t>Il gioco continua con un giocatore in meno</t>
  </si>
  <si>
    <t>Se un giocatore viene sostituito durante una partitacosa succede?</t>
  </si>
  <si>
    <t>A. Il gioco è fermato B. Il giocatore non può più partecipare C. Il gioco continua D. Il giocatore sostituito torna in campo</t>
  </si>
  <si>
    <t>Se un giocatore esegue un fallo durante un calcio d'iniziocosa succede?</t>
  </si>
  <si>
    <t>A. Il gioco è fermato B. La squadra avversaria guadagna un calcio di punizione C. Il gioco continua D. Il gioco è fermato</t>
  </si>
  <si>
    <t>A. Il gioco continua con un giocatore in meno B. La squadra avversaria guadagna un calcio di rigore C. Il gioco è fermato D. Il giocatore sostituisce la sua posizione</t>
  </si>
  <si>
    <t>Se un giocatore commette un fallo con il pallone sotto il bracciocosa succede?</t>
  </si>
  <si>
    <t>Se un giocatore esegue una scorrettezza per fermare un attaccocosa succede?</t>
  </si>
  <si>
    <t>Se un giocatore fa un fallo su un avversario fuori giococosa succede?</t>
  </si>
  <si>
    <t>Se un giocatore calcia il pallone fuori dal campo durante un attaccocosa succede?</t>
  </si>
  <si>
    <t>Se un giocatore fa un passaggio senza guardarecosa succede?</t>
  </si>
  <si>
    <t>A. Il gioco è fermato B. Il gioco continua C. Il passaggio viene considerato un errore D. La squadra avversaria guadagna un calcio di punizione</t>
  </si>
  <si>
    <t>Se un giocatore perde il pallone ma non commette un fallocosa succede?</t>
  </si>
  <si>
    <t>A. Il gioco continua B. Il gioco è fermato C. La squadra avversaria guadagna la palla D. Il giocatore riceve un cartellino rosso</t>
  </si>
  <si>
    <t>Se un giocatore fa un fallo su un avversario che sta cercando di segnarecosa succede?</t>
  </si>
  <si>
    <t>Se un giocatore esegue un tiro in porta ma il pallone non entracosa succede?</t>
  </si>
  <si>
    <t>A. Il gioco continua B. Il gioco è fermato C. La squadra avversaria guadagna la palla D. Il gioco continua</t>
  </si>
  <si>
    <t>Se un giocatore viene espulso per comportamento violentocosa succede?</t>
  </si>
  <si>
    <t>A. La squadra gioca con un giocatore in meno B. Il gioco è fermato C. Il giocatore riceve un cartellino giallo D. La squadra avversaria guadagna un calcio di punizione</t>
  </si>
  <si>
    <t>Se un giocatore commette un fallo per bloccare un passaggiocosa succede?</t>
  </si>
  <si>
    <t>Se un giocatore tocca il pallone con la mano durante un'azione difensivacosa succede?</t>
  </si>
  <si>
    <t>Se un giocatore calcia il pallone fuori dal campo di gioco in una fase difensivacosa succede?</t>
  </si>
  <si>
    <t>A. Il gioco continua B. La squadra avversaria guadagna un calcio di punizione C. Il gioco è fermato D. La squadra avversaria guadagna la palla</t>
  </si>
  <si>
    <t>Se un giocatore commette un fallo durante il tentativo di segnare un golcosa succede?</t>
  </si>
  <si>
    <t>Se un giocatore scivola e ferisce un altro giocatore senza farlo appostacosa succede?</t>
  </si>
  <si>
    <t>Se un giocatore fa un fallo e l'arbitro non lo sanzionacosa succede?</t>
  </si>
  <si>
    <t>Se un giocatore commette un fallo in una fase difensiva ma l'arbitro non lo vedecosa succede?</t>
  </si>
  <si>
    <t>Se un giocatore fa un passaggio sbagliato e l'avversario intercetta la pallacosa succede?</t>
  </si>
  <si>
    <t>A. Il gioco continua B. La squadra avversaria guadagna il pallone C. Il gioco è fermato D. Il giocatore riceve un cartellino giallo</t>
  </si>
  <si>
    <t>Se un giocatore riceve un cartellino rosso per un comportamento violentocosa succede?</t>
  </si>
  <si>
    <t>A. Il gioco è fermato B. La squadra gioca con un giocatore in meno C. Il gioco continua D. Il giocatore non può più partecipare alla partita</t>
  </si>
  <si>
    <t>Se un giocatore calcia un avversario con un colpo al volto durante un'azione difensivacosa succede?</t>
  </si>
  <si>
    <t>Se un giocatore fa un passaggio troppo corto e l'avversario intercetta la pallacosa succede?</t>
  </si>
  <si>
    <t>Se un giocatore commette un fallo per fermare una ripartenza avversariacosa succede?</t>
  </si>
  <si>
    <t>Se un giocatore esegue un passaggio perfetto ma l'altro giocatore non riesce a controllarlocosa succede?</t>
  </si>
  <si>
    <t>A. Il gioco continua B. Il gioco è fermato C. La squadra avversaria guadagna il pallone D. Il giocatore riceve un cartellino rosso</t>
  </si>
  <si>
    <t>Se un giocatore esegue un tiro a porta ma colpisce il palocosa succede?</t>
  </si>
  <si>
    <t>Se un giocatore commette un fallo su un avversario in area di rigorecosa succede?</t>
  </si>
  <si>
    <t>Se un giocatore esegue un fallo su un avversario che sta correndo verso la portacosa succede?</t>
  </si>
  <si>
    <t>Se un giocatore fa un passaggio e il pallone non arriva a destinazionecosa succede?</t>
  </si>
  <si>
    <t>A. Il gioco continua B. Il gioco è fermato C. La squadra avversaria guadagna il pallone D. Il gioco è fermato</t>
  </si>
  <si>
    <t>Se un giocatore calcia la palla fuori dal campo durante un'azione difensivacosa succede?</t>
  </si>
  <si>
    <t>A. La squadra avversaria guadagna la palla B. Il gioco continua C. Il gioco è fermato D. Il gioco è fermato</t>
  </si>
  <si>
    <t>Se un giocatore commette un fallo per fermare un attacco che potrebbe segnarecosa succede?</t>
  </si>
  <si>
    <t>Se un giocatore tocca il pallone con un piede durante il giococosa succede?</t>
  </si>
  <si>
    <t>A. Il gioco continua B. Il gioco è fermato C. Il gioco è fermato D. Il giocatore riceve un cartellino rosso</t>
  </si>
  <si>
    <t>Se un giocatore fa un fallo su un avversario mentre sta cercando di segnare un golcosa succede?</t>
  </si>
  <si>
    <t>Se un giocatore riceve un cartellino giallo per una scorrettezzacosa succede?</t>
  </si>
  <si>
    <t>A. Il gioco continua B. Il giocatore è ammonito C. Il giocatore riceve un cartellino rosso D. Il gioco è fermato</t>
  </si>
  <si>
    <t>Se un giocatore segna un gol ma il pallone è stato precedentemente toccato con la manocosa succede?</t>
  </si>
  <si>
    <t>A. Il gol non viene convalidato B. Il gioco continua C. La squadra avversaria guadagna la palla D. Il giocatore riceve un cartellino rosso</t>
  </si>
  <si>
    <t>Il gol viene convalidato</t>
  </si>
  <si>
    <t>Se un giocatore commette un fallo durante un'azione di attaccocosa succede?</t>
  </si>
  <si>
    <t>Se un giocatore tocca il pallone con la testacosa succede?</t>
  </si>
  <si>
    <t>Se un giocatore commette un fallo che porta a un'uscita anticipata di un avversariocosa succede?</t>
  </si>
  <si>
    <t>Se un giocatore commette un fallo per fermare una ripartenzacosa succede?</t>
  </si>
  <si>
    <t>Se un giocatore tocca il pallone con il piede durante un'azione difensivacosa succede?</t>
  </si>
  <si>
    <t>Se un giocatore segna un gol mentre è in fuori giococosa succede?</t>
  </si>
  <si>
    <t>Se un giocatore esegue un tiro a porta ma colpisce un altro giocatorecosa succede?</t>
  </si>
  <si>
    <t>A. Il gioco continua B. Il gioco è fermato C. La squadra avversaria guadagna un calcio di punizione D. Il tiro viene ripetuto</t>
  </si>
  <si>
    <t>Se un giocatore fa un passaggio troppo lungo e il pallone esce dal campocosa succede?</t>
  </si>
  <si>
    <t>A. Il gioco continua B. La squadra avversaria guadagna la palla C. Il gioco è fermato D. Il gioco continua</t>
  </si>
  <si>
    <t>Se un giocatore si infortuna durante il giococosa succede?</t>
  </si>
  <si>
    <t>A. Il gioco è fermato B. Il gioco continua C. Il giocatore riceve un cartellino rosso D. Il gioco è sospeso</t>
  </si>
  <si>
    <t>Se un giocatore tocca il pallone con la testa durante un'azione di difesacosa succede?</t>
  </si>
  <si>
    <t>Se un giocatore commette un fallo fuori dal campocosa succede?</t>
  </si>
  <si>
    <t>A. Il gioco continua B. Il gioco è fermato C. La squadra avversaria guadagna la palla D. Il giocatore riceve un cartellino giallo</t>
  </si>
  <si>
    <t>Se un giocatore tocca il pallone con la mano durante il giococosa succede?</t>
  </si>
  <si>
    <t>Se un giocatore esegue un passaggio senza guardare e l'avversario lo intercettacosa succede?</t>
  </si>
  <si>
    <t>Se un giocatore segna un gol ma il pallone tocca la linea di porta e poi escecosa succede?</t>
  </si>
  <si>
    <t>A. Il gol non viene convalidato B. Il gol viene convalidato C. Il gioco continua D. Il gioco è fermato</t>
  </si>
  <si>
    <t>Se un giocatore si infortuna ma non ha perso conoscenzacosa succede?</t>
  </si>
  <si>
    <t>A. Il gioco è fermato B. Il gioco continua C. Il giocatore riceve un cartellino rosso D. Il gioco è fermato</t>
  </si>
  <si>
    <t>Se un giocatore commette un fallo su un avversario fuori dalla zona di giococosa succede?</t>
  </si>
  <si>
    <t>A. Il gioco continua B. La squadra avversaria guadagna un calcio di punizione C. Il gioco è fermato D. Il giocatore riceve un cartellino giallo</t>
  </si>
  <si>
    <t>Se un giocatore commette un fallo su un avversario che sta cercando di segnarecosa succede?</t>
  </si>
  <si>
    <t>Se un giocatore calcia il pallone fuori dal campo durante una fase difensivacosa succede?</t>
  </si>
  <si>
    <t>A. La squadra avversaria guadagna il pallone B. Il gioco continua C. Il gioco è fermato D. Il gioco è fermato</t>
  </si>
  <si>
    <t>Se un giocatore fa un passaggio e l'avversario lo intercettacosa succede?</t>
  </si>
  <si>
    <t>Se un giocatore fa un passaggio troppo corto e l'altro giocatore non riesce a riceverlocosa succede?</t>
  </si>
  <si>
    <t>A. Il gioco continua B. Il gioco è fermato C. La squadra avversaria guadagna la palla D. Il gioco è fermato</t>
  </si>
  <si>
    <t>Se un giocatore fa un passaggio perfetto ma l'altro giocatore non riesce a controllarlocosa succede?</t>
  </si>
  <si>
    <t>Se un giocatore fa un passaggio di testacosa succede?</t>
  </si>
  <si>
    <t>A. Il gioco continua B. Il gioco è fermato C. La squadra avversaria guadagna un calcio di punizione D. Il gioco continua</t>
  </si>
  <si>
    <t>Se un giocatore calcia il pallone fuori dal campo durante un'azione di attaccocosa succede?</t>
  </si>
  <si>
    <t>Se un giocatore fa un passaggio mentre è in fuori giococosa succede?</t>
  </si>
  <si>
    <t>A. Il gioco continua B. Il passaggio non è valido C. La squadra avversaria guadagna la palla D. Il gioco è fermato</t>
  </si>
  <si>
    <t>Se un giocatore commette un fallo per fermare un attacco che sta per segnarecosa succede?</t>
  </si>
  <si>
    <t>Se un giocatore commette un fallo durante una ripartenza velocecosa succede?</t>
  </si>
  <si>
    <t>Se un giocatore esegue un passaggio in avanti e un altro giocatore lo intercettacosa succede?</t>
  </si>
  <si>
    <t>Se un giocatore viene ammonito durante il giococosa succede?</t>
  </si>
  <si>
    <t>A. Il gioco continua B. Il giocatore è ammonito C. Il gioco è fermato D. La squadra avversaria guadagna un calcio di punizione</t>
  </si>
  <si>
    <t>Se un giocatore ha il pallone ma viene spinto fuori dal campocosa succede?</t>
  </si>
  <si>
    <t>Se un giocatore calcia un pallone che colpisce il palo ma non entra in portacosa succede?</t>
  </si>
  <si>
    <t>A. Il gioco continua B. Il gioco è fermato C. Il gioco riprende dal portiere D. La squadra avversaria guadagna la palla</t>
  </si>
  <si>
    <t>Se un giocatore segna un gol con un colpo di testacosa succede?</t>
  </si>
  <si>
    <t>A. Il gol viene convalidato B. Il gol non viene convalidato C. Il gioco continua D. Il gol viene annullato</t>
  </si>
  <si>
    <t>Se un giocatore tocca il pallone con il piede mentre sta scivolandocosa succede?</t>
  </si>
  <si>
    <t>Se un giocatore calcia il pallone fuori dal campo durante un’azione di difesacosa succede?</t>
  </si>
  <si>
    <t>A. La squadra avversaria guadagna un calcio d'angolo B. Il gioco continua C. Il gioco è fermato D. Il gioco continua</t>
  </si>
  <si>
    <t>Se un giocatore prende il pallone con la mano durante una fase difensivacosa succede?</t>
  </si>
  <si>
    <t>Se un giocatore commette un fallo e viene espulsocosa succede?</t>
  </si>
  <si>
    <t>Se un giocatore fa un passaggio a un compagno che non è in posizionecosa succede?</t>
  </si>
  <si>
    <t>A. Il gioco è fermato B. Il passaggio è annullato C. Il gioco continua D. La squadra avversaria guadagna la palla</t>
  </si>
  <si>
    <t>Se un giocatore esegue un calcio di punizione direttamente in porta e segnacosa succede?</t>
  </si>
  <si>
    <t>A. Il gol viene convalidato B. Il gol non viene convalidato C. Il gioco è fermato D. La squadra avversaria guadagna un calcio di punizione</t>
  </si>
  <si>
    <t>Il gol viene annullato</t>
  </si>
  <si>
    <t>Se un giocatore viene ammonito per un comportamento antisportivocosa succede?</t>
  </si>
  <si>
    <t>Se un giocatore calcia un pallone oltre la linea di fondocosa succede?</t>
  </si>
  <si>
    <t>A. La squadra avversaria guadagna un calcio d'angolo B. Il gioco è fermato C. La squadra avversaria guadagna la palla D. Il gioco continua</t>
  </si>
  <si>
    <t>Se un giocatore è in posizione di fuorigioco al momento del passaggiocosa succede?</t>
  </si>
  <si>
    <t>A. Il gioco è fermato B. Il giocatore riceve un cartellino giallo C. La squadra avversaria guadagna la palla D. Il gioco continua</t>
  </si>
  <si>
    <t>Se un giocatore lancia il pallone lontano dal campo dopo un fischio dell’arbitrocosa succede?</t>
  </si>
  <si>
    <t>Se un giocatore commette un fallo su un avversario durante una partitacosa succede?</t>
  </si>
  <si>
    <t>A. Il gioco è fermato B. La squadra avversaria guadagna un calcio di punizione C. Il giocatore riceve un cartellino giallo D. Il gioco continua</t>
  </si>
  <si>
    <t>Se un giocatore fa un passaggio verso il compagno ma il pallone esce fuori dal campocosa succede?</t>
  </si>
  <si>
    <t>Se un giocatore insegue un avversario che ha il pallone e lo placca senza commettere fallocosa succede?</t>
  </si>
  <si>
    <t>A. Il gioco continua B. Il giocatore riceve un cartellino rosso C. La squadra avversaria guadagna la palla D. Il gioco è fermato</t>
  </si>
  <si>
    <t>Se un giocatore esegue un passaggio e l'avversario lo intercetta in maniera illegalecosa succede?</t>
  </si>
  <si>
    <t>Se un giocatore esegue un passaggio e la palla finisce fuori dal campocosa succede?</t>
  </si>
  <si>
    <t>Se un giocatore commette un fallo su un avversario durante un attaccocosa succede?</t>
  </si>
  <si>
    <t>Se un giocatore fa un passaggio lungo e il compagno riesce a riceverlocosa succede?</t>
  </si>
  <si>
    <t>Se un giocatore si infortuna gravemente durante il giococosa succede?</t>
  </si>
  <si>
    <t>A. Il gioco è fermato B. Il giocatore riceve un cartellino rosso C. Il gioco continua D. Il giocatore viene sostituito</t>
  </si>
  <si>
    <t>Se un giocatore fa un passaggio diretto al portierecosa succede?</t>
  </si>
  <si>
    <t>Se un giocatore segna un gol dopo un passaggio da fuori giococosa succede?</t>
  </si>
  <si>
    <t>A. Il gol non viene convalidato B. Il gol viene convalidato C. La squadra avversaria guadagna la palla D. Il gioco è fermato</t>
  </si>
  <si>
    <t>Il formaggio di un giocatore colpisce il formaggio di un avversario. Cosa succede?</t>
  </si>
  <si>
    <t>A. Il tiro è annullato B. Il tiro è valido C. Entrambi i formaggi vengono ripetuti D. Si assegna un punto all'avversario</t>
  </si>
  <si>
    <t>Il tiro è valido</t>
  </si>
  <si>
    <t>Qual è il peso massimo consentito per il formaggio in una partita ufficiale di ruzzola?</t>
  </si>
  <si>
    <t>A. 1 kg B. 2 kg C. 5 kg D. 10 kg</t>
  </si>
  <si>
    <t>5 kg</t>
  </si>
  <si>
    <t>Il nastro del formaggio si rompe durante il tiro. Cosa succede?</t>
  </si>
  <si>
    <t>A. Il tiro è valido B. Il tiro viene ripetuto C. Il tiro è annullato D. Il giocatore perde il turno</t>
  </si>
  <si>
    <t>Il tiro viene ripetuto</t>
  </si>
  <si>
    <t>Come si determina il vincitore in una partita di ruzzola?</t>
  </si>
  <si>
    <t>A. Chi arriva per primo alla fine B. Chi totalizza più punti C. Chi lancia il formaggio più lontano D. Chi ha il formaggio più pesante</t>
  </si>
  <si>
    <t>Chi arriva per primo alla fine</t>
  </si>
  <si>
    <t>Un giocatore usa un formaggio non regolamentare. Cosa succede?</t>
  </si>
  <si>
    <t>A. Il giocatore viene squalificato B. Il giocatore perde un turno C. Il tiro è valido D. Il giudice assegna una penalità</t>
  </si>
  <si>
    <t>Il giocatore viene squalificato</t>
  </si>
  <si>
    <t>Il formaggio di un giocatore si ferma in una buca. Cosa accade?</t>
  </si>
  <si>
    <t>A. Il tiro è valido B. Il tiro è annullato C. Il formaggio viene ripetuto D. Si misura la distanza</t>
  </si>
  <si>
    <t>Un giocatore cambia il nastro durante la partita senza avvisare. Cosa succede?</t>
  </si>
  <si>
    <t>A. Il giudice assegna una penalità B. Il giocatore viene squalificato C. Il tiro è valido D. Non succede nulla</t>
  </si>
  <si>
    <t>Il giudice assegna una penalità</t>
  </si>
  <si>
    <t>Qual è la lunghezza massima del nastro utilizzato in ruzzola?</t>
  </si>
  <si>
    <t>A. 1 metro B. 2 metri C. 5 metri D. 10 metri</t>
  </si>
  <si>
    <t>2 metri</t>
  </si>
  <si>
    <t>Un giocatore effettua il tiro ma il formaggio non si muove. Cosa succede?</t>
  </si>
  <si>
    <t>A. Il tiro è valido B. Il tiro viene annullato C. Il giocatore perde il turno D. Il tiro viene ripetuto</t>
  </si>
  <si>
    <t>Il tiro viene annullato</t>
  </si>
  <si>
    <t>Il formaggio di un giocatore finisce sotto un veicolo fermo. Cosa accade?</t>
  </si>
  <si>
    <t>A. Il tiro è valido B. Il tiro viene ripetuto C. Il giudice assegna un punto D. Il formaggio viene recuperato e il tiro ripetuto</t>
  </si>
  <si>
    <t>Il formaggio viene recuperato e il tiro ripetuto</t>
  </si>
  <si>
    <t>Qual è l'età minima per partecipare a una partita ufficiale di ruzzola?</t>
  </si>
  <si>
    <t>A. 10 anni B. 12 anni C. 14 anni D. 16 anni</t>
  </si>
  <si>
    <t>14 anni</t>
  </si>
  <si>
    <t>Il formaggio tocca un albero durante il lancio. Cosa succede?</t>
  </si>
  <si>
    <t>A. Il tiro è valido B. Il tiro è annullato C. Il formaggio viene ripetuto D. Il giudice assegna una penalità</t>
  </si>
  <si>
    <t>Quanto deve essere larga la strada ufficiale per ruzzola?</t>
  </si>
  <si>
    <t>A. 1 metro B. 2 metri C. 3 metri D. 4 metri</t>
  </si>
  <si>
    <t>3 metri</t>
  </si>
  <si>
    <t>Il formaggio viene lanciato durante il turno sbagliato. Cosa succede?</t>
  </si>
  <si>
    <t>A. Il tiro è valido B. Il tiro viene annullato C. Il formaggio viene ripetuto D. Il giudice assegna una penalità</t>
  </si>
  <si>
    <t>Cosa accade se un giocatore utilizza un formaggio diverso durante la partita?</t>
  </si>
  <si>
    <t>A. Il giocatore viene squalificato B. Il giudice assegna una penalità C. Il formaggio viene sostituito D. Il tiro è valido</t>
  </si>
  <si>
    <t>Qual è il numero massimo di tiri consentiti in una partita ufficiale di ruzzola?</t>
  </si>
  <si>
    <t>A. 10 B. 15 C. 20 D. 30</t>
  </si>
  <si>
    <t>Un giocatore utilizza un nastro con materiali non regolamentari. Cosa accade?</t>
  </si>
  <si>
    <t>A. Il giocatore viene squalificato B. Il tiro è valido C. Il giudice assegna una penalità D. Il nastro viene sostituito</t>
  </si>
  <si>
    <t>Cosa accade se il formaggio finisce esattamente sopra un'altra boccia?</t>
  </si>
  <si>
    <t>A. Il tiro è valido B. Il tiro viene annullato C. Si misura la distanza esatta D. Il giudice assegna un punto</t>
  </si>
  <si>
    <t>Un giocatore chiede al giudice di fermare la partita per maltempo. Cosa accade?</t>
  </si>
  <si>
    <t>A. La partita viene sospesa B. La partita continua C. Il giudice assegna un punto all'avversario D. Si aspetta 10 minuti</t>
  </si>
  <si>
    <t>La partita viene sospesa</t>
  </si>
  <si>
    <t>Qual è il diametro massimo consentito per il formaggio in ruzzola?</t>
  </si>
  <si>
    <t>A. 10 cm B. 15 cm C. 20 cm D. 25 cm</t>
  </si>
  <si>
    <t>20 cm</t>
  </si>
  <si>
    <t>Un giocatore lancia il formaggio senza avvolgerlo completamente con il nastro. Cosa succede?</t>
  </si>
  <si>
    <t>A. Il tiro è valido B. Il tiro viene annullato C. Il giudice assegna una penalità D. Il tiro viene ripetuto</t>
  </si>
  <si>
    <t>Il formaggio lanciato cade in un fiume accanto alla strada. Cosa accade?</t>
  </si>
  <si>
    <t>A. Il tiro è valido B. Il tiro viene ripetuto C. Il formaggio viene recuperato e ripetuto D. Il giocatore perde il turno</t>
  </si>
  <si>
    <t>Il giocatore perde il turno</t>
  </si>
  <si>
    <t>Un giudice segnala che un giocatore ha superato la linea di lancio. Cosa accade?</t>
  </si>
  <si>
    <t>A. Il tiro viene annullato B. Il tiro è valido C. Il giocatore riceve un avvertimento D. Il giocatore perde il turno</t>
  </si>
  <si>
    <t>Cosa succede se un giocatore rifiuta di effettuare un lancio?</t>
  </si>
  <si>
    <t>A. Il giocatore perde il turno B. Il tiro viene ripetuto C. Il giudice assegna una penalità D. Il giocatore viene squalificato</t>
  </si>
  <si>
    <t>Un giocatore lancia il formaggio deliberatamente contro un avversario. Cosa accade?</t>
  </si>
  <si>
    <t>A. Il giocatore viene espulso B. Il tiro è valido C. Il giudice assegna una penalità D. Il lancio viene ripetuto</t>
  </si>
  <si>
    <t>Qual è il peso minimo regolamentare per il formaggio in ruzzola?</t>
  </si>
  <si>
    <t>A. 500 grammi B. 1 kg C. 2 kg D. 3 kg</t>
  </si>
  <si>
    <t>1 kg</t>
  </si>
  <si>
    <t>Un giocatore si ferma durante il lancio per controllare il vento. Cosa succede?</t>
  </si>
  <si>
    <t>A. Il tiro viene annullato B. Il giocatore perde il turno C. Il lancio può essere effettuato D. Il giudice assegna una penalità</t>
  </si>
  <si>
    <t>Il lancio può essere effettuato</t>
  </si>
  <si>
    <t>Il formaggio di un giocatore tocca il pallino di segnalazione. Cosa accade?</t>
  </si>
  <si>
    <t>A. Il tiro è valido B. Il pallino viene rimosso C. Il giudice assegna una penalità D. Il formaggio viene ripetuto</t>
  </si>
  <si>
    <t>Un giocatore utilizza un nastro danneggiato durante il tiro. Cosa succede?</t>
  </si>
  <si>
    <t>A. Il tiro è valido B. Il tiro viene ripetuto C. Il giudice assegna una penalità D. Il nastro viene sostituito</t>
  </si>
  <si>
    <t>Qual è la distanza minima regolamentare per un tiro valido?</t>
  </si>
  <si>
    <t>A. 1 metro B. 2 metri C. 3 metri D. 5 metri</t>
  </si>
  <si>
    <t>Il formaggio si rompe in pezzi durante il lancio. Cosa succede?</t>
  </si>
  <si>
    <t>A. Il tiro è valido B. Il giudice decide C. Il tiro viene ripetuto D. Il formaggio viene sostituito</t>
  </si>
  <si>
    <t>Un giocatore protesta contro il giudizio del giudice. Cosa accade?</t>
  </si>
  <si>
    <t>A. Il giudice annulla il tiro B. Il giocatore viene espulso C. Il giudice assegna una penalità D. La decisione non cambia</t>
  </si>
  <si>
    <t>La decisione non cambia</t>
  </si>
  <si>
    <t>Qual è la lunghezza massima consentita per una strada ufficiale di ruzzola?</t>
  </si>
  <si>
    <t>A. 50 metri B. 100 metri C. 150 metri D. 200 metri</t>
  </si>
  <si>
    <t>100 metri</t>
  </si>
  <si>
    <t>Il formaggio supera il traguardo ma colpisce una persona. Cosa accade?</t>
  </si>
  <si>
    <t>A. Il tiro è valido B. Il giudice assegna una penalità C. Il tiro viene ripetuto D. La partita viene sospesa</t>
  </si>
  <si>
    <t>Un giocatore dimentica di utilizzare il nastro per il tiro. Cosa succede?</t>
  </si>
  <si>
    <t>A. Il tiro è valido B. Il giudice assegna una penalità C. Il tiro viene ripetuto D. Il giocatore perde il turno</t>
  </si>
  <si>
    <t>Cosa accade se due formaggi arrivano esattamente alla stessa distanza?</t>
  </si>
  <si>
    <t>A. Si misura nuovamente B. Si assegna un punto a entrambi C. Si ripete il tiro D. Il giudice decide</t>
  </si>
  <si>
    <t>Si ripete il tiro</t>
  </si>
  <si>
    <t>Il vento spinge il formaggio fuori strada. Cosa accade?</t>
  </si>
  <si>
    <t>A. Il tiro è valido B. Il tiro viene ripetuto C. Il giudice assegna un punto D. Il giocatore perde il turno</t>
  </si>
  <si>
    <t>Un giocatore utilizza un formaggio dipinto di colore diverso. Cosa accade?</t>
  </si>
  <si>
    <t>A. Il tiro è valido B. Il formaggio viene sostituito C. Il giudice assegna una penalità D. Il giocatore viene squalificato</t>
  </si>
  <si>
    <t>Qual è il numero massimo di giocatori per squadra in una partita ufficiale di ruzzola?</t>
  </si>
  <si>
    <t>A. 2 B. 4 C. 6 D. 8</t>
  </si>
  <si>
    <t>Cosa accade se un giocatore non si presenta in tempo alla partita?</t>
  </si>
  <si>
    <t>A. La partita viene posticipata B. Il giocatore viene squalificato C. Il giudice assegna una penalità D. Il turno viene saltato</t>
  </si>
  <si>
    <t>Un giocatore colpisce intenzionalmente il formaggio di un avversario. Cosa succede?</t>
  </si>
  <si>
    <t>A. Il tiro è valido B. Il giudice assegna una penalità C. Il giocatore viene squalificato D. Il tiro viene ripetuto</t>
  </si>
  <si>
    <t>Qual è il materiale preferito per le strade ufficiali di ruzzola?</t>
  </si>
  <si>
    <t>A. Asfalto B. Terreno sterrato C. Erba D. Pietra</t>
  </si>
  <si>
    <t>Terreno sterrato</t>
  </si>
  <si>
    <t>Un giudice determina che il formaggio non è uniforme. Cosa accade?</t>
  </si>
  <si>
    <t>A. Il formaggio viene sostituito B. Il giudice assegna una penalità C. Il tiro è valido D. La partita viene sospesa</t>
  </si>
  <si>
    <t>Il formaggio viene sostituito</t>
  </si>
  <si>
    <t>Qual è la larghezza minima regolamentare per una strada di ruzzola?</t>
  </si>
  <si>
    <t>Cosa accade se un formaggio tocca un animale durante il lancio?</t>
  </si>
  <si>
    <t>A. Il tiro è valido B. Il tiro viene ripetuto C. Il giudice assegna una penalità D. Il giocatore perde il turno</t>
  </si>
  <si>
    <t>Il giocatore deve fermarsi per il passaggio di un veicolo. Cosa succede?</t>
  </si>
  <si>
    <t>A. Il tiro viene annullato B. Il giocatore può rilanciare C. Il giudice sospende il tiro D. La partita viene interrotta</t>
  </si>
  <si>
    <t>Il giocatore può rilanciare</t>
  </si>
  <si>
    <t>Cosa accade se il formaggio di un giocatore cade giù da una collina?</t>
  </si>
  <si>
    <t>A. Il tiro è valido B. Il tiro viene ripetuto C. Il giocatore perde il turno D. Il giudice assegna un punto</t>
  </si>
  <si>
    <t>Il formaggio si ferma sul bordo della strada. Cosa succede?</t>
  </si>
  <si>
    <t>A. Il tiro è valido B. Il tiro viene ripetuto C. Il giocatore perde il turno D. Il giudice decide</t>
  </si>
  <si>
    <t>Un giocatore cambia il proprio formaggio durante la partita senza informare il giudice. Cosa accade?</t>
  </si>
  <si>
    <t>A. Il giocatore viene squalificato B. Il giudice assegna una penalità C. Il tiro è valido D. Il tiro viene ripetuto</t>
  </si>
  <si>
    <t>Il formaggio viene accidentalmente lanciato contro un palo lungo la strada. Cosa accade?</t>
  </si>
  <si>
    <t>Un giocatore utilizza un nastro più lungo del consentito. Cosa succede?</t>
  </si>
  <si>
    <t>A. Il tiro è valido B. Il giudice assegna una penalità C. Il tiro viene ripetuto D. Il giocatore viene squalificato</t>
  </si>
  <si>
    <t>Cosa accade se un formaggio si ferma esattamente sul traguardo?</t>
  </si>
  <si>
    <t>A. Il punto viene assegnato B. Il tiro viene ripetuto C. Il giudice assegna una penalità D. Il formaggio è considerato fuori gioco</t>
  </si>
  <si>
    <t>Il punto viene assegnato</t>
  </si>
  <si>
    <t>Un giocatore chiede una pausa per controllare il proprio formaggio. Cosa accade?</t>
  </si>
  <si>
    <t>A. La pausa viene concessa B. Il giudice rifiuta C. Il turno viene saltato D. Il giudice assegna una penalità</t>
  </si>
  <si>
    <t>La pausa viene concessa</t>
  </si>
  <si>
    <t>Il formaggio di un giocatore si divide in due pezzi durante il lancio. Cosa accade?</t>
  </si>
  <si>
    <t>A. Il tiro è valido B. Il giudice assegna un punto C. Il tiro viene ripetuto D. Il giocatore perde il turno</t>
  </si>
  <si>
    <t>Un giudice decide che il formaggio non soddisfa le specifiche regolamentari. Cosa succede?</t>
  </si>
  <si>
    <t>A. Il giocatore deve sostituirlo B. Il tiro è valido C. Il giocatore perde il turno D. Il giudice assegna una penalità</t>
  </si>
  <si>
    <t>Il giocatore deve sostituirlo</t>
  </si>
  <si>
    <t>Cosa accade se un giocatore cambia nastro tra un tiro e l'altro?</t>
  </si>
  <si>
    <t>A. Il giudice assegna una penalità B. Il giocatore viene squalificato C. Il tiro è valido D. Il giudice verifica e approva</t>
  </si>
  <si>
    <t>Il giudice verifica e approva</t>
  </si>
  <si>
    <t>Qual è la distanza massima consentita per un tiro valido?</t>
  </si>
  <si>
    <t>A. 50 metri B. 70 metri C. 100 metri D. 150 metri</t>
  </si>
  <si>
    <t>70 metri</t>
  </si>
  <si>
    <t>Il formaggio di un giocatore colpisce un oggetto lungo il percorso e si ferma. Cosa accade?</t>
  </si>
  <si>
    <t>A. Il tiro è valido B. Il tiro viene ripetuto C. Il giocatore perde il turno D. Il giudice assegna una penalità</t>
  </si>
  <si>
    <t>Un giocatore lancia il formaggio all'indietro per errore. Cosa accade?</t>
  </si>
  <si>
    <t>A. Il tiro viene annullato B. Il giocatore perde il turno C. Il giudice assegna una penalità D. Il tiro viene ripetuto</t>
  </si>
  <si>
    <t>Cosa accade se un giocatore rompe intenzionalmente il formaggio di un avversario?</t>
  </si>
  <si>
    <t>A. Il giocatore viene espulso B. Il giudice assegna una penalità C. Il tiro viene ripetuto D. L'avversario riceve un nuovo formaggio</t>
  </si>
  <si>
    <t>Il formaggio attraversa il traguardo ma finisce in un fossato. Cosa accade?</t>
  </si>
  <si>
    <t>A. Il tiro è valido B. Il tiro viene ripetuto C. Il giudice assegna una penalità D. Il punto non viene assegnato</t>
  </si>
  <si>
    <t>Un giocatore utilizza un formaggio più grande del consentito. Cosa succede?</t>
  </si>
  <si>
    <t>A. Il tiro è valido B. Il giudice assegna una penalità C. Il giocatore perde il turno D. Il formaggio viene sostituito</t>
  </si>
  <si>
    <t>Il giudice si accorge che un giocatore ha usato il nastro di un altro partecipante. Cosa accade?</t>
  </si>
  <si>
    <t>A. Il tiro è valido B. Il giudice assegna una penalità C. Il giudice sospende il tiro D. Il giocatore viene squalificato</t>
  </si>
  <si>
    <t>Un giocatore tocca il formaggio dopo averlo lanciato. Cosa succede?</t>
  </si>
  <si>
    <t>Il formaggio si ferma prima del traguardo. Cosa accade?</t>
  </si>
  <si>
    <t>A. Il tiro è valido B. Il punto non viene assegnato C. Il tiro viene ripetuto D. Il giudice assegna una penalità</t>
  </si>
  <si>
    <t>Il punto non viene assegnato</t>
  </si>
  <si>
    <t>Cosa accade se un giudice è assente al momento di un tiro?</t>
  </si>
  <si>
    <t>A. La partita viene sospesa B. Il tiro viene rimandato C. Un altro giudice prende il suo posto D. Il giocatore perde il turno</t>
  </si>
  <si>
    <t>Un altro giudice prende il suo posto</t>
  </si>
  <si>
    <t>Un giocatore lancia il formaggio prima che il giudice dia il via. Cosa succede?</t>
  </si>
  <si>
    <t>Qual è la penalità per un giocatore che non rispetta le regole di sicurezza?</t>
  </si>
  <si>
    <t>A. Ammonizione B. Espulsione C. Perdita del turno D. Il tiro viene annullato</t>
  </si>
  <si>
    <t>Perdita del turno</t>
  </si>
  <si>
    <t>Un giocatore tenta di distrarre un avversario durante il tiro. Cosa accade?</t>
  </si>
  <si>
    <t>A. Il giudice assegna una penalità B. Il giocatore viene espulso C. Il tiro dell'avversario è valido D. La partita viene sospesa</t>
  </si>
  <si>
    <t>Il formaggio viene lanciato sopra una struttura e supera il traguardo. Cosa succede?</t>
  </si>
  <si>
    <t>Un giocatore protesta contro il risultato finale. Cosa accade?</t>
  </si>
  <si>
    <t>A. La decisione non cambia B. La partita viene ripetuta C. Il giudice assegna una penalità D. La protesta viene accolta</t>
  </si>
  <si>
    <t>Il formaggio finisce contro un muro e torna indietro. Cosa accade?</t>
  </si>
  <si>
    <t>A. Il tiro è valido B. Il tiro viene annullato C. Il tiro viene ripetuto D. Il giudice assegna un punto</t>
  </si>
  <si>
    <t>Un giocatore lascia il formaggio cadere prima di lanciarlo. Cosa succede?</t>
  </si>
  <si>
    <t>A. Il tiro è valido B. Il giocatore può rilanciare C. Il tiro viene annullato D. Il giocatore perde il turno</t>
  </si>
  <si>
    <t>Qual è la regola se un giocatore manca il proprio turno?</t>
  </si>
  <si>
    <t>A. Il giudice assegna una penalità B. Il giocatore viene espulso C. Il turno è perso D. Il turno viene recuperato alla fine</t>
  </si>
  <si>
    <t>Il turno è perso</t>
  </si>
  <si>
    <t>Cosa accade se un formaggio tocca un albero e cambia direzione?</t>
  </si>
  <si>
    <t>Il formaggio di un giocatore danneggia una proprietà privata. Cosa succede?</t>
  </si>
  <si>
    <t>A. Il tiro è valido B. Il giocatore deve risarcire C. Il tiro viene annullato D. Il giudice assegna una penalità</t>
  </si>
  <si>
    <t>Il giocatore deve risarcire</t>
  </si>
  <si>
    <t>Un giocatore insiste per utilizzare un formaggio non conforme. Cosa accade?</t>
  </si>
  <si>
    <t>A. Il giocatore viene espulso B. Il giudice assegna una penalità C. Il tiro è valido D. La partita viene sospesa</t>
  </si>
  <si>
    <t>Un formaggio lanciato raggiunge il traguardo ma colpisce un oggetto decorativo. Cosa accade?</t>
  </si>
  <si>
    <t>Un giocatore lancia il formaggio e colpisce per errore un altro partecipante. Cosa accade?</t>
  </si>
  <si>
    <t>A. Il tiro viene annullato B. Il giudice assegna una penalità C. Il giocatore viene espulso D. La partita viene sospesa</t>
  </si>
  <si>
    <t>Cosa accade se il formaggio finisce in un fiume lungo il percorso?</t>
  </si>
  <si>
    <t>A. Il tiro è valido B. Il tiro viene ripetuto C. Il giocatore perde il turno D. Il formaggio viene recuperato e rilanciato</t>
  </si>
  <si>
    <t>Un giudice verifica che il nastro di un giocatore è difettoso. Cosa succede?</t>
  </si>
  <si>
    <t>A. Il nastro viene sostituito B. Il giocatore perde il turno C. Il tiro è valido D. Il giudice assegna una penalità</t>
  </si>
  <si>
    <t>Il nastro viene sostituito</t>
  </si>
  <si>
    <t>Il formaggio colpisce un animale lungo il percorso. Cosa accade?</t>
  </si>
  <si>
    <t>A. Il tiro è valido B. Il tiro viene annullato C. Il giocatore deve risarcire D. Il giudice assegna una penalità</t>
  </si>
  <si>
    <t>Cosa accade se un giocatore non si presenta al momento del proprio tiro?</t>
  </si>
  <si>
    <t>A. Il turno viene saltato B. Il giocatore viene squalificato C. Il turno viene recuperato alla fine D. Il giudice assegna una penalità</t>
  </si>
  <si>
    <t>Il turno viene saltato</t>
  </si>
  <si>
    <t>Un giocatore chiede di utilizzare un formaggio speciale per motivi personali. Cosa accade?</t>
  </si>
  <si>
    <t>A. La richiesta viene rifiutata B. Il giudice concede l'uso C. Il giocatore viene squalificato D. Il tiro è valido</t>
  </si>
  <si>
    <t>La richiesta viene rifiutata</t>
  </si>
  <si>
    <t>Il formaggio supera il traguardo ma non si ferma. Cosa accade?</t>
  </si>
  <si>
    <t>A. Il tiro è valido B. Il punto viene assegnato C. Il tiro viene ripetuto D. Il giudice assegna una penalità</t>
  </si>
  <si>
    <t>Cosa accade se il formaggio di un giocatore si rompe in più di tre pezzi?</t>
  </si>
  <si>
    <t>A. Il tiro è valido B. Il giudice assegna una penalità C. Il tiro viene annullato D. Il tiro viene ripetuto</t>
  </si>
  <si>
    <t>Un partecipante tocca il formaggio di un avversario durante la preparazione al tiro. Cosa succede?</t>
  </si>
  <si>
    <t>A. Il giudice assegna una penalità B. Il giudice annulla il tiro C. Il giocatore viene squalificato D. Non accade nulla</t>
  </si>
  <si>
    <t>Un giocatore utilizza un nastro decorativo invece di quello regolamentare. Cosa accade?</t>
  </si>
  <si>
    <t>A. Il tiro è valido B. Il giudice assegna una penalità C. Il tiro viene ripetuto D. Il nastro viene sostituito</t>
  </si>
  <si>
    <t>Un formaggio viene lanciato e rimane bloccato in un cespuglio. Cosa succede?</t>
  </si>
  <si>
    <t>A. Il tiro viene ripetuto B. Il tiro è valido C. Il giudice assegna una penalità D. Il giocatore perde il turno</t>
  </si>
  <si>
    <t>Cosa accade se due formaggi si scontrano durante un tiro?</t>
  </si>
  <si>
    <t>A. Entrambi i tiri sono validi B. Il giudice assegna un punto a ciascuno C. Il tiro viene ripetuto per entrambi D. Il giocatore con il tiro più lungo vince il punto</t>
  </si>
  <si>
    <t>Il tiro viene ripetuto per entrambi</t>
  </si>
  <si>
    <t>Un giocatore ritarda intenzionalmente il proprio turno. Cosa accade?</t>
  </si>
  <si>
    <t>A. Il giudice assegna una penalità B. Il giocatore viene espulso C. Il turno viene saltato D. La partita viene sospesa</t>
  </si>
  <si>
    <t>Un formaggio attraversa il traguardo ma torna indietro. Cosa accade?</t>
  </si>
  <si>
    <t>A. Il tiro è valido B. Il tiro viene annullato C. Il punto viene assegnato D. Il giudice assegna una penalità</t>
  </si>
  <si>
    <t>Il giudice rileva un comportamento antisportivo da parte di un partecipante. Cosa accade?</t>
  </si>
  <si>
    <t>A. Il giocatore viene ammonito B. Il giocatore viene squalificato C. Il tiro viene annullato D. Non accade nulla</t>
  </si>
  <si>
    <t>Il giocatore viene ammonito</t>
  </si>
  <si>
    <t>Il formaggio di un giocatore supera di poco la linea di partenza. Cosa succede?</t>
  </si>
  <si>
    <t>Un giocatore tenta di confondere l'avversario con un falso tiro. Cosa accade?</t>
  </si>
  <si>
    <t>A. Il giocatore viene ammonito B. Il giudice assegna una penalità C. Il tiro viene annullato D. Non accade nulla</t>
  </si>
  <si>
    <t>Cosa accade se il formaggio di un giocatore si ferma al centro del traguardo?</t>
  </si>
  <si>
    <t>A. Il punto viene assegnato B. Il tiro viene annullato C. Il giudice assegna una penalità D. Il formaggio è considerato fuori gioco</t>
  </si>
  <si>
    <t>Un giocatore non riesce a recuperare il formaggio dopo un tiro. Cosa succede?</t>
  </si>
  <si>
    <t>A. Il giocatore viene penalizzato B. Il tiro viene annullato C. Il giocatore utilizza un formaggio sostitutivo D. La partita viene sospesa</t>
  </si>
  <si>
    <t>Il giocatore utilizza un formaggio sostitutivo</t>
  </si>
  <si>
    <t>Cosa accade se un giocatore perde l'equilibrio durante il lancio?</t>
  </si>
  <si>
    <t>A. Il tiro è valido B. Il tiro viene annullato C. Il giudice assegna una penalità D. Il giocatore perde il turno</t>
  </si>
  <si>
    <t>Il formaggio di un giocatore si ferma sopra un sasso. Cosa succede?</t>
  </si>
  <si>
    <t>Un giocatore decide di lanciare il formaggio senza usare il nastro. Cosa accade?</t>
  </si>
  <si>
    <t>A. Il tiro è valido B. Il tiro viene annullato C. Il giocatore perde il turno D. Il giudice assegna una penalità</t>
  </si>
  <si>
    <t>Cosa accade se un formaggio colpisce un cartello stradale e cambia direzione?</t>
  </si>
  <si>
    <t>A. Il tiro è valido B. Il tiro viene annullato C. Il tiro viene ripetuto D. Il giudice assegna una penalità</t>
  </si>
  <si>
    <t>Un partecipante utilizza un formaggio personalizzato. Cosa succede?</t>
  </si>
  <si>
    <t>A. Il giudice verifica il formaggio B. Il tiro è valido C. Il formaggio viene rifiutato D. Il giocatore perde il turno</t>
  </si>
  <si>
    <t>Il giudice verifica il formaggio</t>
  </si>
  <si>
    <t>Cosa accade se un giocatore interrompe il tiro di un avversario?</t>
  </si>
  <si>
    <t>A. Il giudice assegna una penalità B. Il tiro dell'avversario viene ripetuto C. Il giocatore viene squalificato D. Non accade nulla</t>
  </si>
  <si>
    <t>Il formaggio di un giocatore si rompe dopo aver attraversato il traguardo. Cosa succede?</t>
  </si>
  <si>
    <t>A. Il punto viene assegnato B. Il tiro è valido C. Il giudice annulla il punto D. Il tiro viene ripetuto</t>
  </si>
  <si>
    <t>Un giocatore ignora le indicazioni del giudice. Cosa accade?</t>
  </si>
  <si>
    <t>A. Il giudice assegna una penalità B. Il giocatore viene espulso C. Il tiro viene annullato D. Il turno viene saltato</t>
  </si>
  <si>
    <t>Il formaggio supera il traguardo ma esce fuori dal percorso. Cosa succede?</t>
  </si>
  <si>
    <t>A. Il tiro è valido B. Il tiro viene annullato C. Il punto viene assegnato D. Il giocatore perde il turno</t>
  </si>
  <si>
    <t>Un giocatore utilizza un nastro troppo corto rispetto al regolamento. Cosa accade?</t>
  </si>
  <si>
    <t>A. Il tiro viene annullato B. Il tiro è valido C. Il giudice assegna una penalità D. Il nastro viene sostituito</t>
  </si>
  <si>
    <t>Cosa accade se un formaggio colpisce un ostacolo artificiale?</t>
  </si>
  <si>
    <t>Un giocatore lancia il formaggio ma questo non supera la linea di partenza. Cosa accade?</t>
  </si>
  <si>
    <t>A. Il tiro viene annullato B. Il tiro viene ripetuto C. Il giocatore perde il turno D. Il giudice assegna una penalità</t>
  </si>
  <si>
    <t>Il formaggio finisce in una buca lungo il percorso. Cosa succede?</t>
  </si>
  <si>
    <t>A. Il tiro è valido B. Il tiro viene annullato C. Il formaggio viene recuperato e rilanciato D. Il giudice assegna una penalità</t>
  </si>
  <si>
    <t>Cosa accade se il formaggio tocca il bordo del percorso e rimbalza dentro?</t>
  </si>
  <si>
    <t>A. Il tiro è valido B. Il tiro viene annullato C. Il tiro viene ripetuto D. Il punto viene assegnato</t>
  </si>
  <si>
    <t>Un giocatore discute con il giudice durante una decisione. Cosa succede?</t>
  </si>
  <si>
    <t>A. Il giudice assegna una penalità B. Il giocatore viene espulso C. Il tiro viene annullato D. Non accade nulla</t>
  </si>
  <si>
    <t>Il formaggio supera il traguardo e colpisce un oggetto fuori dal campo. Cosa accade?</t>
  </si>
  <si>
    <t>A. Il punto viene assegnato B. Il tiro viene ripetuto C. Il tiro è valido D. Il giudice assegna una penalità</t>
  </si>
  <si>
    <t>Un giocatore tenta di utilizzare un formaggio con peso superiore al regolamento. Cosa accade?</t>
  </si>
  <si>
    <t>A. Il formaggio viene rifiutato B. Il tiro è valido C. Il giudice assegna una penalità D. Il giocatore viene espulso</t>
  </si>
  <si>
    <t>Il formaggio viene rifiutato</t>
  </si>
  <si>
    <t>Cosa accade se il nastro si rompe durante il lancio?</t>
  </si>
  <si>
    <t>A. Il tiro viene ripetuto B. Il tiro è valido C. Il giocatore perde il turno D. Il giudice assegna una penalità</t>
  </si>
  <si>
    <t>Un giocatore lancia il formaggio mentre il giudice non è presente. Cosa succede?</t>
  </si>
  <si>
    <t>A. Il tiro viene ripetuto B. Il tiro è valido C. Il giocatore viene penalizzato D. La partita viene sospesa</t>
  </si>
  <si>
    <t>Il formaggio si ferma a pochi centimetri dal traguardo. Cosa accade?</t>
  </si>
  <si>
    <t>A. Il tiro è valido B. Il punto non viene assegnato C. Il tiro viene annullato D. Il giudice assegna una penalità</t>
  </si>
  <si>
    <t>Un giocatore si rifiuta di rispettare l'ordine dei turni. Cosa succede?</t>
  </si>
  <si>
    <t>A. Il turno viene saltato B. Il giudice assegna una penalità C. Il giocatore viene espulso D. La partita viene sospesa</t>
  </si>
  <si>
    <t>Cosa accade se il formaggio attraversa il traguardo rotolando all’indietro?</t>
  </si>
  <si>
    <t>Un giocatore lancia il formaggio e colpisce una macchina parcheggiata. Cosa succede?</t>
  </si>
  <si>
    <t>A. Il giocatore viene penalizzato B. Il tiro è valido C. Il giudice sospende la partita D. Il punto viene assegnato</t>
  </si>
  <si>
    <t>Il giocatore viene penalizzato</t>
  </si>
  <si>
    <t>Il formaggio di un giocatore si rompe ma raggiunge il traguardo. Cosa accade?</t>
  </si>
  <si>
    <t>A. Il punto viene assegnato B. Il tiro viene annullato C. Il giudice assegna una penalità D. Il tiro viene ripetuto</t>
  </si>
  <si>
    <t>Un giudice decide di cambiare il percorso a metà partita. Cosa succede?</t>
  </si>
  <si>
    <t>A. La decisione è valida B. La partita viene sospesa C. La decisione viene contestata D. Il percorso non può essere modificato</t>
  </si>
  <si>
    <t>La decisione è valida</t>
  </si>
  <si>
    <t>Un giocatore utilizza una tecnica di lancio vietata dal regolamento. Cosa accade?</t>
  </si>
  <si>
    <t>A. Il giudice assegna una penalità B. Il tiro è valido C. Il tiro viene ripetuto D. Il giocatore viene ammonito</t>
  </si>
  <si>
    <t>Il formaggio di un giocatore rotola fuori dal campo dopo il lancio. Cosa succede?</t>
  </si>
  <si>
    <t>Un giocatore prova a lanciare il formaggio da una posizione diversa da quella segnata. Cosa accade?</t>
  </si>
  <si>
    <t>A. Il giudice assegna una penalità B. Il tiro viene ripetuto C. Il tiro è valido D. Il giocatore perde il turno</t>
  </si>
  <si>
    <t>Cosa accade se due giocatori lanciano il formaggio contemporaneamente?</t>
  </si>
  <si>
    <t>A. Entrambi i tiri sono annullati B. Il giudice assegna un punto a ciascuno C. Il turno viene ripetuto D. La partita viene sospesa</t>
  </si>
  <si>
    <t>Entrambi i tiri sono annullati</t>
  </si>
  <si>
    <t>Un giocatore utilizza un formaggio di dimensioni non regolamentari. Cosa succede?</t>
  </si>
  <si>
    <t>A. Il tiro viene annullato B. Il formaggio viene sostituito C. Il giudice assegna una penalità D. Il giocatore perde il turno</t>
  </si>
  <si>
    <t>Il formaggio si ferma esattamente sulla linea del traguardo. Cosa accade?</t>
  </si>
  <si>
    <t>A. Il punto viene assegnato B. Il tiro viene annullato C. Il giudice assegna una penalità D. Il tiro è valido</t>
  </si>
  <si>
    <t>Un giocatore cade durante il lancio del formaggio. Cosa succede?</t>
  </si>
  <si>
    <t>Cosa accade se un giocatore tenta di influenzare il giudice con un comportamento scorretto?</t>
  </si>
  <si>
    <t>A. Il giocatore viene ammonito B. Il tiro viene annullato C. Il giudice assegna una penalità D. Il giocatore viene espulso</t>
  </si>
  <si>
    <t>Il formaggio di un giocatore viene spinto da un altro durante il percorso. Cosa succede?</t>
  </si>
  <si>
    <t>A. Il tiro viene ripetuto B. Il giudice assegna una penalità C. Il tiro è valido D. Il giocatore perde il turno</t>
  </si>
  <si>
    <t>Un formaggio si ferma al centro del percorso e blocca gli altri. Cosa accade?</t>
  </si>
  <si>
    <t>A. Il tiro viene ripetuto B. Il formaggio viene rimosso C. Il giocatore viene penalizzato D. Il punto viene assegnato</t>
  </si>
  <si>
    <t>Il formaggio viene rimosso</t>
  </si>
  <si>
    <t>Il nastro di un giocatore è troppo lungo e non conforme. Cosa succede?</t>
  </si>
  <si>
    <t>A. Il nastro viene sostituito B. Il giudice assegna una penalità C. Il tiro viene annullato D. Il giocatore perde il turno</t>
  </si>
  <si>
    <t>Un giocatore utilizza un formaggio già danneggiato. Cosa accade?</t>
  </si>
  <si>
    <t>A. Il giudice lo sostituisce B. Il tiro è valido C. Il tiro viene annullato D. Il giocatore perde il turno</t>
  </si>
  <si>
    <t>Il giudice lo sostituisce</t>
  </si>
  <si>
    <t>Cosa accade se un giocatore protesta troppo a lungo con il giudice?</t>
  </si>
  <si>
    <t>A. Il giocatore viene ammonito B. Il tiro viene annullato C. Il giocatore viene penalizzato D. La partita viene sospesa</t>
  </si>
  <si>
    <t>Il formaggio colpisce un elemento naturale e rimbalza oltre il traguardo. Cosa succede?</t>
  </si>
  <si>
    <t>A. Il tiro è valido B. Il giudice assegna una penalità C. Il tiro viene ripetuto D. Il punto viene assegnato</t>
  </si>
  <si>
    <t>Un giocatore decide di non utilizzare il nastro per il lancio. Cosa accade?</t>
  </si>
  <si>
    <t>A. Il tiro viene annullato B. Il tiro è valido C. Il giudice assegna una penalità D. Il giocatore perde il turno</t>
  </si>
  <si>
    <t>Cosa accade se il formaggio si ferma prima di superare metà percorso?</t>
  </si>
  <si>
    <t>A. Il tiro viene annullato B. Il giudice assegna una penalità C. Il tiro è valido D. Il giocatore perde il turno</t>
  </si>
  <si>
    <t>Cosa accade se un giocatore supera la linea di lancio durante il tiro?</t>
  </si>
  <si>
    <t>A. Il tiro viene annullato B. Il tiro è valido C. Il giocatore perde il turno D. Il giudice assegna una penalità</t>
  </si>
  <si>
    <t>Il formaggio di un giocatore si ferma contro un ostacolo. Cosa succede?</t>
  </si>
  <si>
    <t>Cosa accade se un giocatore utilizza un formaggio di materiale diverso da quello regolamentare?</t>
  </si>
  <si>
    <t>A. Il formaggio viene sostituito B. Il tiro è valido C. Il giudice assegna una penalità D. Il giocatore viene espulso</t>
  </si>
  <si>
    <t>Il formaggio lanciato finisce al di fuori del tracciato e colpisce uno spettatore. Cosa succede?</t>
  </si>
  <si>
    <t>A. Il tiro viene annullato B. Il giocatore viene penalizzato C. Il giudice sospende la partita D. Il tiro viene ripetuto</t>
  </si>
  <si>
    <t>Cosa accade se due formaggi si toccano durante il percorso?</t>
  </si>
  <si>
    <t>A. Entrambi i tiri sono validi B. Il giudice assegna una penalità C. Il turno viene ripetuto D. La partita viene sospesa</t>
  </si>
  <si>
    <t>Entrambi i tiri sono validi</t>
  </si>
  <si>
    <t>Un giocatore tenta di modificare il percorso prima del lancio. Cosa accade?</t>
  </si>
  <si>
    <t>A. Il giudice assegna una penalità B. Il tiro è valido C. Il giocatore viene espulso D. Il tiro viene annullato</t>
  </si>
  <si>
    <t>Il formaggio si rompe completamente durante il lancio. Cosa succede?</t>
  </si>
  <si>
    <t>A. Il tiro viene ripetuto B. Il tiro è valido C. Il punto viene assegnato D. Il giudice sospende la partita</t>
  </si>
  <si>
    <t>Cosa accade se un giocatore non lancia il formaggio entro il tempo stabilito?</t>
  </si>
  <si>
    <t>A. Il turno viene saltato B. Il giudice assegna una penalità C. Il tiro viene annullato D. Il giocatore viene espulso</t>
  </si>
  <si>
    <t>Un giocatore decide di lanciare il formaggio rotolando con le mani. Cosa succede?</t>
  </si>
  <si>
    <t>Il formaggio lanciato si incastra in un’area del tracciato. Cosa accade?</t>
  </si>
  <si>
    <t>A. Il formaggio viene rimosso B. Il tiro viene ripetuto C. Il punto viene assegnato D. Il tiro è valido</t>
  </si>
  <si>
    <t>Un giocatore cambia il nastro durante la partita senza autorizzazione. Cosa succede?</t>
  </si>
  <si>
    <t>A. Il giudice assegna una penalità B. Il nastro viene accettato C. Il giocatore perde il turno D. Il tiro viene annullato</t>
  </si>
  <si>
    <t>Cosa accade se il formaggio finisce esattamente in un angolo del percorso?</t>
  </si>
  <si>
    <t>A. Il punto viene assegnato B. Il giudice assegna una penalità C. Il tiro viene ripetuto D. Il tiro viene annullato</t>
  </si>
  <si>
    <t>Un giocatore lancia il formaggio da una posizione non autorizzata. Cosa accade?</t>
  </si>
  <si>
    <t>A. Il giudice assegna una penalità B. Il tiro è valido C. Il tiro viene ripetuto D. Il giocatore perde il turno</t>
  </si>
  <si>
    <t>Il formaggio attraversa il traguardo ma si rompe subito dopo. Cosa succede?</t>
  </si>
  <si>
    <t>A. Il punto viene assegnato B. Il giudice assegna una penalità C. Il tiro viene annullato D. Il tiro viene ripetuto</t>
  </si>
  <si>
    <t>Un giocatore tenta di influenzare il risultato della partita in modo scorretto. Cosa accade?</t>
  </si>
  <si>
    <t>A. Il giocatore viene ammonito B. Il tiro viene annullato C. Il giocatore viene espulso D. Il giudice sospende la partita</t>
  </si>
  <si>
    <t>Cosa accade se un formaggio lanciato supera il traguardo e colpisce un altro formaggio?</t>
  </si>
  <si>
    <t>A. Il punto viene assegnato B. Il tiro viene ripetuto C. Entrambi i tiri sono annullati D. Il giudice assegna una penalità</t>
  </si>
  <si>
    <t>Un giudice decide di prolungare il tempo di lancio per un giocatore. Cosa succede?</t>
  </si>
  <si>
    <t>A. La decisione è valida B. Il giocatore viene penalizzato C. La partita viene contestata D. Il tempo non può essere modificato</t>
  </si>
  <si>
    <t>Un giocatore cambia formaggio tra un lancio e l’altro senza autorizzazione. Cosa accade?</t>
  </si>
  <si>
    <t>A. Il giudice assegna una penalità B. Il formaggio viene accettato C. Il tiro viene annullato D. Il giocatore perde il turno</t>
  </si>
  <si>
    <t>Il formaggio rotola all’indietro dopo il lancio e supera la linea di partenza. Cosa succede?</t>
  </si>
  <si>
    <t>Cosa accade se un formaggio si rompe in più pezzi durante il percorso?</t>
  </si>
  <si>
    <t>A. Il tiro viene ripetuto B. Il punto viene assegnato C. Il tiro viene annullato D. Il giudice assegna una penalità</t>
  </si>
  <si>
    <t>Un giocatore utilizza un formaggio colorato non regolamentare. Cosa succede?</t>
  </si>
  <si>
    <t>A. Il formaggio viene sostituito B. Il giudice assegna una penalità C. Il tiro è valido D. Il tiro viene annullato</t>
  </si>
  <si>
    <t>Il formaggio di un giocatore viene colpito da un animale che attraversa il percorso. Cosa accade?</t>
  </si>
  <si>
    <t>A. Il tiro viene ripetuto B. Il punto viene assegnato C. Il tiro è valido D. Il giudice assegna una penalità</t>
  </si>
  <si>
    <t>Cosa accade se un formaggio lanciato danneggia il tracciato?</t>
  </si>
  <si>
    <t>A. Il giudice assegna una penalità B. Il tiro è valido C. Il formaggio viene rimosso D. Il giocatore perde il turno</t>
  </si>
  <si>
    <t>Un giocatore lancia il formaggio contro il giudice. Cosa succede?</t>
  </si>
  <si>
    <t>A. Il giocatore viene espulso B. Il tiro è valido C. Il giudice assegna una penalità D. La partita viene sospesa</t>
  </si>
  <si>
    <t>Il formaggio lanciato si ferma in un punto non visibile del tracciato. Cosa accade?</t>
  </si>
  <si>
    <t>A. Il tiro viene ripetuto B. Il giudice assegna una penalità C. Il tiro è valido D. Il punto viene assegnato</t>
  </si>
  <si>
    <t>Un giocatore dimentica di fissare correttamente il nastro al formaggio. Cosa succede?</t>
  </si>
  <si>
    <t>Il formaggio colpisce un’area fuori dal percorso ma torna dentro. Cosa accade?</t>
  </si>
  <si>
    <t>A. Il tiro è valido B. Il tiro viene ripetuto C. Il punto viene assegnato D. Il giudice assegna una penalità</t>
  </si>
  <si>
    <t>Cosa accade se un giocatore non partecipa a un turno senza giustificazione?</t>
  </si>
  <si>
    <t>Il formaggio viene lanciato ma non raggiunge nemmeno la metà del percorso. Cosa succede?</t>
  </si>
  <si>
    <t>Un giocatore cerca di lanciare il formaggio in due parti consecutive. Cosa accade?</t>
  </si>
  <si>
    <t>A. Il giudice assegna una penalità B. Il tiro viene annullato C. Il giocatore perde il turno D. Il giudice sospende la partita</t>
  </si>
  <si>
    <t>Il formaggio lanciato colpisce un ostacolo artificiale piazzato da un avversario. Cosa succede?</t>
  </si>
  <si>
    <t>A. Il tiro viene ripetuto B. Il giudice assegna una penalità all'avversario C. Il punto viene assegnato D. Il giocatore perde il turno</t>
  </si>
  <si>
    <t>Il giudice assegna una penalità all'avversario</t>
  </si>
  <si>
    <t>Cosa accade se un giocatore non rispetta l’ordine di lancio?</t>
  </si>
  <si>
    <t>A. Il tiro viene annullato B. Il giudice assegna una penalità C. Il giocatore perde il turno D. La partita viene sospesa</t>
  </si>
  <si>
    <t>Un formaggio supera il traguardo esattamente sulla linea. Cosa succede?</t>
  </si>
  <si>
    <t>A. Il punto viene assegnato B. Il tiro viene annullato C. Il giudice decide il punteggio D. Il tiro è valido</t>
  </si>
  <si>
    <t>Il formaggio lanciato si ferma in una buca naturale del percorso. Cosa accade?</t>
  </si>
  <si>
    <t>A. Il tiro è valido B. Il giudice assegna una penalità C. Il punto viene annullato D. Il tiro viene ripetuto</t>
  </si>
  <si>
    <t>Un giocatore effettua un lancio prima del segnale del giudice. Cosa succede?</t>
  </si>
  <si>
    <t>A. Il tiro viene annullato B. Il giocatore perde il turno C. Il giudice assegna una penalità D. Il tiro è valido</t>
  </si>
  <si>
    <t>Il formaggio lanciato si divide in due pezzi. Cosa accade?</t>
  </si>
  <si>
    <t>A. Il tiro viene ripetuto B. Il pezzo più grande è considerato valido C. Il tiro viene annullato D. Il punto viene assegnato</t>
  </si>
  <si>
    <t>Il pezzo più grande è considerato valido</t>
  </si>
  <si>
    <t>Cosa accade se il formaggio lanciato si incastra in una fessura del percorso?</t>
  </si>
  <si>
    <t>A. Il giudice assegna una penalità B. Il tiro viene ripetuto C. Il formaggio viene rimosso D. Il punto viene assegnato</t>
  </si>
  <si>
    <t>Un giocatore cerca di disturbare un avversario durante il lancio. Cosa succede?</t>
  </si>
  <si>
    <t>A. Il giocatore viene ammonito B. Il turno dell'avversario viene ripetuto C. Il giocatore viene espulso D. Il giudice assegna una penalità</t>
  </si>
  <si>
    <t>Il formaggio finisce esattamente sul traguardo e si ferma lì. Cosa succede?</t>
  </si>
  <si>
    <t>A. Il punto viene assegnato B. Il tiro viene ripetuto C. Il giudice decide D. Il tiro viene annullato</t>
  </si>
  <si>
    <t>Un giocatore lancia il formaggio e questo non si muove dal punto iniziale. Cosa accade?</t>
  </si>
  <si>
    <t>A. Il tiro viene annullato B. Il tiro viene ripetuto C. Il giudice assegna una penalità D. Il giocatore perde il turno</t>
  </si>
  <si>
    <t>Il formaggio lanciato tocca un formaggio già sul percorso. Cosa accade?</t>
  </si>
  <si>
    <t>A. Entrambi i tiri sono validi B. Il giudice assegna una penalità C. Il tiro viene ripetuto D. Il punto viene assegnato</t>
  </si>
  <si>
    <t>Cosa accade se un giocatore si rifiuta di lanciare il formaggio al proprio turno?</t>
  </si>
  <si>
    <t>A. Il turno viene saltato B. Il giocatore viene ammonito C. Il giudice assegna una penalità D. La partita viene sospesa</t>
  </si>
  <si>
    <t>Il formaggio si ferma in una posizione instabile e cade dopo qualche secondo. Cosa succede?</t>
  </si>
  <si>
    <t>Un giocatore cambia strategia e utilizza un lancio vietato. Cosa accade?</t>
  </si>
  <si>
    <t>A. Il giudice assegna una penalità B. Il tiro è valido C. Il giocatore perde il turno D. Il tiro viene annullato</t>
  </si>
  <si>
    <t>Un formaggio supera il traguardo ma torna indietro. Cosa succede?</t>
  </si>
  <si>
    <t>A. Il tiro viene annullato B. Il punto viene assegnato C. Il giudice assegna una penalità D. Il tiro è valido</t>
  </si>
  <si>
    <t>Cosa accade se un giocatore lancia il formaggio in una direzione sbagliata?</t>
  </si>
  <si>
    <t>A. Il tiro viene annullato B. Il giudice assegna una penalità C. Il tiro viene ripetuto D. Il punto va all'avversario</t>
  </si>
  <si>
    <t>Un giocatore tenta di usare un formaggio danneggiato intenzionalmente. Cosa succede?</t>
  </si>
  <si>
    <t>A. Il giudice assegna una penalità B. Il formaggio viene rimosso C. Il tiro viene annullato D. Il giocatore viene espulso</t>
  </si>
  <si>
    <t>Il formaggio lanciato colpisce il traguardo ma non lo supera. Cosa succede?</t>
  </si>
  <si>
    <t>A. Il tiro è valido B. Il giudice assegna una penalità C. Il punto non viene assegnato D. Il tiro viene ripetuto</t>
  </si>
  <si>
    <t>Un giocatore lascia cadere il formaggio prima di lanciare. Cosa accade?</t>
  </si>
  <si>
    <t>Il formaggio lanciato tocca il bordo del tracciato ma rientra. Cosa succede?</t>
  </si>
  <si>
    <t>A. Il tiro è valido B. Il giudice assegna una penalità C. Il punto viene assegnato D. Il tiro viene annullato</t>
  </si>
  <si>
    <t>Un giocatore si lamenta continuamente con il giudice durante la partita. Cosa accade?</t>
  </si>
  <si>
    <t>A. Il giocatore viene ammonito B. Il giudice assegna una penalità C. La partita viene sospesa D. Il giocatore perde il turno</t>
  </si>
  <si>
    <t>Il formaggio rotola all’indietro e colpisce la linea di partenza. Cosa succede?</t>
  </si>
  <si>
    <t>Un giocatore tenta di nascondere un formaggio irregolare tra i regolamentari. Cosa accade?</t>
  </si>
  <si>
    <t>A. Il giocatore viene espulso B. Il giudice assegna una penalità C. Il formaggio viene rimosso D. Il tiro viene annullato</t>
  </si>
  <si>
    <t>Cosa accade se un formaggio finisce sopra un altro formaggio già sul percorso?</t>
  </si>
  <si>
    <t>A. Entrambi i tiri sono validi B. Il tiro viene annullato C. Il giudice assegna una penalità D. Il punto va all'avversario</t>
  </si>
  <si>
    <t>Il formaggio si ferma esattamente sulla metà del percorso. Cosa succede?</t>
  </si>
  <si>
    <t>Un giocatore provoca un ritardo intenzionale nel proprio turno. Cosa accade?</t>
  </si>
  <si>
    <t>A. Il giocatore perde il turno B. Il giudice assegna una penalità C. Il tiro viene annullato D. La partita viene sospesa</t>
  </si>
  <si>
    <t>Il formaggio supera il traguardo ma viene considerato irregolare. Cosa succede?</t>
  </si>
  <si>
    <t>A. Il tiro viene annullato B. Il punto non viene assegnato C. Il giudice assegna una penalità D. Il tiro viene ripetuto</t>
  </si>
  <si>
    <t>Un giocatore accusa un altro senza prove durante la partita. Cosa accade?</t>
  </si>
  <si>
    <t>A. Il giudice ammonisce l’accusatore B. Il giudice assegna una penalità C. La partita viene sospesa D. Non accade nulla</t>
  </si>
  <si>
    <t>Il giudice ammonisce l’accusatore</t>
  </si>
  <si>
    <t>Il formaggio viene lanciato correttamente ma si rompe in tre pezzi uguali. Cosa succede?</t>
  </si>
  <si>
    <t>A. Il tiro è valido B. Il pezzo più vicino al traguardo è valido C. Il giudice assegna una penalità D. Il tiro viene ripetuto</t>
  </si>
  <si>
    <t>Il pezzo più vicino al traguardo è valido</t>
  </si>
  <si>
    <t>Cosa accade se un giocatore tocca il formaggio di un avversario durante il percorso?</t>
  </si>
  <si>
    <t>A. Il giudice assegna una penalità B. Il punto va all'avversario C. Il tiro viene ripetuto D. Il giocatore viene ammonito</t>
  </si>
  <si>
    <t>Il formaggio lanciato tocca una pietra e devia dalla traiettoria. Cosa succede?</t>
  </si>
  <si>
    <t>A. Il tiro è valido B. Il tiro viene ripetuto C. Il giudice assegna una penalità D. Il punto viene annullato</t>
  </si>
  <si>
    <t>Un giocatore si distrae e lancia fuori dal percorso. Cosa accade?</t>
  </si>
  <si>
    <t>A. Il tiro viene annullato B. Il giudice assegna una penalità C. Il tiro viene ripetuto D. Il giocatore perde il turno</t>
  </si>
  <si>
    <t>Il formaggio si ferma esattamente accanto a un ostacolo naturale. Cosa succede?</t>
  </si>
  <si>
    <t>Un giocatore fa un passo oltre la linea di partenza durante il lancio. Cosa accade?</t>
  </si>
  <si>
    <t>Il formaggio rotola indietro dopo essere stato lanciato. Cosa succede?</t>
  </si>
  <si>
    <t>Un giocatore modifica il proprio formaggio senza informare il giudice. Cosa accade?</t>
  </si>
  <si>
    <t>A. Il giocatore viene ammonito B. Il tiro viene annullato C. Il giudice assegna una penalità D. Il formaggio viene rimosso</t>
  </si>
  <si>
    <t>Un formaggio lanciato finisce fuori dal percorso e colpisce un passante. Cosa succede?</t>
  </si>
  <si>
    <t>A. Il giocatore viene ammonito B. Il tiro viene annullato C. Il giudice assegna una penalità D. Il turno viene saltato</t>
  </si>
  <si>
    <t>Il formaggio lanciato si ferma a metà del percorso. Cosa accade?</t>
  </si>
  <si>
    <t>Un giocatore utilizza un formaggio più grande del regolamentare. Cosa succede?</t>
  </si>
  <si>
    <t>A. Il giudice assegna una penalità B. Il tiro viene annullato C. Il formaggio viene rimosso D. Il giocatore viene ammonito</t>
  </si>
  <si>
    <t>Il formaggio colpisce un ostacolo e torna indietro sulla linea di partenza. Cosa accade?</t>
  </si>
  <si>
    <t>A. Il tiro viene annullato B. Il punto va all'avversario C. Il giudice assegna una penalità D. Il tiro viene ripetuto</t>
  </si>
  <si>
    <t>Cosa accade se il formaggio di un giocatore tocca quello dell’avversario e lo sposta?</t>
  </si>
  <si>
    <t>A. Il tiro è valido B. Entrambi i tiri vengono annullati C. Il giudice assegna una penalità D. Il punto va all'avversario</t>
  </si>
  <si>
    <t>Il formaggio viene accidentalmente toccato da un altro giocatore durante il percorso. Cosa succede?</t>
  </si>
  <si>
    <t>Un giocatore chiede di ripetere il lancio per condizioni meteorologiche avverse. Cosa accade?</t>
  </si>
  <si>
    <t>A. Il giudice decide B. Il tiro viene annullato C. Il punto viene assegnato D. Il tiro viene ripetuto</t>
  </si>
  <si>
    <t>Il giudice decide</t>
  </si>
  <si>
    <t>Il formaggio lanciato si rompe a causa del terreno accidentato. Cosa succede?</t>
  </si>
  <si>
    <t>A. Il pezzo più vicino al traguardo è valido B. Il tiro viene annullato C. Il giudice assegna una penalità D. Il tiro viene ripetuto</t>
  </si>
  <si>
    <t>Un giocatore si rifiuta di rispettare le regole. Cosa accade?</t>
  </si>
  <si>
    <t>A. Il giocatore viene ammonito B. Il giudice assegna una penalità C. Il giocatore viene espulso D. Il turno viene saltato</t>
  </si>
  <si>
    <t>Il formaggio supera il traguardo ma tocca un ostacolo fuori dal percorso. Cosa succede?</t>
  </si>
  <si>
    <t>A. Il tiro è valido B. Il punto viene assegnato C. Il tiro viene annullato D. Il giudice assegna una penalità</t>
  </si>
  <si>
    <t>Un giocatore utilizza una tecnica vietata per lanciare. Cosa accade?</t>
  </si>
  <si>
    <t>A. Il tiro viene annullato B. Il giudice assegna una penalità C. Il giocatore perde il turno D. Il formaggio viene rimosso</t>
  </si>
  <si>
    <t>Il formaggio finisce in un'area vietata del percorso. Cosa succede?</t>
  </si>
  <si>
    <t>A. Il tiro viene annullato B. Il giudice assegna una penalità C. Il formaggio viene rimosso D. Il tiro viene ripetuto</t>
  </si>
  <si>
    <t>Cosa accade se un giocatore supera di molto il tempo limite per lanciare?</t>
  </si>
  <si>
    <t>Un formaggio lanciato si ferma sulla linea di partenza. Cosa succede?</t>
  </si>
  <si>
    <t>Il formaggio si ferma vicino al traguardo ma non lo supera. Cosa accade?</t>
  </si>
  <si>
    <t>A. Il punto non viene assegnato B. Il tiro viene annullato C. Il giudice assegna una penalità D. Il tiro viene ripetuto</t>
  </si>
  <si>
    <t>Un giocatore cerca di spostare un ostacolo naturale. Cosa accade?</t>
  </si>
  <si>
    <t>A. Il giocatore viene ammonito B. Il giudice assegna una penalità C. Il turno viene saltato D. Il tiro viene annullato</t>
  </si>
  <si>
    <t>Il formaggio lanciato colpisce un animale sul percorso. Cosa succede?</t>
  </si>
  <si>
    <t>Un giocatore effettua un lancio fuori dal regolamento ma ottiene il punto. Cosa accade?</t>
  </si>
  <si>
    <t>A. Il punto viene annullato B. Il giudice assegna una penalità C. Il giocatore perde il turno D. Il tiro viene annullato</t>
  </si>
  <si>
    <t>Il punto viene annullato</t>
  </si>
  <si>
    <t>Il formaggio si ferma sotto un ostacolo naturale. Cosa succede?</t>
  </si>
  <si>
    <t>A. Il tiro è valido B. Il giudice assegna una penalità C. Il tiro viene annullato D. Il punto viene assegnato</t>
  </si>
  <si>
    <t>Un giocatore modifica il terreno prima del lancio. Cosa accade?</t>
  </si>
  <si>
    <t>A. Il giudice assegna una penalità B. Il tiro viene annullato C. Il giocatore perde il turno D. La partita viene sospesa</t>
  </si>
  <si>
    <t>Un formaggio colpisce il traguardo e si sposta lateralmente. Cosa succede?</t>
  </si>
  <si>
    <t>Un giocatore utilizza un formaggio rotto ma regolamentare. Cosa accade?</t>
  </si>
  <si>
    <t>A. Il tiro è valido B. Il giudice assegna una penalità C. Il tiro viene annullato D. Il giocatore perde il turno</t>
  </si>
  <si>
    <t>Il formaggio lanciato scivola su una superficie scivolosa del percorso. Cosa succede?</t>
  </si>
  <si>
    <t>Il formaggio rotola fuori dal percorso a causa di un forte vento. Cosa accade?</t>
  </si>
  <si>
    <t>A. Il tiro viene ripetuto B. Il giudice assegna una penalità C. Il punto viene annullato D. Il tiro è valido</t>
  </si>
  <si>
    <t>Un giocatore perde il formaggio prima di effettuare il lancio. Cosa succede?</t>
  </si>
  <si>
    <t>A. Il turno viene saltato B. Il tiro viene annullato C. Il giudice assegna una penalità D. Il giocatore può recuperare il formaggio</t>
  </si>
  <si>
    <t>Il giocatore può recuperare il formaggio</t>
  </si>
  <si>
    <t>Il formaggio si ferma proprio sulla linea del traguardo. Cosa accade?</t>
  </si>
  <si>
    <t>A. Il punto viene assegnato B. Il punto viene annullato C. Il giudice assegna una penalità D. Il tiro viene ripetuto</t>
  </si>
  <si>
    <t>Un giocatore tenta di distrarre un avversario durante il lancio. Cosa succede?</t>
  </si>
  <si>
    <t>A. Il giocatore viene ammonito B. Il turno viene saltato C. Il giudice assegna una penalità D. Il tiro dell’avversario viene ripetuto</t>
  </si>
  <si>
    <t>Il formaggio lanciato si rompe in più pezzi ma supera il traguardo. Cosa succede?</t>
  </si>
  <si>
    <t>A. Il punto è valido B. Il pezzo più grande conta C. Il tiro viene ripetuto D. Il punto viene annullato</t>
  </si>
  <si>
    <t>Il punto è valido</t>
  </si>
  <si>
    <t>Un giocatore lancia il formaggio troppo velocemente e questo esce dal percorso. Cosa accade?</t>
  </si>
  <si>
    <t>Il formaggio si ferma in una posizione che ostruisce il lancio dell’avversario. Cosa succede?</t>
  </si>
  <si>
    <t>A. Il tiro è valido B. Il formaggio viene spostato C. Il giudice assegna una penalità D. Il turno viene annullato</t>
  </si>
  <si>
    <t>Il formaggio viene spostato</t>
  </si>
  <si>
    <t>Un giocatore effettua un lancio e il formaggio colpisce accidentalmente un arbitro. Cosa accade?</t>
  </si>
  <si>
    <t>A. Il tiro viene ripetuto B. Il giudice assegna una penalità C. Il punto viene annullato D. Il turno viene saltato</t>
  </si>
  <si>
    <t>Il formaggio si ferma su una parte irregolare del percorso. Cosa succede?</t>
  </si>
  <si>
    <t>A. Il tiro è valido B. Il giudice assegna una penalità C. Il tiro viene annullato D. Il turno viene saltato</t>
  </si>
  <si>
    <t>Un giocatore cambia il formaggio durante la partita senza autorizzazione. Cosa accade?</t>
  </si>
  <si>
    <t>A. Il giudice assegna una penalità B. Il tiro viene annullato C. Il giocatore viene ammonito D. Il formaggio viene rimosso</t>
  </si>
  <si>
    <t>Il formaggio tocca il traguardo ma rimbalza indietro. Cosa succede?</t>
  </si>
  <si>
    <t>A. Il punto viene annullato B. Il giudice assegna una penalità C. Il tiro è valido D. Il tiro viene ripetuto</t>
  </si>
  <si>
    <t>Il formaggio rotola per tutta la lunghezza del percorso ma non supera il traguardo. Cosa succede?</t>
  </si>
  <si>
    <t>Un giocatore discute con il giudice durante la partita. Cosa accade?</t>
  </si>
  <si>
    <t>A. Il giocatore viene ammonito B. Il giudice assegna una penalità C. Il turno viene saltato D. Il giocatore viene espulso</t>
  </si>
  <si>
    <t>Il formaggio finisce fuori dal percorso a causa di un’interferenza esterna. Cosa succede?</t>
  </si>
  <si>
    <t>A. Il tiro viene ripetuto B. Il giudice assegna una penalità C. Il punto va all’avversario D. Il tiro è valido</t>
  </si>
  <si>
    <t>Un giocatore tenta di modificare il proprio formaggio con materiale non regolamentare. Cosa accade?</t>
  </si>
  <si>
    <t>A. Il giudice assegna una penalità B. Il giocatore viene ammonito C. Il formaggio viene rimosso D. Il tiro viene annullato</t>
  </si>
  <si>
    <t>Il formaggio supera il traguardo ma si ferma su una zona pericolosa. Cosa succede?</t>
  </si>
  <si>
    <t>A. Il punto viene assegnato B. Il giudice assegna una penalità C. Il tiro viene annullato D. Il tiro è valido</t>
  </si>
  <si>
    <t>Un giocatore si rifiuta di completare il proprio lancio. Cosa accade?</t>
  </si>
  <si>
    <t>A. Il turno viene saltato B. Il giudice assegna una penalità C. Il tiro viene annullato D. Il giocatore viene ammonito</t>
  </si>
  <si>
    <t>Il formaggio lanciato si blocca su un ostacolo a metà del percorso. Cosa succede?</t>
  </si>
  <si>
    <t>A. Il tiro è valido B. Il punto viene annullato C. Il tiro viene ripetuto D. Il giudice assegna una penalità</t>
  </si>
  <si>
    <t>Un giocatore sbaglia e lancia il formaggio in direzione opposta. Cosa accade?</t>
  </si>
  <si>
    <t>A. Il tiro viene annullato B. Il giudice assegna una penalità C. Il turno viene saltato D. Il giocatore viene ammonito</t>
  </si>
  <si>
    <t>Il formaggio tocca il formaggio di un altro giocatore durante il percorso. Cosa succede?</t>
  </si>
  <si>
    <t>A. Il tiro è valido B. Entrambi i formaggi vengono riposizionati C. Il punto viene annullato D. Il giudice assegna una penalità</t>
  </si>
  <si>
    <t>Il formaggio di un giocatore si ferma vicino a una buca. Cosa accade?</t>
  </si>
  <si>
    <t>A. Il tiro è valido B. Il punto viene annullato C. Il giudice assegna una penalità D. Il tiro viene ripetuto</t>
  </si>
  <si>
    <t>Un giocatore supera il limite di tempo per effettuare il lancio. Cosa succede?</t>
  </si>
  <si>
    <t>Il formaggio si ferma sulla linea di una zona vietata. Cosa accade?</t>
  </si>
  <si>
    <t>A. Il tiro viene annullato B. Il punto viene assegnato C. Il giudice assegna una penalità D. Il tiro viene ripetuto</t>
  </si>
  <si>
    <t>Un giocatore utilizza un attrezzo per migliorare il lancio. Cosa succede?</t>
  </si>
  <si>
    <t>Il formaggio rotola in modo irregolare ma raggiunge il traguardo. Cosa accade?</t>
  </si>
  <si>
    <t>Un giocatore lancia il formaggio prima del segnale del giudice. Cosa succede?</t>
  </si>
  <si>
    <t>Il formaggio di un giocatore finisce sul formaggio di un altro nel traguardo. Cosa accade?</t>
  </si>
  <si>
    <t>A. Entrambi i punti vengono assegnati B. Il giudice assegna una penalità C. Il punto viene annullato D. Il punto va al primo formaggio</t>
  </si>
  <si>
    <t>Il punto va al primo formaggio</t>
  </si>
  <si>
    <t>Un giocatore abbandona il formaggio prima di lanciarlo. Cosa succede?</t>
  </si>
  <si>
    <t>A. Il turno viene saltato B. Il giudice assegna una penalità C. Il giocatore viene ammonito D. Il tiro viene ripetuto</t>
  </si>
  <si>
    <t>Il formaggio supera il traguardo ma finisce in un’altra area di gioco. Cosa accade?</t>
  </si>
  <si>
    <t>Il formaggio rotola troppo velocemente e supera il traguardo senza fermarsi. Cosa accade?</t>
  </si>
  <si>
    <t>A. Il punto viene annullato B. Il giudice assegna una penalità C. Il punto è valido D. Il tiro viene ripetuto</t>
  </si>
  <si>
    <t>Un giocatore scivola durante il lancio e il formaggio va fuori pista. Cosa succede?</t>
  </si>
  <si>
    <t>A. Il tiro viene annullato B. Il punto viene annullato C. Il giudice assegna una penalità D. Il tiro viene ripetuto</t>
  </si>
  <si>
    <t>Il formaggio rotola in una zona impervia e si ferma. Cosa accade?</t>
  </si>
  <si>
    <t>A. Il punto viene assegnato B. Il tiro viene ripetuto C. Il giudice assegna una penalità D. Il tiro è valido</t>
  </si>
  <si>
    <t>Il formaggio rotola e sfiora un altro formaggio già in pista. Cosa succede?</t>
  </si>
  <si>
    <t>A. Il punto è valido B. Il formaggio toccato viene spostato C. Il tiro viene annullato D. Il punto viene annullato</t>
  </si>
  <si>
    <t>Un giocatore lancia il formaggio troppo lontano dal traguardo. Cosa accade?</t>
  </si>
  <si>
    <t>A. Il tiro viene annullato B. Il punto viene annullato C. Il tiro viene ripetuto D. Il punto è valido</t>
  </si>
  <si>
    <t>Il formaggio colpisce il traguardo ma non lo supera. Cosa accade?</t>
  </si>
  <si>
    <t>A. Il punto non viene assegnato B. Il punto viene annullato C. Il tiro viene ripetuto D. Il punto è valido</t>
  </si>
  <si>
    <t>Un giocatore cerca di scoraggiare l’avversario durante il lancio. Cosa succede?</t>
  </si>
  <si>
    <t>A. Il giudice assegna una penalità B. Il punto viene annullato C. Il tiro viene annullato D. Il turno viene saltato</t>
  </si>
  <si>
    <t>Il formaggio rotola troppo lentamente e non raggiunge il traguardo. Cosa accade?</t>
  </si>
  <si>
    <t>A. Il tiro viene annullato B. Il punto viene annullato C. Il tiro viene ripetuto D. Il punto non viene assegnato</t>
  </si>
  <si>
    <t>Un giocatore cambia posizione prima di lanciare il formaggio. Cosa succede?</t>
  </si>
  <si>
    <t>A. Il tiro viene annullato B. Il punto viene assegnato C. Il giudice assegna una penalità D. Il giocatore viene ammonito</t>
  </si>
  <si>
    <t>Il formaggio rotola su una superficie irregolare ma non si ferma. Cosa succede?</t>
  </si>
  <si>
    <t>A. Il punto è valido B. Il tiro viene ripetuto C. Il giudice assegna una penalità D. Il punto viene annullato</t>
  </si>
  <si>
    <t>Il formaggio tocca accidentalmente il piede di un avversario durante il percorso. Cosa accade?</t>
  </si>
  <si>
    <t>A. Il punto è valido B. Il punto viene annullato C. Il giudice assegna una penalità D. Il formaggio viene rimosso</t>
  </si>
  <si>
    <t>Un giocatore lancia il formaggio e colpisce un altro giocatore. Cosa succede?</t>
  </si>
  <si>
    <t>A. Il tiro viene annullato B. Il punto viene annullato C. Il giudice assegna una penalità D. Il punto viene assegnato all’avversario</t>
  </si>
  <si>
    <t>Il formaggio rotola fuori dal campo ma ritorna dentro autonomamente. Cosa accade?</t>
  </si>
  <si>
    <t>A. Il punto è valido B. Il formaggio viene rimosso C. Il tiro viene annullato D. Il punto viene annullato</t>
  </si>
  <si>
    <t>Un giocatore lascia il formaggio rotolare senza toccarlo. Cosa succede?</t>
  </si>
  <si>
    <t>A. Il tiro viene annullato B. Il punto viene annullato C. Il giocatore riceve una penalità D. Il tiro è valido</t>
  </si>
  <si>
    <t>Il formaggio colpisce il traguardo ma rimbalza indietro. Cosa accade?</t>
  </si>
  <si>
    <t>A. Il punto viene annullato B. Il tiro viene ripetuto C. Il punto viene assegnato D. Il punto non viene assegnato</t>
  </si>
  <si>
    <t>Un giocatore tenta di correggere il percorso del formaggio durante il tiro. Cosa succede?</t>
  </si>
  <si>
    <t>A. Il giudice assegna una penalità B. Il tiro viene annullato C. Il formaggio viene rimosso D. Il punto viene annullato</t>
  </si>
  <si>
    <t>Il formaggio rotola oltre la linea di arrivo ma non si ferma. Cosa accade?</t>
  </si>
  <si>
    <t>A. Il punto viene annullato B. Il punto è valido C. Il tiro viene annullato D. Il giudice assegna una penalità</t>
  </si>
  <si>
    <t>Il formaggio finisce in una buca del terreno ma rimane visibile. Cosa succede?</t>
  </si>
  <si>
    <t>A. Il punto viene assegnato B. Il formaggio viene rimosso C. Il tiro viene ripetuto D. Il punto viene annullato</t>
  </si>
  <si>
    <t>Un giocatore sbaglia a lanciare il formaggio in direzione errata. Cosa accade?</t>
  </si>
  <si>
    <t>Il formaggio si ferma vicino al traguardo ma non lo supera. Cosa succede?</t>
  </si>
  <si>
    <t>A. Il punto viene annullato B. Il tiro è valido C. Il punto viene assegnato D. Il tiro viene ripetuto</t>
  </si>
  <si>
    <t>Il formaggio supera il traguardo ma colpisce un oggetto esterno. Cosa succede?</t>
  </si>
  <si>
    <t>A. Il punto è valido B. Il tiro viene ripetuto C. Il punto viene annullato D. Il giudice assegna una penalità</t>
  </si>
  <si>
    <t>Un giocatore cerca di distrarre l’avversario durante il lancio. Cosa succede?</t>
  </si>
  <si>
    <t>A. Il giudice assegna una penalità B. Il punto viene annullato C. Il tiro viene annullato D. Il giocatore viene ammonito</t>
  </si>
  <si>
    <t>Il formaggio colpisce il traguardo ma scivola indietro senza fermarsi. Cosa succede?</t>
  </si>
  <si>
    <t>A. Il punto viene annullato B. Il punto viene assegnato C. Il tiro viene ripetuto D. Il tiro viene annullato</t>
  </si>
  <si>
    <t>Un giocatore lancia il formaggio con troppa forza e colpisce il giudice. Cosa succede?</t>
  </si>
  <si>
    <t>A. Il giudice assegna una penalità B. Il punto viene annullato C. Il formaggio viene rimosso D. Il tiro viene annullato</t>
  </si>
  <si>
    <t>Il formaggio viene lanciato fuori dal campo ma ritorna in gioco da solo. Cosa succede?</t>
  </si>
  <si>
    <t>A. Il punto è valido B. Il punto viene annullato C. Il tiro viene ripetuto D. Il giudice assegna una penalità</t>
  </si>
  <si>
    <t>Il formaggio lanciato colpisce un altro formaggio ma prosegue il suo percorso. Cosa accade?</t>
  </si>
  <si>
    <t>A. Il tiro è valido B. Il punto viene annullato C. Il formaggio toccato viene spostato D. Il punto viene assegnato</t>
  </si>
  <si>
    <t>Un giocatore sbaglia e lancia il formaggio in una direzione opposta al traguardo. Cosa succede?</t>
  </si>
  <si>
    <t>A. Il punto viene annullato B. Il tiro viene annullato C. Il giocatore riceve una penalità D. Il tiro viene ripetuto</t>
  </si>
  <si>
    <t>A. Il punto viene annullato B. Il punto è valido C. Il tiro viene ripetuto D. Il formaggio viene rimosso</t>
  </si>
  <si>
    <t>Il portiere para la palla ma si spinge fuori dalla linea di porta. Qual è la decisione?</t>
  </si>
  <si>
    <t>A. Punizione per la squadra avversaria B. Gol valido C. Rimessa da fondo D. Ripresa del gioco neutrale</t>
  </si>
  <si>
    <t>Punizione per la squadra avversaria</t>
  </si>
  <si>
    <t>Un giocatore trattiene il pallone sott'acqua per proteggersi dagli avversari. Cosa succede?</t>
  </si>
  <si>
    <t>A. Fallo personale B. Gol per l'avversario C. Nessuna penalità D. Ripresa del gioco neutrale</t>
  </si>
  <si>
    <t>Fallo personale</t>
  </si>
  <si>
    <t>Un giocatore entra in acqua prima che il sostituto esca completamente. Qual è la sanzione?</t>
  </si>
  <si>
    <t>A. Ripresa neutrale B. Penalità per la squadra C. Espulsione temporanea per il giocatore D. Gol per l'avversario</t>
  </si>
  <si>
    <t>Penalità per la squadra</t>
  </si>
  <si>
    <t>Un tiro viene effettuato dopo il fischio dell'arbitro. Che succede?</t>
  </si>
  <si>
    <t>A. Il tiro è valido B. Gol annullato C. Punizione per l'avversario D. Il gioco continua</t>
  </si>
  <si>
    <t>Gol annullato</t>
  </si>
  <si>
    <t>Un portiere passa la metà campo con il pallone. Qual è la decisione?</t>
  </si>
  <si>
    <t>A. Fallo tecnico B. Gol per l'avversario C. Nessuna penalità D. Punizione per l'avversario</t>
  </si>
  <si>
    <t>Nessuna penalità</t>
  </si>
  <si>
    <t>Un giocatore lancia il pallone fuori dal campo intenzionalmente. Che succede?</t>
  </si>
  <si>
    <t>A. Punizione per l'avversario B. Ripresa neutrale C. Gol per l'avversario D. Nessuna penalità</t>
  </si>
  <si>
    <t>Punizione per l'avversario</t>
  </si>
  <si>
    <t>Un giocatore subisce un’espulsione temporanea. Quando può rientrare?</t>
  </si>
  <si>
    <t>A. Dopo un minuto o dopo un gol B. Dopo 30 secondi C. Dopo 2 minuti D. Dopo la fine del tempo</t>
  </si>
  <si>
    <t>Dopo un minuto o dopo un gol</t>
  </si>
  <si>
    <t>Un giocatore blocca il pallone con il piede. Qual è la decisione?</t>
  </si>
  <si>
    <t>A. Ripresa neutrale B. Fallo personale C. Permesso solo al portiere D. Nessuna penalità</t>
  </si>
  <si>
    <t>Il portiere si sposta fuori dall'area di porta e commette fallo. Qual è la sanzione?</t>
  </si>
  <si>
    <t>A. Espulsione definitiva B. Nessuna penalità C. Rigore per l'avversario D. Punizione per l'avversario</t>
  </si>
  <si>
    <t>Rigore per l'avversario</t>
  </si>
  <si>
    <t>Un giocatore subisce fallo mentre è in posizione di tiro. Qual è la decisione?</t>
  </si>
  <si>
    <t>A. Rigore B. Ripresa neutrale C. Punizione per l'attaccante D. Nessuna penalità</t>
  </si>
  <si>
    <t>Rigore</t>
  </si>
  <si>
    <t>Un giocatore cerca di passare il pallone ma è sotto pressione. Lo tiene troppo a lungo. Cosa succede?</t>
  </si>
  <si>
    <t>A. Punizione per l'avversario B. Nessuna penalità C. Espulsione temporanea D. Ripresa neutrale</t>
  </si>
  <si>
    <t>Un giocatore esce dal campo senza permesso. Qual è la conseguenza?</t>
  </si>
  <si>
    <t>A. Espulsione temporanea B. Espulsione definitiva C. Punizione per l'avversario D. Nessuna penalità</t>
  </si>
  <si>
    <t>Espulsione temporanea</t>
  </si>
  <si>
    <t>Un'azione viene interrotta dall'arbitro per un infortunio. Come riprende il gioco?</t>
  </si>
  <si>
    <t>A. Rimessa neutrale B. Ripresa con il possesso dell'attaccante C. Punizione per l'avversario D. Rimessa da fondo</t>
  </si>
  <si>
    <t>Rimessa neutrale</t>
  </si>
  <si>
    <t>Un giocatore si aggrappa alla porta avversaria durante un'azione. Qual è la sanzione?</t>
  </si>
  <si>
    <t>A. Espulsione temporanea B. Fallo tecnico C. Nessuna penalità D. Punizione per l'avversario</t>
  </si>
  <si>
    <t>Un giocatore viene colpito intenzionalmente da un avversario mentre nuota. Qual è la decisione?</t>
  </si>
  <si>
    <t>A. Rigore B. Espulsione temporanea C. Espulsione definitiva D. Ripresa neutrale</t>
  </si>
  <si>
    <t>Espulsione definitiva</t>
  </si>
  <si>
    <t>Un giocatore commette fallo per la terza volta. Qual è la conseguenza?</t>
  </si>
  <si>
    <t>A. Espulsione definitiva B. Espulsione temporanea C. Rigore per l'avversario D. Nessuna penalità</t>
  </si>
  <si>
    <t>Un arbitro assegna un rigore ma il portiere protesta vivacemente. Cosa accade?</t>
  </si>
  <si>
    <t>A. Rigore confermato B. Espulsione temporanea del portiere C. Gol automatico per l'avversario D. Punizione per il portiere</t>
  </si>
  <si>
    <t>Espulsione temporanea del portiere</t>
  </si>
  <si>
    <t>Un giocatore simula un fallo per ottenere un rigore. Qual è la decisione dell'arbitro?</t>
  </si>
  <si>
    <t>A. Fallo tecnico contro di lui B. Nessuna penalità C. Ripresa neutrale D. Punizione per l'avversario</t>
  </si>
  <si>
    <t>Fallo tecnico contro di lui</t>
  </si>
  <si>
    <t>Il pallone rimane incastrato tra le mani di due giocatori. Che succede?</t>
  </si>
  <si>
    <t>A. Rimessa neutrale B. Possesso dell'attaccante C. Punizione per il difensore D. Ripresa dal portiere</t>
  </si>
  <si>
    <t>Un arbitro fischia durante un’azione in corso. Cosa deve fare la squadra in possesso?</t>
  </si>
  <si>
    <t>A. Fermare immediatamente il gioco B. Continuare se l’arbitro non sanziona C. Fermarsi solo se avversario protesta D. Nessuna penalità</t>
  </si>
  <si>
    <t>Fermare immediatamente il gioco</t>
  </si>
  <si>
    <t>Un giocatore lancia la palla con violenza verso l’arbitro per protesta. Qual è la sanzione?</t>
  </si>
  <si>
    <t>A. Espulsione definitiva B. Espulsione temporanea C. Fallo tecnico D. Rigore per l'avversario</t>
  </si>
  <si>
    <t>Un giocatore trattiene un avversario senza il pallone. Qual è la sanzione?</t>
  </si>
  <si>
    <t>A. Punizione per l'avversario B. Espulsione temporanea C. Nessuna penalità D. Rigore per l'avversario</t>
  </si>
  <si>
    <t>Il pallone tocca il soffitto della piscina durante un'azione. Cosa accade?</t>
  </si>
  <si>
    <t>A. Rimessa neutrale B. Ripresa dal portiere C. Punizione per l'avversario D. Rimessa laterale</t>
  </si>
  <si>
    <t>Un arbitro assegna un'espulsione temporanea ma il giocatore espulso rifiuta di uscire. Qual è la conseguenza?</t>
  </si>
  <si>
    <t>A. Espulsione definitiva B. Time-out obbligatorio C. Interruzione del gioco D. Rigore per l'avversario</t>
  </si>
  <si>
    <t>Un giocatore protesta continuamente contro le decisioni dell'arbitro. Qual è la sanzione?</t>
  </si>
  <si>
    <t>A. Espulsione definitiva B. Ammonizione verbale C. Espulsione temporanea D. Punizione per l'avversario</t>
  </si>
  <si>
    <t>Un fallo grave viene commesso in area difensiva. Cosa succede?</t>
  </si>
  <si>
    <t>A. Rigore per l’avversario B. Espulsione temporanea C. Rimessa laterale D. Ripresa neutrale</t>
  </si>
  <si>
    <t>Rigore per l’avversario</t>
  </si>
  <si>
    <t>Un giocatore si lancia contro l'avversario senza tentare di prendere il pallone. Qual è la decisione?</t>
  </si>
  <si>
    <t>A. Espulsione temporanea B. Rigore per l'avversario C. Espulsione definitiva D. Nessuna penalità</t>
  </si>
  <si>
    <t>Un portiere commette fallo durante un’azione difensiva. Qual è la conseguenza?</t>
  </si>
  <si>
    <t>A. Rigore per l’avversario B. Espulsione temporanea C. Ammonizione verbale D. Punizione per l’avversario</t>
  </si>
  <si>
    <t>Un giocatore tocca il pallone dopo il fischio dell’arbitro. Qual è la decisione?</t>
  </si>
  <si>
    <t>A. Ripresa neutrale B. Espulsione temporanea C. Fallo tecnico D. Rigore per l’avversario</t>
  </si>
  <si>
    <t>Fallo tecnico</t>
  </si>
  <si>
    <t>Il pallone colpisce accidentalmente un arbitro e cambia direzione. Che succede?</t>
  </si>
  <si>
    <t>A. Rimessa neutrale B. Punizione per l’attaccante C. Punizione per il difensore D. Il gioco continua</t>
  </si>
  <si>
    <t>Un portiere trattiene il pallone per più di 5 secondi. Qual è la decisione?</t>
  </si>
  <si>
    <t>A. Punizione per l’avversario B. Rigore per l’avversario C. Espulsione temporanea D. Ripresa neutrale</t>
  </si>
  <si>
    <t>Punizione per l’avversario</t>
  </si>
  <si>
    <t>Un giocatore simula un fallo durante un'azione difensiva. Qual è la sanzione?</t>
  </si>
  <si>
    <t>A. Ammonizione verbale B. Espulsione temporanea C. Punizione per l’avversario D. Rimessa neutrale</t>
  </si>
  <si>
    <t>Un fallo viene commesso appena prima del termine del tempo. Qual è la decisione?</t>
  </si>
  <si>
    <t>A. Il fallo è ignorato B. Viene assegnata una punizione C. Si prolunga il tempo per l’azione D. Viene dato un rigore</t>
  </si>
  <si>
    <t>Si prolunga il tempo per l’azione</t>
  </si>
  <si>
    <t>Un portiere lancia il pallone direttamente oltre la linea di metà campo. Qual è la decisione?</t>
  </si>
  <si>
    <t>A. Nessuna penalità B. Punizione per l'avversario C. Espulsione temporanea D. Rimessa neutrale</t>
  </si>
  <si>
    <t>Un giocatore in attacco commette fallo per spingere via un difensore. Cosa succede?</t>
  </si>
  <si>
    <t>A. Punizione per il difensore B. Espulsione temporanea C. Rigore per l'avversario D. Nessuna penalità</t>
  </si>
  <si>
    <t>Punizione per il difensore</t>
  </si>
  <si>
    <t>Un giocatore difensivo trattiene il pallone per impedire un tiro. Qual è la decisione?</t>
  </si>
  <si>
    <t>A. Punizione per l'attacco B. Rigore per l'attacco C. Espulsione temporanea D. Rimessa neutrale</t>
  </si>
  <si>
    <t>Rigore per l'attacco</t>
  </si>
  <si>
    <t>Un fallo tecnico viene assegnato durante un time-out. Qual è la conseguenza?</t>
  </si>
  <si>
    <t>A. Rimessa neutrale B. Rigore per l'avversario C. Espulsione temporanea D. Punizione per l'avversario</t>
  </si>
  <si>
    <t>Un arbitro fischia per un fallo ma la squadra non ferma l'azione. Qual è la sanzione?</t>
  </si>
  <si>
    <t>A. Ripresa neutrale B. Fallo tecnico C. Espulsione temporanea D. Punizione per l’avversario</t>
  </si>
  <si>
    <t>Un arbitro assegna una punizione ma la squadra protestante non rispetta la distanza. Qual è la sanzione?</t>
  </si>
  <si>
    <t>A. Ripresa neutrale B. Rigore contro C. Espulsione temporanea D. Punizione per l’avversario</t>
  </si>
  <si>
    <t>Un fallo viene commesso mentre il portiere è fuori dalla porta. Qual è la decisione?</t>
  </si>
  <si>
    <t>A. Rigore B. Espulsione temporanea C. Punizione per l’attacco D. Ripresa neutrale</t>
  </si>
  <si>
    <t>Un giocatore trattiene un avversario che è in possesso di palla. Qual è la sanzione?</t>
  </si>
  <si>
    <t>A. Espulsione temporanea B. Punizione per l’attacco C. Rigore D. Ammonizione verbale</t>
  </si>
  <si>
    <t>Punizione per l’attacco</t>
  </si>
  <si>
    <t>Un fallo viene commesso ma il gioco prosegue. Quando l'arbitro interviene?</t>
  </si>
  <si>
    <t>A. Subito B. Alla prima interruzione C. Solo se il fallo è grave D. Nessuna penalità</t>
  </si>
  <si>
    <t>Alla prima interruzione</t>
  </si>
  <si>
    <t>Un fallo tecnico viene commesso mentre il cronometro è fermo. Qual è la conseguenza?</t>
  </si>
  <si>
    <t>A. Ripresa neutrale B. Rigore contro C. Punizione per l'avversario D. Espulsione temporanea</t>
  </si>
  <si>
    <t>Un arbitro assegna una punizione per un fallo in attacco. Dove riprende il gioco?</t>
  </si>
  <si>
    <t>A. Dove è avvenuto il fallo B. Sulla linea dei 5 metri C. Sulla linea di metà campo D. Nessuna penalità</t>
  </si>
  <si>
    <t>Dove è avvenuto il fallo</t>
  </si>
  <si>
    <t>Un giocatore lascia l'acqua senza permesso durante il gioco. Qual è la conseguenza?</t>
  </si>
  <si>
    <t>A. Espulsione temporanea B. Rimessa neutrale C. Punizione per l’avversario D. Rigore contro</t>
  </si>
  <si>
    <t>Un giocatore si aggrappa alla palla per impedirne il recupero da parte dell’avversario. Qual è la decisione?</t>
  </si>
  <si>
    <t>A. Espulsione temporanea B. Punizione per l’avversario C. Rigore D. Ammonizione verbale</t>
  </si>
  <si>
    <t>Un attaccante usa il pallone per spingere via un difensore. Qual è la decisione?</t>
  </si>
  <si>
    <t>A. Punizione per il difensore B. Espulsione temporanea C. Rigore D. Nessuna penalità</t>
  </si>
  <si>
    <t>Un fallo tecnico viene commesso mentre una squadra è in superiorità numerica. Qual è la sanzione?</t>
  </si>
  <si>
    <t>A. Punizione contro B. Espulsione temporanea C. Rigore D. Rimessa neutrale</t>
  </si>
  <si>
    <t>Punizione contro</t>
  </si>
  <si>
    <t>Un arbitro assegna una punizione mentre l’attaccante è in area difensiva. Dove si esegue la punizione?</t>
  </si>
  <si>
    <t>Un arbitro fischia per una punizione ma la squadra protestante si rifiuta di rispettare. Qual è la conseguenza?</t>
  </si>
  <si>
    <t>Un fallo grave viene commesso in zona neutrale. Dove si esegue la punizione?</t>
  </si>
  <si>
    <t>A. Sul punto del fallo B. Sulla linea di metà campo C. Dove si trova il pallone D. Nessuna penalità</t>
  </si>
  <si>
    <t>Sul punto del fallo</t>
  </si>
  <si>
    <t>Un giocatore rimane in acqua dopo l’espulsione temporanea. Qual è la conseguenza?</t>
  </si>
  <si>
    <t>A. Espulsione definitiva B. Rigore C. Rimessa neutrale D. Punizione per l’avversario</t>
  </si>
  <si>
    <t>Un arbitro segnala un fallo durante un’azione in contropiede. Dove si riprende il gioco?</t>
  </si>
  <si>
    <t>A. Sul punto del fallo B. Sulla linea dei 5 metri C. Dove si trova il pallone D. Nessuna penalità</t>
  </si>
  <si>
    <t>Un portiere blocca un tiro fuori area e tiene il pallone per più di 5 secondi. Qual è la sanzione?</t>
  </si>
  <si>
    <t>A. Punizione contro B. Rigore C. Espulsione temporanea D. Rimessa neutrale</t>
  </si>
  <si>
    <t>Un arbitro assegna un rigore ma la squadra in difesa protesta in gruppo. Qual è la sanzione?</t>
  </si>
  <si>
    <t>A. Rimessa neutrale B. Rigore C. Punizione contro D. Espulsione temporanea</t>
  </si>
  <si>
    <t>Un fallo tecnico viene commesso durante una rimessa laterale. Dove si riprende il gioco?</t>
  </si>
  <si>
    <t>A. Sul punto del fallo B. Sulla linea dei 5 metri C. Sulla linea di metà campo D. Nessuna penalità</t>
  </si>
  <si>
    <t>Un giocatore commette fallo durante una ripartenza veloce. Qual è la sanzione?</t>
  </si>
  <si>
    <t>A. Espulsione temporanea B. Rigore C. Rimessa neutrale D. Punizione contro</t>
  </si>
  <si>
    <t>Un arbitro fischia un fallo ma il giocatore colpevole continua a trattenere la palla. Qual è la decisione?</t>
  </si>
  <si>
    <t>A. Espulsione temporanea B. Rimessa neutrale C. Punizione contro D. Rigore</t>
  </si>
  <si>
    <t>Un attaccante si sposta oltre la linea dei 5 metri prima che il pallone venga toccato. Qual è la sanzione?</t>
  </si>
  <si>
    <t>A. Punizione contro B. Rigore C. Espulsione temporanea D. Nessuna penalità</t>
  </si>
  <si>
    <t>Un arbitro assegna una punizione ma il giocatore batte da un punto diverso. Qual è la decisione?</t>
  </si>
  <si>
    <t>A. Ripetizione della punizione B. Punizione contro C. Rimessa neutrale D. Espulsione temporanea</t>
  </si>
  <si>
    <t>Ripetizione della punizione</t>
  </si>
  <si>
    <t>Un difensore entra volontariamente in porta per bloccare un tiro. Qual è la decisione?</t>
  </si>
  <si>
    <t>A. Rigore B. Espulsione temporanea C. Punizione contro D. Rimessa neutrale</t>
  </si>
  <si>
    <t>Un giocatore si aggrappa a un avversario per guadagnare posizione. Qual è la decisione?</t>
  </si>
  <si>
    <t>A. Punizione contro B. Espulsione temporanea C. Rimessa neutrale D. Rigore</t>
  </si>
  <si>
    <t>Un portiere abbandona la porta per giocare il pallone e subisce un contropiede. Qual è la conseguenza?</t>
  </si>
  <si>
    <t>A. Nessuna penalità B. Rigore C. Punizione contro D. Espulsione temporanea</t>
  </si>
  <si>
    <t>Un giocatore prende la palla e la trattiene sotto l'acqua per proteggersi. Qual è la sanzione?</t>
  </si>
  <si>
    <t>A. Espulsione temporanea B. Punizione contro C. Rigore D. Rimessa neutrale</t>
  </si>
  <si>
    <t>Un arbitro segnala un fallo tecnico durante un tiro diretto. Cosa succede?</t>
  </si>
  <si>
    <t>Un difensore utilizza il braccio per bloccare il movimento di un attaccante. Qual è la decisione?</t>
  </si>
  <si>
    <t>Un portiere tiene la palla per oltre 10 secondi. Qual è la sanzione?</t>
  </si>
  <si>
    <t>A. Punizione contro B. Rimessa neutrale C. Rigore D. Espulsione temporanea</t>
  </si>
  <si>
    <t>Un fallo viene commesso mentre il pallone è fuori gioco. Cosa succede?</t>
  </si>
  <si>
    <t>Un portiere esce dall'acqua durante il gioco per protestare. Qual è la conseguenza?</t>
  </si>
  <si>
    <t>A. Espulsione definitiva B. Rimessa neutrale C. Rigore D. Punizione contro</t>
  </si>
  <si>
    <t>Un arbitro assegna una punizione ma il pallone non è posizionato correttamente. Cosa succede?</t>
  </si>
  <si>
    <t>A. Ripetizione della punizione B. Punizione contro C. Rigore D. Rimessa neutrale</t>
  </si>
  <si>
    <t>Un difensore blocca un tiro con entrambe le mani fuori dalla propria area. Qual è la decisione?</t>
  </si>
  <si>
    <t>Un fallo tecnico viene commesso vicino alla linea dei 5 metri. Dove si esegue la punizione?</t>
  </si>
  <si>
    <t>Un arbitro assegna un rigore ma il tiratore non rispetta il tempo limite. Cosa succede?</t>
  </si>
  <si>
    <t>A. Punizione contro B. Rimessa neutrale C. Rigore ripetuto D. Espulsione temporanea</t>
  </si>
  <si>
    <t>Un attaccante si sposta in area prima del passaggio del pallone. Qual è la conseguenza?</t>
  </si>
  <si>
    <t>A. Punizione contro B. Espulsione temporanea C. Rimessa neutrale D. Nessuna penalità</t>
  </si>
  <si>
    <t>Un giocatore rientra in acqua senza il permesso dell’arbitro. Qual è la decisione?</t>
  </si>
  <si>
    <t>A. Espulsione definitiva B. Rigore C. Punizione contro D. Rimessa neutrale</t>
  </si>
  <si>
    <t>Un portiere blocca il pallone e lo trattiene per più di 5 secondi. Qual è la sanzione?</t>
  </si>
  <si>
    <t>Un arbitro fischia un fallo tecnico in zona neutrale. Dove si riprende il gioco?</t>
  </si>
  <si>
    <t>A. Sul punto del fallo B. Sulla linea di metà campo C. Sulla linea dei 5 metri D. Nessuna penalità</t>
  </si>
  <si>
    <t>Un giocatore tira ma il pallone colpisce il palo e rimbalza fuori dall'acqua. Cosa succede?</t>
  </si>
  <si>
    <t>A. Rimessa neutrale B. Punizione contro C. Rigore D. Nessuna penalità</t>
  </si>
  <si>
    <t>Un arbitro assegna una punizione ma un giocatore trattiene il pallone sott'acqua. Qual è la sanzione?</t>
  </si>
  <si>
    <t>Un giocatore protesta vivacemente contro una decisione arbitrale. Qual è la conseguenza?</t>
  </si>
  <si>
    <t>A. Espulsione temporanea B. Rigore C. Punizione contro D. Rimessa neutrale</t>
  </si>
  <si>
    <t>Un difensore trattiene un avversario che si sta liberando per un tiro. Qual è la decisione?</t>
  </si>
  <si>
    <t>Un arbitro assegna una punizione ma il giocatore la esegue da una posizione errata. Cosa succede?</t>
  </si>
  <si>
    <t>Un attaccante si aggrappa al difensore per guadagnare posizione vicino alla porta. Qual è la decisione?</t>
  </si>
  <si>
    <t>Un difensore trattiene il pallone sott’acqua per impedire il tiro di un avversario. Qual è la sanzione?</t>
  </si>
  <si>
    <t>Un giocatore entra in area senza il pallone durante un'azione offensiva. Qual è la decisione?</t>
  </si>
  <si>
    <t>A. Punizione contro B. Espulsione temporanea C. Rigore D. Nessuna penalità</t>
  </si>
  <si>
    <t>Un arbitro assegna un rigore ma il tiratore non rispetta il tempo limite. Qual è la decisione?</t>
  </si>
  <si>
    <t>A. Punizione contro B. Rigore ripetuto C. Espulsione temporanea D. Rimessa neutrale</t>
  </si>
  <si>
    <t>Un difensore blocca un tiro con entrambe le mani fuori dall’area. Qual è la decisione?</t>
  </si>
  <si>
    <t>Un attaccante si posiziona davanti al portiere impedendogli la visuale durante un tiro. Qual è la decisione?</t>
  </si>
  <si>
    <t>Un portiere spinge il pallone fuori dalla linea laterale intenzionalmente. Qual è la decisione?</t>
  </si>
  <si>
    <t>Un arbitro assegna una punizione ma un giocatore tira prima del fischio. Cosa succede?</t>
  </si>
  <si>
    <t>Un attaccante blocca un difensore afferrandolo per la spalla. Qual è la decisione?</t>
  </si>
  <si>
    <t>Un portiere esce dall'acqua completamente durante il gioco. Qual è la conseguenza?</t>
  </si>
  <si>
    <t>Un difensore trattiene un avversario che si prepara a tirare. Qual è la decisione?</t>
  </si>
  <si>
    <t>Un arbitro assegna una punizione ma il pallone viene giocato senza rispettare la distanza. Cosa succede?</t>
  </si>
  <si>
    <t>A. Ripetizione della punizione B. Punizione contro C. Rigore D. Espulsione temporanea</t>
  </si>
  <si>
    <t>Un giocatore protesta contro una decisione arbitrale e abbandona il campo. Qual è la conseguenza?</t>
  </si>
  <si>
    <t>Un portiere para un tiro ma spinge il pallone fuori dalla linea laterale. Qual è la decisione?</t>
  </si>
  <si>
    <t>Un difensore devia un tiro con il braccio mentre si trova fuori dall’area. Qual è la sanzione?</t>
  </si>
  <si>
    <t>Un attaccante si trova in area senza il pallone durante un'azione. Qual è la conseguenza?</t>
  </si>
  <si>
    <t>Un arbitro fischia un fallo tecnico mentre il pallone è in gioco. Cosa succede?</t>
  </si>
  <si>
    <t>Un attaccante tira direttamente da una punizione e colpisce il palo. Cosa succede?</t>
  </si>
  <si>
    <t>Un difensore si immerge sott'acqua per bloccare un passaggio. Qual è la decisione?</t>
  </si>
  <si>
    <t>Un arbitro assegna una punizione ma il portiere blocca il pallone prima che venga eseguita. Cosa succede?</t>
  </si>
  <si>
    <t>A. Ripetizione della punizione B. Punizione contro C. Rigore D. Nessuna penalità</t>
  </si>
  <si>
    <t>Un difensore si avvicina al portiere avversario durante un tiro. Qual è la decisione?</t>
  </si>
  <si>
    <t>Un arbitro assegna un rigore ma il tiratore lo effettua fuori tempo. Qual è la decisione?</t>
  </si>
  <si>
    <t>A. Ripetizione del rigore B. Punizione contro C. Rigore annullato D. Nessuna penalità</t>
  </si>
  <si>
    <t>Un difensore trattiene un attaccante mentre quest'ultimo tenta un passaggio. Qual è la sanzione?</t>
  </si>
  <si>
    <t>Un giocatore protesta e ignora le istruzioni dell’arbitro. Qual è la conseguenza?</t>
  </si>
  <si>
    <t>Un arbitro fischia un fallo mentre il pallone è in movimento. Cosa succede?</t>
  </si>
  <si>
    <t>Un difensore blocca il pallone con il corpo ma non è in area. Qual è la decisione?</t>
  </si>
  <si>
    <t>Un attaccante si trova nella linea dei 5 metri senza il pallone. Qual è la conseguenza?</t>
  </si>
  <si>
    <t>Un giocatore trattiene un avversario per impedirgli un passaggio. Qual è la sanzione?</t>
  </si>
  <si>
    <t>Un arbitro assegna un rigore ma un giocatore entra in area prima del tiro. Cosa succede?</t>
  </si>
  <si>
    <t>Ripetizione del rigore</t>
  </si>
  <si>
    <t>Un difensore colpisce il pallone intenzionalmente con il gomito. Qual è la sanzione?</t>
  </si>
  <si>
    <t>Un arbitro assegna una punizione ma il portiere la effettua in modo irregolare. Cosa succede?</t>
  </si>
  <si>
    <t>Un portiere trattiene il pallone per più di 5 secondi in area. Qual è la sanzione?</t>
  </si>
  <si>
    <t>Un giocatore protesta verbalmente contro un avversario. Qual è la conseguenza?</t>
  </si>
  <si>
    <t>Un arbitro assegna un rigore ma il portiere si muove prima del tiro. Cosa succede?</t>
  </si>
  <si>
    <t>Un difensore trattiene un avversario per impedire una rimessa laterale. Qual è la sanzione?</t>
  </si>
  <si>
    <t>Un attaccante si avvicina al portiere avversario per disturbarlo durante una rimessa. Qual è la sanzione?</t>
  </si>
  <si>
    <t>Un portiere lancia il pallone direttamente contro un avversario. Qual è la decisione?</t>
  </si>
  <si>
    <t>Un difensore trattiene il pallone mentre si trova completamente sommerso. Qual è la sanzione?</t>
  </si>
  <si>
    <t>Un portiere esce dall’area per contestare una decisione arbitrale. Qual è la conseguenza?</t>
  </si>
  <si>
    <t>Un difensore colpisce il pallone con il piede intenzionalmente. Qual è la sanzione?</t>
  </si>
  <si>
    <t>Un arbitro fischia un fallo tecnico mentre un giocatore è in possesso del pallone. Cosa succede?</t>
  </si>
  <si>
    <t>A. Rimessa neutrale B. Punizione contro C. Rigore D. Espulsione temporanea</t>
  </si>
  <si>
    <t>Un attaccante tira un rigore ma colpisce un compagno di squadra accidentalmente. Qual è la decisione?</t>
  </si>
  <si>
    <t>Un portiere blocca un tiro ma utilizza entrambe le mani fuori dall’area. Qual è la sanzione?</t>
  </si>
  <si>
    <t>Un attaccante si spinge sul corpo di un avversario per raggiungere il pallone. Qual è la sanzione?</t>
  </si>
  <si>
    <t>Un difensore colpisce il pallone con il gomito intenzionalmente. Qual è la sanzione?</t>
  </si>
  <si>
    <t>Un attaccante tira dopo il fischio finale. Qual è la decisione?</t>
  </si>
  <si>
    <t>A. Nessuna penalità B. Espulsione temporanea C. Rigore D. Punizione contro</t>
  </si>
  <si>
    <t>Un portiere esce completamente dalla piscina durante il gioco. Qual è la conseguenza?</t>
  </si>
  <si>
    <t>Un giocatore protesta con gesti offensivi verso l’arbitro. Qual è la conseguenza?</t>
  </si>
  <si>
    <t>A. Espulsione definitiva B. Espulsione temporanea C. Punizione contro D. Rigore</t>
  </si>
  <si>
    <t>Un arbitro assegna un rigore ma il tiratore si ferma durante la rincorsa. Cosa succede?</t>
  </si>
  <si>
    <t>Un attaccante afferra un avversario per impedirgli di difendere. Qual è la sanzione?</t>
  </si>
  <si>
    <t>Un arbitro assegna una punizione ma il pallone viene giocato da un altro giocatore. Cosa succede?</t>
  </si>
  <si>
    <t>Un attaccante tira e colpisce un avversario intenzionalmente. Qual è la conseguenza?</t>
  </si>
  <si>
    <t>Un difensore blocca un tiro utilizzando entrambe le mani al di fuori dell'area. Qual è la decisione?</t>
  </si>
  <si>
    <t>Un attaccante spinge via un avversario per prendere posizione. Qual è la sanzione?</t>
  </si>
  <si>
    <t>Un portiere trattiene il pallone per più di 10 secondi. Qual è la decisione?</t>
  </si>
  <si>
    <t>Un difensore utilizza il gomito per impedire un tiro. Qual è la conseguenza?</t>
  </si>
  <si>
    <t>Un arbitro assegna un rigore ma il portiere protesta e rifiuta di posizionarsi. Cosa succede?</t>
  </si>
  <si>
    <t>A. Espulsione temporanea B. Punizione contro C. Rigore annullato D. Nessuna penalità</t>
  </si>
  <si>
    <t>Un difensore tiene il pallone sott'acqua per evitare un tiro. Qual è la decisione?</t>
  </si>
  <si>
    <t>Un attaccante afferra un avversario per guadagnare spazio. Qual è la sanzione?</t>
  </si>
  <si>
    <t>Un arbitro fischia una punizione ma il pallone viene giocato prima del segnale. Cosa succede?</t>
  </si>
  <si>
    <t>Un attaccante tira mentre un avversario lo trattiene per il costume. Qual è la decisione?</t>
  </si>
  <si>
    <t>Un difensore devia un tiro in porta utilizzando il piede. Qual è la sanzione?</t>
  </si>
  <si>
    <t>Un arbitro assegna un rigore ma un compagno di squadra del tiratore entra in area prima del tiro. Cosa succede?</t>
  </si>
  <si>
    <t>Un portiere blocca il pallone con una mano ma esce dall'area. Qual è la sanzione?</t>
  </si>
  <si>
    <t>Un attaccante tira con il pallone completamente sommerso. Qual è la decisione?</t>
  </si>
  <si>
    <t>Un difensore colpisce un avversario con il braccio mentre protegge il pallone. Qual è la conseguenza?</t>
  </si>
  <si>
    <t>Un attaccante protesta verbalmente contro un arbitro. Qual è la sanzione?</t>
  </si>
  <si>
    <t>Un arbitro assegna una punizione ma il pallone viene passato a un giocatore già in movimento. Cosa succede?</t>
  </si>
  <si>
    <t>Un portiere blocca un tiro utilizzando entrambe le mani al di fuori dell'area. Qual è la sanzione?</t>
  </si>
  <si>
    <t>Un attaccante tira e colpisce intenzionalmente un avversario. Qual è la conseguenza?</t>
  </si>
  <si>
    <t>Un arbitro assegna un rigore ma il tiratore si ferma durante la rincorsa. Qual è la decisione?</t>
  </si>
  <si>
    <t>Un difensore trattiene un avversario per impedirgli un passaggio. Qual è la sanzione?</t>
  </si>
  <si>
    <t>Un giocatore fa un servizio ma il pallone tocca il bordo superiore della rete e supera. Cosa accade?</t>
  </si>
  <si>
    <t>A. Il servizio è valido B. Il servizio è ripetuto C. Il punto è assegnato all'altra squadra D. Il servizio è annullato</t>
  </si>
  <si>
    <t>Il servizio è valido</t>
  </si>
  <si>
    <t>Un giocatore colpisce la palla con il piede durante il gioco. Cosa succede?</t>
  </si>
  <si>
    <t>A. Il gioco continua B. Il punto va all'altra squadra C. Il colpo è ripetuto D. Il giocatore viene penalizzato</t>
  </si>
  <si>
    <t>Un servizio viene effettuato oltre il tempo limite. Cosa accade?</t>
  </si>
  <si>
    <t>A. Il punto è assegnato all'altra squadra B. Il servizio è ripetuto C. Il servizio è valido D. Il giocatore viene ammonito</t>
  </si>
  <si>
    <t>Il punto è assegnato all'altra squadra</t>
  </si>
  <si>
    <t>Un giocatore effettua quattro tocchi consecutivi nella stessa azione. Qual è la decisione?</t>
  </si>
  <si>
    <t>A. Il punto va all'altra squadra B. Il gioco continua C. Il punto è ripetuto D. Il giocatore viene penalizzato</t>
  </si>
  <si>
    <t>Il punto va all'altra squadra</t>
  </si>
  <si>
    <t>La palla viene colpita dal muro e torna nella metà campo di chi ha attaccato. Cosa succede?</t>
  </si>
  <si>
    <t>A. Il gioco continua B. Il punto è assegnato all'altra squadra C. Il punto viene ripetuto D. Il giocatore viene penalizzato</t>
  </si>
  <si>
    <t>Un giocatore attraversa la linea centrale durante un'azione. Cosa succede?</t>
  </si>
  <si>
    <t>A. Il punto va all'altra squadra B. Il gioco continua C. Il giocatore viene ammonito D. Si ripete il punto</t>
  </si>
  <si>
    <t>Il pallone colpisce l'arbitro durante il gioco. Cosa accade?</t>
  </si>
  <si>
    <t>A. Il gioco si ferma e si ripete il punto B. Il gioco continua C. Il punto va all'altra squadra D. Il punto viene annullato</t>
  </si>
  <si>
    <t>Il gioco si ferma e si ripete il punto</t>
  </si>
  <si>
    <t>Il pallone colpisce il soffitto e rimbalza indietro. Cosa succede?</t>
  </si>
  <si>
    <t>A. Il punto va all'altra squadra B. Il gioco continua se la palla è nella stessa metà campo C. Il punto viene ripetuto D. Il gioco è fermato</t>
  </si>
  <si>
    <t>Il gioco continua se la palla è nella stessa metà campo</t>
  </si>
  <si>
    <t>Il pallone esce dal campo ma nessuno dei giocatori lo tocca. Cosa accade?</t>
  </si>
  <si>
    <t>A. Il punto va all'altra squadra B. Il gioco è ripetuto C. Il punto è assegnato alla squadra in difesa D. Il punto viene annullato</t>
  </si>
  <si>
    <t>Un giocatore effettua un doppio tocco in ricezione. Qual è la decisione?</t>
  </si>
  <si>
    <t>A. Il punto va all'altra squadra B. Il gioco continua C. Il punto è ripetuto D. Il giocatore viene ammonito</t>
  </si>
  <si>
    <t>Un giocatore protesta in modo eccessivo contro una decisione arbitrale. Cosa succede?</t>
  </si>
  <si>
    <t>A. Il giocatore viene ammonito B. Il punto è ripetuto C. Il punto è assegnato alla squadra avversaria D. Il gioco continua</t>
  </si>
  <si>
    <t>Il pallone tocca una bandierina laterale durante il servizio. Qual è la decisione?</t>
  </si>
  <si>
    <t>A. Il punto va all'altra squadra B. Il servizio è valido C. Il punto viene ripetuto D. Il servizio è ripetuto</t>
  </si>
  <si>
    <t>Un giocatore entra in campo con calzature non regolamentari. Cosa accade?</t>
  </si>
  <si>
    <t>A. Il giocatore deve cambiare le scarpe B. Il punto viene assegnato all'altra squadra C. Il gioco continua D. Il giocatore viene espulso</t>
  </si>
  <si>
    <t>Il giocatore deve cambiare le scarpe</t>
  </si>
  <si>
    <t>Un giocatore effettua un attacco dalla seconda linea ma supera la linea d'attacco. Qual è la decisione?</t>
  </si>
  <si>
    <t>A. Il punto va all'altra squadra B. Il punto è ripetuto C. Il gioco continua D. Il giocatore viene ammonito</t>
  </si>
  <si>
    <t>Il pallone tocca un giocatore al viso e attraversa la rete. Cosa succede?</t>
  </si>
  <si>
    <t>A. Il gioco continua B. Il punto è assegnato all'altra squadra C. Il punto viene ripetuto D. Il gioco è fermato</t>
  </si>
  <si>
    <t>Un giocatore si infortuna durante un'azione. Cosa accade?</t>
  </si>
  <si>
    <t>A. Il gioco si ferma e si ripete il punto B. Il gioco continua C. Il punto è assegnato all'altra squadra D. Il giocatore viene sostituito automaticamente</t>
  </si>
  <si>
    <t>Un giocatore serve ma la palla non supera la rete. Qual è la decisione?</t>
  </si>
  <si>
    <t>A. Il punto va all'altra squadra B. Il servizio è ripetuto C. Il punto è ripetuto D. Il giocatore viene ammonito</t>
  </si>
  <si>
    <t>Un giocatore blocca la palla con entrambe le mani al di sopra della rete. Cosa succede?</t>
  </si>
  <si>
    <t>A. Il gioco continua B. Il punto è assegnato all'altra squadra C. Il punto viene ripetuto D. Il giocatore viene ammonito</t>
  </si>
  <si>
    <t>Un giocatore sostituito rientra in campo senza autorizzazione. Cosa accade?</t>
  </si>
  <si>
    <t>A. Il punto va all'altra squadra B. Il giocatore viene ammonito C. Il punto viene ripetuto D. Il gioco continua</t>
  </si>
  <si>
    <t>Un libero tocca la palla al di sopra della rete. Qual è la decisione?</t>
  </si>
  <si>
    <t>A. Il punto va all'altra squadra B. Il punto è ripetuto C. Il gioco continua D. Il libero viene sostituito</t>
  </si>
  <si>
    <t>Un giocatore colpisce la palla con il pugno durante il gioco. Cosa succede?</t>
  </si>
  <si>
    <t>A. Il gioco continua B. Il punto va all'altra squadra C. Il punto è ripetuto D. Il colpo è considerato irregolare</t>
  </si>
  <si>
    <t>Un giocatore riceve tre ammonizioni consecutive. Cosa accade?</t>
  </si>
  <si>
    <t>A. Il giocatore viene espulso B. Il punto è ripetuto C. Il punto va all'altra squadra D. Il gioco continua</t>
  </si>
  <si>
    <t>La palla cade in campo e nessun giocatore tenta di prenderla. Cosa succede?</t>
  </si>
  <si>
    <t>A. Il punto è assegnato alla squadra avversaria B. Il punto è ripetuto C. Il punto viene annullato D. Il gioco continua</t>
  </si>
  <si>
    <t>Il punto è assegnato alla squadra avversaria</t>
  </si>
  <si>
    <t>Un giocatore ferma la palla con il ginocchio durante un'azione. Qual è la decisione?</t>
  </si>
  <si>
    <t>A. Il gioco continua B. Il punto va all'altra squadra C. Il punto è ripetuto D. Il giocatore viene ammonito</t>
  </si>
  <si>
    <t>La palla tocca il muro e torna nel campo di chi ha attaccato. Cosa accade?</t>
  </si>
  <si>
    <t>A. Il gioco continua B. Il punto va all'altra squadra C. Il punto è ripetuto D. Il giocatore viene penalizzato</t>
  </si>
  <si>
    <t>Un giocatore supera il limite massimo di rotazioni autorizzate. Cosa succede?</t>
  </si>
  <si>
    <t>Un giocatore alza la palla con una mano per aiutare un compagno a schiacciare. Cosa succede?</t>
  </si>
  <si>
    <t>A. Il gioco continua B. Il punto è assegnato all'altra squadra C. Il punto è ripetuto D. Il giocatore viene ammonito</t>
  </si>
  <si>
    <t>Il pallone colpisce un oggetto sospeso sopra il campo. Cosa accade?</t>
  </si>
  <si>
    <t>A. Il punto è ripetuto B. Il punto è assegnato all'altra squadra C. Il gioco continua D. Il pallone è considerato fuori gioco</t>
  </si>
  <si>
    <t>Il punto è ripetuto</t>
  </si>
  <si>
    <t>Il libero effettua un attacco sopra la linea d'attacco. Qual è la decisione?</t>
  </si>
  <si>
    <t>A. Il punto va all'altra squadra B. Il punto è ripetuto C. Il libero viene penalizzato D. Il gioco continua</t>
  </si>
  <si>
    <t>Un giocatore invade la metà campo avversaria senza toccare la palla. Cosa succede?</t>
  </si>
  <si>
    <t>A. Il punto è assegnato all'altra squadra B. Il gioco continua C. Il punto viene ripetuto D. Il giocatore viene ammonito</t>
  </si>
  <si>
    <t>Il servizio è effettuato con entrambe le mani. Qual è la decisione?</t>
  </si>
  <si>
    <t>A. Il servizio è valido B. Il punto è assegnato all'altra squadra C. Il servizio viene ripetuto D. Il giocatore viene ammonito</t>
  </si>
  <si>
    <t>La palla tocca la rete durante il servizio ma cade nel campo avversario. Cosa succede?</t>
  </si>
  <si>
    <t>A. Il servizio è valido B. Il punto è assegnato all'altra squadra C. Il servizio viene ripetuto D. Il servizio è annullato</t>
  </si>
  <si>
    <t>Un giocatore entra in campo senza essere registrato. Cosa accade?</t>
  </si>
  <si>
    <t>A. Il giocatore viene ammonito B. Il punto è ripetuto C. Il punto va all'altra squadra D. Il giocatore viene espulso</t>
  </si>
  <si>
    <t>Un allenatore richiede un timeout quando non ne ha più a disposizione. Cosa succede?</t>
  </si>
  <si>
    <t>A. Il punto va all'altra squadra B. Il gioco continua C. Il timeout viene concesso D. Il giocatore viene ammonito</t>
  </si>
  <si>
    <t>Un giocatore effettua un muro ma tocca la rete. Qual è la decisione?</t>
  </si>
  <si>
    <t>Il pallone viene giocato con un colpo di testa. Cosa succede?</t>
  </si>
  <si>
    <t>A. Il gioco continua B. Il punto è assegnato all'altra squadra C. Il punto è ripetuto D. Il colpo è considerato irregolare</t>
  </si>
  <si>
    <t>Un giocatore lancia la palla durante il servizio invece di colpirla. Cosa accade?</t>
  </si>
  <si>
    <t>A. Il punto va all'altra squadra B. Il servizio viene ripetuto C. Il servizio è valido D. Il giocatore viene ammonito</t>
  </si>
  <si>
    <t>Un libero partecipa al muro. Qual è la decisione?</t>
  </si>
  <si>
    <t>Un giocatore spinge la palla invece di colpirla. Cosa succede?</t>
  </si>
  <si>
    <t>La palla viene toccata simultaneamente da due compagni di squadra. Cosa accade?</t>
  </si>
  <si>
    <t>A. Il gioco continua B. Il punto è ripetuto C. Il punto va all'altra squadra D. Il colpo è considerato irregolare</t>
  </si>
  <si>
    <t>Un giocatore tocca la palla due volte consecutivamente durante un'azione. Qual è la decisione?</t>
  </si>
  <si>
    <t>Il pallone atterra nell'area di servizio avversaria senza essere toccato. Cosa succede?</t>
  </si>
  <si>
    <t>A. Il punto è assegnato al servente B. Il punto è ripetuto C. Il punto va all'altra squadra D. Il servizio è considerato nullo</t>
  </si>
  <si>
    <t>Il punto è assegnato al servente</t>
  </si>
  <si>
    <t>Un giocatore effettua un servizio sotto rete. Qual è la decisione?</t>
  </si>
  <si>
    <t>A. Il punto va all'altra squadra B. Il servizio è ripetuto C. Il servizio è valido D. Il servizio viene annullato</t>
  </si>
  <si>
    <t>Un giocatore colpisce il pallone con la punta del piede durante un salvataggio. Cosa succede?</t>
  </si>
  <si>
    <t>Il pallone tocca il pavimento della metà campo avversaria ma rimbalza immediatamente fuori. Qual è la decisione?</t>
  </si>
  <si>
    <t>A. Il punto è valido B. Il punto è ripetuto C. Il punto va all'altra squadra D. Il pallone è considerato fuori</t>
  </si>
  <si>
    <t>Il pallone viene sollevato e lasciato cadere senza essere colpito. Cosa accade?</t>
  </si>
  <si>
    <t>A. Il punto va all'altra squadra B. Il gioco continua C. Il pallone è considerato fuori D. Il punto è ripetuto</t>
  </si>
  <si>
    <t>Un allenatore protesta contro una decisione dell'arbitro e interrompe il gioco. Cosa succede?</t>
  </si>
  <si>
    <t>A. L'allenatore viene ammonito B. Il punto è ripetuto C. Il punto va all'altra squadra D. Il gioco continua</t>
  </si>
  <si>
    <t>L'allenatore viene ammonito</t>
  </si>
  <si>
    <t>Un giocatore ferma la palla con entrambe le mani ma senza colpirla. Cosa succede?</t>
  </si>
  <si>
    <t>A. Il punto va all'altra squadra B. Il punto è ripetuto C. Il gioco continua D. Il colpo è considerato regolare</t>
  </si>
  <si>
    <t>Un giocatore colpisce accidentalmente un compagno di squadra durante un'azione. Cosa accade?</t>
  </si>
  <si>
    <t>A. Il gioco continua B. Il punto è ripetuto C. Il punto va all'altra squadra D. Il compagno viene sostituito</t>
  </si>
  <si>
    <t>Il pallone rimbalza sul ginocchio di un giocatore e attraversa la rete. Cosa succede?</t>
  </si>
  <si>
    <t>Un giocatore schiaccia la palla ma questa colpisce la rete e torna indietro. Qual è la decisione?</t>
  </si>
  <si>
    <t>Il pallone colpisce il palo laterale della rete. Cosa succede?</t>
  </si>
  <si>
    <t>A. Il punto va all'altra squadra B. Il punto è ripetuto C. Il pallone è considerato fuori D. Il gioco continua</t>
  </si>
  <si>
    <t>Il pallone è considerato fuori</t>
  </si>
  <si>
    <t>Un giocatore riceve la palla con il palmo aperto e rivolto verso l'alto. Cosa accade?</t>
  </si>
  <si>
    <t>A. Il punto va all'altra squadra B. Il gioco continua C. Il punto è ripetuto D. Il colpo è considerato irregolare</t>
  </si>
  <si>
    <t>Un giocatore attraversa la linea di servizio durante il servizio. Qual è la decisione?</t>
  </si>
  <si>
    <t>Il pallone atterra nel campo avversario ma tocca una linea laterale. Cosa succede?</t>
  </si>
  <si>
    <t>A. Il punto è valido B. Il punto è ripetuto C. Il punto va all'altra squadra D. Il gioco è fermato</t>
  </si>
  <si>
    <t>Un giocatore effettua un tocco sotto rete che colpisce il pavimento avversario. Qual è la decisione?</t>
  </si>
  <si>
    <t>A. Il punto è valido B. Il punto è ripetuto C. Il punto va all'altra squadra D. Il giocatore viene ammonito</t>
  </si>
  <si>
    <t>Il pallone viene colpito da un giocatore fuori dal campo. Cosa succede?</t>
  </si>
  <si>
    <t>A. Il gioco continua B. Il punto è assegnato all'altra squadra C. Il punto è ripetuto D. Il pallone è considerato fuori</t>
  </si>
  <si>
    <t>Il pallone viene colpito da un giocatore con entrambe le mani unite sopra la testa. Qual è la decisione?</t>
  </si>
  <si>
    <t>Un giocatore effettua un attacco ma il pallone tocca il bordo del campo avversario e poi esce. Cosa accade?</t>
  </si>
  <si>
    <t>Un libero effettua un passaggio corto nella zona di attacco. Cosa succede?</t>
  </si>
  <si>
    <t>A. Il gioco continua B. Il punto va all'altra squadra C. Il libero viene penalizzato D. Il punto è ripetuto</t>
  </si>
  <si>
    <t>Il pallone rimbalza sul muro avversario e ricade nel campo della squadra in attacco. Qual è la decisione?</t>
  </si>
  <si>
    <t>Un giocatore riceve il pallone con il pugno chiuso. Cosa accade?</t>
  </si>
  <si>
    <t>Un giocatore effettua un servizio ma il pallone non raggiunge la rete. Qual è la decisione?</t>
  </si>
  <si>
    <t>A. Il punto va all'altra squadra B. Il servizio è ripetuto C. Il punto è ripetuto D. Il servizio è valido</t>
  </si>
  <si>
    <t>Il pallone colpisce la rete e torna indietro senza attraversarla. Cosa succede?</t>
  </si>
  <si>
    <t>A. Il punto va all'altra squadra B. Il punto è ripetuto C. Il gioco continua D. Il servizio è considerato valido</t>
  </si>
  <si>
    <t>Un giocatore effettua un muro e tocca il pallone prima che attraversi la rete. Qual è la decisione?</t>
  </si>
  <si>
    <t>Un allenatore richiede una sostituzione ma la squadra ha esaurito le sostituzioni disponibili. Cosa accade?</t>
  </si>
  <si>
    <t>A. Il punto va all'altra squadra B. Il gioco continua C. La sostituzione non è concessa D. L'allenatore viene ammonito</t>
  </si>
  <si>
    <t>La sostituzione non è concessa</t>
  </si>
  <si>
    <t>Un giocatore effettua un salvataggio ma la palla colpisce una sedia laterale. Qual è la decisione?</t>
  </si>
  <si>
    <t>A. Il punto va all'altra squadra B. Il gioco continua C. Il punto è ripetuto D. Il pallone è considerato fuori</t>
  </si>
  <si>
    <t>Il pallone viene alzato in modo irregolare ma nessuno protesta. Cosa succede?</t>
  </si>
  <si>
    <t>A. Il gioco continua B. Il punto è assegnato all'altra squadra C. Il punto è ripetuto D. Il colpo è considerato valido</t>
  </si>
  <si>
    <t>Un giocatore tocca la palla con la spalla durante un'azione. Qual è la decisione?</t>
  </si>
  <si>
    <t>Un giocatore si lancia per salvare il pallone ma supera il confine del campo. Cosa accade?</t>
  </si>
  <si>
    <t>A. Il gioco continua B. Il punto è ripetuto C. Il punto va all'altra squadra D. Il giocatore viene ammonito</t>
  </si>
  <si>
    <t>Il pallone colpisce una sedia degli spettatori e rimbalza in campo. Qual è la decisione?</t>
  </si>
  <si>
    <t>A. Il pallone è considerato fuori B. Il punto è ripetuto C. Il punto va all'altra squadra D. Il gioco continua</t>
  </si>
  <si>
    <t>Un giocatore tenta di schiacciare ma manca completamente il pallone. Cosa succede?</t>
  </si>
  <si>
    <t>Un giocatore effettua un muro e la palla colpisce il suo volto prima di attraversare la rete. Cosa succede?</t>
  </si>
  <si>
    <t>Un giocatore riceve il pallone con il dorso della mano. Qual è la decisione?</t>
  </si>
  <si>
    <t>Un libero effettua un muro con le mani sopra la rete. Cosa accade?</t>
  </si>
  <si>
    <t>A. Il punto va all'altra squadra B. Il gioco continua C. Il libero viene sostituito D. Il punto è ripetuto</t>
  </si>
  <si>
    <t>Un giocatore sbaglia il servizio ma il pallone colpisce un avversario. Qual è la decisione?</t>
  </si>
  <si>
    <t>A. Il punto va all'altra squadra B. Il gioco continua C. Il punto è ripetuto D. Il servizio è valido</t>
  </si>
  <si>
    <t>Il pallone tocca due giocatori della stessa squadra consecutivamente. Cosa succede?</t>
  </si>
  <si>
    <t>Un giocatore si trova fuori posizione durante il servizio. Qual è la decisione?</t>
  </si>
  <si>
    <t>Il pallone atterra esattamente sulla linea centrale del campo avversario. Cosa succede?</t>
  </si>
  <si>
    <t>Un giocatore lancia il pallone durante un'azione invece di colpirlo. Cosa accade?</t>
  </si>
  <si>
    <t>A. Il punto va all'altra squadra B. Il gioco continua C. Il punto è ripetuto D. Il colpo è considerato valido</t>
  </si>
  <si>
    <t>Un allenatore interrompe il gioco senza autorizzazione. Cosa succede?</t>
  </si>
  <si>
    <t>A. Il punto va all'altra squadra B. L'allenatore viene ammonito C. Il punto è ripetuto D. Il gioco continua</t>
  </si>
  <si>
    <t>Un giocatore tocca la rete durante un'azione difensiva. Qual è la decisione?</t>
  </si>
  <si>
    <t>Il pallone colpisce un sostegno della rete e rimbalza in campo. Cosa succede?</t>
  </si>
  <si>
    <t>Il pallone colpisce un giocatore mentre questo è fuori dal campo. Qual è la decisione?</t>
  </si>
  <si>
    <t>Un giocatore tocca il pallone con entrambe le mani ma non contemporaneamente. Cosa succede?</t>
  </si>
  <si>
    <t>A. Il punto va all'altra squadra B. Il gioco continua C. Il punto è ripetuto D. Il colpo è considerato regolare</t>
  </si>
  <si>
    <t>Un giocatore effettua un servizio da una posizione irregolare. Qual è la decisione?</t>
  </si>
  <si>
    <t>A. Il punto va all'altra squadra B. Il servizio è ripetuto C. Il gioco continua D. Il giocatore viene ammonito</t>
  </si>
  <si>
    <t>Il pallone attraversa la rete senza toccarla ma atterra fuori dal campo avversario. Cosa accade?</t>
  </si>
  <si>
    <t>A. Il punto va all'altra squadra B. Il servizio è valido C. Il punto è ripetuto D. Il servizio è considerato valido</t>
  </si>
  <si>
    <t>Un giocatore tenta di salvare il pallone con una mano ma lo spinge fuori dal campo. Cosa succede?</t>
  </si>
  <si>
    <t>Il pallone viene colpito sopra la rete ma rimbalza indietro senza attraversarla. Qual è la decisione?</t>
  </si>
  <si>
    <t>Un libero tenta un attacco dalla zona di difesa. Cosa accade?</t>
  </si>
  <si>
    <t>A. Il punto va all'altra squadra B. Il gioco continua C. Il punto è ripetuto D. Il libero viene ammonito</t>
  </si>
  <si>
    <t>Un allenatore entra in campo per protestare una decisione arbitrale. Qual è la decisione?</t>
  </si>
  <si>
    <t>A. L'allenatore viene ammonito B. Il gioco continua C. Il punto è ripetuto D. Il punto va all'altra squadra</t>
  </si>
  <si>
    <t>Un giocatore blocca un attacco con le mani sopra la rete. Cosa succede?</t>
  </si>
  <si>
    <t>A. Il gioco continua B. Il punto va all'altra squadra C. Il punto è ripetuto D. Il colpo è considerato regolare</t>
  </si>
  <si>
    <t>Il pallone viene alzato ma tocca un giocatore in testa prima di essere giocato. Qual è la decisione?</t>
  </si>
  <si>
    <t>Un giocatore effettua un servizio troppo debole che non attraversa la rete. Qual è la decisione?</t>
  </si>
  <si>
    <t>A. Il punto va all'altra squadra B. Il servizio è ripetuto C. Il punto è ripetuto D. Il servizio è considerato valido</t>
  </si>
  <si>
    <t>Il pallone colpisce il soffitto sopra il campo avversario. Cosa succede?</t>
  </si>
  <si>
    <t>Un giocatore ferma il pallone con il piede e poi lo colpisce. Qual è la decisione?</t>
  </si>
  <si>
    <t>Un libero colpisce il pallone con il ginocchio nella zona di difesa. Cosa accade?</t>
  </si>
  <si>
    <t>Un giocatore tenta un servizio ma calcia accidentalmente il pallone. Qual è la decisione?</t>
  </si>
  <si>
    <t>A. Il punto va all'altra squadra B. Il gioco continua C. Il punto è ripetuto D. Il servizio è considerato valido</t>
  </si>
  <si>
    <t>Il pallone rimbalza sulla rete e cade nel campo della squadra che ha effettuato il servizio. Cosa succede?</t>
  </si>
  <si>
    <t>A. Il punto va all'altra squadra B. Il punto è ripetuto C. Il gioco continua D. Il pallone è considerato fuori</t>
  </si>
  <si>
    <t>Un giocatore effettua un attacco sopra la rete ma il pallone tocca la linea laterale avversaria. Qual è la decisione?</t>
  </si>
  <si>
    <t>Un libero riceve il pallone con il dorso della mano. Cosa succede?</t>
  </si>
  <si>
    <t>Un giocatore tenta un attacco ma il pallone tocca prima il muro avversario. Qual è la decisione?</t>
  </si>
  <si>
    <t>Il pallone viene giocato fuori dal campo e ritorna all'interno attraversando la rete. Cosa accade?</t>
  </si>
  <si>
    <t>A. Il gioco continua B. Il punto va all'altra squadra C. Il punto è ripetuto D. Il pallone è considerato fuori</t>
  </si>
  <si>
    <t>Un giocatore tocca accidentalmente la rete con un piede durante un'azione. Qual è la decisione?</t>
  </si>
  <si>
    <t>Un giocatore protesta continuamente con l'arbitro. Cosa accade?</t>
  </si>
  <si>
    <t>A. Il giocatore viene ammonito B. Il gioco continua C. Il punto è ripetuto D. Il punto va all'altra squadra</t>
  </si>
  <si>
    <t>Un allenatore suggerisce ai suoi giocatori una tattica mentre il gioco è in corso. Cosa succede?</t>
  </si>
  <si>
    <t>Un giocatore alza il pallone con entrambe le mani per un compagno di squadra. Qual è la decisione?</t>
  </si>
  <si>
    <t>Un giocatore lancia il pallone sopra la rete senza colpirlo. Cosa accade?</t>
  </si>
  <si>
    <t>A. Il punto va all'altra squadra B. Il gioco continua C. Il punto è ripetuto D. Il lancio è considerato regolare</t>
  </si>
  <si>
    <t>Il pallone viene colpito tre volte consecutive dalla stessa squadra. Qual è la decisione?</t>
  </si>
  <si>
    <t>Un giocatore si scontra con un compagno mentre tenta di colpire il pallone. Cosa succede?</t>
  </si>
  <si>
    <t>Un giocatore effettua un servizio ma supera la linea di fondo campo. Qual è la decisione?</t>
  </si>
  <si>
    <t>Un libero gioca un pallone sopra la testa vicino alla rete. Cosa accade?</t>
  </si>
  <si>
    <t>A. Il gioco continua B. Il punto va all'altra squadra C. Il punto è ripetuto D. Il libero viene ammonito</t>
  </si>
  <si>
    <t>Un giocatore non si presenta in campo quando chiamato per la sostituzione. Cosa succede?</t>
  </si>
  <si>
    <t>A. Il gioco continua B. Il punto va all'altra squadra C. La sostituzione non è valida D. Il giocatore viene ammonito</t>
  </si>
  <si>
    <t>La sostituzione non è valida</t>
  </si>
  <si>
    <t>Il pallone atterra esattamente nell'angolo del campo avversario. Qual è la decisione?</t>
  </si>
  <si>
    <t>Un giocatore colpisce il pallone con il palmo aperto verso l'alto. Qual è la decisione?</t>
  </si>
  <si>
    <t>Il colpo è considerato irregolare</t>
  </si>
  <si>
    <t>Un giocatore colpisce il pallone ma non attraversa la rete. Cosa succede?</t>
  </si>
  <si>
    <t>A. Il punto va all'altra squadra B. Il gioco continua C. Il punto è ripetuto D. Il pallone è considerato valido</t>
  </si>
  <si>
    <t>Un libero effettua un colpo di attacco saltando dalla zona di difesa. Qual è la decisione?</t>
  </si>
  <si>
    <t>Un allenatore chiama un time-out mentre il pallone è in gioco. Cosa accade?</t>
  </si>
  <si>
    <t>A. Il gioco continua B. Il punto è ripetuto C. L'allenatore viene ammonito D. Il time-out è concesso</t>
  </si>
  <si>
    <t>Il pallone tocca il nastro superiore della rete e cade nel campo avversario. Qual è la decisione?</t>
  </si>
  <si>
    <t>A. Il gioco continua B. Il punto è valido C. Il punto è ripetuto D. Il punto va all'altra squadra</t>
  </si>
  <si>
    <t>Un giocatore tenta di schiacciare ma il pallone colpisce il muro e torna indietro. Cosa succede?</t>
  </si>
  <si>
    <t>Un giocatore effettua un passaggio con un tocco doppio. Qual è la decisione?</t>
  </si>
  <si>
    <t>Un libero gioca il pallone oltre la linea di tre metri. Cosa accade?</t>
  </si>
  <si>
    <t>Un giocatore colpisce il pallone con il gomito durante un'azione. Qual è la decisione?</t>
  </si>
  <si>
    <t>Il pallone viene colpito sotto la rete e ritorna nel campo avversario. Qual è la decisione?</t>
  </si>
  <si>
    <t>Un allenatore entra in campo per fermare un'azione. Cosa succede?</t>
  </si>
  <si>
    <t>A. Il punto va all'altra squadra B. L'allenatore viene ammonito C. Il gioco continua D. Il punto è ripetuto</t>
  </si>
  <si>
    <t>Un giocatore tocca il pallone tre volte consecutive da solo. Qual è la decisione?</t>
  </si>
  <si>
    <t>Il pallone atterra sulla linea laterale del campo avversario. Qual è la decisione?</t>
  </si>
  <si>
    <t>Un giocatore protesta un punto assegnato all'altra squadra. Cosa succede?</t>
  </si>
  <si>
    <t>A. Il gioco continua B. Il punto è ripetuto C. Il giocatore viene ammonito D. Il punto è assegnato</t>
  </si>
  <si>
    <t>Il pallone tocca la rete durante il servizio e continua nel campo avversario. Qual è la decisione?</t>
  </si>
  <si>
    <t>A. Il gioco continua B. Il punto va all'altra squadra C. Il punto è valido D. Il servizio è ripetuto</t>
  </si>
  <si>
    <t>Un giocatore effettua un servizio saltando dalla linea laterale. Qual è la decisione?</t>
  </si>
  <si>
    <t>A. Il punto va all'altra squadra B. Il gioco continua C. Il punto è ripetuto D. Il servizio è considerato regolare</t>
  </si>
  <si>
    <t>Un libero effettua un tocco alto vicino alla rete. Cosa accade?</t>
  </si>
  <si>
    <t>Un giocatore tocca il pallone con entrambi i piedi contemporaneamente. Qual è la decisione?</t>
  </si>
  <si>
    <t>Un allenatore rifiuta di effettuare una sostituzione richiesta dall'arbitro. Cosa succede?</t>
  </si>
  <si>
    <t>A. L'allenatore viene ammonito B. Il punto va all'altra squadra C. Il gioco continua D. La sostituzione è obbligatoria</t>
  </si>
  <si>
    <t>Un giocatore effettua un salvataggio ma il pallone tocca il palo della rete. Qual è la decisione?</t>
  </si>
  <si>
    <t>A. Il pallone è considerato fuori B. Il gioco continua C. Il punto va all'altra squadra D. Il punto è ripetuto</t>
  </si>
  <si>
    <t>Un libero riceve un pallone con il ginocchio. Cosa accade?</t>
  </si>
  <si>
    <t>Un giocatore si sposta fuori posizione durante il servizio avversario. Qual è la decisione?</t>
  </si>
  <si>
    <t>Un giocatore colpisce il pallone con la schiena. Qual è la decisione?</t>
  </si>
  <si>
    <t>Il pallone attraversa la rete e colpisce un giocatore avversario prima di toccare il terreno. Qual è la decisione?</t>
  </si>
  <si>
    <t>Un giocatore tocca la rete con una mano durante un'azione offensiva. Cosa succede?</t>
  </si>
  <si>
    <t>Un libero tenta di ricevere il pallone sopra la testa vicino alla rete. Qual è la decisione?</t>
  </si>
  <si>
    <t>Un giocatore entra in campo senza autorizzazione dell'arbitro. Cosa accade?</t>
  </si>
  <si>
    <t>Il pallone colpisce il soffitto e cade nel campo della squadra avversaria. Qual è la decisione?</t>
  </si>
  <si>
    <t>A. Il pallone è considerato fuori B. Il punto è valido C. Il punto è ripetuto D. Il gioco continua</t>
  </si>
  <si>
    <t>Un giocatore tocca il pallone ma il colpo risulta troppo forte e va fuori dal campo. Cosa succede?</t>
  </si>
  <si>
    <t>Il pallone viene colpito di testa da un giocatore nella zona di difesa. Qual è la decisione?</t>
  </si>
  <si>
    <t>Un giocatore tenta un pallonetto ma il pallone tocca la rete e torna indietro. Qual è la decisione?</t>
  </si>
  <si>
    <t>Un libero tenta di alzare il pallone con un pugno. Cosa succede?</t>
  </si>
  <si>
    <t>Un giocatore calpesta la linea di fondo durante il servizio. Qual è la decisione?</t>
  </si>
  <si>
    <t>A. Il punto va all'altra squadra B. Il gioco continua C. Il servizio è ripetuto D. Il punto è assegnato</t>
  </si>
  <si>
    <t>Il pallone tocca il nastro superiore della rete e cade nella zona di attacco della squadra avversaria. Cosa accade?</t>
  </si>
  <si>
    <t>Un allenatore utilizza tutte le sostituzioni disponibili. Cosa accade se serve un altro cambio?</t>
  </si>
  <si>
    <t>A. Non è possibile effettuare altre sostituzioni B. L'arbitro concede una sostituzione straordinaria C. Il gioco continua D. Il punto è ripetuto</t>
  </si>
  <si>
    <t>Non è possibile effettuare altre sostituzioni</t>
  </si>
  <si>
    <t>Un giocatore entra in campo con una maglia non regolamentare. Qual è la decisione?</t>
  </si>
  <si>
    <t>A. Il giocatore deve lasciare il campo B. Il gioco continua C. Il punto è assegnato D. Il giocatore viene ammonito</t>
  </si>
  <si>
    <t>Il giocatore deve lasciare il campo</t>
  </si>
  <si>
    <t>Un libero tocca il pallone con entrambe le mani contemporaneamente ma in modo irregolare. Cosa succede?</t>
  </si>
  <si>
    <t>Il pallone rimbalza sulla linea di centrocampo e poi torna indietro. Qual è la decisione?</t>
  </si>
  <si>
    <t>A. Il punto è valido B. Il punto va all'altra squadra C. Il punto è ripetuto D. Il pallone è considerato fuori</t>
  </si>
  <si>
    <t>Un giocatore lancia il pallone con un pugno oltre la rete. Cosa accade?</t>
  </si>
  <si>
    <t>A. Il punto è valido B. Il punto va all'altra squadra C. Il punto è ripetuto D. Il gioco continua</t>
  </si>
  <si>
    <t>Un libero prova a salvare un pallone vicino alla rete ma tocca la linea dei tre metri. Qual è la decisione?</t>
  </si>
  <si>
    <t>Un giocatore urta accidentalmente un compagno durante un'azione difensiva. Cosa succede?</t>
  </si>
  <si>
    <t>Il pallone viene colpito sopra la rete ma tocca l'antenna. Qual è la decisione?</t>
  </si>
  <si>
    <t>Un allenatore ritarda l'inizio del set per parlare con i giocatori. Cosa accade?</t>
  </si>
  <si>
    <t>Il pallone tocca un giocatore e poi esce dal campo senza essere toccato da altri. Qual è la decisione?</t>
  </si>
  <si>
    <t>Un libero effettua un servizio. Cosa accade?</t>
  </si>
  <si>
    <t>A. Il punto va all'altra squadra B. Il gioco continua C. Il servizio è considerato regolare D. Il punto è ripetuto</t>
  </si>
  <si>
    <t>Un giocatore si sposta oltre la linea di centrocampo per salvare un pallone. Qual è la decisione?</t>
  </si>
  <si>
    <t>Il pallone viene respinto dal muro avversario e tocca il soffitto sopra il campo. Qual è la decisione?</t>
  </si>
  <si>
    <t>A. Il pallone è considerato fuori B. Il punto è ripetuto C. Il punto è valido D. Il gioco continua</t>
  </si>
  <si>
    <t>Un giocatore blocca un pallone sopra la rete ma tocca l'antenna con la mano. Cosa succede?</t>
  </si>
  <si>
    <t>Il pallone tocca il nastro della rete ma non attraversa il campo avversario. Qual è la decisione?</t>
  </si>
  <si>
    <t>Un libero tenta di ricevere un pallone con un colpo di piede. Cosa succede?</t>
  </si>
  <si>
    <t>Un giocatore colpisce il pallone ma il colpo è accompagnato. Qual è la decisione?</t>
  </si>
  <si>
    <t>Il pallone tocca un compagno di squadra in modo accidentale e cade nel campo avversario. Qual è la decisione?</t>
  </si>
  <si>
    <t>A. Il punto è valido B. Il punto è ripetuto C. Il punto va all'altra squadra D. Il gioco continua</t>
  </si>
  <si>
    <t>Un giocatore si avvicina all'arbitro per discutere una decisione durante il gioco. Cosa accade?</t>
  </si>
  <si>
    <t>Il pallone attraversa la rete ma tocca il palo prima di cadere nel campo avversario. Qual è la decisione?</t>
  </si>
  <si>
    <t>Un allenatore supera il limite della sua area tecnica per dare istruzioni. Cosa succede?</t>
  </si>
  <si>
    <t>Un libero si posiziona nella zona di attacco durante il servizio. Qual è la decisione?</t>
  </si>
  <si>
    <t>Il pallone atterra sulla linea di fondo del campo avversario. Qual è la decisione?</t>
  </si>
  <si>
    <t>Un giocatore effettua un attacco ma colpisce un avversario senza toccare il pallone. Qual è la decisione?</t>
  </si>
  <si>
    <t>Un libero alza il pallone nella zona di difesa con un tocco in palleggio. Cosa succede?</t>
  </si>
  <si>
    <t>Un giocatore si distrae e non riesce a colpire il pallone durante un'azione. Cosa accade?</t>
  </si>
  <si>
    <t>Un giocatore effettua un colpo di attacco ma il pallone tocca il bordo superiore della rete e ritorna. Qual è la decisione?</t>
  </si>
  <si>
    <t>Un libero si trova nella zona di difesa e alza il pallone con un colpo di dita. Cosa accade?</t>
  </si>
  <si>
    <t>Un giocatore protesta animatamente con l'arbitro durante un'azione. Cosa succede?</t>
  </si>
  <si>
    <t>A. Il giocatore viene ammonito B. Il punto va all'altra squadra C. Il gioco continua D. Il punto è ripetuto</t>
  </si>
  <si>
    <t>Il pallone viene servito e tocca la linea di fondo avversaria. Qual è la decisione?</t>
  </si>
  <si>
    <t>Un allenatore chiama un time-out quando la sua squadra ha già esaurito i time-out disponibili. Cosa accade?</t>
  </si>
  <si>
    <t>Un giocatore salta per schiacciare ma colpisce accidentalmente un compagno di squadra. Qual è la decisione?</t>
  </si>
  <si>
    <t>Un libero si avvicina alla linea dei tre metri e colpisce il pallone con un tocco di palleggio. Cosa accade?</t>
  </si>
  <si>
    <t>Un giocatore colpisce il pallone con il pugno chiuso durante un'azione difensiva. Qual è la decisione?</t>
  </si>
  <si>
    <t>Un giocatore entra in campo senza aver segnato il cambio al segnapunti. Cosa succede?</t>
  </si>
  <si>
    <t>Un allenatore entra nell'area del campo per discutere una decisione arbitrale. Qual è la decisione?</t>
  </si>
  <si>
    <t>A. L'allenatore viene ammonito B. Il punto va all'altra squadra C. Il gioco continua D. Il punto è ripetuto</t>
  </si>
  <si>
    <t>Un giocatore colpisce il pallone due volte consecutive durante un'azione. Cosa accade?</t>
  </si>
  <si>
    <t>Il pallone attraversa la rete ma colpisce un giocatore avversario in modo fortuito. Qual è la decisione?</t>
  </si>
  <si>
    <t>Un libero tenta di ricevere il pallone in palleggio vicino alla rete e lo alza nella zona di attacco. Qual è la decisione?</t>
  </si>
  <si>
    <t>Un giocatore sbaglia il servizio e il pallone colpisce la rete senza attraversarla. Qual è la decisione?</t>
  </si>
  <si>
    <t>Un allenatore richiede un controllo VAR per un punto dubbio. Cosa succede?</t>
  </si>
  <si>
    <t>A. Il controllo viene concesso B. Il gioco continua senza VAR C. Il punto è ripetuto D. L'allenatore viene ammonito</t>
  </si>
  <si>
    <t>Il controllo viene concesso</t>
  </si>
  <si>
    <t>Un giocatore effettua un colpo di attacco e il pallone atterra sulla linea laterale avversaria. Qual è la decisione?</t>
  </si>
  <si>
    <t>Un libero tocca il pallone con la mano aperta ma il colpo risulta troppo forte. Cosa accade?</t>
  </si>
  <si>
    <t>Un giocatore tocca la rete con un piede durante un'azione di attacco. Qual è la decisione?</t>
  </si>
  <si>
    <t>Il pallone viene servito e rimbalza sulla parte superiore della rete prima di entrare nel campo avversario. Qual è la decisione?</t>
  </si>
  <si>
    <t>A. Il punto è valido B. Il punto va all'altra squadra C. Il punto è ripetuto D. Il servizio è considerato irregolare</t>
  </si>
  <si>
    <t>Un giocatore si sposta in posizione errata prima del servizio. Cosa accade?</t>
  </si>
  <si>
    <t>Il pallone viene respinto dal muro avversario e colpisce la spalla di un giocatore. Qual è la decisione?</t>
  </si>
  <si>
    <t>Un libero salva un pallone difficile ma lo spinge verso il campo avversario. Qual è la decisione?</t>
  </si>
  <si>
    <t>A. Il punto è valido B. Il punto va all'altra squadra C. Il punto è ripetuto D. Il libero viene ammonito</t>
  </si>
  <si>
    <t>Un giocatore interrompe il gioco alzando la mano per richiedere un fallo. Cosa succede?</t>
  </si>
  <si>
    <t>Un allenatore protesta una decisione arbitrale battendo le mani in modo provocatorio. Qual è la decisione?</t>
  </si>
  <si>
    <t>Il pallone colpisce l'asta laterale e rimbalza nel campo avversario. Qual è la decisione?</t>
  </si>
  <si>
    <t>A. Il pallone è considerato fuori B. Il punto va all'altra squadra C. Il punto è ripetuto D. Il gioco continua</t>
  </si>
  <si>
    <t>Un giocatore lancia il pallone durante un'azione ma non colpisce il terreno. Qual è la decisione?</t>
  </si>
  <si>
    <t>Un libero si trova nella zona di attacco durante un'azione difensiva. Cosa accade?</t>
  </si>
  <si>
    <t>Un giocatore si sposta verso la panchina per bere durante un time-out. Cosa succede?</t>
  </si>
  <si>
    <t>A. Il gioco continua B. Il punto è ripetuto C. Il giocatore viene ammonito D. Non accade nulla</t>
  </si>
  <si>
    <t>Il pallone attraversa la rete e atterra esattamente sulla linea di centrocampo avversaria. Qual è la decisione?</t>
  </si>
  <si>
    <t>Un allenatore ritarda l'avvio del set per parlare con il capitano. Cosa accade?</t>
  </si>
  <si>
    <t>Un giocatore effettua un palleggio che va oltre la rete ma tocca prima la linea di fondo. Qual è la decisione?</t>
  </si>
  <si>
    <t>A. Il punto va all'altra squadra B. Il punto è valido C. Il gioco continua D. Il punto è ripetuto</t>
  </si>
  <si>
    <t>Un giocatore tocca la rete durante un attacco. Cosa accade?</t>
  </si>
  <si>
    <t>Il pallone colpisce la parte superiore della rete e atterra nel campo avversario. Qual è la decisione?</t>
  </si>
  <si>
    <t>Un libero tocca il pallone con le mani ma non in modo regolare. Cosa succede?</t>
  </si>
  <si>
    <t>Un giocatore effettua un servizio ma il pallone colpisce il soffitto prima di attraversare la rete. Qual è la decisione?</t>
  </si>
  <si>
    <t>A. Il punto va all'altra squadra B. Il servizio è ripetuto C. Il gioco continua D. Il punto è valido</t>
  </si>
  <si>
    <t>Un giocatore tocca il pallone con un colpo di testa e il pallone attraversa la rete. Qual è la decisione?</t>
  </si>
  <si>
    <t>Un giocatore fa un attacco ma tocca la rete con il piede. Cosa succede?</t>
  </si>
  <si>
    <t>Il pallone viene lanciato sopra la rete ma tocca un giocatore avversario in modo accidentale. Qual è la decisione?</t>
  </si>
  <si>
    <t>A. Il punto va all'altra squadra B. Il gioco continua C. Il punto è ripetuto D. Il punto è valido</t>
  </si>
  <si>
    <t>Un giocatore effettua un servizio ma il pallone tocca la rete e ritorna nel suo campo. Cosa succede?</t>
  </si>
  <si>
    <t>A. Il servizio è ripetuto B. Il punto va all'altra squadra C. Il gioco continua D. Il punto è valido</t>
  </si>
  <si>
    <t>Il servizio è ripetuto</t>
  </si>
  <si>
    <t>Un libero si trova nella zona di attacco mentre sta ricevendo un pallone. Cosa succede?</t>
  </si>
  <si>
    <t>Un giocatore colpisce il pallone con un tocco irregolare e il pallone va fuori. Qual è la decisione?</t>
  </si>
  <si>
    <t>A. Il punto va all'altra squadra B. Il punto è ripetuto C. Il gioco continua D. Il punto è valido</t>
  </si>
  <si>
    <t>Un giocatore schiaccia il pallone ma il colpo è troppo forte e il pallone esce dal campo. Qual è la decisione?</t>
  </si>
  <si>
    <t>Un giocatore effettua un colpo di attacco ma il pallone tocca la rete prima di cadere nel campo avversario. Qual è la decisione?</t>
  </si>
  <si>
    <t>Un allenatore fa un cambio durante il gioco senza rispettare i limiti di tempo. Qual è la decisione?</t>
  </si>
  <si>
    <t>A. Il cambio non è valido B. Il punto va all'altra squadra C. Il gioco continua D. Il punto è ripetuto</t>
  </si>
  <si>
    <t>Il cambio non è valido</t>
  </si>
  <si>
    <t>Il pallone tocca la parte superiore della rete e poi ritorna nel campo di chi ha effettuato il servizio. Qual è la decisione?</t>
  </si>
  <si>
    <t>A. Il punto va all'altra squadra B. Il servizio è ripetuto C. Il punto è valido D. Il gioco continua</t>
  </si>
  <si>
    <t>Un giocatore effettua un attacco potente ma il pallone rimbalza fuori. Qual è la decisione?</t>
  </si>
  <si>
    <t>A. Il punto va all'altra squadra B. Il punto è ripetuto C. Il punto è valido D. Il gioco continua</t>
  </si>
  <si>
    <t>Un giocatore effettua un attacco ma il pallone colpisce il soffitto e poi torna indietro. Cosa succede?</t>
  </si>
  <si>
    <t>Un libero colpisce il pallone in modo irregolare ma il gioco non viene interrotto. Cosa succede?</t>
  </si>
  <si>
    <t>Un giocatore riceve il pallone ma lo tocca con entrambe le mani in modo simultaneo. Cosa accade?</t>
  </si>
  <si>
    <t>Un libero effettua un palleggio ma il pallone colpisce la rete prima di attraversarla. Qual è la decisione?</t>
  </si>
  <si>
    <t>Un giocatore effettua un attacco ma il pallone rimbalza sulla linea di fondo avversaria. Qual è la decisione?</t>
  </si>
  <si>
    <t>Un allenatore è ammonito per comportamento scorretto durante una partita. Cosa accade?</t>
  </si>
  <si>
    <t>Un giocatore effettua un servizio ma il pallone tocca la rete e non passa nel campo avversario. Qual è la decisione?</t>
  </si>
  <si>
    <t>Un libero riceve il pallone e lo alza in modo irregolare. Cosa succede?</t>
  </si>
  <si>
    <t>Un giocatore colpisce il pallone ma lo tocca involontariamente con il piede. Cosa succede?</t>
  </si>
  <si>
    <t>Un allenatore effettua una sostituzione durante un time-out. Cosa accade?</t>
  </si>
  <si>
    <t>A. La sostituzione è valida B. Il punto va all'altra squadra C. Il gioco continua D. Il punto è ripetuto</t>
  </si>
  <si>
    <t>La sostituzione è valida</t>
  </si>
  <si>
    <t>Un libero effettua un servizio ma il pallone colpisce la parte superiore della rete e non oltrepassa. Cosa succede?</t>
  </si>
  <si>
    <t>Un giocatore effettua un palleggio e il pallone colpisce la rete. Qual è la decisione?</t>
  </si>
  <si>
    <t>Un libero fa un palleggio e il pallone va oltre la rete senza toccarla. Qual è la decisione?</t>
  </si>
  <si>
    <t>Un giocatore effettua un servizio che tocca il lato della rete e poi atterra nel campo avversario. Qual è la decisione?</t>
  </si>
  <si>
    <t>A. Il punto è valido B. Il servizio è ripetuto C. Il punto va all'altra squadra D. Il gioco continua</t>
  </si>
  <si>
    <t>Un giocatore colpisce il pallone con un colpo di testa e il pallone esce dal campo. Qual è la decisione?</t>
  </si>
  <si>
    <t>Un attacco viene effettuato da un giocatore ma il pallone colpisce il soffitto e ritorna nel suo campo. Qual è la decisione?</t>
  </si>
  <si>
    <t>Un libero tocca il pallone in modo irregolare ma non viene sanzionato dall'arbitro. Cosa accade?</t>
  </si>
  <si>
    <t>Un giocatore effettua un colpo di attacco ma il pallone tocca la rete prima di cadere nel campo avversario. Cosa succede?</t>
  </si>
  <si>
    <t>Un giocatore fa un attacco ma il pallone va troppo alto e non atterra nel campo avversario. Qual è la decisione?</t>
  </si>
  <si>
    <t>Il libero effettua un palleggio con entrambe le mani in modo simultaneo. Cosa accade?</t>
  </si>
  <si>
    <t>Un giocatore effettua un attacco ma il pallone colpisce la parte superiore della rete e cade nel campo del suo avversario. Qual è la decisione?</t>
  </si>
  <si>
    <t>Un giocatore sbaglia il servizio e il pallone colpisce la rete e ritorna nel suo campo. Cosa succede?</t>
  </si>
  <si>
    <t>Un giocatore tocca la rete con una mano durante un attacco. Qual è la decisione?</t>
  </si>
  <si>
    <t>Il pallone colpisce la parte superiore della rete e poi rimbalza nel campo avversario. Qual è la decisione?</t>
  </si>
  <si>
    <t>Un giocatore effettua un servizio ma il pallone tocca il lato della rete e non supera nel campo avversario. Cosa succede?</t>
  </si>
  <si>
    <t>Un giocatore fa un colpo di attacco e il pallone va fuori dal campo. Qual è la decisione?</t>
  </si>
  <si>
    <t>Un giocatore salta per schiacciare il pallone e tocca la rete durante l'azione. Qual è la decisione?</t>
  </si>
  <si>
    <t>Un giocatore effettua un colpo di attacco ma il pallone colpisce la parte superiore della rete e poi atterra nel campo avversario. Qual è la decisione?</t>
  </si>
  <si>
    <t>Un libero tocca il pallone in modo irregolare e l'arbitro fischia. Qual è la decisione?</t>
  </si>
  <si>
    <t>Un giocatore esegue un colpo di attacco ma il pallone non attraversa la rete. Qual è la decisione?</t>
  </si>
  <si>
    <t>Un libero tocca il pallone due volte consecutivamente durante una difesa. Qual è la decisione?</t>
  </si>
  <si>
    <t>Un giocatore fa un attacco potente ma il pallone colpisce il soffitto e ritorna nel suo campo. Cosa succede?</t>
  </si>
  <si>
    <t>Un allenatore protesta un'azione arbitrale in modo rumoroso. Cosa accade?</t>
  </si>
  <si>
    <t>Un giocatore effettua un palleggio ma il pallone attraversa la rete senza toccarla. Qual è la decisione?</t>
  </si>
  <si>
    <t>Un libero alza il pallone sopra la rete e tocca la parte superiore della rete durante l'azione. Qual è la decisione?</t>
  </si>
  <si>
    <t>Un giocatore colpisce il pallone ma il colpo è troppo debole e il pallone non attraversa la rete. Qual è la decisione?</t>
  </si>
  <si>
    <t>Un giocatore esegue un servizio ma il pallone tocca la rete e rimbalza nel suo campo. Qual è la decisione?</t>
  </si>
  <si>
    <t>Un allenatore fa un cambio senza aspettare il momento giusto. Qual è la decisione?</t>
  </si>
  <si>
    <t>Un giocatore tocca la rete mentre sta effettuando un attacco. Cosa succede?</t>
  </si>
  <si>
    <t>Un libero riceve il pallone con un colpo irregolare e l'arbitro fischia. Cosa succede?</t>
  </si>
  <si>
    <t>Un giocatore effettua un servizio ma il pallone colpisce il lato della rete e ritorna nel suo campo. Qual è la decisione?</t>
  </si>
  <si>
    <t>Un giocatore effettua un attacco ma il pallone colpisce il soffitto e ritorna nel suo campo. Qual è la decisione?</t>
  </si>
  <si>
    <t>Un libero effettua un palleggio ma il pallone tocca la rete prima di attraversarla. Cosa succede?</t>
  </si>
  <si>
    <t>Un giocatore effettua un servizio ma il pallone colpisce la rete e non passa nel campo avversario. Qual è la decisione?</t>
  </si>
  <si>
    <t>Un libero effettua un attacco ma tocca la rete durante l'azione. Cosa succede?</t>
  </si>
  <si>
    <t>Un giocatore colpisce il pallone con il piede ma non in modo regolare. Cosa succede?</t>
  </si>
  <si>
    <t>Un allenatore fa un cambio durante il gioco senza rispettare le regole. Cosa succede?</t>
  </si>
  <si>
    <t>Un giocatore colpisce il pallone ma lo fa in modo irregolare. Cosa succede?</t>
  </si>
  <si>
    <t>Un libero esegue un palleggio ma il pallone colpisce la rete e torna indietro. Qual è la decisione?</t>
  </si>
  <si>
    <t>Un giocatore effettua un attacco ma il pallone non tocca mai il campo avversario. Cosa succede?</t>
  </si>
  <si>
    <t>Un libero tocca il pallone durante un attacco ma non in modo regolare. Cosa succede?</t>
  </si>
  <si>
    <t>Un giocatore colpisce il pallone ma il pallone va fuori dal campo. Cosa succede?</t>
  </si>
  <si>
    <t>Un giocatore fa un attacco ma il pallone colpisce il soffitto e non supera la rete. Qual è la decisione?</t>
  </si>
  <si>
    <t>Un allenatore effettua un cambio senza attendere il momento giusto. Qual è la decisione?</t>
  </si>
  <si>
    <t>Un libero alza il pallone ma il pallone tocca la rete e cade nel suo campo. Cosa succede?</t>
  </si>
  <si>
    <t>Un giocatore schiaccia il pallone ma il colpo è troppo debole e il pallone non supera la rete. Qual è la decisione?</t>
  </si>
  <si>
    <t>Un giocatore effettua un servizio ma il pallone tocca la rete e supera nel campo avversario. Qual è la decisione?</t>
  </si>
  <si>
    <t>Un libero colpisce il pallone con un colpo irregolare ma non viene sanzionato. Cosa accade?</t>
  </si>
  <si>
    <t>Un giocatore fa un attacco ma il pallone colpisce il soffitto e ritorna nel suo campo. Cosa succede?</t>
  </si>
  <si>
    <t>Un giocatore colpisce il pallone ma il colpo è irregolare e il pallone esce dal campo. Cosa succede?</t>
  </si>
  <si>
    <t>Un libero alza il pallone in modo irregolare ma l'arbitro non fischia. Cosa succede?</t>
  </si>
  <si>
    <t>Un giocatore effettua un servizio ma il pallone colpisce il lato della rete e non supera nel campo avversario. Cosa succede?</t>
  </si>
  <si>
    <t>Un giocatore fa un attacco ma il pallone colpisce la parte superiore della rete e poi atterra nel campo avversario. Qual è la decisione?</t>
  </si>
  <si>
    <t>Un libero esegue un palleggio ma il pallone colpisce il soffitto e ritorna nel suo campo. Qual è la decisione?</t>
  </si>
  <si>
    <t>Un giocatore colpisce il pallone ma lo fa in modo irregolare. Qual è la decisione?</t>
  </si>
  <si>
    <t>Un libero riceve il pallone in modo irregolare durante una difesa. Cosa succede?</t>
  </si>
  <si>
    <t>Un giocatore salta per schiacciare il pallone ma tocca la rete durante l'azione. Cosa succede?</t>
  </si>
  <si>
    <t>Answer</t>
  </si>
  <si>
    <t>Durante una partita di bocce, lanci la boccia ma questa esce dal campo. Cosa succede?</t>
  </si>
  <si>
    <t>A. La boccia viene restituita e lanciata di nuovo B. La boccia viene rimessa in gioco C. Il lancio viene annullato D. La boccia è considerata fuori gioco</t>
  </si>
  <si>
    <t>La boccia è considerata fuori gioco</t>
  </si>
  <si>
    <t>In una partita di bocce, il tuo lancio è più vicino al pallino di quello dell’avversario. Cosa succede?</t>
  </si>
  <si>
    <t>A. Hai vinto il punto B. L’avversario vince il punto C. Il punto viene annullato D. Il punteggio viene deciso dal giudice</t>
  </si>
  <si>
    <t>Hai vinto il punto</t>
  </si>
  <si>
    <t>Durante il lancio, la tua boccia colpisce il pallino, ma poi il pallino esce dal campo. Cosa succede?</t>
  </si>
  <si>
    <t>A. La boccia è considerata fuori gioco B. La boccia viene sostituita C. Il punto va all'avversario D. La partita viene annullata</t>
  </si>
  <si>
    <t>Se una boccia si ferma sopra il pallino, cosa succede?</t>
  </si>
  <si>
    <t>A. La boccia è più vicina al pallino e guadagna un punto B. La boccia viene annullata C. L'avversario vince il punto D. Non succede nulla</t>
  </si>
  <si>
    <t>La boccia è più vicina al pallino e guadagna un punto</t>
  </si>
  <si>
    <t>In bocce, il numero massimo di bocce per squadra è di:</t>
  </si>
  <si>
    <t>A. 4 bocce per squadra B. 6 bocce per squadra C. 8 bocce per squadra D. 3 bocce per squadra</t>
  </si>
  <si>
    <t>4 bocce per squadra</t>
  </si>
  <si>
    <t>Se una boccia scivola oltre la linea di lancio senza toccare nulla, cosa succede?</t>
  </si>
  <si>
    <t>A. La boccia è considerata fuori gioco B. La boccia viene riposizionata C. Il lancio viene rifatto D. L’avversario guadagna un punto</t>
  </si>
  <si>
    <t>Durante una partita di bocce, un giocatore lancia una boccia e colpisce un'altra boccia, ma senza spostarla dal campo. Cosa succede?</t>
  </si>
  <si>
    <t>A. Il punto va alla squadra avversaria B. La boccia non conta C. Il punto va alla squadra che ha lanciato la boccia D. La boccia viene rimossa</t>
  </si>
  <si>
    <t>Il punto va alla squadra che ha lanciato la boccia</t>
  </si>
  <si>
    <t>Nel caso in cui nessuna boccia sia vicino al pallino, cosa succede?</t>
  </si>
  <si>
    <t>A. Si continua a giocare finché una boccia si avvicina B. Il punto va all'avversario C. La partita è dichiarata nulla D. Si segna un punto per ogni boccia più vicina al pallino</t>
  </si>
  <si>
    <t>Si continua a giocare finché una boccia si avvicina</t>
  </si>
  <si>
    <t>Se un giocatore calcia involontariamente una boccia fuori campo durante il suo turno, cosa succede?</t>
  </si>
  <si>
    <t>A. La boccia viene annullata e il punto va alla squadra avversaria B. Il giocatore perde il turno C. Il giocatore può rilanciare la boccia D. La boccia viene rimessa al suo posto</t>
  </si>
  <si>
    <t>La boccia viene annullata e il punto va alla squadra avversaria</t>
  </si>
  <si>
    <t>Cosa succede se il pallino viene colpito da una boccia e spostato all’interno di una zona di gioco vietata?</t>
  </si>
  <si>
    <t>A. La partita viene annullata B. Il punto va all'avversario C. Il pallino viene riposizionato nel centro del campo D. Il pallino viene rimesso al suo posto</t>
  </si>
  <si>
    <t>La partita viene annullata</t>
  </si>
  <si>
    <t>In bocce, quante bocce sono utilizzate in una partita di singolo?</t>
  </si>
  <si>
    <t>A. 1 boccia per giocatore B. 2 bocce per giocatore C. 3 bocce per giocatore D. 5 bocce per giocatore</t>
  </si>
  <si>
    <t>1 boccia per giocatore</t>
  </si>
  <si>
    <t>Se un giocatore lancia una boccia e questa colpisce il pallino, ma il pallino rimane al suo posto, cosa succede?</t>
  </si>
  <si>
    <t>A. Il punto va al giocatore che ha lanciato la boccia B. Il punto va alla squadra avversaria C. La boccia viene annullata D. La boccia viene riposizionata</t>
  </si>
  <si>
    <t>Il punto va al giocatore che ha lanciato la boccia</t>
  </si>
  <si>
    <t>Quando una squadra ha finito di lanciare tutte le sue bocce, cosa succede?</t>
  </si>
  <si>
    <t>A. La partita è finita B. Si calcola il punteggio e il turno passa all’avversario C. Si riprende il gioco con un nuovo set di bocce D. La partita viene interrotta</t>
  </si>
  <si>
    <t>Si calcola il punteggio e il turno passa all’avversario</t>
  </si>
  <si>
    <t>Durante il gioco, un giocatore lancia una boccia e questa esce dal campo. Cosa succede?</t>
  </si>
  <si>
    <t>A. La boccia viene annullata e il punteggio non viene conteggiato B. La boccia viene riposizionata al suo posto C. Il giocatore perde un punto D. Il lancio viene rifatto</t>
  </si>
  <si>
    <t>La boccia viene annullata e il punteggio non viene conteggiato</t>
  </si>
  <si>
    <t>Nel gioco delle bocce, se una boccia finisce fuori dal campo durante il lancio, il punto va a chi?</t>
  </si>
  <si>
    <t>A. All'avversario B. Alla squadra che ha lanciato C. A nessuno D. Alla squadra che ha il pallino più vicino</t>
  </si>
  <si>
    <t>All'avversario</t>
  </si>
  <si>
    <t>Durante una partita di bocce, un giocatore lancia la boccia e questa rimbalza fuori dal campo senza colpire nulla. Cosa succede?</t>
  </si>
  <si>
    <t>A. Il giocatore perde il punto B. Il lancio è annullato C. Il punto va all’avversario D. Il gioco continua senza penalità</t>
  </si>
  <si>
    <t>Il lancio è annullato</t>
  </si>
  <si>
    <t>Se il pallino esce dal campo, cosa succede?</t>
  </si>
  <si>
    <t>A. La partita continua normalmente B. Si continua il gioco con un nuovo pallino C. Il punto va all'avversario D. La partita viene annullata</t>
  </si>
  <si>
    <t>Si continua il gioco con un nuovo pallino</t>
  </si>
  <si>
    <t>Nel gioco delle bocce, cosa accade se tutte le bocce della tua squadra sono più vicine al pallino rispetto a quelle dell'avversario?</t>
  </si>
  <si>
    <t>A. La tua squadra vince il turno B. Il punteggio è nullo C. La tua squadra perde il turno D. La partita viene sospesa</t>
  </si>
  <si>
    <t>La tua squadra vince il turno</t>
  </si>
  <si>
    <t>In una partita di bocce, un giocatore può lanciare la boccia in qualsiasi direzione?</t>
  </si>
  <si>
    <t>A. No, deve lanciare sempre verso il pallino B. Sì, non ci sono restrizioni C. Solo se la boccia è fuori campo D. Solo se il pallino è più lontano</t>
  </si>
  <si>
    <t>No, deve lanciare sempre verso il pallino</t>
  </si>
  <si>
    <t>Cosa accade se una boccia colpisce il pallino ma non lo sposta?</t>
  </si>
  <si>
    <t>A. Il punto va alla squadra che ha lanciato la boccia B. Il punto viene annullato C. Il punto va all’avversario D. La boccia viene rimossa</t>
  </si>
  <si>
    <t>Se durante il gioco una boccia colpisce un'altra boccia e la sposta, cosa succede?</t>
  </si>
  <si>
    <t>A. La boccia che si è mossa è considerata fuori gioco B. Il punto non viene assegnato C. Il punto viene ricalcolato D. Il punto va alla squadra che ha lanciato la boccia</t>
  </si>
  <si>
    <t>Se una boccia tocca il pallino e poi va fuori dal campo, cosa succede?</t>
  </si>
  <si>
    <t>A. Il punto va alla squadra che ha lanciato B. La boccia è fuori gioco e non viene conteggiata C. Il punto va all’avversario D. Il gioco continua normalmente</t>
  </si>
  <si>
    <t>La boccia è fuori gioco e non viene conteggiata</t>
  </si>
  <si>
    <t>Cosa succede se il pallino finisce sotto una boccia durante una partita di bocce?</t>
  </si>
  <si>
    <t>A. La boccia viene riposizionata B. Il pallino viene spostato C. La partita continua normalmente D. Il punto viene ricalcolato</t>
  </si>
  <si>
    <t>Il pallino viene spostato</t>
  </si>
  <si>
    <t>Quando una boccia si ferma vicino al pallino, come viene determinato il punteggio?</t>
  </si>
  <si>
    <t>A. Si conta la boccia più vicina al pallino per ogni squadra B. Il punteggio viene ricalcolato C. Il punto va automaticamente alla squadra che ha lanciato D. Il punteggio dipende dalla posizione della boccia rispetto alla linea di gioco</t>
  </si>
  <si>
    <t>Si conta la boccia più vicina al pallino per ogni squadra</t>
  </si>
  <si>
    <t>Se un giocatore supera il tempo per effettuare il lancio, cosa succede?</t>
  </si>
  <si>
    <t>A. Perde il turno B. Il lancio è annullato C. La boccia viene lanciata automaticamente D. Il gioco continua senza penalità</t>
  </si>
  <si>
    <t>Perde il turno</t>
  </si>
  <si>
    <t>Se una boccia viene lanciata fuori campo, ma viene recuperata senza che tocchi altre bocce, cosa succede?</t>
  </si>
  <si>
    <t>A. Il lancio è annullato B. Il punto va alla squadra avversaria C. La boccia viene restituita e lanciata di nuovo D. Il gioco continua normalmente</t>
  </si>
  <si>
    <t>Durante il gioco, un giocatore lancia una boccia e questa colpisce il pallino, ma non lo sposta. Cosa succede?</t>
  </si>
  <si>
    <t>A. Il punto va alla squadra che ha lanciato B. Il punto va all'avversario C. Il pallino viene rimosso D. La boccia viene rimossa</t>
  </si>
  <si>
    <t>Il punto va alla squadra che ha lanciato</t>
  </si>
  <si>
    <t>Nel caso in cui un giocatore lanci una boccia che tocca la linea di lancio ma non oltrepassa la linea, cosa succede?</t>
  </si>
  <si>
    <t>A. Il lancio è considerato valido B. Il lancio è nullo e viene rifatto C. Il punto va all’avversario D. La boccia viene rimossa</t>
  </si>
  <si>
    <t>Il lancio è considerato valido</t>
  </si>
  <si>
    <t>Se il pallino viene colpito e spostato fuori dal campo durante un lancio, cosa succede?</t>
  </si>
  <si>
    <t>A. La partita viene annullata B. Il punto va alla squadra avversaria C. Il pallino viene riposizionato D. La squadra che ha lanciato perde il turno</t>
  </si>
  <si>
    <t>Il pallino viene riposizionato</t>
  </si>
  <si>
    <t>Se una boccia si sposta accidentalmente durante un lancio, cosa succede?</t>
  </si>
  <si>
    <t>A. Il punto viene ricalcolato B. Il giocatore perde il turno C. La boccia viene restituita e lanciata di nuovo D. Il gioco continua normalmente</t>
  </si>
  <si>
    <t>Il punto viene ricalcolato</t>
  </si>
  <si>
    <t>Se durante il lancio una boccia non tocca la linea di lancio, cosa succede?</t>
  </si>
  <si>
    <t>A. Il lancio viene annullato B. Il giocatore perde il turno C. La boccia viene rimossa D. Il punto va alla squadra avversaria</t>
  </si>
  <si>
    <t>Il lancio viene annullato</t>
  </si>
  <si>
    <t>Cosa succede se una boccia tocca altre bocce prima di fermarsi?</t>
  </si>
  <si>
    <t>A. La boccia viene considerata valida B. Il punto va all'avversario C. Il gioco continua senza penalità D. La boccia viene riposizionata</t>
  </si>
  <si>
    <t>La boccia viene considerata valida</t>
  </si>
  <si>
    <t>Nel gioco delle bocce, cosa succede se il pallino tocca la boccia avversaria?</t>
  </si>
  <si>
    <t>A. Il punto va alla squadra che ha lanciato il pallino B. Il pallino viene riposizionato C. Il punto va alla squadra che ha lanciato la boccia D. La partita continua normalmente</t>
  </si>
  <si>
    <t>Se una boccia tocca una boccia già ferma, ma senza spostarla, cosa succede?</t>
  </si>
  <si>
    <t>A. Il punto va alla squadra che ha lanciato B. Il punto viene annullato C. La boccia non conta D. Il gioco continua normalmente</t>
  </si>
  <si>
    <t>Durante il gioco, cosa succede se una boccia viene lanciata al di fuori del campo di gioco?</t>
  </si>
  <si>
    <t>A. La boccia viene riposizionata B. Il lancio viene annullato C. Il punto va all'avversario D. Il gioco continua normalmente</t>
  </si>
  <si>
    <t>In bocce, se un giocatore lancia una boccia e questa rimbalza fuori dal campo, cosa succede?</t>
  </si>
  <si>
    <t>A. La boccia viene annullata B. Il punto va all'avversario C. Il lancio viene ripetuto D. Il gioco continua senza penalità</t>
  </si>
  <si>
    <t>La boccia viene annullata</t>
  </si>
  <si>
    <t>Cosa succede se una boccia viene lanciata in modo errato e colpisce il pallino?</t>
  </si>
  <si>
    <t>A. Il punto va alla squadra che ha lanciato B. Il punto va all'avversario C. Il pallino viene riposizionato D. La boccia viene annullata</t>
  </si>
  <si>
    <t>Se durante il gioco una boccia ferma si sposta a causa di un altro lancio, cosa succede?</t>
  </si>
  <si>
    <t>A. Il punto viene ricalcolato B. Il gioco continua normalmente C. Il punto va all'avversario D. La boccia viene riposizionata</t>
  </si>
  <si>
    <t>Se un giocatore calcia involontariamente una boccia mentre lancia, cosa succede?</t>
  </si>
  <si>
    <t>A. La boccia viene riposizionata B. Il giocatore perde il turno C. Il punto va all'avversario D. Il lancio viene annullato</t>
  </si>
  <si>
    <t>La boccia viene riposizionata</t>
  </si>
  <si>
    <t>Se il pallino esce dal campo durante un lancio, cosa succede?</t>
  </si>
  <si>
    <t>A. Il punto viene annullato B. Il pallino viene riposizionato C. Il gioco continua normalmente D. La partita viene sospesa</t>
  </si>
  <si>
    <t>In bocce, se un giocatore lancia la boccia e questa si ferma a metà campo, cosa succede?</t>
  </si>
  <si>
    <t>A. La boccia è considerata valida B. La boccia è considerata fuori gioco C. Il punto va all'avversario D. Il giocatore perde il turno</t>
  </si>
  <si>
    <t>La boccia è considerata valida</t>
  </si>
  <si>
    <t>Se una boccia viene lanciata fuori dal campo, cosa succede?</t>
  </si>
  <si>
    <t>A. La boccia viene annullata e il punto non viene conteggiato B. La boccia viene riposizionata C. Il punto va all'avversario D. La partita viene annullata</t>
  </si>
  <si>
    <t>La boccia viene annullata e il punto non viene conteggiato</t>
  </si>
  <si>
    <t>In bocce, come viene determinato il vincitore di un turno?</t>
  </si>
  <si>
    <t>A. La squadra con la boccia più vicina al pallino vince il punto B. Il punteggio viene ricalcolato alla fine della partita C. La squadra che lancia per prima vince D. La partita viene decisa dal giudice</t>
  </si>
  <si>
    <t>La squadra con la boccia più vicina al pallino vince il punto</t>
  </si>
  <si>
    <t>Cosa accade se durante una partita di bocce un giocatore tocca la boccia avversaria con i piedi?</t>
  </si>
  <si>
    <t>A. Il punto va alla squadra avversaria B. Il gioco continua senza penalità C. Il giocatore perde il turno D. La boccia viene rimossa</t>
  </si>
  <si>
    <t>Il punto va alla squadra avversaria</t>
  </si>
  <si>
    <t>Nel gioco delle bocce, se un giocatore lancia una boccia in modo che colpisca il pallino e questo cambia posizione, cosa succede?</t>
  </si>
  <si>
    <t>A. Il punto viene ricalcolato B. Il pallino viene riposizionato C. Il punto va alla squadra che ha lanciato D. Il punto va all'avversario</t>
  </si>
  <si>
    <t>Se un giocatore non lancia la boccia entro il tempo stabilito, cosa succede?</t>
  </si>
  <si>
    <t>A. Perde il turno B. Il gioco continua senza penalità C. Il giocatore perde un punto D. Il lancio viene annullato</t>
  </si>
  <si>
    <t>In bocce, se due bocce sono ugualmente vicine al pallino, come viene deciso chi vince il punto?</t>
  </si>
  <si>
    <t>A. Il punto è deciso dal giudice B. Il punto va alla squadra che ha lanciato per ultima C. Il punto è annullato D. La squadra che ha il lancio più vicino al pallino vince</t>
  </si>
  <si>
    <t>Il punto è deciso dal giudice</t>
  </si>
  <si>
    <t>Se una boccia viene lanciata verso il pallino ma finisce sopra una boccia avversaria, cosa succede?</t>
  </si>
  <si>
    <t>A. Il punto va all'avversario B. La boccia viene rimossa C. La boccia è considerata fuori gioco D. Il gioco continua normalmente</t>
  </si>
  <si>
    <t>La boccia viene rimossa</t>
  </si>
  <si>
    <t>Se durante il lancio una boccia colpisce il bordo del campo e rimbalza all'interno del campo, cosa succede?</t>
  </si>
  <si>
    <t>A. La boccia è considerata valida B. Il lancio viene annullato C. Il punto va all’avversario D. La boccia viene rimossa</t>
  </si>
  <si>
    <t>Cosa succede se durante una partita il pallino viene colpito da una boccia, ma non si sposta?</t>
  </si>
  <si>
    <t>A. La boccia guadagna un punto B. Il punto viene annullato C. La partita viene sospesa D. Il punto va all’avversario</t>
  </si>
  <si>
    <t>La boccia guadagna un punto</t>
  </si>
  <si>
    <t>Se un giocatore calcia accidentalmente una boccia durante il lancio, cosa succede?</t>
  </si>
  <si>
    <t>A. La boccia viene riposizionata B. Il giocatore perde il turno C. Il punto va all’avversario D. La boccia viene rimossa dal gioco</t>
  </si>
  <si>
    <t>Se una boccia viene lanciata in modo errato e finisce fuori campo, cosa succede?</t>
  </si>
  <si>
    <t>A. Il punto va alla squadra avversaria B. La boccia viene annullata C. La boccia viene riposizionata D. Il lancio viene rifatto</t>
  </si>
  <si>
    <t>Durante il gioco, un giocatore lancia la boccia e questa si ferma sopra il pallino, cosa succede?</t>
  </si>
  <si>
    <t>A. La boccia guadagna un punto B. Il punto va all’avversario C. Il gioco continua senza penalità D. Il punto viene annullato</t>
  </si>
  <si>
    <t>Se il pallino viene colpito e spostato nel campo dell’avversario, cosa succede?</t>
  </si>
  <si>
    <t>A. La partita continua normalmente B. Il punto va all’avversario C. Il pallino viene riposizionato D. La boccia che ha colpito il pallino viene rimossa</t>
  </si>
  <si>
    <t>Cosa succede se una boccia viene lanciata e finisce fuori dal campo, ma non colpisce nulla?</t>
  </si>
  <si>
    <t>A. La boccia viene annullata B. Il punto va alla squadra avversaria C. La boccia viene riposizionata D. Il gioco continua senza penalità</t>
  </si>
  <si>
    <t>Durante il lancio, un giocatore colpisce la boccia avversaria e la sposta senza toccare il pallino. Cosa succede?</t>
  </si>
  <si>
    <t>A. Il punto va alla squadra avversaria B. La boccia che è stata spostata viene riposizionata C. Il gioco continua normalmente D. Il punto va alla squadra che ha lanciato</t>
  </si>
  <si>
    <t>In bocce, se durante una partita il pallino si sposta per un colpo accidentale, cosa succede?</t>
  </si>
  <si>
    <t>A. La partita viene annullata B. Il pallino viene riposizionato nel centro del campo C. Il punto va all’avversario D. Il gioco continua normalmente</t>
  </si>
  <si>
    <t>Il pallino viene riposizionato nel centro del campo</t>
  </si>
  <si>
    <t>Se durante il lancio la boccia si ferma sopra un’altra boccia, cosa succede?</t>
  </si>
  <si>
    <t>A. La boccia sopra è considerata più vicina al pallino B. Il punto va all’avversario C. Il gioco continua normalmente D. Il punto viene annullato</t>
  </si>
  <si>
    <t>La boccia sopra è considerata più vicina al pallino</t>
  </si>
  <si>
    <t>Se il giocatore non lancia la boccia entro il tempo limite, cosa succede?</t>
  </si>
  <si>
    <t>A. Il giocatore perde il turno B. Il lancio viene annullato C. Il punto viene assegnato alla squadra avversaria D. Il gioco continua senza penalità</t>
  </si>
  <si>
    <t>Cosa succede se una boccia si ferma sulla linea del campo?</t>
  </si>
  <si>
    <t>A. La boccia è considerata fuori gioco B. La boccia è considerata valida C. Il punto va all’avversario D. Il lancio viene annullato</t>
  </si>
  <si>
    <t>In bocce, se un giocatore colpisce accidentalmente una boccia avversaria con la propria, cosa succede?</t>
  </si>
  <si>
    <t>A. La boccia avversaria viene rimossa B. Il punto va alla squadra avversaria C. Il gioco continua normalmente D. La boccia viene riposizionata</t>
  </si>
  <si>
    <t>Se un giocatore lancia la boccia e questa esce dal campo ma non tocca nessuna altra boccia, cosa succede?</t>
  </si>
  <si>
    <t>A. La boccia viene annullata B. Il punto va all’avversario C. Il lancio viene ripetuto D. La boccia viene rimossa</t>
  </si>
  <si>
    <t>Se una boccia colpisce il pallino, ma non lo sposta, cosa succede?</t>
  </si>
  <si>
    <t>A. La boccia guadagna un punto B. Il punto va all’avversario C. Il pallino viene rimosso D. Il punto viene annullato</t>
  </si>
  <si>
    <t>Cosa succede se una boccia che è stata lanciata colpisce la linea di lancio?</t>
  </si>
  <si>
    <t>A. La boccia è annullata B. La boccia è valida C. Il punto va all’avversario D. Il lancio viene rifatto</t>
  </si>
  <si>
    <t>La boccia è valida</t>
  </si>
  <si>
    <t>Se un giocatore lancia una boccia che colpisce il pallino e lo sposta, cosa succede?</t>
  </si>
  <si>
    <t>A. Il punto va alla squadra che ha lanciato B. Il punto va alla squadra avversaria C. Il pallino viene riposizionato D. Il punto viene annullato</t>
  </si>
  <si>
    <t>Durante il gioco, se il pallino esce dal campo dopo un lancio, cosa succede?</t>
  </si>
  <si>
    <t>Se durante una partita il pallino si ferma sotto una boccia, cosa succede?</t>
  </si>
  <si>
    <t>A. Il pallino viene rimosso B. Il punto viene annullato C. Il gioco continua normalmente D. Il punto va alla squadra che ha lanciato</t>
  </si>
  <si>
    <t>Il pallino viene rimosso</t>
  </si>
  <si>
    <t>Se il giocatore lancia la boccia e questa colpisce un'altra boccia e cambia direzione, cosa succede?</t>
  </si>
  <si>
    <t>A. La boccia viene considerata fuori gioco B. Il punto va alla squadra avversaria C. Il gioco continua normalmente D. Il punto viene annullato</t>
  </si>
  <si>
    <t>Nel gioco delle bocce, cosa succede se una boccia si ferma a metà campo?</t>
  </si>
  <si>
    <t>A. Il punto viene assegnato alla squadra avversaria B. La boccia è considerata fuori gioco C. La boccia è valida e il gioco continua D. La boccia viene rimossa</t>
  </si>
  <si>
    <t>La boccia è valida e il gioco continua</t>
  </si>
  <si>
    <t>Durante una partita di bocce, se una boccia viene lanciata fuori dal campo senza colpire nulla, cosa succede?</t>
  </si>
  <si>
    <t>A. La boccia viene annullata B. Il punto va alla squadra avversaria C. Il giocatore perde il turno D. Il gioco continua normalmente</t>
  </si>
  <si>
    <t>Se il pallino viene colpito e spostato nella zona di lancio di un’altra squadra, cosa succede?</t>
  </si>
  <si>
    <t>A. Il punto va alla squadra che ha lanciato B. Il pallino viene riposizionato C. Il punto va all’avversario D. Il gioco continua senza penalità</t>
  </si>
  <si>
    <t>Se una boccia viene lanciata sopra il pallino ma non lo tocca, cosa succede?</t>
  </si>
  <si>
    <t>A. La boccia guadagna un punto B. Il punto va all’avversario C. Il gioco continua normalmente D. Il punto viene annullato</t>
  </si>
  <si>
    <t>Cosa succede se un giocatore lancia la boccia e questa colpisce una boccia ferma?</t>
  </si>
  <si>
    <t>A. Il punto viene ricalcolato B. La boccia viene rimossa C. Il punto va alla squadra che ha lanciato D. Il gioco continua normalmente</t>
  </si>
  <si>
    <t>Se un giocatore lancia la boccia fuori campo, ma la boccia colpisce un’altra boccia, cosa succede?</t>
  </si>
  <si>
    <t>A. Il punto va alla squadra che ha lanciato B. La boccia viene riposizionata C. Il punto va all’avversario D. Il gioco continua normalmente</t>
  </si>
  <si>
    <t>Se una boccia si ferma sopra il pallino, come viene determinato il punteggio?</t>
  </si>
  <si>
    <t>A. La boccia guadagna il punto B. Il punto va all’avversario C. Il gioco continua normalmente D. La boccia viene annullata</t>
  </si>
  <si>
    <t>La boccia guadagna il punto</t>
  </si>
  <si>
    <t>Cosa succede se un giocatore lancia la boccia e questa tocca la linea di fondo senza uscire?</t>
  </si>
  <si>
    <t>A. La boccia è considerata valida B. Il punto va all’avversario C. Il lancio viene annullato D. Il punto viene annullato</t>
  </si>
  <si>
    <t>Se un giocatore lancia una boccia e questa colpisce il pallino, ma il pallino rimane nel suo posto, cosa succede?</t>
  </si>
  <si>
    <t>A. Il punto va alla squadra che ha lanciato B. Il punto va all’avversario C. Il pallino viene rimosso D. Il gioco continua normalmente</t>
  </si>
  <si>
    <t>Se un giocatore tocca involontariamente una boccia con il piede prima del lancio, cosa succede?</t>
  </si>
  <si>
    <t>A. Il punto va all’avversario B. Il lancio viene annullato C. Il giocatore perde il turno D. Il gioco continua normalmente</t>
  </si>
  <si>
    <t>Il punto va all’avversario</t>
  </si>
  <si>
    <t>Se durante una partita di bocce il pallino viene accidentalmente colpito e spostato fuori dal campo, cosa succede?</t>
  </si>
  <si>
    <t>A. Il punto va all’avversario B. Il pallino viene riposizionato C. La partita viene annullata D. Il gioco continua normalmente</t>
  </si>
  <si>
    <t>Se una boccia colpisce il pallino e cambia direzione ma non lo sposta, cosa succede?</t>
  </si>
  <si>
    <t>A. La boccia guadagna un punto B. Il punto va alla squadra avversaria C. Il gioco continua normalmente D. Il punto viene annullato</t>
  </si>
  <si>
    <t>Se un giocatore lancia la boccia e colpisce un’altra boccia che finisce fuori dal campo, cosa succede?</t>
  </si>
  <si>
    <t>A. La boccia viene annullata B. Il punto va alla squadra che ha lanciato C. Il gioco continua senza penalità D. La boccia viene riposizionata</t>
  </si>
  <si>
    <t>Se durante una partita di bocce il giocatore calcia accidentalmente una boccia, cosa succede?</t>
  </si>
  <si>
    <t>A. Il punto va all’avversario B. Il giocatore perde il turno C. La boccia viene riposizionata D. Il lancio viene annullato</t>
  </si>
  <si>
    <t>Se il pallino viene colpito accidentalmente durante il lancio, cosa succede?</t>
  </si>
  <si>
    <t>A. Il pallino viene riposizionato B. Il punto va alla squadra che ha lanciato C. Il gioco continua normalmente D. La partita viene sospesa</t>
  </si>
  <si>
    <t>Cosa succede se durante una partita il pallino esce accidentalmente dal campo di gioco?</t>
  </si>
  <si>
    <t>A. La partita viene annullata B. Il pallino viene riposizionato C. Il gioco continua normalmente D. Il punto va alla squadra avversaria</t>
  </si>
  <si>
    <t>Se un giocatore lancia una boccia che finisce nel campo avversario ma non tocca altre bocce, cosa succede?</t>
  </si>
  <si>
    <t>A. Il punto va all’avversario B. Il gioco continua normalmente C. La boccia viene riposizionata D. Il lancio viene annullato</t>
  </si>
  <si>
    <t>Se durante il lancio una boccia tocca il bordo del campo e rimbalza dentro senza fermarsi, cosa succede?</t>
  </si>
  <si>
    <t>A. Il lancio viene annullato B. Il punto va alla squadra che ha lanciato C. La boccia viene rimossa D. La boccia è considerata valida</t>
  </si>
  <si>
    <t>Se una boccia colpisce una boccia avversaria ma non cambia la posizione del pallino, cosa succede?</t>
  </si>
  <si>
    <t>A. Il punto va alla squadra che ha lanciato B. Il punto va all’avversario C. Il gioco continua normalmente D. Il punto viene annullato</t>
  </si>
  <si>
    <t>Se durante un gioco una boccia viene lanciata con troppa forza e finisce fuori dal campo, cosa succede?</t>
  </si>
  <si>
    <t>A. Il lancio viene annullato B. La boccia viene riposizionata C. Il punto va all’avversario D. La partita continua senza penalità</t>
  </si>
  <si>
    <t>Se il pallino viene colpito da una boccia e si sposta oltre la linea di fondo, cosa succede?</t>
  </si>
  <si>
    <t>A. La partita viene annullata B. Il pallino viene riposizionato nel centro del campo C. Il punto va alla squadra che ha lanciato D. Il gioco continua normalmente</t>
  </si>
  <si>
    <t>Se un giocatore lancia una boccia che tocca una boccia avversaria e questa si sposta, cosa succede?</t>
  </si>
  <si>
    <t>A. La boccia avversaria viene rimossa B. Il punto va alla squadra che ha lanciato C. Il gioco continua normalmente D. Il punto va all’avversario</t>
  </si>
  <si>
    <t>La boccia avversaria viene rimossa</t>
  </si>
  <si>
    <t>Se un giocatore non riesce a lanciare una boccia entro il tempo stabilito, cosa succede?</t>
  </si>
  <si>
    <t>A. Il giocatore perde il turno B. Il punto va alla squadra avversaria C. Il lancio viene annullato D. Il gioco continua normalmente</t>
  </si>
  <si>
    <t>Se durante il gioco una boccia si ferma sopra il pallino, cosa succede?</t>
  </si>
  <si>
    <t>A. Il punto va alla squadra che ha lanciato B. Il punto va all’avversario C. Il gioco continua normalmente D. Il pallino viene rimosso</t>
  </si>
  <si>
    <t>Se un giocatore calcia accidentalmente una boccia prima che venga lanciata, cosa succede?</t>
  </si>
  <si>
    <t>A. Il punto va all’avversario B. Il giocatore perde il turno C. Il lancio viene annullato D. Il gioco continua normalmente</t>
  </si>
  <si>
    <t>Se il pallino viene colpito durante un lancio e si sposta senza uscire dal campo, cosa succede?</t>
  </si>
  <si>
    <t>A. Il punto va alla squadra che ha lanciato B. Il pallino viene riposizionato C. Il punto va all’avversario D. Il gioco continua normalmente</t>
  </si>
  <si>
    <t>Se un giocatore lancia la boccia e questa si ferma a metà campo senza toccare altre bocce, cosa succede?</t>
  </si>
  <si>
    <t>A. La boccia è considerata valida B. Il punto va alla squadra avversaria C. Il gioco continua normalmente D. La boccia viene rimossa</t>
  </si>
  <si>
    <t>Cosa succede se un giocatore lancia la boccia in modo che tocchi una boccia avversaria e questa si sposta fuori dal campo?</t>
  </si>
  <si>
    <t>A. La boccia che ha spostato l’altra viene rimossa B. Il punto va alla squadra che ha lanciato C. Il gioco continua senza penalità D. La boccia che ha spostato l’altra viene rimossa</t>
  </si>
  <si>
    <t>Se una boccia colpisce il bordo del campo e poi si ferma, cosa succede?</t>
  </si>
  <si>
    <t>A. Il lancio è considerato valido B. Il punto va alla squadra avversaria C. Il lancio viene annullato D. Il gioco continua normalmente</t>
  </si>
  <si>
    <t>Se un giocatore calcia accidentalmente una boccia che non era ancora stata lanciata, cosa succede?</t>
  </si>
  <si>
    <t>A. Il punto va alla squadra avversaria B. La boccia viene riposizionata C. Il lancio viene annullato D. Il gioco continua normalmente</t>
  </si>
  <si>
    <t>Se una boccia colpisce il pallino, ma non cambia la posizione del pallino, cosa succede?</t>
  </si>
  <si>
    <t>A. Il punto va alla squadra che ha lanciato B. Il punto viene annullato C. Il punto va all’avversario D. Il gioco continua normalmente</t>
  </si>
  <si>
    <t>Se durante il gioco il pallino esce dal campo, cosa succede?</t>
  </si>
  <si>
    <t>A. La partita viene annullata B. Il pallino viene riposizionato C. Il punto va all’avversario D. Il gioco continua normalmente</t>
  </si>
  <si>
    <t>Se un giocatore lancia una boccia che si ferma sopra un’altra boccia avversaria, cosa succede?</t>
  </si>
  <si>
    <t>A. Il punto va alla squadra che ha lanciato B. Il gioco continua normalmente C. La boccia avversaria viene rimossa D. Il punto va all’avversario</t>
  </si>
  <si>
    <t>Cosa succede se un giocatore lancia una boccia che si ferma nel campo avversario?</t>
  </si>
  <si>
    <t>A. Il punto va all’avversario B. Il punto va alla squadra che ha lanciato C. La boccia viene riposizionata D. Il lancio viene annullato</t>
  </si>
  <si>
    <t>Se un giocatore lancia la boccia e questa colpisce una boccia già ferma e cambia direzione, cosa succede?</t>
  </si>
  <si>
    <t>Se un giocatore non lancia la boccia entro il tempo limite, cosa succede?</t>
  </si>
  <si>
    <t>Se un giocatore lancia una boccia e questa tocca il pallino ma non lo sposta, cosa succede?</t>
  </si>
  <si>
    <t>Se una boccia viene lanciata e colpisce il bordo del campo ma rientra nel campo, cosa succede?</t>
  </si>
  <si>
    <t>A. Il punto va alla squadra che ha lanciato B. Il lancio viene annullato C. Il punto va all’avversario D. Il gioco continua normalmente</t>
  </si>
  <si>
    <t>Se durante una partita il pallino esce dal campo e nessuna boccia lo colpisce, cosa succede?</t>
  </si>
  <si>
    <t>A. Il pallino viene riposizionato B. La partita viene annullata C. Il punto va alla squadra avversaria D. Il gioco continua normalmente</t>
  </si>
  <si>
    <t>Se un giocatore lancia la boccia e questa tocca una boccia avversaria che esce dal campo, cosa succede?</t>
  </si>
  <si>
    <t>A. Il punto va alla squadra che ha lanciato B. La boccia avversaria viene rimossa C. Il gioco continua normalmente D. Il punto va all’avversario</t>
  </si>
  <si>
    <t>Cosa succede se un giocatore lancia la boccia e questa tocca una boccia che si sposta verso il pallino?</t>
  </si>
  <si>
    <t>A. La boccia guadagna un punto B. Il punto va alla squadra che ha lanciato C. Il punto va all’avversario D. Il gioco continua normalmente</t>
  </si>
  <si>
    <t>Se un giocatore lancia la boccia e questa si ferma sopra un’altra boccia avversaria, cosa succede?</t>
  </si>
  <si>
    <t>A. La boccia è considerata più vicina al pallino B. Il punto va alla squadra che ha lanciato C. Il gioco continua normalmente D. La boccia viene rimossa</t>
  </si>
  <si>
    <t>La boccia è considerata più vicina al pallino</t>
  </si>
  <si>
    <t>Se un giocatore colpisce una boccia avversaria con la propria, ma non cambia la posizione del pallino, cosa succede?</t>
  </si>
  <si>
    <t>A. Il punto va alla squadra che ha lanciato B. Il punto va all’avversario C. La boccia avversaria viene rimossa D. Il gioco continua normalmente</t>
  </si>
  <si>
    <t>Cosa succede se un giocatore lancia una boccia e questa tocca il pallino e lo sposta?</t>
  </si>
  <si>
    <t>A. Il punto va alla squadra che ha lanciato B. Il pallino viene riposizionato C. Il gioco continua normalmente D. Il punto va all’avversario</t>
  </si>
  <si>
    <t>Se un giocatore lancia la boccia in modo che finisca fuori dal campo senza colpire nulla, cosa succede?</t>
  </si>
  <si>
    <t>A. Il punto va alla squadra avversaria B. Il gioco continua normalmente C. La boccia viene annullata D. Il lancio viene annullato</t>
  </si>
  <si>
    <t>Cosa succede se un giocatore calcia accidentalmente una boccia durante il gioco?</t>
  </si>
  <si>
    <t>A. Il punto va all’avversario B. La boccia viene riposizionata C. Il lancio viene annullato D. Il gioco continua normalmente</t>
  </si>
  <si>
    <t>Se un giocatore lancia una boccia che tocca una boccia avversaria e la sposta fuori dal campo, cosa succede?</t>
  </si>
  <si>
    <t>A. La boccia avversaria viene rimossa B. Il punto va alla squadra che ha lanciato C. Il gioco continua normalmente D. La boccia viene riposizionata</t>
  </si>
  <si>
    <t>Se il pallino viene colpito e si sposta oltre la linea di fondo, cosa succede?</t>
  </si>
  <si>
    <t>A. Il punto va alla squadra che ha lanciato B. Il gioco continua normalmente C. Il pallino viene riposizionato D. La partita viene annullata</t>
  </si>
  <si>
    <t>Se una boccia esce dal campo ma non tocca nulla, cosa succede?</t>
  </si>
  <si>
    <t>A. La boccia viene annullata B. Il punto va all’avversario C. Il gioco continua normalmente D. Il lancio viene annullato</t>
  </si>
  <si>
    <t>Se un giocatore lancia una boccia troppo forte e questa colpisce una boccia avversaria, cosa succede?</t>
  </si>
  <si>
    <t>A. La boccia viene riposizionata B. Il punto va alla squadra che ha lanciato C. Il gioco continua normalmente D. Il punto va all’avversario</t>
  </si>
  <si>
    <t>Se il pallino viene colpito e si sposta fuori dal campo, cosa succede?</t>
  </si>
  <si>
    <t>A. La partita viene annullata B. Il pallino viene riposizionato C. Il punto va alla squadra che ha lanciato D. Il gioco continua normalmente</t>
  </si>
  <si>
    <t>Cosa succede se un giocatore lancia una boccia che tocca la linea di lancio?</t>
  </si>
  <si>
    <t>A. La boccia è considerata valida B. Il punto va all’avversario C. Il lancio viene annullato D. La boccia viene rimossa</t>
  </si>
  <si>
    <t>Se durante una partita una boccia si ferma sopra il pallino, cosa succede?</t>
  </si>
  <si>
    <t>A. Il punto va alla squadra che ha lanciato B. Il gioco continua normalmente C. Il punto va all’avversario D. La boccia viene rimossa</t>
  </si>
  <si>
    <t>Se una boccia viene lanciata e colpisce una boccia che si sposta verso il pallino, cosa succede?</t>
  </si>
  <si>
    <t>Cosa succede se una boccia colpisce il bordo del campo e rimbalza fuori?</t>
  </si>
  <si>
    <t>A. Il lancio viene annullato B. Il punto va all’avversario C. Il gioco continua normalmente D. La boccia viene riposizionata</t>
  </si>
  <si>
    <t>Se una boccia viene lanciata e colpisce un’altra boccia, ma non cambia la posizione del pallino, cosa succede?</t>
  </si>
  <si>
    <t>A. Il punto va alla squadra che ha lanciato B. Il punto va all’avversario C. Il gioco continua normalmente D. La boccia avversaria viene rimossa</t>
  </si>
  <si>
    <t>Se durante il lancio una boccia tocca la linea di fondo senza uscire, cosa succede?</t>
  </si>
  <si>
    <t>A. Il punto va alla squadra che ha lanciato B. Il lancio viene annullato C. Il gioco continua normalmente D. La boccia viene riposizionata</t>
  </si>
  <si>
    <t>Se una boccia colpisce il pallino e lo sposta fuori dal campo, cosa succede?</t>
  </si>
  <si>
    <t>Cosa succede se un giocatore lancia una boccia che finisce fuori dal campo senza colpire alcuna boccia?</t>
  </si>
  <si>
    <t>A. Il punto va all’avversario B. Il lancio viene annullato C. Il gioco continua normalmente D. La boccia viene riposizionata</t>
  </si>
  <si>
    <t>Se un giocatore lancia la boccia e colpisce un’altra boccia avversaria che si sposta verso il pallino, cosa succede?</t>
  </si>
  <si>
    <t>A. Il punto va alla squadra che ha lanciato B. Il gioco continua normalmente C. Il punto va all’avversario D. Il pallino viene riposizionato</t>
  </si>
  <si>
    <t>Cosa succede se un giocatore calcia accidentalmente una boccia prima che venga lanciata?</t>
  </si>
  <si>
    <t>A. Il pallino viene riposizionato B. Il punto va alla squadra che ha lanciato C. Il gioco continua normalmente D. Il pallino viene rimosso</t>
  </si>
  <si>
    <t>Se un giocatore lancia la boccia e questa tocca una boccia avversaria che si sposta fuori dal campo, cosa succede?</t>
  </si>
  <si>
    <t>Se un giocatore lancia la boccia e questa si ferma sopra il pallino, cosa succede?</t>
  </si>
  <si>
    <t>A. Il punto va alla squadra che ha lanciato B. Il gioco continua normalmente C. Il punto va all’avversario D. Il pallino viene rimosso</t>
  </si>
  <si>
    <t>Se una boccia tocca il pallino ma non cambia la posizione del pallino, cosa succede?</t>
  </si>
  <si>
    <t>A. Il punto va alla squadra che ha lanciato B. Il punto va all’avversario C. Il gioco continua normalmente D. Il pallino viene riposizionato</t>
  </si>
  <si>
    <t>Se durante una partita un giocatore calcia accidentalmente una boccia già lanciata, cosa succede?</t>
  </si>
  <si>
    <t>A. Il punto va all’avversario B. Il gioco continua normalmente C. Il lancio viene annullato D. La boccia viene riposizionata</t>
  </si>
  <si>
    <t>Se una boccia tocca la linea di fondo prima di fermarsi, cosa succede?</t>
  </si>
  <si>
    <t>A. La boccia è considerata fuori B. Il punto va alla squadra avversaria C. Il punto va alla squadra che ha lanciato D. Il lancio viene annullato</t>
  </si>
  <si>
    <t>La boccia è considerata fuori</t>
  </si>
  <si>
    <t>Cosa succede se un giocatore lancia la boccia e questa finisce nel campo avversario ma senza colpire il pallino?</t>
  </si>
  <si>
    <t>A. Il punto va all’avversario B. Il gioco continua normalmente C. Il punto va alla squadra che ha lanciato D. Il lancio viene annullato</t>
  </si>
  <si>
    <t>Se un giocatore lancia la boccia e questa tocca una boccia che si sposta fuori dal campo, cosa succede?</t>
  </si>
  <si>
    <t>A. Il punto va alla squadra che ha lanciato B. La boccia avversaria viene rimossa C. Il gioco continua normalmente D. La boccia viene riposizionata</t>
  </si>
  <si>
    <t>A. Il giocatore perde il turno B. Il punto va all’avversario C. Il lancio viene annullato D. Il gioco continua normalmente</t>
  </si>
  <si>
    <t>Se una boccia colpisce una boccia avversaria e questa cambia direzione, cosa succede?</t>
  </si>
  <si>
    <t>Se un giocatore lancia la boccia e questa colpisce un’altra boccia ma non sposta il pallino, cosa succede?</t>
  </si>
  <si>
    <t>Se un giocatore lancia la boccia con troppa forza e questa esce dal campo, cosa succede?</t>
  </si>
  <si>
    <t>Se un giocatore tocca la linea di lancio mentre lancia la boccia, cosa succede?</t>
  </si>
  <si>
    <t>A. Il punto va all’avversario B. Il gioco continua normalmente C. Il lancio viene annullato D. Il punto va alla squadra che ha lanciato</t>
  </si>
  <si>
    <t>Se un giocatore lancia una boccia che esce dal campo senza toccare nulla, cosa succede?</t>
  </si>
  <si>
    <t>A. Il punto va alla squadra avversaria B. Il lancio viene annullato C. Il gioco continua normalmente D. La boccia viene riposizionata</t>
  </si>
  <si>
    <t>Se durante un lancio una boccia tocca un’altra boccia e questa si ferma sopra il pallino, cosa succede?</t>
  </si>
  <si>
    <t>Se un giocatore lancia una boccia e questa tocca il pallino, ma non lo sposta, cosa succede?</t>
  </si>
  <si>
    <t>Se durante il gioco una boccia tocca il pallino e il pallino esce dal campo, cosa succede?</t>
  </si>
  <si>
    <t>Se un giocatore lancia una boccia troppo forte e questa colpisce una boccia avversaria che si sposta verso il pallino, cosa succede?</t>
  </si>
  <si>
    <t>Se un giocatore lancia la boccia e questa si ferma sopra un'altra boccia avversaria, cosa succede?</t>
  </si>
  <si>
    <t>A. Il punto va alla squadra che ha lanciato B. Il gioco continua normalmente C. La boccia avversaria viene rimossa D. Il punto va all'avversario</t>
  </si>
  <si>
    <t>A. Il punto va alla squadra che ha lanciato B. Il pallino viene riposizionato C. Il punto va all'avversario D. Il gioco continua normalmente</t>
  </si>
  <si>
    <t>Cosa succede se una boccia esce dal campo ma tocca il pallino durante il lancio?</t>
  </si>
  <si>
    <t>A. Il punto va alla squadra che ha lanciato B. Il pallino viene riposizionato C. Il gioco continua normalmente D. Il punto va all'avversario</t>
  </si>
  <si>
    <t>Se un giocatore lancia la boccia e questa colpisce una boccia avversaria ma non cambia la sua posizione, cosa succede?</t>
  </si>
  <si>
    <t>A. Il punto va alla squadra che ha lanciato B. Il punto va all'avversario C. La boccia avversaria viene rimossa D. Il gioco continua normalmente</t>
  </si>
  <si>
    <t>Se un giocatore lancia una boccia che finisce nel campo avversario senza colpire il pallino, cosa succede?</t>
  </si>
  <si>
    <t>A. Il punto va all'avversario B. Il punto va alla squadra che ha lanciato C. La boccia viene rimossa D. Il gioco continua normalmente</t>
  </si>
  <si>
    <t>Il punto va all'avversario</t>
  </si>
  <si>
    <t>Se una boccia colpisce un'altra boccia avversaria che si sposta fuori dal campo, cosa succede?</t>
  </si>
  <si>
    <t>Se il pallino esce dal campo durante una partita, cosa succede?</t>
  </si>
  <si>
    <t>A. Il pallino viene riposizionato B. La partita viene annullata C. Il punto va alla squadra che ha lanciato D. Il gioco continua normalmente</t>
  </si>
  <si>
    <t>A. Il giocatore perde il turno B. Il punto va all'avversario C. Il gioco continua normalmente D. Il lancio viene annullato</t>
  </si>
  <si>
    <t>Se un giocatore lancia la boccia e questa tocca il pallino ma non lo sposta, cosa succede?</t>
  </si>
  <si>
    <t>A. Il punto va alla squadra che ha lanciato B. Il gioco continua normalmente C. Il punto va all'avversario D. Il pallino viene riposizionato</t>
  </si>
  <si>
    <t>Se una boccia viene lanciata fuori dal campo senza toccare nulla, cosa succede?</t>
  </si>
  <si>
    <t>A. Il punto va all'avversario B. Il lancio viene annullato C. Il gioco continua normalmente D. La boccia viene riposizionata</t>
  </si>
  <si>
    <t>A. Il punto va all'avversario B. La boccia viene riposizionata C. Il lancio viene annullato D. Il gioco continua normalmente</t>
  </si>
  <si>
    <t>Se un giocatore lancia la boccia e questa colpisce un'altra boccia che cambia direzione ma non tocca il pallino, cosa succede?</t>
  </si>
  <si>
    <t>A. Il punto va alla squadra che ha lanciato B. Il gioco continua normalmente C. Il punto va all'avversario D. La boccia avversaria viene rimossa</t>
  </si>
  <si>
    <t>Cosa succede se un giocatore lancia una boccia troppo forte e questa colpisce una boccia avversaria che si sposta verso il pallino?</t>
  </si>
  <si>
    <t>Se un giocatore lancia una boccia che colpisce una boccia avversaria e questa cambia direzione, cosa succede?</t>
  </si>
  <si>
    <t>A. Il giocatore perde il turno B. Il punto va all'avversario C. Il lancio viene annullato D. Il gioco continua normalmente</t>
  </si>
  <si>
    <t>Se una boccia tocca la linea di fondo durante il lancio, cosa succede?</t>
  </si>
  <si>
    <t>Se un giocatore lancia una boccia e questa tocca una boccia avversaria che si sposta verso il pallino, cosa succede?</t>
  </si>
  <si>
    <t>Se un giocatore lancia una boccia e questa colpisce una boccia avversaria ma non cambia la posizione del pallino, cosa succede?</t>
  </si>
  <si>
    <t>Se un giocatore lancia una boccia e questa tocca la linea di fondo ma non esce dal campo, cosa succede?</t>
  </si>
  <si>
    <t>A. Il punto va alla squadra che ha lanciato B. Il gioco continua normalmente C. Il punto va all'avversario D. Il lancio viene annullato</t>
  </si>
  <si>
    <t>A. Il punto va alla squadra che ha lanciato B. Il gioco continua normalmente C. Il lancio viene annullato D. La boccia viene riposizionata</t>
  </si>
  <si>
    <t>Se il pallino esce dal campo e nessuna boccia lo colpisce, cosa succede?</t>
  </si>
  <si>
    <t>A. Il pallino viene riposizionato B. La partita viene annullata C. Il punto va all'avversario D. Il gioco continua normalmente</t>
  </si>
  <si>
    <t>Se un giocatore lancia una boccia e questa si ferma sopra una boccia avversaria, cosa succede?</t>
  </si>
  <si>
    <t>A. La boccia è considerata più vicina al pallino B. Il punto va alla squadra che ha lanciato C. Il gioco continua normalmente D. La boccia avversaria viene rimossa</t>
  </si>
  <si>
    <t>Se un giocatore lancia una boccia e questa si ferma sopra il pallino, cosa succede?</t>
  </si>
  <si>
    <t>Se un giocatore lancia una boccia e questa si ferma fuori dal campo, cosa succede?</t>
  </si>
  <si>
    <t>Se un giocatore lancia una boccia che colpisce il pallino ma non lo sposta, cosa succede?</t>
  </si>
  <si>
    <t>Se una boccia colpisce un'altra boccia che cambia direzione, cosa succede?</t>
  </si>
  <si>
    <t>A. Il punto va alla squadra che ha lanciato B. Il punto va all'avversario C. Il gioco continua normalmente D. La boccia avversaria viene rimossa</t>
  </si>
  <si>
    <t>Se un giocatore lancia la boccia troppo forte e questa esce dal campo, cosa succede?</t>
  </si>
  <si>
    <t>Se un giocatore lancia una boccia che colpisce una boccia avversaria ma non cambia la posizione del pallino, cosa succede?</t>
  </si>
  <si>
    <t>Cosa succede se un giocatore lancia una boccia che tocca la linea di fondo prima di fermarsi?</t>
  </si>
  <si>
    <t>A. La boccia è considerata fuori B. Il punto va all'avversario C. Il gioco continua normalmente D. La boccia viene riposizionata</t>
  </si>
  <si>
    <t>Se un giocatore lancia una boccia che esce dal campo ma non tocca nulla, cosa succede?</t>
  </si>
  <si>
    <t>A. Il punto va all'avversario B. Il gioco continua normalmente C. Il lancio viene annullato D. La boccia viene riposizionata</t>
  </si>
  <si>
    <t>Se il pallino viene colpito da una boccia ma non si sposta, cosa succede?</t>
  </si>
  <si>
    <t>Se una boccia colpisce il pallino e lo sposta, ma non cambia la posizione di altre bocce, cosa succede?</t>
  </si>
  <si>
    <t>Se un giocatore lancia la boccia e questa finisce sopra il pallino, cosa succede?</t>
  </si>
  <si>
    <t>A. Il punto va alla squadra che ha lanciato B. Il gioco continua normalmente C. Il pallino viene riposizionato D. Il punto va all'avversario</t>
  </si>
  <si>
    <t>Cosa succede se un giocatore lancia la boccia e questa tocca il pallino e lo sposta?</t>
  </si>
  <si>
    <t>Se un giocatore lancia una boccia e questa si sposta in direzione opposta rispetto al pallino, cosa succede?</t>
  </si>
  <si>
    <t>A. Il punto va alla squadra che ha lanciato B. Il punto va all'avversario C. Il gioco continua normalmente D. Il pallino viene riposizionato</t>
  </si>
  <si>
    <t>Se una boccia tocca la linea di lancio durante il lancio, cosa succede?</t>
  </si>
  <si>
    <t>A. Il lancio viene annullato B. Il punto va alla squadra che ha lanciato C. Il gioco continua normalmente D. Il punto va all'avversario</t>
  </si>
  <si>
    <t>Se una boccia esce dal campo e non tocca il pallino, cosa succede?</t>
  </si>
  <si>
    <t>Se un giocatore lancia una boccia che tocca la linea di fondo ma non esce dal campo, cosa succede?</t>
  </si>
  <si>
    <t>Se un giocatore lancia la boccia e questa colpisce una boccia avversaria che si sposta verso il pallino, cosa succede?</t>
  </si>
  <si>
    <t>Se un giocatore lancia una boccia troppo forte e questa finisce oltre la linea di fondo, cosa succede?</t>
  </si>
  <si>
    <t>Se un giocatore lancia la boccia e questa colpisce una boccia avversaria che si sposta fuori dal campo, cosa succede?</t>
  </si>
  <si>
    <t>Se un giocatore non lancia la boccia nel tempo stabilito, cosa succede?</t>
  </si>
  <si>
    <t>Se un giocatore lancia la boccia e questa colpisce il pallino ma non lo sposta, cosa succede?</t>
  </si>
  <si>
    <t>Cosa succede se un giocatore lancia una boccia e questa colpisce una boccia avversaria ma non cambia la posizione del pallino?</t>
  </si>
  <si>
    <t>Se un giocatore lancia una boccia e questa finisce sopra il pallino, cosa succede?</t>
  </si>
  <si>
    <t>Se un giocatore lancia la boccia e questa tocca una boccia avversaria e la sposta verso il pallino, cosa succede?</t>
  </si>
  <si>
    <t>Se un giocatore lancia una boccia che finisce sopra la linea di fondo, cosa succede?</t>
  </si>
  <si>
    <t>A. La boccia è considerata fuori B. Il punto va all'avversario C. Il lancio viene annullato D. Il gioco continua normalmente</t>
  </si>
  <si>
    <t>Se il pallino viene colpito durante il lancio e si sposta, cosa succede?</t>
  </si>
  <si>
    <t>A. Il gioco continua normalmente B. Il punto va alla squadra che ha lanciato C. Il pallino viene riposizionato D. Il punto va all'avversario</t>
  </si>
  <si>
    <t>Se un giocatore lancia la boccia e questa finisce fuori campo senza colpire nulla, cosa succede?</t>
  </si>
  <si>
    <t>A. Il punto va all'avversario B. La boccia viene riposizionata C. Il gioco continua normalmente D. Il lancio viene annullato</t>
  </si>
  <si>
    <t>Se un giocatore lancia la boccia e colpisce il pallino, ma non lo sposta, cosa succede?</t>
  </si>
  <si>
    <t>Cosa succede se un giocatore lancia la boccia e questa si ferma sopra la linea di fondo?</t>
  </si>
  <si>
    <t>A. La boccia è considerata fuori B. Il punto va all'avversario C. Il gioco continua normalmente D. Il lancio viene annullato</t>
  </si>
  <si>
    <t>Se un giocatore lancia la boccia e questa si ferma troppo lontano dal pallino, cosa succede?</t>
  </si>
  <si>
    <t>A. Il punto va all'avversario B. Il gioco continua normalmente C. Il punto va alla squadra che ha lanciato D. La boccia viene riposizionata</t>
  </si>
  <si>
    <t>Se una boccia tocca la linea di fondo ma non la oltrepassa, cosa succede?</t>
  </si>
  <si>
    <t>Se un giocatore lancia la boccia e questa tocca una boccia avversaria che cambia direzione, cosa succede?</t>
  </si>
  <si>
    <t>Se un giocatore lancia una boccia e questa tocca la linea di lancio, cosa succede?</t>
  </si>
  <si>
    <t>A. Il lancio viene annullato B. Il punto va alla squadra che ha lanciato C. Il gioco continua normalmente D. La boccia viene riposizionata</t>
  </si>
  <si>
    <t>Se un giocatore lancia una boccia e questa finisce dietro la boccia avversaria, cosa succede?</t>
  </si>
  <si>
    <t>A. Il punto va all'avversario B. Il gioco continua normalmente C. Il punto va alla squadra che ha lanciato D. Il pallino viene riposizionato</t>
  </si>
  <si>
    <t>Se un giocatore calcia accidentalmente una boccia prima del lancio, cosa succede?</t>
  </si>
  <si>
    <t>A. Il gioco continua normalmente B. Il punto va all'avversario C. La boccia viene riposizionata D. Il lancio viene annullato</t>
  </si>
  <si>
    <t>Cosa succede se una boccia colpisce un'altra boccia che si sposta verso il pallino ma non lo tocca?</t>
  </si>
  <si>
    <t>Se un giocatore lancia la boccia troppo forte e questa finisce oltre la linea di fondo senza toccare nulla, cosa succede?</t>
  </si>
  <si>
    <t>Se un giocatore lancia la boccia e questa si sposta verso il pallino, ma non lo tocca, cosa succede?</t>
  </si>
  <si>
    <t>A. Il punto va alla squadra che ha lanciato B. Il punto va all'avversario C. Il gioco continua normalmente D. La boccia viene riposizionata</t>
  </si>
  <si>
    <t>Se una boccia viene lanciata troppo forte e colpisce il pallino, ma non lo sposta, cosa succede?</t>
  </si>
  <si>
    <t>Cosa succede se un giocatore lancia la boccia e questa colpisce una boccia avversaria e la sposta?</t>
  </si>
  <si>
    <t>Se un giocatore lancia la boccia e questa tocca la linea di fondo ma non esce, cosa succede?</t>
  </si>
  <si>
    <t>A. Il punto va alla squadra che ha lanciato B. Il lancio viene annullato C. Il gioco continua normalmente D. Il punto va all'avversario</t>
  </si>
  <si>
    <t>Se un giocatore lancia una boccia e questa tocca una boccia avversaria ma non cambia la sua posizione, cosa succede?</t>
  </si>
  <si>
    <t>Cosa succede se un giocatore lancia una boccia e questa tocca una boccia avversaria che si sposta ma non cambia la posizione del pallino?</t>
  </si>
  <si>
    <t>Se un giocatore lancia una boccia che finisce fuori campo, cosa succede?</t>
  </si>
  <si>
    <t>Se un giocatore lancia la boccia e questa si ferma sopra una boccia avversaria, cosa succede?</t>
  </si>
  <si>
    <t>A. Il punto va alla squadra che ha lanciato B. Il gioco continua normalmente C. Il punto va all'avversario D. La boccia viene riposizionata</t>
  </si>
  <si>
    <t>Se un giocatore lancia la boccia e questa tocca la boccia avversaria ma non la sposta, cosa succede?</t>
  </si>
  <si>
    <t>Se un giocatore lancia una boccia troppo lontana dal pallino, cosa succede?</t>
  </si>
  <si>
    <t>Se un giocatore lancia la boccia e questa colpisce una boccia avversaria e la sposta verso il pallino, cosa succede?</t>
  </si>
  <si>
    <t>Se un giocatore lancia una boccia e questa tocca la linea di fondo, cosa succede?</t>
  </si>
  <si>
    <t>Se un giocatore lancia la boccia e questa finisce sopra una boccia avversaria ma non la sposta, cosa succede?</t>
  </si>
  <si>
    <t>Se un giocatore lancia una boccia e questa finisce oltre la linea di fondo senza toccare nulla, cosa succede?</t>
  </si>
  <si>
    <t>Cosa succede se un giocatore lancia la boccia e questa finisce fuori dal campo senza toccare il pallino?</t>
  </si>
  <si>
    <t>Se un giocatore lancia una boccia troppo forte e questa finisce oltre il pallino, cosa succede?</t>
  </si>
  <si>
    <t>Se una boccia colpisce la boccia avversaria e si sposta senza cambiare la posizione del pallino, cosa succede?</t>
  </si>
  <si>
    <t>Se il pallino viene spostato fuori dal campo da una boccia, cosa succede?</t>
  </si>
  <si>
    <t>Se un giocatore lancia la boccia e questa tocca la linea di fondo ma non la supera, cosa succede?</t>
  </si>
  <si>
    <t>A. Il punto va alla squadra che ha lanciato B. Il gioco continua normalmente C. Il lancio viene annullato D. Il punto va all'avversario</t>
  </si>
  <si>
    <t>Se un giocatore lancia la boccia e questa si ferma a metà strada tra il pallino e la linea di fondo, cosa succede?</t>
  </si>
  <si>
    <t>Se un giocatore lancia una boccia e questa tocca un'altra boccia ma non la sposta, cosa succede?</t>
  </si>
  <si>
    <t>Se un giocatore lancia una boccia e questa colpisce il pallino ma non lo sposta, cosa succede?</t>
  </si>
  <si>
    <t>Se un giocatore lancia una boccia che esce dal campo ma tocca un'altra boccia, cosa succede?</t>
  </si>
  <si>
    <t>Se un giocatore lancia la boccia e questa si ferma su una boccia avversaria, cosa succede?</t>
  </si>
  <si>
    <t>Se una boccia tocca la linea di lancio ma non oltrepassa, cosa succede?</t>
  </si>
  <si>
    <t>Se un giocatore lancia la boccia e questa esce dal campo ma non tocca nulla, cosa succede?</t>
  </si>
  <si>
    <t>Se un giocatore lancia la boccia e questa tocca una boccia avversaria ma non sposta il pallino, cosa succede?</t>
  </si>
  <si>
    <t>Se un giocatore lancia la boccia e questa tocca una boccia avversaria che si sposta ma non cambia la posizione del pallino, cosa succede?</t>
  </si>
  <si>
    <t>Se un giocatore lancia una boccia e questa colpisce il pallino, ma non lo sposta, cosa succede?</t>
  </si>
  <si>
    <t>Se un giocatore lancia la boccia e questa si sposta leggermente ma non cambia la posizione del pallino, cosa succede?</t>
  </si>
  <si>
    <t>Se un giocatore lancia una boccia che colpisce una boccia avversaria ma non la sposta, cosa succede?</t>
  </si>
  <si>
    <t>Se un giocatore lancia la boccia e questa colpisce la boccia avversaria, ma non la sposta, cosa succede?</t>
  </si>
  <si>
    <t>A. Il gioco continua normalmente B. Il punto va alla squadra che ha lanciato C. Il punto va all'avversario D. La boccia avversaria viene rimossa</t>
  </si>
  <si>
    <t>Se un giocatore lancia la boccia e questa si ferma a meno di un metro dal pallino, cosa succede?</t>
  </si>
  <si>
    <t>Se un giocatore lancia la boccia troppo forte e questa va fuori campo senza toccare nulla, cosa succede?</t>
  </si>
  <si>
    <t>Se il pallino viene spostato accidentalmente da un giocatore, cosa succede?</t>
  </si>
  <si>
    <t>Se un giocatore lancia la boccia e questa va oltre la linea di fondo senza toccare nulla, cosa succede?</t>
  </si>
  <si>
    <t>Se una boccia tocca la linea di fondo ma non la supera, cosa succede?</t>
  </si>
  <si>
    <t>Se un giocatore lancia la boccia troppo forte e questa finisce dietro la linea di fondo senza toccare nulla, cosa succede?</t>
  </si>
  <si>
    <t>Se un giocatore lancia la boccia e questa tocca la boccia avversaria, ma non cambia la posizione del pallino, cosa succede?</t>
  </si>
  <si>
    <t>Se un giocatore lancia la boccia e questa tocca una boccia avversaria, ma non la sposta, cosa succede?</t>
  </si>
  <si>
    <t>Se un giocatore lancia la boccia e questa tocca la linea di fondo, ma non la supera, cosa succede?</t>
  </si>
  <si>
    <t>Se un giocatore lancia una boccia che colpisce una boccia avversaria, ma la sposta senza cambiare la posizione del pallino, cosa succede?</t>
  </si>
  <si>
    <t>Se un giocatore lancia la boccia e questa colpisce il pallino, ma lo sposta di poco, cosa succede?</t>
  </si>
  <si>
    <t>Se un giocatore lancia la boccia e questa tocca la boccia avversaria e si ferma, cosa succede?</t>
  </si>
  <si>
    <t>A. Il pallino viene riposizionato B. Il gioco continua normalmente C. Il punto va all'avversario D. La partita viene annullata</t>
  </si>
  <si>
    <t>Se un giocatore lancia una boccia e questa si ferma sopra la linea di fondo, cosa succede?</t>
  </si>
  <si>
    <t>A. La boccia è considerata fuori B. Il gioco continua normalmente C. Il punto va all'avversario D. Il lancio viene annullato</t>
  </si>
  <si>
    <t>Se un giocatore lancia una boccia e questa colpisce una boccia avversaria e la sposta verso il pallino, cosa succede?</t>
  </si>
  <si>
    <t>Se un giocatore lancia la boccia e questa tocca una boccia avversaria che si sposta verso il pallino, cosa succede?</t>
  </si>
  <si>
    <t>Se un giocatore lancia la boccia e questa si ferma vicino al pallino ma non lo tocca, cosa succede?</t>
  </si>
  <si>
    <t>Se il pallino viene colpito e si sposta verso il bordo del campo, cosa succede?</t>
  </si>
  <si>
    <t>A. Il pallino viene riposizionato B. Il punto va alla squadra che ha lanciato C. Il gioco continua normalmente D. Il punto va all'avversario</t>
  </si>
  <si>
    <t>Se un giocatore lancia una boccia e questa si ferma vicino al pallino ma non lo tocca, cosa succede?</t>
  </si>
  <si>
    <t>Se un giocatore lancia la boccia e questa colpisce una boccia avversaria che non si sposta, cosa succede?</t>
  </si>
  <si>
    <t>Se un giocatore lancia una boccia e questa finisce fuori dal campo senza toccare nulla, cosa succede?</t>
  </si>
  <si>
    <t>Se un giocatore lancia una boccia che va oltre il pallino, cosa succede?</t>
  </si>
  <si>
    <t>Se un giocatore lancia una boccia che tocca una boccia avversaria e si sposta senza cambiare la posizione del pallino, cosa succede?</t>
  </si>
  <si>
    <t>Se un giocatore lancia la boccia e questa colpisce una boccia avversaria ma non cambia la posizione del pallino, cosa succede?</t>
  </si>
  <si>
    <t>Se un giocatore lancia la boccia e questa colpisce una boccia avversaria e si sposta verso il pallino, cosa succede?</t>
  </si>
  <si>
    <t>Se un giocatore lancia la boccia e questa esce dal campo senza colpire nulla, cosa succede?</t>
  </si>
  <si>
    <t>Se un giocatore lancia la boccia e questa colpisce il pallino e lo sposta, cosa succede?</t>
  </si>
  <si>
    <t>A. Il gioco continua normalmente B. Il punto va alla squadra che ha lanciato C. Il punto va all'avversario D. La boccia viene riposizionata</t>
  </si>
  <si>
    <t>Se un giocatore lancia la boccia e questa colpisce il pallino e lo sposta di poco, cosa succede?</t>
  </si>
  <si>
    <t>Se un giocatore lancia una boccia e questa tocca la linea di fondo ma non la supera, cosa succede?</t>
  </si>
  <si>
    <t>Se un giocatore lancia la boccia e questa finisce dietro la linea di fondo senza toccare nulla, cosa succede?</t>
  </si>
  <si>
    <t>Se un giocatore calcia accidentalmente una boccia durante il gioco, cosa succede?</t>
  </si>
  <si>
    <t>Question number</t>
  </si>
  <si>
    <t>Ye're in a game o' Pallone col Bracciale an' ye hit the ball against the wall wi' yer bracciale. Whit happens?</t>
  </si>
  <si>
    <t>A. Ye win a point B. Ye lose the point C. Ye get a free throw D. Ye get a warning</t>
  </si>
  <si>
    <t>Ye win a point</t>
  </si>
  <si>
    <t>Ye strike the ball but it goes ower the wall an' lands on the ground outside the court. Whit happens?</t>
  </si>
  <si>
    <t>A. Ye lose the point B. Ye win a point C. Ye get a penalty D. The game continues</t>
  </si>
  <si>
    <t>Ye lose the point</t>
  </si>
  <si>
    <t>Ye're in the middle o' a rally an' ye hit the ball but it touches the ground inside the court before hitting the wall. Whit happens?</t>
  </si>
  <si>
    <t>A. Ye lose the point B. Ye win the point C. Ye get a warning D. Ye get a free throw</t>
  </si>
  <si>
    <t>Ye're using yer bracciale an' it slips aff yer arm hitting the ball wi' yer hand. Whit happens?</t>
  </si>
  <si>
    <t>A. Ye lose the point B. Ye win a point C. Ye get a penalty D. Ye get a warning</t>
  </si>
  <si>
    <t>Ye manage to strike the ball but it hits the wall an' then lands outside the court. Whit happens?</t>
  </si>
  <si>
    <t>A. Ye lose the point B. Ye win the point C. Ye get a penalty D. Ye get a warning</t>
  </si>
  <si>
    <t>Ye strike the ball but it bounces back from the wall an' hits yer opponent's bracciale. Whit happens?</t>
  </si>
  <si>
    <t>A. Ye lose the point B. Ye win the point C. Ye get a free throw D. Ye get a warning</t>
  </si>
  <si>
    <t>Ye win the point</t>
  </si>
  <si>
    <t>Ye strike the ball but it goes high an' strikes the ceiling. Whit happens?</t>
  </si>
  <si>
    <t>A. Ye lose the point B. Ye win the point C. Ye get a penalty D. Ye get a free throw</t>
  </si>
  <si>
    <t>Ye strike the ball an' yer opponent misses it entirely. Whit happens?</t>
  </si>
  <si>
    <t>A. Ye win the point B. Ye lose the point C. Ye get a free throw D. Ye get a penalty</t>
  </si>
  <si>
    <t>Ye strike the ball but it hits the wall an' bounces back an' hits the ground within the court. Whit happens?</t>
  </si>
  <si>
    <t>A. Ye lose the point B. Ye win the point C. Ye get a warning D. Ye get a penalty</t>
  </si>
  <si>
    <t>Ye strike the ball in a rally an' the ball lands on the line o' the court. Whit happens?</t>
  </si>
  <si>
    <t>A. Ye win the point B. Ye lose the point C. Ye get a penalty D. Ye get a warning</t>
  </si>
  <si>
    <t>Ye serve the ball but it goes out o' bounds on the first strike. Whit happens?</t>
  </si>
  <si>
    <t>A. Ye lose the point B. Ye win the point C. Ye get a warning D. Ye get a second chance</t>
  </si>
  <si>
    <t>Ye hit the ball but it lands in yer opponent's half an' they fail tae hit it back. Whit happens?</t>
  </si>
  <si>
    <t>A. Ye win the point B. Ye lose the point C. Ye get a free throw D. Ye get a warning</t>
  </si>
  <si>
    <t>Ye hit the ball wi' yer bracciale an' it ricochets back at ye hitting ye directly. Whit happens?</t>
  </si>
  <si>
    <t>Ye hit the ball but yer opponent stands inside the line blocking yer shot. Whit happens?</t>
  </si>
  <si>
    <t>Ye hit the ball an' it lands on the top o' the wall an' doesn't fall down. Whit happens?</t>
  </si>
  <si>
    <t>A. Ye lose the point B. Ye win the point C. The ball is returned D. Ye get a free throw</t>
  </si>
  <si>
    <t>Ye hit the ball but it lands outside the court an' yer opponent calls it in. Whit happens?</t>
  </si>
  <si>
    <t>A. Ye lose the point B. Ye win the point C. Ye get a warning D. The game continues</t>
  </si>
  <si>
    <t>Ye strike the ball an' yer opponent hits it back over yer head without touching the ground. Whit happens?</t>
  </si>
  <si>
    <t>Ye hit the ball an' it lands at the edge o' yer opponent’s court. Whit happens?</t>
  </si>
  <si>
    <t>A. Ye win the point B. Ye lose the point C. The game stops D. Ye get a penalty</t>
  </si>
  <si>
    <t>Ye serve the ball an' yer opponent returns it wi' their bracciale but it bounces outta bounds. Whit happens?</t>
  </si>
  <si>
    <t>A. Ye win the point B. Ye lose the point C. Ye get a penalty D. Ye get a free throw</t>
  </si>
  <si>
    <t>Ye strike the ball an' it flies too far landing outside the court. Whit happens?</t>
  </si>
  <si>
    <t>A. Ye lose the point B. Ye win the point C. Ye get a penalty D. The game continues</t>
  </si>
  <si>
    <t>Ye hit the ball an' it goes behind the wall an' into the crowd. Whit happens?</t>
  </si>
  <si>
    <t>Ye make a perfect strike but yer opponent catches the ball before it hits the wall. Whit happens?</t>
  </si>
  <si>
    <t>Ye hit the ball an' it ricochets off the wall an' back intae yer side o' the court. Whit happens?</t>
  </si>
  <si>
    <t>Ye attempt a serve but miss it completely. Whit happens?</t>
  </si>
  <si>
    <t>A. Ye lose the point B. Ye get another serve C. Ye win the point D. Ye get a free throw</t>
  </si>
  <si>
    <t>Ye get another serve</t>
  </si>
  <si>
    <t>Ye strike the ball but yer bracciale slips off yer arm an' the ball misses the mark. Whit happens?</t>
  </si>
  <si>
    <t>Ye hit the ball but yer opponent doesn’t attempt to return it. Whit happens?</t>
  </si>
  <si>
    <t>Ye serve the ball an' yer opponent misses it entirely. Whit happens?</t>
  </si>
  <si>
    <t>Ye strike the ball but it bounces off the wall an' lands outside the bounds o' the court. Whit happens?</t>
  </si>
  <si>
    <t>Ye hit the ball an' it bounces off the top of the wall an' comes down into the court. Whit happens?</t>
  </si>
  <si>
    <t>Ye strike the ball an' it misses the target area entirely. Whit happens?</t>
  </si>
  <si>
    <t>Ye strike the ball but it lands in the middle o' the court an' yer opponent doesn't return it. Whit happens?</t>
  </si>
  <si>
    <t>A. Ye win the point B. Ye lose the point C. Ye get a warning D. Ye get a free throw</t>
  </si>
  <si>
    <t>Ye serve the ball but it strikes the ground before hitting the wall. Whit happens?</t>
  </si>
  <si>
    <t>A. Ye lose the point B. Ye win the point C. Ye get a second serve D. Ye get a penalty</t>
  </si>
  <si>
    <t>Ye hit the ball an' it lands just outside the line o' the court. Whit happens?</t>
  </si>
  <si>
    <t>Ye hit the ball an' it lands within the court but yer opponent doesn't move to strike it. Whit happens?</t>
  </si>
  <si>
    <t>Ye serve the ball an' it touches the wall before hitting the ground. Whit happens?</t>
  </si>
  <si>
    <t>Ye strike the ball an' it touches the wall but bounces back off an' lands ootside the court. Whit happens?</t>
  </si>
  <si>
    <t>Ye strike the ball an' it lands perfectly on the line but yer opponent calls it out. Whit happens?</t>
  </si>
  <si>
    <t>Ye hit the ball but it strikes yer own bracciale an' lands on the ground. Whit happens?</t>
  </si>
  <si>
    <t>Ye hit the ball but yer opponent strikes it back an' it lands on the far side o' yer court. Whit happens?</t>
  </si>
  <si>
    <t>Ye hit the ball an' it strikes the wall but doesn't land inside the court. Whit happens?</t>
  </si>
  <si>
    <t>A. Ye lose the point B. Ye win the point C. Ye get a free throw D. Ye get a penalty</t>
  </si>
  <si>
    <t>Ye attempt tae strike the ball but it hits the ceiling instead o' the wall. Whit happens?</t>
  </si>
  <si>
    <t>Ye hit the ball an' it lands on the ground inside the court but yer opponent misses it. Whit happens?</t>
  </si>
  <si>
    <t>Ye serve the ball an' it bounces off the wall an' lands back in yer opponent’s side. Whit happens?</t>
  </si>
  <si>
    <t>Ye strike the ball an' it lands on top o' the wall an' doesn’t fall down. Whit happens?</t>
  </si>
  <si>
    <t>Ye serve the ball an' it lands inside yer opponent’s court but they don’t make a move tae return it. Whit happens?</t>
  </si>
  <si>
    <t>Ye strike the ball an' yer opponent doesn’t return it an' it bounces ootta bounds. Whit happens?</t>
  </si>
  <si>
    <t>Ye hit the ball an' it strikes yer opponent’s bracciale an' lands outside the court. Whit happens?</t>
  </si>
  <si>
    <t>Ye strike the ball an' yer opponent catches it before it hits the wall. Whit happens?</t>
  </si>
  <si>
    <t>Ye strike the ball an' it lands within yer court but yer opponent doesn’t return it. Whit happens?</t>
  </si>
  <si>
    <t>Ye serve the ball but yer opponent returns it before it hits the wall. Whit happens?</t>
  </si>
  <si>
    <t>Ye hit the ball an' it lands just inside the boundary line but yer opponent says it’s out. Whit happens?</t>
  </si>
  <si>
    <t>Ye strike the ball an' yer opponent hits it back so it lands in yer court but yer unable to return it. Whit happens?</t>
  </si>
  <si>
    <t>Ye strike the ball an' yer opponent catches it with their bracciale but doesn’t return it. Whit happens?</t>
  </si>
  <si>
    <t>Ye hit the ball an' it touches the wall but then lands outside the court. Whit happens?</t>
  </si>
  <si>
    <t>Ye serve the ball but it lands inside yer opponent’s court an' they fail to return it. Whit happens?</t>
  </si>
  <si>
    <t>Ye hit the ball but it hits the wall an' bounces back before yer opponent has a chance to return it. Whit happens?</t>
  </si>
  <si>
    <t>Ye strike the ball an' it lands in yer opponent's court but they manage tae return it. Whit happens?</t>
  </si>
  <si>
    <t>A. The rally continues B. Ye win the point C. Ye lose the point D. Ye get a free throw</t>
  </si>
  <si>
    <t>The rally continues</t>
  </si>
  <si>
    <t>Ye serve the ball an' yer opponent returns it but ye fail tae hit it back. Whit happens?</t>
  </si>
  <si>
    <t>Ye strike the ball an' yer opponent fails tae make contact an' it lands in the middle o' their court. Whit happens?</t>
  </si>
  <si>
    <t>Ye serve the ball an' it lands just behind the line but yer opponent calls it in. Whit happens?</t>
  </si>
  <si>
    <t>Ye hit the ball an' it strikes the wall but doesn’t bounce back into the court. Whit happens?</t>
  </si>
  <si>
    <t>Ye serve the ball an' yer opponent makes a perfect return but ye miss it completely. Whit happens?</t>
  </si>
  <si>
    <t>Ye strike the ball an' it lands in yer opponent’s half but bounces back out of bounds. Whit happens?</t>
  </si>
  <si>
    <t>Ye serve the ball but it goes out o' bounds before it hits the wall. Whit happens?</t>
  </si>
  <si>
    <t>A. Ye lose the point B. Ye win the point C. Ye get another serve D. Ye get a penalty</t>
  </si>
  <si>
    <t>Ye hit the ball an' yer opponent returns it but it lands in the middle o' the court an' they fail to strike it again. Whit happens?</t>
  </si>
  <si>
    <t>Ye strike the ball an' it goes high but hits the ceiling. Whit happens?</t>
  </si>
  <si>
    <t>Ye serve the ball but yer opponent returns it in a way that makes it impossible for ye to strike back. Whit happens?</t>
  </si>
  <si>
    <t>Ye hit the ball an' it lands on the line but yer opponent calls it out. Whit happens?</t>
  </si>
  <si>
    <t>Ye strike the ball an' it lands outside the court. Whit happens?</t>
  </si>
  <si>
    <t>Ye serve the ball an' yer opponent fails to return it in time. Whit happens?</t>
  </si>
  <si>
    <t>Ye strike the ball an' it lands inside yer opponent’s court but they return it back. Whit happens?</t>
  </si>
  <si>
    <t>Ye hit the ball an' it goes over the wall but yer opponent doesnae return it. Whit happens?</t>
  </si>
  <si>
    <t>Ye serve the ball an' yer opponent fails to hit it but the ball touches the wall first. Whit happens?</t>
  </si>
  <si>
    <t>Ye strike the ball an' yer opponent manages to block it but the ball goes outta bounds. Whit happens?</t>
  </si>
  <si>
    <t>Ye serve the ball but yer opponent catches it before it touches the wall. Whit happens?</t>
  </si>
  <si>
    <t>Ye hit the ball an' it lands in the middle o' yer opponent’s court but they return it back without touching the wall. Whit happens?</t>
  </si>
  <si>
    <t>Ye strike the ball an' yer opponent fails to hit it back before it touches the ground. Whit happens?</t>
  </si>
  <si>
    <t>Ye serve the ball but yer opponent returns it an' it lands outta bounds. Whit happens?</t>
  </si>
  <si>
    <t>Ye hit the ball an' yer opponent manages to return it but it lands behind the wall. Whit happens?</t>
  </si>
  <si>
    <t>Ye serve the ball an' yer opponent hits it back but it lands right on top o' the wall. Whit happens?</t>
  </si>
  <si>
    <t>Ye strike the ball but yer opponent catches it in mid-air. Whit happens?</t>
  </si>
  <si>
    <t>Ye serve the ball but it strikes the ground before touching the wall. Whit happens?</t>
  </si>
  <si>
    <t>A. Ye lose the point B. Ye win the point C. Ye get another serve D. Ye get a free throw</t>
  </si>
  <si>
    <t>Ye hit the ball but yer opponent manages tae block it. Whit happens?</t>
  </si>
  <si>
    <t>Ye serve the ball an' it lands inside yer opponent’s court but they fail tae return it. Whit happens?</t>
  </si>
  <si>
    <t>Ye hit the ball but it bounces high an' lands outside the court. Whit happens?</t>
  </si>
  <si>
    <t>Ye strike the ball an' it lands in yer opponent's court but they miss the return. Whit happens?</t>
  </si>
  <si>
    <t>Ye serve the ball an' yer opponent fails to return it but the ball touches the wall first. Whit happens?</t>
  </si>
  <si>
    <t>Ye strike the ball an' yer opponent manages tae return it back after a long rally. Whit happens?</t>
  </si>
  <si>
    <t>Ye hit the ball an' yer opponent misses it entirely. Whit happens?</t>
  </si>
  <si>
    <t>Ye serve the ball but it lands outside the court on the first strike. Whit happens?</t>
  </si>
  <si>
    <t>Ye strike the ball an' it hits yer opponent's bracciale but they don't return it. Whit happens?</t>
  </si>
  <si>
    <t>Ye serve the ball but it lands inside the court but yer opponent fails to return it. Whit happens?</t>
  </si>
  <si>
    <t>Ye hit the ball an' yer opponent catches it mid-air but fails to return it to the wall. Whit happens?</t>
  </si>
  <si>
    <t>Ye serve the ball but it bounces off the wall an' hits the ceiling. Whit happens?</t>
  </si>
  <si>
    <t>Ye strike the ball an' yer opponent doesnae return it in time. Whit happens?</t>
  </si>
  <si>
    <t>Ye serve the ball but yer opponent hits it back an' it lands inside yer court. Whit happens?</t>
  </si>
  <si>
    <t>Ye strike the ball an' it lands outside the court an' yer opponent calls it in. Whit happens?</t>
  </si>
  <si>
    <t>Ye serve the ball an' yer opponent strikes it back an' the ball lands on top of the wall. Whit happens?</t>
  </si>
  <si>
    <t>Ye hit the ball but yer opponent misses it an' the ball lands in their court. Whit happens?</t>
  </si>
  <si>
    <t>Ye serve the ball an' it hits the wall an' falls back into yer court but yer opponent doesnae return it. Whit happens?</t>
  </si>
  <si>
    <t>Ye strike the ball an' yer opponent misses but the ball lands outta bounds. Whit happens?</t>
  </si>
  <si>
    <t>Ye serve the ball but yer opponent fails tae return it an' the ball lands in their court. Whit happens?</t>
  </si>
  <si>
    <t>Ye strike the ball an' it lands on the line o' the court but yer opponent calls it out. Whit happens?</t>
  </si>
  <si>
    <t>Ye serve the ball an' it bounces off the wall but yer opponent fails to strike it back. Whit happens?</t>
  </si>
  <si>
    <t>Ye strike the ball an' yer opponent catches it with their bracciale an' doesn't return it. Whit happens?</t>
  </si>
  <si>
    <t>Ye serve the ball an' yer opponent returns it but it lands just outside the court. Whit happens?</t>
  </si>
  <si>
    <t>Ye hit the ball but yer opponent fails to strike it back an' the ball lands in yer court. Whit happens?</t>
  </si>
  <si>
    <t>Ye serve the ball but it lands inside yer opponent's court an' they don't move to return it. Whit happens?</t>
  </si>
  <si>
    <t>Ye hit the ball an' yer opponent strikes it back but it lands inside yer court. Whit happens?</t>
  </si>
  <si>
    <t>Ye serve the ball an' yer opponent fails to return it but the ball touches the ceiling. Whit happens?</t>
  </si>
  <si>
    <t>Ye strike the ball an' yer opponent catches it but doesn't return it. Whit happens?</t>
  </si>
  <si>
    <t>Ye serve the ball an' yer opponent returns it back but it lands just outta bounds. Whit happens?</t>
  </si>
  <si>
    <t>Ye strike the ball an' yer opponent returns it but it lands in yer half o' the court an' ye fail tae return it. Whit happens?</t>
  </si>
  <si>
    <t>Ye serve the ball but yer opponent strikes it back an' it lands outta bounds. Whit happens?</t>
  </si>
  <si>
    <t>Ye hit the ball but yer opponent returns it an' it lands inside yer court. Whit happens?</t>
  </si>
  <si>
    <t>Ye serve the ball an' yer opponent makes a return but it lands behind the wall. Whit happens?</t>
  </si>
  <si>
    <t>Ye hit the ball an' yer opponent catches it in mid-air but doesn’t return it. Whit happens?</t>
  </si>
  <si>
    <t>Ye serve the ball but yer opponent catches it but fails to strike it back. Whit happens?</t>
  </si>
  <si>
    <t>Ye hit the ball an' yer opponent fails to catch it an' it lands in their half o' the court. Whit happens?</t>
  </si>
  <si>
    <t>Ye serve the ball an' it bounces off the wall but yer opponent doesn’t return it. Whit happens?</t>
  </si>
  <si>
    <t>Ye strike the ball an' yer opponent misses but it lands in the middle o' their court. Whit happens?</t>
  </si>
  <si>
    <t>Ye serve the ball an' yer opponent strikes it back but the ball lands outside the court. Whit happens?</t>
  </si>
  <si>
    <t>Ye hit the ball an' yer opponent doesn’t return it but the ball lands outside the court. Whit happens?</t>
  </si>
  <si>
    <t>Ye serve the ball but yer opponent catches it an' fails tae strike it back. Whit happens?</t>
  </si>
  <si>
    <t>Ye strike the ball an' yer opponent fails to return it before it touches the ground. Whit happens?</t>
  </si>
  <si>
    <t>Ye serve the ball an' yer opponent strikes it but misses completely. Whit happens?</t>
  </si>
  <si>
    <t>Ye hit the ball an' yer opponent returns it but it lands in yer half an' ye fail to strike it back. Whit happens?</t>
  </si>
  <si>
    <t>Ye serve the ball an' yer opponent returns it but it lands inside yer court. Whit happens?</t>
  </si>
  <si>
    <t>Ye strike the ball an' yer opponent blocks it with their bracciale but doesn’t return it. Whit happens?</t>
  </si>
  <si>
    <t>Ye serve the ball but yer opponent returns it an' it lands behind the wall. Whit happens?</t>
  </si>
  <si>
    <t>Ye hit the ball an' yer opponent misses but the ball lands outta bounds. Whit happens?</t>
  </si>
  <si>
    <t>Ye serve the ball an' yer opponent returns it but it hits the ceiling. Whit happens?</t>
  </si>
  <si>
    <t>Ye strike the ball an' yer opponent catches it in mid-air but doesn’t return it. Whit happens?</t>
  </si>
  <si>
    <t>Ye serve the ball an' yer opponent doesn’t return it before it touches the wall. Whit happens?</t>
  </si>
  <si>
    <t>Ye hit the ball an' yer opponent blocks it with their bracciale an' the ball lands outta bounds. Whit happens?</t>
  </si>
  <si>
    <t>Ye serve the ball but yer opponent strikes it back an' the ball lands inside their court. Whit happens?</t>
  </si>
  <si>
    <t>Ye strike the ball an' yer opponent catches it but doesn’t return it to the wall. Whit happens?</t>
  </si>
  <si>
    <t>Ye serve the ball an' yer opponent strikes it but the ball lands outta bounds. Whit happens?</t>
  </si>
  <si>
    <t>Ye hit the ball an' yer opponent misses but the ball lands behind the wall. Whit happens?</t>
  </si>
  <si>
    <t>Ye serve the ball an' yer opponent fails to strike it back in time. Whit happens?</t>
  </si>
  <si>
    <t>Ye strike the ball an' yer opponent fails to block it but it lands outta bounds. Whit happens?</t>
  </si>
  <si>
    <t>Ye serve the ball an' yer opponent returns it but it lands on top o' the wall. Whit happens?</t>
  </si>
  <si>
    <t>Ye hit the ball but yer opponent catches it mid-air an' doesn’t return it. Whit happens?</t>
  </si>
  <si>
    <t>Ye serve the ball an' yer opponent returns it but it lands outside the court. Whit happens?</t>
  </si>
  <si>
    <t>Ye strike the ball an' yer opponent misses but the ball lands on the line o' the court. Whit happens?</t>
  </si>
  <si>
    <t>Ye serve the ball but yer opponent fails to return it. Whit happens?</t>
  </si>
  <si>
    <t>Ye serve the ball an' yer opponent returns it but the ball bounces back into their own side. Whit happens?</t>
  </si>
  <si>
    <t>Ye hit the ball an' yer opponent catches it but doesn’t strike it back. Whit happens?</t>
  </si>
  <si>
    <t>Ye serve the ball but yer opponent fails to catch it and it lands outside the court. Whit happens?</t>
  </si>
  <si>
    <t>Ye strike the ball an' yer opponent blocks it with their bracciale an' it falls in their side. Whit happens?</t>
  </si>
  <si>
    <t>Ye serve the ball an' yer opponent strikes it back but the ball lands on the line. Whit happens?</t>
  </si>
  <si>
    <t>Ye hit the ball an' yer opponent catches it but the ball falls outta bounds. Whit happens?</t>
  </si>
  <si>
    <t>Ye serve the ball an' yer opponent misses it but the ball bounces back. Whit happens?</t>
  </si>
  <si>
    <t>Ye strike the ball an' yer opponent strikes it but it lands outta bounds. Whit happens?</t>
  </si>
  <si>
    <t>Ye serve the ball an' yer opponent fails to return it before it hits the wall. Whit happens?</t>
  </si>
  <si>
    <t>Ye hit the ball an' yer opponent catches it but it lands outta bounds. Whit happens?</t>
  </si>
  <si>
    <t>Ye serve the ball an' yer opponent blocks it with their bracciale but fails to strike it back. Whit happens?</t>
  </si>
  <si>
    <t>Ye strike the ball an' yer opponent strikes it back but the ball lands in yer half. Whit happens?</t>
  </si>
  <si>
    <t>Ye serve the ball an' yer opponent returns it but it lands inside the court. Whit happens?</t>
  </si>
  <si>
    <t>Ye hit the ball an' yer opponent doesn’t return it an' the ball lands in their side. Whit happens?</t>
  </si>
  <si>
    <t>Ye serve the ball but yer opponent misses it an' the ball lands in yer court. Whit happens?</t>
  </si>
  <si>
    <t>Ye strike the ball an' yer opponent catches it mid-air but doesn’t strike it back. Whit happens?</t>
  </si>
  <si>
    <t>Ye serve the ball an' yer opponent blocks it with their bracciale but doesn’t return it. Whit happens?</t>
  </si>
  <si>
    <t>Ye hit the ball an' yer opponent strikes it back but it lands behind the wall. Whit happens?</t>
  </si>
  <si>
    <t>Ye serve the ball an' yer opponent catches it but doesn’t strike it back in time. Whit happens?</t>
  </si>
  <si>
    <t>Ye strike the ball an' yer opponent misses but it lands outside the court. Whit happens?</t>
  </si>
  <si>
    <t>Ye serve the ball an' yer opponent fails to return it but the ball lands on the line. Whit happens?</t>
  </si>
  <si>
    <t>Ye serve the ball an' yer opponent strikes it but the ball lands behind the line. Whit happens?</t>
  </si>
  <si>
    <t>Ye strike the ball an' yer opponent catches it but doesn’t strike it back in time. Whit happens?</t>
  </si>
  <si>
    <t>Ye strike the ball an' yer opponent doesn’t return it before the ball touches the ground. Whit happens?</t>
  </si>
  <si>
    <t>Ye serve the ball but yer opponent fails to return it in time. Whit happens?</t>
  </si>
  <si>
    <t>Ye hit the ball an' yer opponent catches it but the ball lands outta bounds. Whit happens?</t>
  </si>
  <si>
    <t>Ye serve the ball but yer opponent doesn’t return it an' the ball lands in yer court. Whit happens?</t>
  </si>
  <si>
    <t>Ye strike the ball an' yer opponent returns it but it lands outta bounds. Whit happens?</t>
  </si>
  <si>
    <t>Ye strike the ball an' yer opponent catches it but fails to strike it back. Whit happens?</t>
  </si>
  <si>
    <t>Ye serve the ball an' yer opponent strikes it back but it lands behind the line. Whit happens?</t>
  </si>
  <si>
    <t>Ye hit the ball an' yer opponent blocks it with their bracciale but doesn’t return it. Whit happens?</t>
  </si>
  <si>
    <t>Ye serve the ball an' yer opponent catches it mid-air but doesn’t return it. Whit happens?</t>
  </si>
  <si>
    <t>Ye strike the ball an' yer opponent misses it but the ball lands outside the court. Whit happens?</t>
  </si>
  <si>
    <t>Ye serve the ball but yer opponent catches it an' doesn't strike it back. Whit happens?</t>
  </si>
  <si>
    <t>Ye hit the ball an' yer opponent blocks it but doesn’t strike it back. Whit happens?</t>
  </si>
  <si>
    <t>Ye serve the ball an' yer opponent returns it but the ball lands in yer court. Whit happens?</t>
  </si>
  <si>
    <t>Ye serve the ball an' yer opponent strikes it back but the ball lands out of bounds. Whit happens?</t>
  </si>
  <si>
    <t>Ye hit the ball an' yer opponent returns it but the ball bounces back into their side. Whit happens?</t>
  </si>
  <si>
    <t>Ye serve the ball an' yer opponent misses but the ball lands out of bounds. Whit happens?</t>
  </si>
  <si>
    <t>Ye strike the ball an' yer opponent catches it but doesn’t strike it back. Whit happens?</t>
  </si>
  <si>
    <t>Ye serve the ball an' yer opponent blocks it but fails to return it. Whit happens?</t>
  </si>
  <si>
    <t>Ye hit the ball an' yer opponent catches it but doesn’t strike it back in time. Whit happens?</t>
  </si>
  <si>
    <t>Ye serve the ball but yer opponent fails to return it before the ball lands in their court. Whit happens?</t>
  </si>
  <si>
    <t>Ye serve the ball an' yer opponent misses but the ball lands inside the court. Whit happens?</t>
  </si>
  <si>
    <t>Ye hit the ball an' yer opponent strikes it back but the ball lands outside the court. Whit happens?</t>
  </si>
  <si>
    <t>Ye serve the ball an' yer opponent returns it but it lands out of bounds. Whit happens?</t>
  </si>
  <si>
    <t>Ye strike the ball an' yer opponent misses it but the ball lands in their side. Whit happens?</t>
  </si>
  <si>
    <t>Ye serve the ball an' yer opponent fails to return it before the ball lands in their half. Whit happens?</t>
  </si>
  <si>
    <t>Ye hit the ball an' yer opponent returns it but it lands in yer court. Whit happens?</t>
  </si>
  <si>
    <t>Ye serve the ball an' yer opponent blocks it with their bracciale but doesn’t strike it back. Whit happens?</t>
  </si>
  <si>
    <t>Ye serve the ball an' yer opponent misses but the ball lands outta bounds. Whit happens?</t>
  </si>
  <si>
    <t>Ye hit the ball an' yer opponent strikes it back but it lands in yer half. Whit happens?</t>
  </si>
  <si>
    <t>Ye serve the ball an' yer opponent strikes it back but lands behind the line. Whit happens?</t>
  </si>
  <si>
    <t>Ye strike the ball an' yer opponent catches it but doesn’t return it in time. Whit happens?</t>
  </si>
  <si>
    <t>Ye serve the ball an' yer opponent returns it but it lands outta bounds. Whit happens?</t>
  </si>
  <si>
    <t>Ye hit the ball an' yer opponent blocks it but doesn’t return it. Whit happens?</t>
  </si>
  <si>
    <t>Ye serve the ball an' yer opponent misses but the ball lands in their court. Whit happens?</t>
  </si>
  <si>
    <t>Ye strike the ball an' yer opponent catches it but fails to return it. Whit happens?</t>
  </si>
  <si>
    <t>Ye serve the ball an' yer opponent strikes it back but the ball lands behind the line. Whit happens?</t>
  </si>
  <si>
    <t>Ye serve the ball an' yer opponent misses it but the ball lands in their court. Whit happens?</t>
  </si>
  <si>
    <t>Ye serve the ball an' yer opponent blocks it but doesn’t return it. Whit happens?</t>
  </si>
  <si>
    <t>Ye strike the ball an' yer opponent misses it and the ball lands in their court. Whit happens?</t>
  </si>
  <si>
    <t>Ye serve the ball an' yer opponent returns it but it lands behind the line. Whit happens?</t>
  </si>
  <si>
    <t>Ye hit the ball an' yer opponent catches it but fails to return it. Whit happens?</t>
  </si>
  <si>
    <t>Ye serve the ball an' yer opponent blocks it but doesn’t return it in time. Whit happens?</t>
  </si>
  <si>
    <t>Ye strike the ball an' yer opponent blocks it but doesn’t return it. Whit happens?</t>
  </si>
  <si>
    <t>Ye serve the ball an' yer opponent returns it but the ball lands outside the court. Whit happens?</t>
  </si>
  <si>
    <t>Ye serve the ball an' yer opponent misses it but the ball lands out of bounds. Whit happens?</t>
  </si>
  <si>
    <t>Ye strike the ball an' yer opponent misses it but it lands in their court. Whit happens?</t>
  </si>
  <si>
    <t>Ye serve the ball an' yer opponent returns it but lands behind the line. Whit happens?</t>
  </si>
  <si>
    <t>Ye serve the ball an' yer opponent blocks it but doesn't return it. Whit happens?</t>
  </si>
  <si>
    <t>Ye hit the ball an' yer opponent returns it but it lands behind the line. Whit happens?</t>
  </si>
  <si>
    <t>Ye serve the ball an' yer opponent catches it but fails to strike it back in time. Whit happens?</t>
  </si>
  <si>
    <t>Ye serve the ball an' yer opponent misses it and the ball lands out of bounds. Whit happens?</t>
  </si>
  <si>
    <t>Ye hit the ball an' yer opponent blocks it but doesn’t return it in time. Whit happens?</t>
  </si>
  <si>
    <t>Ye serve the ball an' yer opponent blocks it and it lands outside the court. Whit happens?</t>
  </si>
  <si>
    <t>Ye strike the ball an' yer opponent catches it but doesn't strike it back. Whit happens?</t>
  </si>
  <si>
    <t>Ye hit the ball an' yer opponent strikes it back but it lands outside the court. Whit happens?</t>
  </si>
  <si>
    <t>Ye serve the ball an' yer opponent catches it but doesn't return it. Whit happens?</t>
  </si>
  <si>
    <t>Ye strike the ball an' yer opponent returns it but lands behind the line. Whit happens?</t>
  </si>
  <si>
    <t>Ye serve the ball an' yer opponent blocks it but doesn't strike it back. Whit happens?</t>
  </si>
  <si>
    <t>Ye hit the ball an' yer opponent strikes it but it lands outside the court. Whit happens?</t>
  </si>
  <si>
    <t>Ye serve the ball an' yer opponent returns it but it lands in yer half. Whit happens?</t>
  </si>
  <si>
    <t>Ye serve the ball an' yer opponent catches it but doesn't strike it back. Whit happens?</t>
  </si>
  <si>
    <t>Ye hit the ball an' yer opponent strikes it but it lands out of bounds. Whit happens?</t>
  </si>
  <si>
    <t>Ye serve the ball an' yer opponent strikes it back but lands outside the court. Whit happens?</t>
  </si>
  <si>
    <t>Ye serve the ball an' yer opponent strikes it but lands outside the court. Whit happens?</t>
  </si>
  <si>
    <t>Ye hit the ball an' yer opponent returns it but lands out of bounds. Whit happens?</t>
  </si>
  <si>
    <t>Ye strike the ball an' yer opponent misses but it lands in their court. Whit happens?</t>
  </si>
  <si>
    <t>Ye hit the ball an' yer opponent strikes it back but lands behind the line. Whit happens?</t>
  </si>
  <si>
    <t>Ye serve the ball an' yer opponent misses it and the ball lands in their court. Whit happens?</t>
  </si>
  <si>
    <t>Ye serve the ball an' yer opponent strikes it back but it lands outside the court. Whit happens?</t>
  </si>
  <si>
    <t>Ye hit the ball an' yer opponent catches it but doesn't strike it back. Whit happens?</t>
  </si>
  <si>
    <t>Ye strike the ball an' yer opponent blocks it but doesn’t return it in time. Whit happens?</t>
  </si>
  <si>
    <t>Ye hit the ball an' yer opponent returns it but lands outside the court. Whit happens?</t>
  </si>
  <si>
    <t>Ye serve the ball an' yer opponent blocks it but doesn’t strike it back. Whit happens?</t>
  </si>
  <si>
    <t>Ye strike the ball an' yer opponent returns it but lands out of bounds. Whit happens?</t>
  </si>
  <si>
    <t>Ye serve the ball an' yer opponent strikes it but lands behind the line. Whit happens?</t>
  </si>
  <si>
    <t>Ye serve the ball an' yer opponent misses it an' the ball lands in their court. Whit happens?</t>
  </si>
  <si>
    <t>Ye strike the ball an' yer opponent blocks it but doesn't return it in time. Whit happens?</t>
  </si>
  <si>
    <t>Ye serve the ball an' yer opponent strikes it but it lands behind the line. Whit happens?</t>
  </si>
  <si>
    <t>Ye hit the ball an' yer opponent blocks it but doesn't return it back. Whit happens?</t>
  </si>
  <si>
    <t>Ye serve the ball an' yer opponent hits it back but the ball goes over the line. Whit happens?</t>
  </si>
  <si>
    <t>Ye strike the ball an' yer opponent misses it an' the ball lands in their court. Whit happens?</t>
  </si>
  <si>
    <t>Ye hit the ball an' yer opponent blocks it but doesn't return it on time. Whit happens?</t>
  </si>
  <si>
    <t>Ye serve the ball an' yer opponent strikes it but the ball lands in their own court. Whit happens?</t>
  </si>
  <si>
    <t>Ye hit the ball an' yer opponent misses but the ball lands outside the court. Whit happens?</t>
  </si>
  <si>
    <t>Ye serve the ball an' yer opponent strikes it but lands out of bounds. Whit happens?</t>
  </si>
  <si>
    <t>Ye serve the ball an' yer opponent strikes it back but lands in their court. Whit happens?</t>
  </si>
  <si>
    <t>Ye strike the ball an' yer opponent returns it but lands outside the court. Whit happens?</t>
  </si>
  <si>
    <t>Ye hit the ball an' yer opponent misses but the ball lands outside their court. Whit happens?</t>
  </si>
  <si>
    <t>Ye hit the ball an' yer opponent blocks it but doesn’t return it back. Whit happens?</t>
  </si>
  <si>
    <t>Se un cavallo parte in ritardo nella corsa del Palio che succede?</t>
  </si>
  <si>
    <t>A. Il cavallo viene squalificato B. La gara viene annullata C. La corsa continua normalmente D. Il cavallo viene penalizzato</t>
  </si>
  <si>
    <t>Il cavallo viene squalificato</t>
  </si>
  <si>
    <t>Se un cavallo cade durante la gara che succede?</t>
  </si>
  <si>
    <t>A. La corsa viene interrotta B. Il cavallo deve ripartire C. Il cavallo viene squalificato D. Il cavallo continua a correre</t>
  </si>
  <si>
    <t>La corsa viene interrotta</t>
  </si>
  <si>
    <t>Se un cavallo taglia il percorso che succede?</t>
  </si>
  <si>
    <t>A. Viene penalizzato B. La gara viene annullata C. La corsa continua normalmente D. Il cavallo viene squalificato</t>
  </si>
  <si>
    <t>Viene penalizzato</t>
  </si>
  <si>
    <t>Se un cavallo raggiunge il traguardo ma il fantino perde il controlloche succede?</t>
  </si>
  <si>
    <t>A. Il cavallo vince comunque B. La vittoria viene annullata C. Il cavallo viene penalizzato D. Il cavallo deve ripartire</t>
  </si>
  <si>
    <t>Il cavallo vince comunque</t>
  </si>
  <si>
    <t>Se due cavalli tagliano il traguardo allo stesso momento che succede?</t>
  </si>
  <si>
    <t>A. La gara finisce in pareggio B. Il cavallo che arriva alla destra è il vincitore C. La gara viene ripetuta D. Il cavallo che arriva a sinistra è il vincitore</t>
  </si>
  <si>
    <t>La gara finisce in pareggio</t>
  </si>
  <si>
    <t>Se un fantino viene disarcionato durante la gara che succede?</t>
  </si>
  <si>
    <t>A. Il cavallo viene squalificato B. Il fantino è fuori dalla gara C. La gara continua senza il fantino D. Il cavallo continua senza il fantino</t>
  </si>
  <si>
    <t>Il fantino è fuori dalla gara</t>
  </si>
  <si>
    <t>Se un cavallo si rifiuta di partire che succede?</t>
  </si>
  <si>
    <t>A. Il cavallo viene penalizzato B. La corsa viene annullata C. Il cavallo è squalificato D. Il cavallo deve ripartire</t>
  </si>
  <si>
    <t>Il cavallo è squalificato</t>
  </si>
  <si>
    <t>Se il cavallo sbaglia strada durante la gara che succede?</t>
  </si>
  <si>
    <t>A. Il cavallo viene penalizzato B. Il cavallo deve riprendere il percorso C. Il cavallo viene squalificato D. La gara viene annullata</t>
  </si>
  <si>
    <t>Il cavallo deve riprendere il percorso</t>
  </si>
  <si>
    <t>A. Se un cavallo entra in ritardo al Palio  che succede?</t>
  </si>
  <si>
    <t>A. Viene squalificato B. La gara continua normalmente C. Il cavallo riceve una penalità D. Il cavallo è escluso dalla gara</t>
  </si>
  <si>
    <t>Viene squalificato</t>
  </si>
  <si>
    <t>A. Se un cavallo è l'unico che termina la gara  che succede?</t>
  </si>
  <si>
    <t>A. Vince il Palio B. La gara viene ripetuta C. Il cavallo riceve un premio speciale D. Il cavallo è squalificato</t>
  </si>
  <si>
    <t>Vince il Palio</t>
  </si>
  <si>
    <t>A. Se un cavallo non completa il percorso  che succede?</t>
  </si>
  <si>
    <t>A. Il cavallo è squalificato B. Il cavallo riceve una penalità C. Il cavallo non riceve punteggio D. La gara continua senza il cavallo</t>
  </si>
  <si>
    <t>A. Se un fantino si rifiuta di partecipare alla gara  che succede?</t>
  </si>
  <si>
    <t>A. Il cavallo viene escluso B. La gara è annullata C. Il cavallo corre senza fantino D. Il cavallo viene penalizzato</t>
  </si>
  <si>
    <t>La gara è annullata</t>
  </si>
  <si>
    <t>A. Se un cavallo corre in modo irregolare  che succede?</t>
  </si>
  <si>
    <t>A. Viene penalizzato B. Il cavallo viene escluso C. Il cavallo riceve una penalità D. La corsa continua normalmente</t>
  </si>
  <si>
    <t>A. Se un cavallo attraversa la linea di partenza prima del segnale  che succede?</t>
  </si>
  <si>
    <t>A. Il cavallo viene penalizzato B. La gara viene annullata C. Il cavallo viene squalificato D. La gara continua normalmente</t>
  </si>
  <si>
    <t>Il cavallo viene penalizzato</t>
  </si>
  <si>
    <t>A. Se un cavallo fa un errore al percorso ma termina la gara  che succede?</t>
  </si>
  <si>
    <t>A. La vittoria viene annullata B. Il cavallo vince comunque C. Il cavallo riceve una penalità D. La gara viene ripetuta</t>
  </si>
  <si>
    <t>A. Se un cavallo si ferma prima di arrivare al traguardo  che succede?</t>
  </si>
  <si>
    <t>A. Il cavallo è disqualificato B. Il cavallo riceve un punteggio di penalità C. Il cavallo deve ripartire D. Il cavallo vince comunque</t>
  </si>
  <si>
    <t>Il cavallo è disqualificato</t>
  </si>
  <si>
    <t>A. Se il cavallo taglia la curva in modo irregolare  che succede?</t>
  </si>
  <si>
    <t>A. Il cavallo viene penalizzato B. Il cavallo viene squalificato C. La gara è annullata D. Il cavallo riceve un punteggio</t>
  </si>
  <si>
    <t>A. Se un cavallo termina la gara senza il fantino  che succede?</t>
  </si>
  <si>
    <t>A. La gara è vinta dal cavallo B. Il cavallo è penalizzato C. La gara è annullata D. Il cavallo viene disqualificato</t>
  </si>
  <si>
    <t>La gara è vinta dal cavallo</t>
  </si>
  <si>
    <t>A. Se due cavalli si scontrano durante la gara  che succede?</t>
  </si>
  <si>
    <t>A. Entrambi i cavalli sono penalizzati B. La gara viene interrotta C. Il cavallo che arriva prima vince D. La gara viene ripetuta</t>
  </si>
  <si>
    <t>Entrambi i cavalli sono penalizzati</t>
  </si>
  <si>
    <t>A. Se un cavallo perde il controllo ma si rialza subito  che succede?</t>
  </si>
  <si>
    <t>A. La gara continua normalmente B. Il cavallo viene squalificato C. Il cavallo riceve una penalità D. La gara viene annullata</t>
  </si>
  <si>
    <t>La gara continua normalmente</t>
  </si>
  <si>
    <t>A. Se un cavallo taglia la strada a un altro durante la gara  che succede?</t>
  </si>
  <si>
    <t>A. Il cavallo riceve una penalità B. Il cavallo viene disqualificato C. La gara viene annullata D. Il cavallo viene penalizzato</t>
  </si>
  <si>
    <t>Il cavallo riceve una penalità</t>
  </si>
  <si>
    <t>A. Se il cavallo viene fermato per un controllo sanitario  che succede?</t>
  </si>
  <si>
    <t>A. La gara è sospesa B. Il cavallo riceve una penalità C. Il cavallo continua a correre D. La gara viene ripetuta</t>
  </si>
  <si>
    <t>La gara è sospesa</t>
  </si>
  <si>
    <t>A. Se un cavallo supera un altro con un'andatura illegale  che succede?</t>
  </si>
  <si>
    <t>A. Il cavallo viene penalizzato B. Il cavallo è disqualificato C. Il cavallo continua a correre normalmente D. Il cavallo riceve una penalità</t>
  </si>
  <si>
    <t>A. Se un cavallo perde il cavallo durante la gara  che succede?</t>
  </si>
  <si>
    <t>A. La gara viene interrotta B. Il cavallo è penalizzato C. La gara continua senza il cavallo D. Il cavallo deve ripartire</t>
  </si>
  <si>
    <t>Il cavallo è penalizzato</t>
  </si>
  <si>
    <t>A. Se un cavallo inciampa e perde terreno  che succede?</t>
  </si>
  <si>
    <t>A. Il cavallo è penalizzato B. La gara continua normalmente C. Il cavallo viene squalificato D. Il cavallo deve ripartire</t>
  </si>
  <si>
    <t>A. Se un cavallo viene squalificato per comportamento scorretto  che succede?</t>
  </si>
  <si>
    <t>A. Il cavallo non riceve premi B. Il cavallo riceve una penalità C. Il cavallo viene escluso D. La gara continua</t>
  </si>
  <si>
    <t>Il cavallo viene escluso</t>
  </si>
  <si>
    <t>A. Se un cavallo vince con una grande differenza  che succede?</t>
  </si>
  <si>
    <t>A. Il cavallo riceve un premio speciale B. La gara viene annullata C. Il cavallo viene squalificato D. La gara continua</t>
  </si>
  <si>
    <t>Il cavallo riceve un premio speciale</t>
  </si>
  <si>
    <t>A. Se il cavallo è fuori dal percorso ma continua a correre  che succede?</t>
  </si>
  <si>
    <t>A. Il cavallo viene squalificato B. Il cavallo è penalizzato C. La gara viene annullata D. Il cavallo riceve un avvertimento</t>
  </si>
  <si>
    <t>A. Se il cavallo rallenta e perde il controllo  che succede?</t>
  </si>
  <si>
    <t>A. Il cavallo è penalizzato B. La gara continua normalmente C. Il cavallo viene squalificato D. La gara viene annullata</t>
  </si>
  <si>
    <t>A. Se il cavallo taglia una curva in modo illegale  che succede?</t>
  </si>
  <si>
    <t>A. Il cavallo viene penalizzato B. La gara continua normalmente C. Il cavallo è squalificato D. Il cavallo riceve un avvertimento</t>
  </si>
  <si>
    <t>A. Se il cavallo prende una scorciatoia durante la gara  che succede?</t>
  </si>
  <si>
    <t>A. Il cavallo viene penalizzato B. La gara viene annullata C. Il cavallo è squalificato D. Il cavallo riceve un avvertimento</t>
  </si>
  <si>
    <t>A. Se un cavallo vince ma si scopre che ha usato una tecnica illegale  che succede?</t>
  </si>
  <si>
    <t>A. Il cavallo viene squalificato B. La vittoria viene annullata C. Il cavallo riceve una penalità D. Il cavallo è penalizzato</t>
  </si>
  <si>
    <t>A. Se un cavallo è troppo lento  che succede?</t>
  </si>
  <si>
    <t>A. Se due cavalli si scontrano mentre entrano nel rettilineo finale  che succede?</t>
  </si>
  <si>
    <t>A. Entrambi i cavalli sono penalizzati B. La gara continua normalmente C. Il cavallo che arriva prima vince D. Il cavallo che entra per secondo è penalizzato</t>
  </si>
  <si>
    <t>A. Se il cavallo supera la linea di partenza prima del segnale  che succede?</t>
  </si>
  <si>
    <t>A. Il cavallo viene penalizzato B. Il cavallo è squalificato C. La gara continua normalmente D. Il cavallo deve ripartire</t>
  </si>
  <si>
    <t>A. Se un cavallo perde il fantino ma continua la gara  che succede?</t>
  </si>
  <si>
    <t>A. Il cavallo è penalizzato B. Il cavallo deve fermarsi C. Il cavallo è squalificato D. La gara continua senza il fantino</t>
  </si>
  <si>
    <t>A. Se un cavallo finisce la gara ma non ha seguito il percorso corretto  che succede?</t>
  </si>
  <si>
    <t>A. Il cavallo viene squalificato B. La gara viene annullata C. Il cavallo riceve una penalità D. Il cavallo è penalizzato</t>
  </si>
  <si>
    <t>A. Se il cavallo viene squalificato per comportamento scorretto  che succede?</t>
  </si>
  <si>
    <t>A. Il cavallo non riceve alcun premio B. Il cavallo riceve una penalità C. Il cavallo è escluso dalla gara D. La gara continua normalmente</t>
  </si>
  <si>
    <t>Il cavallo è escluso dalla gara</t>
  </si>
  <si>
    <t>A. Se un cavallo entra in ritardo  che succede?</t>
  </si>
  <si>
    <t>A. Il cavallo viene escluso B. La gara continua normalmente C. Il cavallo viene penalizzato D. Il cavallo riparte</t>
  </si>
  <si>
    <t>A. Se il cavallo taglia la strada a un altro cavallo durante la gara  che succede?</t>
  </si>
  <si>
    <t>A. Il cavallo viene penalizzato B. Il cavallo viene squalificato C. La gara continua normalmente D. Il cavallo riceve un avvertimento</t>
  </si>
  <si>
    <t>A. Se il cavallo manca una curva e perde tempo  che succede?</t>
  </si>
  <si>
    <t>A. Se un cavallo si ferma durante la gara per un'emergenza  che succede?</t>
  </si>
  <si>
    <t>A. La gara continua senza il cavallo B. Il cavallo è escluso C. Il cavallo è penalizzato D. Il cavallo riparte</t>
  </si>
  <si>
    <t>La gara continua senza il cavallo</t>
  </si>
  <si>
    <t>A. Se un cavallo vince il Palio ma non rispetta le regole  che succede?</t>
  </si>
  <si>
    <t>A. La vittoria viene annullata B. Il cavallo è penalizzato C. La gara viene ripetuta D. Il cavallo riceve una penalità</t>
  </si>
  <si>
    <t>La vittoria viene annullata</t>
  </si>
  <si>
    <t>A. Se un cavallo perde il controllo  che succede?</t>
  </si>
  <si>
    <t>A. Il cavallo è penalizzato B. La gara viene annullata C. Il cavallo riparte D. Il cavallo viene squalificato</t>
  </si>
  <si>
    <t>A. Se un cavallo cambia rotta senza motivo  che succede?</t>
  </si>
  <si>
    <t>A. Il cavallo viene penalizzato B. Il cavallo è squalificato C. La gara continua normalmente D. Il cavallo riceve un avvertimento</t>
  </si>
  <si>
    <t>A. Se un cavallo è disarcionato ma non si ferma  che succede?</t>
  </si>
  <si>
    <t>A. La gara continua normalmente B. Il cavallo viene squalificato C. Il cavallo è penalizzato D. Il cavallo deve ripartire</t>
  </si>
  <si>
    <t>A. Se il cavallo non riesce a partire per problemi tecnici  che succede?</t>
  </si>
  <si>
    <t>A. La gara continua senza di lui B. Il cavallo è penalizzato C. La gara viene ripetuta D. Il cavallo è escluso</t>
  </si>
  <si>
    <t>La gara continua senza di lui</t>
  </si>
  <si>
    <t>A. Se un cavallo va troppo veloce e perde il controllo  che succede?</t>
  </si>
  <si>
    <t>A. Il cavallo è penalizzato B. La gara continua normalmente C. Il cavallo viene squalificato D. Il cavallo riceve una penalità</t>
  </si>
  <si>
    <t>A. Se un cavallo ostacola un altro durante la gara  che succede?</t>
  </si>
  <si>
    <t>A. Il cavallo viene penalizzato B. La gara viene annullata C. Il cavallo viene squalificato D. Il cavallo riceve un avvertimento</t>
  </si>
  <si>
    <t>A. Se un cavallo non rispetta l'ordine di partenza  che succede?</t>
  </si>
  <si>
    <t>A. Il cavallo viene squalificato B. Il cavallo viene penalizzato C. La gara continua normalmente D. Il cavallo riceve un avvertimento</t>
  </si>
  <si>
    <t>A. Se il cavallo è il solo a completare la gara  che succede?</t>
  </si>
  <si>
    <t>A. Il cavallo vince il Palio B. Il cavallo è penalizzato C. La gara è annullata D. Il cavallo riceve un premio speciale</t>
  </si>
  <si>
    <t>Il cavallo vince il Palio</t>
  </si>
  <si>
    <t>A. Se il cavallo perde tempo durante la gara  che succede?</t>
  </si>
  <si>
    <t>A. Se un cavallo non completa il percorso ma arriva al traguardo  che succede?</t>
  </si>
  <si>
    <t>A. La gara è annullata B. Il cavallo è penalizzato C. La gara continua normalmente D. Il cavallo vince comunque</t>
  </si>
  <si>
    <t>A. Se un cavallo non rispetta la distanza durante la gara  che succede?</t>
  </si>
  <si>
    <t>A. Il cavallo è penalizzato B. Il cavallo viene squalificato C. La gara continua normalmente D. Il cavallo riceve un avvertimento</t>
  </si>
  <si>
    <t>A. Se un cavallo taglia il percorso  che succede?</t>
  </si>
  <si>
    <t>A. Il cavallo viene penalizzato B. La gara continua normalmente C. Il cavallo riceve una penalità D. Il cavallo è squalificato</t>
  </si>
  <si>
    <t>A. Se il cavallo vince ma la gara è contestata  che succede?</t>
  </si>
  <si>
    <t>A. La gara viene ripetuta B. Il cavallo viene penalizzato C. Il cavallo è squalificato D. La vittoria viene confermata</t>
  </si>
  <si>
    <t>La gara viene ripetuta</t>
  </si>
  <si>
    <t>A. Se il cavallo perde il controllo e si ferma  che succede?</t>
  </si>
  <si>
    <t>A. Il cavallo è penalizzato B. La gara continua normalmente C. Il cavallo viene squalificato D. Il cavallo riparte</t>
  </si>
  <si>
    <t>A. Se un cavallo viene disarcionato e perde terreno  che succede?</t>
  </si>
  <si>
    <t>A. Se il cavallo scivola e perde tempo durante la gara  che succede?</t>
  </si>
  <si>
    <t>A. Se un cavallo taglia una curva pericolosa  che succede?</t>
  </si>
  <si>
    <t>A. Se un cavallo non riesce a completare il percorso e non arriva al traguardo  che succede?</t>
  </si>
  <si>
    <t>A. Il cavallo viene squalificato B. La gara continua senza di lui C. Il cavallo riceve una penalità D. La gara viene annullata</t>
  </si>
  <si>
    <t>A. Se il cavallo non parte correttamente al segnale  che succede?</t>
  </si>
  <si>
    <t>A. Il cavallo viene penalizzato B. La gara viene ripetuta C. Il cavallo è squalificato D. La gara continua normalmente</t>
  </si>
  <si>
    <t>A. Se due cavalli arrivano al traguardo nello stesso momento  che succede?</t>
  </si>
  <si>
    <t>A. La gara finisce in pareggio B. Il cavallo che arriva prima a destra vince C. Il cavallo che arriva a sinistra vince D. La gara viene ripetuta</t>
  </si>
  <si>
    <t>A. Se un cavallo fa un errore durante la gara ma non viene squalificato  che succede?</t>
  </si>
  <si>
    <t>A. Il cavallo riceve una penalità B. Il cavallo continua normalmente C. Il cavallo è penalizzato D. La gara viene annullata</t>
  </si>
  <si>
    <t>A. Se un cavallo rallenta intenzionalmente per ostacolare gli altri  che succede?</t>
  </si>
  <si>
    <t>A. Se un cavallo vince la gara ma è stato disqualificato per una violazione  che succede?</t>
  </si>
  <si>
    <t>A. La vittoria viene annullata B. Il cavallo riceve una penalità C. La gara viene ripetuta D. Il cavallo viene penalizzato</t>
  </si>
  <si>
    <t>A. Se il cavallo perde la strada durante la gara  che succede?</t>
  </si>
  <si>
    <t>A. Il cavallo viene penalizzato B. Il cavallo deve riprendere il percorso C. La gara continua normalmente D. Il cavallo viene squalificato</t>
  </si>
  <si>
    <t>A. Se il cavallo è disarcionato ma riesce a rialzarsi subito  che succede?</t>
  </si>
  <si>
    <t>A. La gara continua normalmente B. Il cavallo viene penalizzato C. Il cavallo viene squalificato D. La gara viene annullata</t>
  </si>
  <si>
    <t>A. Se un cavallo taglia il percorso in modo irregolare per risparmiare tempo  che succede?</t>
  </si>
  <si>
    <t>A. Il cavallo viene penalizzato B. Il cavallo viene squalificato C. Il cavallo riceve un avvertimento D. La gara continua normalmente</t>
  </si>
  <si>
    <t>A. Se un cavallo non segue il percorso durante la gara  che succede?</t>
  </si>
  <si>
    <t>A. Se il cavallo perde il controllo e si ferma brevemente  che succede?</t>
  </si>
  <si>
    <t>A. Il cavallo viene penalizzato B. Il cavallo riceve un avvertimento C. La gara continua normalmente D. Il cavallo viene squalificato</t>
  </si>
  <si>
    <t>A. Se un cavallo vince ma ha compiuto un errore durante la gara  che succede?</t>
  </si>
  <si>
    <t>A. La vittoria viene annullata B. Il cavallo riceve una penalità C. Il cavallo viene squalificato D. La gara viene ripetuta</t>
  </si>
  <si>
    <t>A. Se un cavallo va fuori strada ma non viene squalificato  che succede?</t>
  </si>
  <si>
    <t>A. Il cavallo riceve una penalità B. Il cavallo continua normalmente C. Il cavallo viene penalizzato D. Il cavallo riparte</t>
  </si>
  <si>
    <t>A. Se il cavallo manca un checkpoint durante la gara  che succede?</t>
  </si>
  <si>
    <t>A. Se il cavallo supera un altro cavallo in modo irregolare  che succede?</t>
  </si>
  <si>
    <t>A. Se un cavallo arriva al traguardo ma ha violato una regola  che succede?</t>
  </si>
  <si>
    <t>A. Il cavallo viene penalizzato B. La vittoria viene annullata C. Il cavallo è squalificato D. La gara viene ripetuta</t>
  </si>
  <si>
    <t>A. Se un cavallo è penalizzato durante la gara  che succede?</t>
  </si>
  <si>
    <t>A. Il cavallo perde tempo B. Il cavallo è squalificato C. La gara continua normalmente D. Il cavallo riceve un avvertimento</t>
  </si>
  <si>
    <t>Il cavallo perde tempo</t>
  </si>
  <si>
    <t>A. Il cavallo viene squalificato B. La gara continua normalmente C. Il cavallo è penalizzato D. Il cavallo riceve una penalità</t>
  </si>
  <si>
    <t>A. Se il cavallo fa una partenza anticipata  che succede?</t>
  </si>
  <si>
    <t>A. Se il cavallo finisce la gara con un altro cavallo accanto  che succede?</t>
  </si>
  <si>
    <t>A. Il cavallo vince se è arrivato prima B. Il cavallo viene penalizzato C. La gara continua normalmente D. Il cavallo riceve una penalità</t>
  </si>
  <si>
    <t>Il cavallo vince se è arrivato prima</t>
  </si>
  <si>
    <t>A. Se un cavallo è l'unico a completare la gara  che succede?</t>
  </si>
  <si>
    <t>A. Il cavallo vince B. La gara continua senza di lui C. Il cavallo è penalizzato D. La gara viene ripetuta</t>
  </si>
  <si>
    <t>Il cavallo vince</t>
  </si>
  <si>
    <t>A. Se un cavallo va fuori percorso e arriva comunque primo  che succede?</t>
  </si>
  <si>
    <t>A. Il cavallo viene penalizzato B. Il cavallo viene squalificato C. Il cavallo vince comunque D. La gara viene annullata</t>
  </si>
  <si>
    <t>A. Se un cavallo termina la gara ma non rispetta una regola importante  che succede?</t>
  </si>
  <si>
    <t>A. Il cavallo viene penalizzato B. La gara continua normalmente C. Il cavallo riceve una penalità D. La vittoria viene annullata</t>
  </si>
  <si>
    <t>A. Se il cavallo viene disarcionato ma continua a correre  che succede?</t>
  </si>
  <si>
    <t>A. La gara continua normalmente B. Il cavallo viene penalizzato C. Il cavallo riceve un avvertimento D. Il cavallo è squalificato</t>
  </si>
  <si>
    <t>A. Se un cavallo va troppo veloce e viene penalizzato  che succede?</t>
  </si>
  <si>
    <t>A. Il cavallo perde tempo B. La gara continua normalmente C. Il cavallo è squalificato D. Il cavallo riceve una penalità</t>
  </si>
  <si>
    <t>A. Se un cavallo non segue il percorso corretto  che succede?</t>
  </si>
  <si>
    <t>A. Il cavallo viene squalificato B. La gara viene ripetuta C. Il cavallo riceve un avvertimento D. Il cavallo è penalizzato</t>
  </si>
  <si>
    <t>A. Se un cavallo si ferma durante la gara  che succede?</t>
  </si>
  <si>
    <t>A. Il cavallo riceve una penalità B. La gara continua normalmente C. Il cavallo viene penalizzato D. Il cavallo riparte</t>
  </si>
  <si>
    <t>A. Se un cavallo non riesce a mantenere la sua posizione durante la gara  che succede?</t>
  </si>
  <si>
    <t>A. Se un cavallo si ferma per un'emergenza  che succede?</t>
  </si>
  <si>
    <t>A. La gara continua senza il cavallo B. Il cavallo riceve una penalità C. Il cavallo è squalificato D. Il cavallo riparte</t>
  </si>
  <si>
    <t>A. Se il cavallo vince ma non rispetta le regole di partenza  che succede?</t>
  </si>
  <si>
    <t>A. La vittoria viene annullata B. Il cavallo viene penalizzato C. La gara viene ripetuta D. Il cavallo è squalificato</t>
  </si>
  <si>
    <t>A. Se un cavallo esce dalla pista durante la gara  che succede?</t>
  </si>
  <si>
    <t>A. Se un cavallo cambia percorso durante la gara  che succede?</t>
  </si>
  <si>
    <t>A. Se un cavallo si scontra con un altro durante la gara  che succede?</t>
  </si>
  <si>
    <t>A. Il cavallo che ha causato l'incidente viene penalizzato B. Entrambi i cavalli sono penalizzati C. Il cavallo che ha subito il danno vince D. La gara continua normalmente</t>
  </si>
  <si>
    <t>Il cavallo che ha causato l'incidente viene penalizzato</t>
  </si>
  <si>
    <t>A. Se un cavallo taglia una curva troppo stretta  che succede?</t>
  </si>
  <si>
    <t>A. Se un cavallo perde la corsa a causa di una scorciatoia  che succede?</t>
  </si>
  <si>
    <t>A. Il cavallo è penalizzato B. Il cavallo riceve una penalità C. Il cavallo viene squalificato D. La gara continua normalmente</t>
  </si>
  <si>
    <t>A. Se un cavallo perde il controllo durante la curva  che succede?</t>
  </si>
  <si>
    <t>A. Il cavallo viene penalizzato B. Il cavallo è squalificato C. Il cavallo riceve un avvertimento D. La gara continua normalmente</t>
  </si>
  <si>
    <t>A. Se un cavallo vince ma non rispetta l'ordine di arrivo  che succede?</t>
  </si>
  <si>
    <t>A. La vittoria viene annullata B. Il cavallo riceve una penalità C. La gara continua normalmente D. Il cavallo è squalificato</t>
  </si>
  <si>
    <t>A. Se un cavallo taglia la strada a un altro  che succede?</t>
  </si>
  <si>
    <t>A. Il cavallo che ha causato il danno viene penalizzato B. La gara continua normalmente C. Il cavallo che ha subito il danno vince D. Entrambi i cavalli sono penalizzati</t>
  </si>
  <si>
    <t>Il cavallo che ha causato il danno viene penalizzato</t>
  </si>
  <si>
    <t>A. Se un cavallo non completa la gara per motivi tecnici  che succede?</t>
  </si>
  <si>
    <t>A. Il cavallo è squalificato B. La gara continua senza di lui C. Il cavallo riceve una penalità D. La gara viene ripetuta</t>
  </si>
  <si>
    <t>A. Se il cavallo perde la sua posizione durante la gara  che succede?</t>
  </si>
  <si>
    <t>A. Se il cavallo si squalifica dopo aver superato il traguardo  che succede?</t>
  </si>
  <si>
    <t>A. La vittoria viene annullata B. Il cavallo riceve una penalità C. La gara continua normalmente D. La gara viene ripetuta</t>
  </si>
  <si>
    <t>A. Se un cavallo non rispetta il percorso di gara  che succede?</t>
  </si>
  <si>
    <t>A. Il cavallo viene squalificato B. Il cavallo riceve una penalità C. La gara continua normalmente D. Il cavallo viene penalizzato</t>
  </si>
  <si>
    <t>A. Se un cavallo si ferma a metà gara per un problema fisico  che succede?</t>
  </si>
  <si>
    <t>A. La gara continua senza il cavallo B. Il cavallo viene penalizzato C. Il cavallo è squalificato D. Il cavallo riparte</t>
  </si>
  <si>
    <t>A. Se il cavallo arriva ultimo ma ha rispettato tutte le regole  che succede?</t>
  </si>
  <si>
    <t>A. Il cavallo riceve un premio di consolazione B. Il cavallo è penalizzato C. La gara continua normalmente D. Il cavallo viene squalificato</t>
  </si>
  <si>
    <t>Il cavallo riceve un premio di consolazione</t>
  </si>
  <si>
    <t>A. Se il cavallo rallenta intenzionalmente per non arrivare primo  che succede?</t>
  </si>
  <si>
    <t>A. Il cavallo viene penalizzato B. Il cavallo riceve un avvertimento C. La gara continua normalmente D. Il cavallo è squalificato</t>
  </si>
  <si>
    <t>A. Se un cavallo perde un punto di riferimento durante la gara  che succede?</t>
  </si>
  <si>
    <t>A. Il cavallo è penalizzato B. La gara continua normalmente C. Il cavallo riceve un avvertimento D. Il cavallo viene squalificato</t>
  </si>
  <si>
    <t>A. Se un cavallo compie un errore ma non viene squalificato  che succede?</t>
  </si>
  <si>
    <t>A. Il cavallo riceve una penalità B. Il cavallo riparte C. La gara continua normalmente D. Il cavallo viene penalizzato</t>
  </si>
  <si>
    <t>A. Se un cavallo taglia il percorso e arriva al traguardo  che succede?</t>
  </si>
  <si>
    <t>A. Il cavallo viene penalizzato B. La gara continua normalmente C. Il cavallo riceve una penalità D. Il cavallo viene squalificato</t>
  </si>
  <si>
    <t>A. Se un cavallo perde il controllo a metà gara  che succede?</t>
  </si>
  <si>
    <t>A. Se il cavallo non rispetta l'ordine di partenza  che succede?</t>
  </si>
  <si>
    <t>A. Se un cavallo arriva al traguardo prima di un altro ma non rispetta le regole  che succede?</t>
  </si>
  <si>
    <t>A. Il cavallo viene squalificato B. Il cavallo riceve una penalità C. La vittoria viene annullata D. Il cavallo riceve un avvertimento</t>
  </si>
  <si>
    <t>A. Il cavallo riceve una penalità B. Il cavallo è penalizzato C. La gara continua normalmente D. Il cavallo viene squalificato</t>
  </si>
  <si>
    <t>A. Se un cavallo viene squalificato per un errore tecnico  che succede?</t>
  </si>
  <si>
    <t>A. La gara continua senza il cavallo B. Il cavallo riceve una penalità C. La gara viene annullata D. Il cavallo è penalizzato</t>
  </si>
  <si>
    <t>A. Se un cavallo ha un comportamento scorretto durante la gara  che succede?</t>
  </si>
  <si>
    <t>A. Se un cavallo arriva ultimo ma è stato penalizzato  che succede?</t>
  </si>
  <si>
    <t>A. Il cavallo non vince alcun premio B. La gara continua normalmente C. Il cavallo riceve una penalità D. Il cavallo è squalificato</t>
  </si>
  <si>
    <t>Il cavallo non vince alcun premio</t>
  </si>
  <si>
    <t>A. Se un cavallo vince ma ha ricevuto un avvertimento  che succede?</t>
  </si>
  <si>
    <t>A. La vittoria viene mantenuta B. Il cavallo viene penalizzato C. La gara viene annullata D. Il cavallo riceve una penalità</t>
  </si>
  <si>
    <t>La vittoria viene mantenuta</t>
  </si>
  <si>
    <t>A. Se il cavallo vince ma è stato penalizzato durante la gara  che succede?</t>
  </si>
  <si>
    <t>A. Il cavallo riceve una penalità B. La vittoria viene annullata C. Il cavallo è squalificato D. Il cavallo riceve un avvertimento</t>
  </si>
  <si>
    <t>A. Se un cavallo viene penalizzato per aver ostacolato un altro  che succede?</t>
  </si>
  <si>
    <t>A. Il cavallo perde tempo B. Il cavallo è squalificato C. Il cavallo riceve un avvertimento D. La gara continua normalmente</t>
  </si>
  <si>
    <t>A. Se un cavallo si stanca durante la gara e non può completarla  che succede?</t>
  </si>
  <si>
    <t>A. Il cavallo viene squalificato B. Il cavallo riceve una penalità C. La gara continua senza di lui D. La gara viene ripetuta</t>
  </si>
  <si>
    <t>A. Se un cavallo scivola durante la gara ma non perde il controllo  che succede?</t>
  </si>
  <si>
    <t>A. La gara continua normalmente B. Il cavallo viene penalizzato C. Il cavallo è squalificato D. Il cavallo riceve un avvertimento</t>
  </si>
  <si>
    <t>A. Se un cavallo è costretto a fermarsi per un ostacolo sulla pista  che succede?</t>
  </si>
  <si>
    <t>A. Il cavallo riceve una penalità B. Il cavallo è squalificato C. Il cavallo riparte da dove si è fermato D. La gara continua normalmente</t>
  </si>
  <si>
    <t>A. Il cavallo che ha causato lo scontro viene penalizzato B. Entrambi i cavalli vengono penalizzati C. La gara continua normalmente D. Il cavallo che ha subito il danno vince</t>
  </si>
  <si>
    <t>Il cavallo che ha causato lo scontro viene penalizzato</t>
  </si>
  <si>
    <t>A. Se un cavallo arriva al traguardo ma non rispetta il percorso  che succede?</t>
  </si>
  <si>
    <t>A. Il cavallo viene squalificato B. La gara continua normalmente C. Il cavallo riceve una penalità D. Il cavallo riparte</t>
  </si>
  <si>
    <t>A. Se un cavallo non riesce a partire al segnale  che succede?</t>
  </si>
  <si>
    <t>A. Il cavallo viene penalizzato B. La gara continua senza di lui C. Il cavallo riceve un avvertimento D. Il cavallo riparte</t>
  </si>
  <si>
    <t>A. Se un cavallo perde la sua posizione durante la gara e non riesce a recuperarla  che succede?</t>
  </si>
  <si>
    <t>A. Il cavallo viene penalizzato B. La gara continua normalmente C. Il cavallo riceve un avvertimento D. Il cavallo è squalificato</t>
  </si>
  <si>
    <t>A. Se un cavallo viene disarcionato ma non riesce a rialzarsi  che succede?</t>
  </si>
  <si>
    <t>A. Il cavallo viene squalificato B. La gara continua senza di lui C. Il cavallo riceve una penalità D. Il cavallo riparte</t>
  </si>
  <si>
    <t>A. Se un cavallo non completa il percorso ma raggiunge il traguardo  che succede?</t>
  </si>
  <si>
    <t>A. Il cavallo viene penalizzato B. Il cavallo riceve un avvertimento C. Il cavallo è squalificato D. La gara continua normalmente</t>
  </si>
  <si>
    <t>A. Se un cavallo viene penalizzato per una scorciatoia  che succede?</t>
  </si>
  <si>
    <t>A. Il cavallo riceve una penalità B. Il cavallo riparte C. La gara continua normalmente D. Il cavallo è squalificato</t>
  </si>
  <si>
    <t>A. Se un cavallo rallenta intenzionalmente per favorire un altro cavallo  che succede?</t>
  </si>
  <si>
    <t>A. Se il cavallo vince ma non rispetta il tempo minimo  che succede?</t>
  </si>
  <si>
    <t>A. La vittoria viene annullata B. Il cavallo viene penalizzato C. La gara viene ripetuta D. Il cavallo riceve una penalità</t>
  </si>
  <si>
    <t>A. Se un cavallo è l'unico che completa il percorso correttamente  che succede?</t>
  </si>
  <si>
    <t>A. Il cavallo vince B. La gara continua senza di lui C. Il cavallo viene penalizzato D. Il cavallo riceve un premio di consolazione</t>
  </si>
  <si>
    <t>A. Se un cavallo perde il controllo e si ferma brevemente  che succede?</t>
  </si>
  <si>
    <t>A. Se il cavallo è penalizzato durante la gara  che succede?</t>
  </si>
  <si>
    <t>A. Se un cavallo si squalifica per un errore tecnico durante la gara  che succede?</t>
  </si>
  <si>
    <t>A. Il cavallo viene penalizzato B. La gara viene annullata C. Il cavallo è squalificato D. La gara continua senza il cavallo</t>
  </si>
  <si>
    <t>A. Se un cavallo non segue il percorso ma arriva al traguardo  che succede?</t>
  </si>
  <si>
    <t>A. Il cavallo viene squalificato B. La gara continua senza di lui C. Il cavallo riceve una penalità D. Il cavallo è penalizzato</t>
  </si>
  <si>
    <t>A. Se un cavallo vince ma ha commesso un errore durante la gara  che succede?</t>
  </si>
  <si>
    <t>A. La vittoria viene annullata B. Il cavallo riceve una penalità C. Il cavallo viene penalizzato D. La gara continua normalmente</t>
  </si>
  <si>
    <t>A. Se un cavallo perde il controllo durante la gara  che succede?</t>
  </si>
  <si>
    <t>A. Se un cavallo è disarcionato ma continua a correre  che succede?</t>
  </si>
  <si>
    <t>A. Se un cavallo taglia il percorso irregolarmente per risparmiare tempo  che succede?</t>
  </si>
  <si>
    <t>A. Se un cavallo vince ma non ha seguito tutte le regole  che succede?</t>
  </si>
  <si>
    <t>A. La vittoria viene annullata B. Il cavallo riceve una penalità C. La gara viene ripetuta D. Il cavallo è squalificato</t>
  </si>
  <si>
    <t>A. Se un cavallo commette un errore durante la gara ma non viene squalificato  che succede?</t>
  </si>
  <si>
    <t>A. Il cavallo riceve una penalità B. La gara continua normalmente C. Il cavallo viene penalizzato D. Il cavallo riceve un avvertimento</t>
  </si>
  <si>
    <t>A. Se un cavallo non segue la direzione corretta durante la gara  che succede?</t>
  </si>
  <si>
    <t>A. Se un cavallo è penalizzato ma continua la gara  che succede?</t>
  </si>
  <si>
    <t>A. Il cavallo perde tempo B. La gara continua normalmente C. Il cavallo riceve un avvertimento D. Il cavallo è squalificato</t>
  </si>
  <si>
    <t>A. Se il cavallo vince ma non rispetta il percorso  che succede?</t>
  </si>
  <si>
    <t>A. Il cavallo viene penalizzato B. La vittoria viene annullata C. Il cavallo è squalificato D. Il cavallo riceve un avvertimento</t>
  </si>
  <si>
    <t>A. Se un cavallo non arriva al traguardo ma ha rispettato le regole  che succede?</t>
  </si>
  <si>
    <t>A. Il cavallo riceve un premio di consolazione B. Il cavallo viene penalizzato C. La gara continua normalmente D. Il cavallo viene squalificato</t>
  </si>
  <si>
    <t>A. Se un cavallo perde il controllo della corsa ma recupera velocemente  che succede?</t>
  </si>
  <si>
    <t>A. Se un cavallo vince senza aver rispettato le regole di arrivo  che succede?</t>
  </si>
  <si>
    <t>A. Il cavallo viene penalizzato B. La vittoria viene annullata C. Il cavallo è squalificato D. Il cavallo riceve una penalità</t>
  </si>
  <si>
    <t>A. Se un cavallo inciampa durante la gara ma non perde il controllo  che succede?</t>
  </si>
  <si>
    <t>A. Se un cavallo viene spinto fuori dalla pista da un altro cavallo  che succede?</t>
  </si>
  <si>
    <t>A. Il cavallo che ha causato l'incidente viene penalizzato B. Il cavallo che è stato spinto fuori viene penalizzato C. Entrambi i cavalli vengono penalizzati D. La gara continua normalmente</t>
  </si>
  <si>
    <t>A. Se un cavallo cambia il suo cavaliere durante la gara  che succede?</t>
  </si>
  <si>
    <t>A. Se un cavallo arriva al traguardo senza aver seguito il percorso corretto  che succede?</t>
  </si>
  <si>
    <t>A. Il cavallo viene penalizzato B. La gara continua normalmente C. Il cavallo viene squalificato D. La vittoria viene annullata</t>
  </si>
  <si>
    <t>A. Se un cavallo perde il suo cavaliere durante la corsa ma continua a correre  che succede?</t>
  </si>
  <si>
    <t>A. Se un cavallo viene distratto da un oggetto sulla pista  che succede?</t>
  </si>
  <si>
    <t>A. Il cavallo viene penalizzato B. La gara continua senza di lui C. Il cavallo riceve un avvertimento D. Il cavallo è squalificato</t>
  </si>
  <si>
    <t>A. Se un cavallo si ferma nel mezzo della gara senza motivo  che succede?</t>
  </si>
  <si>
    <t>A. Il cavallo viene penalizzato B. La gara continua senza di lui C. Il cavallo è squalificato D. Il cavallo riceve un avvertimento</t>
  </si>
  <si>
    <t>A. Se un cavallo arriva al traguardo ma ha interrotto il percorso  che succede?</t>
  </si>
  <si>
    <t>A. Se un cavallo corre troppo lentamente per vincere  che succede?</t>
  </si>
  <si>
    <t>A. Se un cavallo completa il percorso ma non arriva al traguardo  che succede?</t>
  </si>
  <si>
    <t>A. Il cavallo riceve un premio di consolazione B. Il cavallo viene penalizzato C. La gara continua normalmente D. Il cavallo è squalificato</t>
  </si>
  <si>
    <t>A. Se un cavallo cambia direzione durante la gara senza motivo  che succede?</t>
  </si>
  <si>
    <t>A. Se un cavallo subisce un infortunio ma riesce a continuare  che succede?</t>
  </si>
  <si>
    <t>A. La gara continua normalmente B. Il cavallo riceve un avvertimento C. Il cavallo è squalificato D. Il cavallo viene penalizzato</t>
  </si>
  <si>
    <t>A. Se un cavallo non rispetta la velocità minima  che succede?</t>
  </si>
  <si>
    <t>A. Se un cavallo riesce a prendere una scorciatoia durante la gara  che succede?</t>
  </si>
  <si>
    <t>A. Il cavallo viene penalizzato B. Il cavallo riceve un avvertimento C. Il cavallo viene squalificato D. La gara continua normalmente</t>
  </si>
  <si>
    <t>A. Se un cavallo fa una mossa scorretta per superare un altro cavallo  che succede?</t>
  </si>
  <si>
    <t>A. Il cavallo viene penalizzato B. La gara continua normalmente C. Il cavallo viene squalificato D. Il cavallo riceve un avvertimento</t>
  </si>
  <si>
    <t>A. Se un cavallo viene ostacolato durante la gara  che succede?</t>
  </si>
  <si>
    <t>A. Il cavallo che ha causato l'ostacolo viene penalizzato B. Il cavallo che è stato ostacolato viene penalizzato C. La gara continua normalmente D. Entrambi i cavalli vengono penalizzati</t>
  </si>
  <si>
    <t>Il cavallo che ha causato l'ostacolo viene penalizzato</t>
  </si>
  <si>
    <t>A. Se un cavallo non segue il percorso corretto e taglia un angolo  che succede?</t>
  </si>
  <si>
    <t>A. Se un cavallo perde il controllo della corsa e si ferma brevemente  che succede?</t>
  </si>
  <si>
    <t>A. Il cavallo riceve una penalità B. Il cavallo viene squalificato C. La gara continua normalmente D. Il cavallo riceve un avvertimento</t>
  </si>
  <si>
    <t>A. Se un cavallo termina la gara ma ha violato una regola  che succede?</t>
  </si>
  <si>
    <t>A. Se un cavallo viene spinto da un altro cavallo ma riesce a mantenere il controllo  che succede?</t>
  </si>
  <si>
    <t>A. Se un cavallo rallenta intenzionalmente per distrarre gli altri  che succede?</t>
  </si>
  <si>
    <t>A. Se un cavallo inciampa e cade durante la gara  che succede?</t>
  </si>
  <si>
    <t>A. Il cavallo viene penalizzato B. Il cavallo viene squalificato C. La gara continua senza di lui D. Il cavallo riparte</t>
  </si>
  <si>
    <t>A. Se un cavallo si ferma durante la gara per un malessere  che succede?</t>
  </si>
  <si>
    <t>A. Il cavallo viene squalificato B. La gara continua senza di lui C. Il cavallo riceve un avvertimento D. Il cavallo è penalizzato</t>
  </si>
  <si>
    <t>A. Se un cavallo è penalizzato ma termina la gara  che succede?</t>
  </si>
  <si>
    <t>A. Il cavallo riceve una penalità B. Il cavallo vince comunque C. Il cavallo viene squalificato D. Il cavallo riceve un avvertimento</t>
  </si>
  <si>
    <t>A. Il cavallo che ha causato lo scontro viene penalizzato B. La gara continua normalmente C. Entrambi i cavalli vengono penalizzati D. Il cavallo che ha subito il danno vince</t>
  </si>
  <si>
    <t>A. Se un cavallo non completa il percorso ma è ancora in gara  che succede?</t>
  </si>
  <si>
    <t>A. Se un cavallo corre troppo velocemente e non rispetta i limiti  che succede?</t>
  </si>
  <si>
    <t>A. Se un cavallo supera un altro cavallo in modo scorretto  che succede?</t>
  </si>
  <si>
    <t>A. Se un cavallo non segue il percorso ma non viene visto dai giudici  che succede?</t>
  </si>
  <si>
    <t>A. Il cavallo riceve una penalità B. La gara continua normalmente C. Il cavallo viene penalizzato D. Il cavallo viene squalificato</t>
  </si>
  <si>
    <t>A. Se un cavallo viene fermato da un ostacolo improvviso durante la gara  che succede?</t>
  </si>
  <si>
    <t>A. Il cavallo riceve un avvertimento B. La gara continua normalmente C. Il cavallo viene penalizzato D. Il cavallo è squalificato</t>
  </si>
  <si>
    <t>A. Se un cavallo ha un infortunio minore durante la gara  che succede?</t>
  </si>
  <si>
    <t>A. Il cavallo viene penalizzato B. Il cavallo può continuare a correre C. Il cavallo è squalificato D. Il cavallo riceve un avvertimento</t>
  </si>
  <si>
    <t>Il cavallo può continuare a correre</t>
  </si>
  <si>
    <t>A. Se un cavallo taglia un angolo troppo stretto durante la gara  che succede?</t>
  </si>
  <si>
    <t>A. Il cavallo viene penalizzato B. La gara continua normalmente C. Il cavallo riceve un avvertimento D. Il cavallo viene squalificato</t>
  </si>
  <si>
    <t>A. Se un cavallo non rispetta il limite di velocità imposto  che succede?</t>
  </si>
  <si>
    <t>A. Se un cavallo viene ostacolato da un altro cavallo intenzionalmente  che succede?</t>
  </si>
  <si>
    <t>A. Il cavallo che ha causato l'ostacolo viene penalizzato B. La gara continua normalmente C. Il cavallo che è stato ostacolato viene penalizzato D. Entrambi i cavalli vengono penalizzati</t>
  </si>
  <si>
    <t>A. Se un cavallo perde il controllo a metà gara e si ferma brevemente  che succede?</t>
  </si>
  <si>
    <t>A. Il cavallo riceve un avvertimento B. Il cavallo viene penalizzato C. Il cavallo è squalificato D. La gara continua normalmente</t>
  </si>
  <si>
    <t>Il cavallo riceve un avvertimento</t>
  </si>
  <si>
    <t>A. Se un cavallo ha una caduta durante la gara ma non si ferma  che succede?</t>
  </si>
  <si>
    <t>A. Se due cavalli si scontrano accidentalmente  che succede?</t>
  </si>
  <si>
    <t>A. Entrambi i cavalli vengono penalizzati B. Il cavallo che ha causato lo scontro viene penalizzato C. La gara continua normalmente D. Il cavallo che ha subito il danno vince</t>
  </si>
  <si>
    <t>Entrambi i cavalli vengono penalizzati</t>
  </si>
  <si>
    <t>A. Se un cavallo va fuori pista ma torna subito  che succede?</t>
  </si>
  <si>
    <t>A. Il cavallo riceve un avvertimento B. La gara continua normalmente C. Il cavallo viene penalizzato D. Il cavallo viene squalificato</t>
  </si>
  <si>
    <t>A. Se un cavallo è visibilmente malato durante la gara  che succede?</t>
  </si>
  <si>
    <t>A. Il cavallo viene squalificato B. La gara continua normalmente C. Il cavallo riceve un avvertimento D. Il cavallo viene penalizzato</t>
  </si>
  <si>
    <t>A. Se un cavallo perde il cavaliere durante la gara  che succede?</t>
  </si>
  <si>
    <t>A. Se un cavallo esce dal percorso e taglia una curva  che succede?</t>
  </si>
  <si>
    <t>A. Se un cavallo viene ostacolato da un oggetto sul percorso  che succede?</t>
  </si>
  <si>
    <t>A. Se un cavallo si ferma completamente e non riparte  che succede?</t>
  </si>
  <si>
    <t>A. Il cavallo viene penalizzato B. Il cavallo è squalificato C. La gara continua senza di lui D. Il cavallo riceve un avvertimento</t>
  </si>
  <si>
    <t>A. Se un cavallo cambia cavaliere durante la gara  che succede?</t>
  </si>
  <si>
    <t>A. Se un cavallo passa troppo vicino a un altro cavallo  che succede?</t>
  </si>
  <si>
    <t>A. Se un cavallo attraversa la linea del traguardo ma non ha completato il percorso  che succede?</t>
  </si>
  <si>
    <t>A. Se un cavallo rallenta intenzionalmente durante la gara  che succede?</t>
  </si>
  <si>
    <t>A. Se un cavallo viene colpito da un altro cavallo ma non perde il controllo  che succede?</t>
  </si>
  <si>
    <t>A. La gara continua normalmente B. Il cavallo viene penalizzato C. Il cavallo riceve un avvertimento D. Il cavallo viene squalificato</t>
  </si>
  <si>
    <t>A. Se un cavallo è squalificato durante la gara  che succede?</t>
  </si>
  <si>
    <t>A. Il cavallo viene escluso dalla gara B. La gara continua senza di lui C. Il cavallo riceve un avvertimento D. Il cavallo viene penalizzato</t>
  </si>
  <si>
    <t>Il cavallo viene escluso dalla gara</t>
  </si>
  <si>
    <t>A. Se un cavallo parte in anticipo al via  che succede?</t>
  </si>
  <si>
    <t>A. Se un cavallo perde il controllo e finisce fuori dalla pista  che succede?</t>
  </si>
  <si>
    <t>A. La gara continua senza di lui B. Il cavallo viene penalizzato C. Il cavallo riceve un avvertimento D. Il cavallo viene squalificato</t>
  </si>
  <si>
    <t>A. Se un cavallo viene visto aggirare un ostacolo sulla pista  che succede?</t>
  </si>
  <si>
    <t>A. Se un cavallo supera un altro in modo irregolare  che succede?</t>
  </si>
  <si>
    <t>A. Se due cavalli si toccano durante la gara  che succede?</t>
  </si>
  <si>
    <t>A. La gara continua normalmente B. Il cavallo che ha causato il contatto viene penalizzato C. Il cavallo che ha subito il contatto viene penalizzato D. Entrambi i cavalli vengono penalizzati</t>
  </si>
  <si>
    <t>A. Se un cavallo si ferma nel bel mezzo della gara senza un motivo apparente  che succede?</t>
  </si>
  <si>
    <t>A. Il cavallo viene penalizzato B. Il cavallo viene squalificato C. La gara continua senza di lui D. Il cavallo riceve un avvertimento</t>
  </si>
  <si>
    <t>A. Se un cavallo non segue correttamente il percorso durante la gara  che succede?</t>
  </si>
  <si>
    <t>A. Se un cavallo taglia un angolo durante la gara  che succede?</t>
  </si>
  <si>
    <t>A. Se un cavallo viene spinto fuori pista  che succede?</t>
  </si>
  <si>
    <t>A. Il cavallo che ha spinto viene penalizzato B. Il cavallo che è stato spinto fuori viene penalizzato C. La gara continua normalmente D. Entrambi i cavalli vengono penalizzati</t>
  </si>
  <si>
    <t>Il cavallo che ha spinto viene penalizzato</t>
  </si>
  <si>
    <t>A. Se un cavallo si ritira prima della fine della gara  che succede?</t>
  </si>
  <si>
    <t>A. Se un cavallo parte troppo presto alla partenza  che succede?</t>
  </si>
  <si>
    <t>A. Se un cavallo cambia pista durante la gara  che succede?</t>
  </si>
  <si>
    <t>A. Se un cavallo non segue l'ordine di partenza  che succede?</t>
  </si>
  <si>
    <t>A. Se un cavallo si ritira a metà gara per un infortunio  che succede?</t>
  </si>
  <si>
    <t>A. La gara continua senza di lui B. Il cavallo viene penalizzato C. Il cavallo riceve un avvertimento D. La gara è annullata</t>
  </si>
  <si>
    <t>A. Se un cavallo taglia il traguardo prima del tempo  che succede?</t>
  </si>
  <si>
    <t>A. Se un cavallo va fuori pista ma torna velocemente  che succede?</t>
  </si>
  <si>
    <t>A. Se un cavallo entra in collisione con un altro durante la gara  che succede?</t>
  </si>
  <si>
    <t>A. Entrambi i cavalli vengono penalizzati B. Il cavallo che ha causato l'incidente viene penalizzato C. La gara continua normalmente D. Il cavallo che è stato danneggiato riceve un avvertimento</t>
  </si>
  <si>
    <t>A. Se un cavallo ha una caduta ma non si ferma  che succede?</t>
  </si>
  <si>
    <t>A. Se un cavallo va troppo velocemente rispetto al limite consentito  che succede?</t>
  </si>
  <si>
    <t>A. Se un cavallo viene ostacolato da un altro cavallo in modo irregolare  che succede?</t>
  </si>
  <si>
    <t>A. Il cavallo che ha causato l'ostacolo viene penalizzato B. Il cavallo che è stato ostacolato viene penalizzato C. Entrambi i cavalli vengono penalizzati D. La gara continua normalmente</t>
  </si>
  <si>
    <t>A. Se un cavallo perde il cavaliere ma riesce a continuare  che succede?</t>
  </si>
  <si>
    <t>A. Se un cavallo si ferma completamente durante la gara  che succede?</t>
  </si>
  <si>
    <t>A. Se un cavallo non rispetta l'ordine di arrivo  che succede?</t>
  </si>
  <si>
    <t>A. Se un cavallo cambia posizione irregolarmente durante la gara  che succede?</t>
  </si>
  <si>
    <t>A. Se un cavallo taglia la curva di un altro cavallo  che succede?</t>
  </si>
  <si>
    <t>A. Il cavallo viene penalizzato B. Il cavallo che ha subito il taglio viene penalizzato C. La gara continua normalmente D. Entrambi i cavalli vengono penalizzati</t>
  </si>
  <si>
    <t>A. Se un cavallo rifiuta di continuare la corsa per motivi di salute  che succede?</t>
  </si>
  <si>
    <t>A. Il cavallo viene escluso dalla gara B. Il cavallo riceve un avvertimento C. La gara continua senza di lui D. Il cavallo viene penalizzato</t>
  </si>
  <si>
    <t>A. Se un cavallo attraversa il traguardo e poi torna indietro  che succede?</t>
  </si>
  <si>
    <t>A. Se un cavallo viene ostacolato da un altro in maniera involontaria  che succede?</t>
  </si>
  <si>
    <t>A. Se un cavallo passa sotto il limite di velocità imposto  che succede?</t>
  </si>
  <si>
    <t>A. Se un cavallo non riesce a completare la gara  che succede?</t>
  </si>
  <si>
    <t>A. Se un cavallo viene bloccato da un altro cavallo senza motivo apparente  che succede?</t>
  </si>
  <si>
    <t>A. Il cavallo che ha causato il blocco viene penalizzato B. La gara continua normalmente C. Il cavallo che è stato bloccato riceve un avvertimento D. Entrambi i cavalli vengono penalizzati</t>
  </si>
  <si>
    <t>Il cavallo che ha causato il blocco viene penalizzato</t>
  </si>
  <si>
    <t>A. Se un cavallo perde il controllo in curva e finisce fuori pista  che succede?</t>
  </si>
  <si>
    <t>A. Se un cavallo fa un sorpasso irregolare durante la gara  che succede?</t>
  </si>
  <si>
    <t>A. Se un cavallo si ritira per un malessere prima del via  che succede?</t>
  </si>
  <si>
    <t>A. Il cavallo viene escluso dalla gara B. La gara continua normalmente C. Il cavallo riceve un avvertimento D. Il cavallo viene penalizzato</t>
  </si>
  <si>
    <t>A. Se un cavallo viene ostacolato dal pubblico durante la gara  che succede?</t>
  </si>
  <si>
    <t>A. Se un cavallo si rifiuta di partire durante la gara  che succede?</t>
  </si>
  <si>
    <t>A. La gara continua normalmente B. Entrambi i cavalli vengono penalizzati C. Il cavallo che ha causato il contatto viene penalizzato D. Il cavallo che ha subito il contatto viene penalizzato</t>
  </si>
  <si>
    <t>A. Se un cavallo viene colpito da un altro cavallo  che succede?</t>
  </si>
  <si>
    <t>A. Il cavallo che ha causato il colpo viene penalizzato B. La gara continua normalmente C. Il cavallo che ha subito il colpo riceve un avvertimento D. Il cavallo che ha subito il colpo viene penalizzato</t>
  </si>
  <si>
    <t>Il cavallo che ha causato il colpo viene penalizzato</t>
  </si>
  <si>
    <t>A. Se un cavallo si ferma senza motivo durante la gara  che succede?</t>
  </si>
  <si>
    <t>A. La gara continua senza di lui B. Il cavallo viene penalizzato C. Il cavallo riceve un avvertimento D. Il cavallo è squalificato</t>
  </si>
  <si>
    <t>A. Se un cavallo viene a contatto con il recinto durante la gara  che succede?</t>
  </si>
  <si>
    <t>A. Se un cavallo non segue il ritmo imposto dal suo cavaliere  che succede?</t>
  </si>
  <si>
    <t>A. Se un cavallo si ritira prima del traguardo  che succede?</t>
  </si>
  <si>
    <t>A. Se un cavallo viene sorpassato durante la gara  che succede?</t>
  </si>
  <si>
    <t>A. Se un cavallo interrompe la corsa per un motivo di salute  che succede?</t>
  </si>
  <si>
    <t>A. La gara continua senza di lui B. Il cavallo viene penalizzato C. Il cavallo riceve un avvertimento D. Il cavallo viene escluso dalla gara</t>
  </si>
  <si>
    <t>A. Se un cavallo supera un altro senza rispettare la distanza  che succede?</t>
  </si>
  <si>
    <t>A. Se un cavallo non segue le indicazioni del giudice  che succede?</t>
  </si>
  <si>
    <t>A. Se un cavallo vince la gara senza problemi  che succede?</t>
  </si>
  <si>
    <t>A. Il cavallo viene premiato B. La gara è annullata C. Il cavallo viene penalizzato D. Il cavallo riceve un avvertimento</t>
  </si>
  <si>
    <t>Il cavallo viene premiato</t>
  </si>
  <si>
    <t>A. Se un cavallo attraversa il traguardo prima del tempo  che succede?</t>
  </si>
  <si>
    <t>A. Se un cavallo viene colpito dal suo cavaliere durante la gara  che succede?</t>
  </si>
  <si>
    <t>A. Se un cavallo perde il cavaliere durante la corsa  che succede?</t>
  </si>
  <si>
    <t>A. Il cavallo che ha causato l'ostacolo viene penalizzato B. Il cavallo che è stato ostacolato riceve un avvertimento C. La gara continua normalmente D. Entrambi i cavalli vengono penalizzati</t>
  </si>
  <si>
    <t>A. Se un cavallo fa un salto irregolare durante la gara  che succede?</t>
  </si>
  <si>
    <t>A. Se un cavallo non rispetta il tempo limite per completare la gara  che succede?</t>
  </si>
  <si>
    <t>A. Se un cavallo va troppo lentamente durante la gara  che succede?</t>
  </si>
  <si>
    <t>A. Se un cavallo non attraversa il traguardo  che succede?</t>
  </si>
  <si>
    <t>A. Se un cavallo perde il controllo prima del traguardo  che succede?</t>
  </si>
  <si>
    <t>A. Se un cavallo va fuori strada durante la gara  che succede?</t>
  </si>
  <si>
    <t>A. Se un cavallo sbaglia la direzione durante la corsa  che succede?</t>
  </si>
  <si>
    <t>A. Se un cavallo taglia una curva durante la gara  che succede?</t>
  </si>
  <si>
    <t>A. Se un cavallo non parte correttamente al segnale di partenza  che succede?</t>
  </si>
  <si>
    <t>A. Se un cavallo attraversa la linea di partenza troppo presto  che succede?</t>
  </si>
  <si>
    <t>A. Se un cavallo viene danneggiato durante la gara  che succede?</t>
  </si>
  <si>
    <t>A. Il cavallo viene penalizzato B. Il cavallo riceve un avvertimento C. La gara continua senza di lui D. Il cavallo è squalificato</t>
  </si>
  <si>
    <t>A. Se un cavallo è troppo stanco per continuare la corsa  che succede?</t>
  </si>
  <si>
    <t>A. Se un cavallo prende una scorciatoia durante la gara  che succede?</t>
  </si>
  <si>
    <t>A. Se un cavallo attraversa il traguardo mentre un altro cavallo sta ancora correndo  che succede?</t>
  </si>
  <si>
    <t>A. Il cavallo che ha tagliato il traguardo prima del tempo viene penalizzato B. La gara continua normalmente C. Il cavallo che arriva primo vince D. Il cavallo che arriva primo riceve un avvertimento</t>
  </si>
  <si>
    <t>Il cavallo che ha tagliato il traguardo prima del tempo viene penalizzato</t>
  </si>
  <si>
    <t>A. Se un cavallo parte in ritardo  che succede?</t>
  </si>
  <si>
    <t>A. Se un cavallo tocca il bordo della pista durante la gara  che succede?</t>
  </si>
  <si>
    <t>A. Se un cavallo viene troppo vicino a un altro cavallo e crea un ostacolo  che succede?</t>
  </si>
  <si>
    <t>A. Il cavallo che ha creato l'ostacolo viene penalizzato B. Il cavallo che ha subito l'ostacolo viene penalizzato C. La gara continua normalmente D. Entrambi i cavalli vengono penalizzati</t>
  </si>
  <si>
    <t>Il cavallo che ha creato l'ostacolo viene penalizzato</t>
  </si>
  <si>
    <t>A. Se un cavallo non rispetta le regole di partenza  che succede?</t>
  </si>
  <si>
    <t>A. Se un cavallo viene accidentalmente spinto fuori pista  che succede?</t>
  </si>
  <si>
    <t>A. Se un cavallo perde il controllo e va fuori pista  che succede?</t>
  </si>
  <si>
    <t>A. Se due cavalli tagliano la curva nello stesso momento  che succede?</t>
  </si>
  <si>
    <t>A. Entrambi i cavalli vengono penalizzati B. Il cavallo che ha tagliato prima viene penalizzato C. La gara continua normalmente D. Il cavallo che ha tagliato più velocemente viene premiato</t>
  </si>
  <si>
    <t>A. Se un cavallo si ritira dalla gara dopo aver completato il primo giro  che succede?</t>
  </si>
  <si>
    <t>A. Il cavallo viene escluso dalla gara B. Il cavallo viene penalizzato C. Il cavallo riceve un avvertimento D. La gara continua senza di lui</t>
  </si>
  <si>
    <t>A. Se un cavallo non completa il percorso di gara  che succede?</t>
  </si>
  <si>
    <t>A. Il cavallo viene escluso dalla gara B. La gara continua senza di lui C. Il cavallo viene penalizzato D. Il cavallo riceve un avvertimento</t>
  </si>
  <si>
    <t>A. Se un cavallo prende una scorciatoia per evitare un ostacolo  che succede?</t>
  </si>
  <si>
    <t>A. Se un cavallo sbaglia la linea di partenza  che succede?</t>
  </si>
  <si>
    <t>A. Se un cavallo non corre secondo le istruzioni del cavaliere  che succede?</t>
  </si>
  <si>
    <t>A. Se un cavallo colpisce un altro durante la gara  che succede?</t>
  </si>
  <si>
    <t>A. Il cavallo che ha causato il contatto viene penalizzato B. Il cavallo che ha subito il contatto riceve un avvertimento C. La gara continua normalmente D. Entrambi i cavalli vengono penalizzati</t>
  </si>
  <si>
    <t>Il cavallo che ha causato il contatto viene penalizzato</t>
  </si>
  <si>
    <t>A. Se un cavallo supera un altro cavallo in modo pericoloso  che succede?</t>
  </si>
  <si>
    <t>A. Se un cavallo salta un ostacolo durante la gara  che succede?</t>
  </si>
  <si>
    <t>A. Se un cavallo tocca il palo di partenza  che succede?</t>
  </si>
  <si>
    <t>A. Se un cavallo viene colpito accidentalmente da un altro cavallo  che succede?</t>
  </si>
  <si>
    <t>A. La gara continua normalmente B. Il cavallo che ha causato il colpo viene penalizzato C. Il cavallo che ha subito il colpo riceve un avvertimento D. Il cavallo che ha subito il colpo viene penalizzato</t>
  </si>
  <si>
    <t>A. Se un cavallo non completa il percorso per motivi di salute  che succede?</t>
  </si>
  <si>
    <t>A. Se un cavallo non rispetta il tempo limite per la gara  che succede?</t>
  </si>
  <si>
    <t>A. Se un cavallo corre troppo velocemente rispetto alla media  che succede?</t>
  </si>
  <si>
    <t>A. Se un cavallo cambia corsia durante la gara senza motivo  che succede?</t>
  </si>
  <si>
    <t>A. Se un cavallo perde una scarpa durante la gara  che succede?</t>
  </si>
  <si>
    <t>A. Il cavallo viene penalizzato B. Il cavallo viene escluso dalla gara C. La gara continua senza di lui D. Il cavallo riceve un avvertimento</t>
  </si>
  <si>
    <t>A. Se due cavalli arrivano insieme al traguardo  che succede?</t>
  </si>
  <si>
    <t>A. Entrambi i cavalli sono considerati vincitori B. La gara viene ripetuta C. Il cavallo che ha fatto il giro più veloce vince D. Il cavallo che ha tagliato prima il traguardo vince</t>
  </si>
  <si>
    <t>A. Se un cavallo si ferma prima del traguardo per motivi di salute  che succede?</t>
  </si>
  <si>
    <t>A. Se un cavallo corre senza il suo cavaliere  che succede?</t>
  </si>
  <si>
    <t>A. Il cavallo è squalificato B. La gara continua normalmente C. Il cavallo riceve un avvertimento D. Il cavallo viene penalizzato</t>
  </si>
  <si>
    <t>A. Se un cavallo non segue le regole della partenza  che succede?</t>
  </si>
  <si>
    <t>A. Se un cavallo vince ma non rispetta le regole durante la gara  che succede?</t>
  </si>
  <si>
    <t>A. Il cavallo viene penalizzato B. La vittoria è annullata C. Il cavallo riceve un avvertimento D. La gara continua normalmente</t>
  </si>
  <si>
    <t xml:space="preserve"> Opzioni</t>
  </si>
  <si>
    <t>Qual è la posizione corretta durante lo sci in discesa?</t>
  </si>
  <si>
    <t>A. Dritto e rigido B. Leggermente piegato con ginocchia flessibili C. Schiena inclinata all'indietro D. Seduto sugli sci</t>
  </si>
  <si>
    <t>Leggermente piegato con ginocchia flessibili</t>
  </si>
  <si>
    <t>Quale attrezzatura è essenziale per la sicurezza in montagna?</t>
  </si>
  <si>
    <t>A. Cuffie da musica B. Maschera protettiva C. Kit di pronto soccorso D. Un thermos di tè</t>
  </si>
  <si>
    <t>Kit di pronto soccorso</t>
  </si>
  <si>
    <t>Qual è la funzione principale degli sci con bordi metallici?</t>
  </si>
  <si>
    <t>A. Decorare gli sci B. Permettere scivolamenti più veloci C. Fornire presa sulla neve ghiacciata D. Aumentare il peso degli sci</t>
  </si>
  <si>
    <t>Fornire presa sulla neve ghiacciata</t>
  </si>
  <si>
    <t>Cosa significa una bandiera rossa accanto alla pista?</t>
  </si>
  <si>
    <t>A. La pista è chiusa B. Condizioni meteorologiche pericolose C. Discesa per esperti D. Area per principianti</t>
  </si>
  <si>
    <t>La pista è chiusa</t>
  </si>
  <si>
    <t>Qual è il significato di una linea blu segnata sulla pista?</t>
  </si>
  <si>
    <t>A. Indica una pista facile B. Indica una pista difficile C. Indica una pista chiusa D. Indica un sentiero fuori pista</t>
  </si>
  <si>
    <t>Indica una pista facile</t>
  </si>
  <si>
    <t>Quale tecnica è utilizzata per rallentare durante lo sci?</t>
  </si>
  <si>
    <t>A. Posizione a uovo B. Parallelo C. Spazzaneve D. Curva a serpente</t>
  </si>
  <si>
    <t>Spazzaneve</t>
  </si>
  <si>
    <t>Qual è il primo passo per affrontare una pista ripida?</t>
  </si>
  <si>
    <t>A. Lanciarsi direttamente B. Valutare la pendenza e pianificare C. Rimuovere gli sci e camminare D. Chiedere aiuto a un esperto</t>
  </si>
  <si>
    <t>Valutare la pendenza e pianificare</t>
  </si>
  <si>
    <t>Cosa fare se il tuo sci si sgancia inaspettatamente?</t>
  </si>
  <si>
    <t>A. Continuare con uno sci B. Recuperarlo e controllare gli attacchi C. Chiedere un nuovo sci D. Abbandonare la pista immediatamente</t>
  </si>
  <si>
    <t>Recuperarlo e controllare gli attacchi</t>
  </si>
  <si>
    <t>Qual è il significato di un cartello "Solo per esperti"?</t>
  </si>
  <si>
    <t>A. Pista semplice per principianti B. Area riservata agli atleti professionisti C. Pista tecnica e impegnativa D. Area riservata al personale</t>
  </si>
  <si>
    <t>Pista tecnica e impegnativa</t>
  </si>
  <si>
    <t>Qual è lo scopo dei caschi da sci?</t>
  </si>
  <si>
    <t>A. Mantenere la testa calda B. Proteggere dagli urti C. Decorazione estetica D. Ridurre la velocità</t>
  </si>
  <si>
    <t>Proteggere dagli urti</t>
  </si>
  <si>
    <t>Qual è il termine usato per una discesa lunga e rettilinea?</t>
  </si>
  <si>
    <t>A. Pista verde B. Carving C. Pendio a valle D. Schuss</t>
  </si>
  <si>
    <t>Schuss</t>
  </si>
  <si>
    <t>Cosa indica una bandiera gialla sul tracciato?</t>
  </si>
  <si>
    <t>A. Area di rallentamento B. Pericolo valanghe C. Area riservata all’allenamento D. Partenza della pista</t>
  </si>
  <si>
    <t>Pericolo valanghe</t>
  </si>
  <si>
    <t>Quando è consigliabile utilizzare gli occhiali da sci a specchio?</t>
  </si>
  <si>
    <t>A. Durante una nevicata fitta B. In condizioni di forte sole C. Nelle giornate nuvolose D. Durante una tempesta di vento</t>
  </si>
  <si>
    <t>In condizioni di forte sole</t>
  </si>
  <si>
    <t>Qual è il modo corretto di trasportare gli sci?</t>
  </si>
  <si>
    <t>A. Portarli in mano per le punte B. Metterli sulle spalle incrociati C. Legarli insieme e portarli sulla spalla D. Tenere uno sci per mano</t>
  </si>
  <si>
    <t>Legarli insieme e portarli sulla spalla</t>
  </si>
  <si>
    <t>Cosa indica una pista nera sulle mappe?</t>
  </si>
  <si>
    <t>A. Pista per principianti B. Pista di media difficoltà C. Pista per sciatori esperti D. Pista per snowboard</t>
  </si>
  <si>
    <t>Pista per sciatori esperti</t>
  </si>
  <si>
    <t>Cosa significa un cartello "Freeride"?</t>
  </si>
  <si>
    <t>A. Area per principianti B. Pista dedicata allo snowboard C. Pista senza preparazione artificiale D. Percorso per camminate</t>
  </si>
  <si>
    <t>Pista senza preparazione artificiale</t>
  </si>
  <si>
    <t>Cosa succede se non si seguono le regole della pista?</t>
  </si>
  <si>
    <t>A. Nulla B. Pericolo per sé stessi e per gli altri C. Si perde il diritto di sciare D. Si riceve una multa</t>
  </si>
  <si>
    <t>Pericolo per sé stessi e per gli altri</t>
  </si>
  <si>
    <t>Quando è necessario usare i ramponi durante un'escursione sciistica?</t>
  </si>
  <si>
    <t>A. Sempre B. Dopo la discesa C. Su tratti ghiacciati e ripidi D. Non sono mai necessari</t>
  </si>
  <si>
    <t>Su tratti ghiacciati e ripidi</t>
  </si>
  <si>
    <t>Cosa è meglio fare prima di affrontare una giornata di sci?</t>
  </si>
  <si>
    <t>A. Fare stretching e riscaldamento B. Indossare l’abbigliamento più pesante C. Ridurre l’assunzione di liquidi D. Iniziare direttamente con una pista difficile</t>
  </si>
  <si>
    <t>Fare stretching e riscaldamento</t>
  </si>
  <si>
    <t>Cosa indica una segnaletica con due sci incrociati?</t>
  </si>
  <si>
    <t>A. Zona di pericolo B. Pista interrotta C. Attraversamento di sciatori D. Punto di ristoro</t>
  </si>
  <si>
    <t>Zona di pericolo</t>
  </si>
  <si>
    <t>Come puoi prevenire il congelamento mentre scii?</t>
  </si>
  <si>
    <t>A. Rimuovere i guanti per riscaldare le mani B. Usare calzini sottili C. Indossare abbigliamento adeguato e fare pause frequenti D. Accelerare per generare calore</t>
  </si>
  <si>
    <t>Indossare abbigliamento adeguato e fare pause frequenti</t>
  </si>
  <si>
    <t>Qual è il ruolo dei cani da valanga in montagna?</t>
  </si>
  <si>
    <t>A. Tirare le slitte B. Individuare persone sotto la neve C. Fare da guida lungo i percorsi D. Assistere gli sciatori principianti</t>
  </si>
  <si>
    <t>Individuare persone sotto la neve</t>
  </si>
  <si>
    <t>Cosa significa se una pista è indicata come "chiusa"?</t>
  </si>
  <si>
    <t>A. Solo gli esperti possono accedervi B. È pericolosa o impraticabile C. È in manutenzione D. È dedicata a un evento privato</t>
  </si>
  <si>
    <t>È pericolosa o impraticabile</t>
  </si>
  <si>
    <t>Cosa devi fare se incontri uno sciatore in difficoltà?</t>
  </si>
  <si>
    <t>A. Ignorarlo B. Chiamare immediatamente i soccorsi C. Proseguire con cautela D. Prestare assistenza solo se conosci la persona</t>
  </si>
  <si>
    <t>Chiamare immediatamente i soccorsi</t>
  </si>
  <si>
    <t>Cosa fare se una tempesta inizia mentre scii?</t>
  </si>
  <si>
    <t>A. Raggiungere il punto più alto B. Ripararti immediatamente o tornare a valle C. Ignorarla e continuare D. Chiamare aiuto solo se necessario</t>
  </si>
  <si>
    <t>Ripararti immediatamente o tornare a valle</t>
  </si>
  <si>
    <t>Come si chiama la tecnica di curve strette usata nelle discese?</t>
  </si>
  <si>
    <t>A. Carving B. Slalom C. Freeride D. Schuss</t>
  </si>
  <si>
    <t>Slalom</t>
  </si>
  <si>
    <t>Cosa dovresti fare se trovi ghiaccio sulla pista?</t>
  </si>
  <si>
    <t>A. Accelerare per passare rapidamente B. Evitare il ghiaccio se possibile C. Rimuovere il ghiaccio dagli sci D. Fermarti e tornare indietro</t>
  </si>
  <si>
    <t>Evitare il ghiaccio se possibile</t>
  </si>
  <si>
    <t>Qual è il modo corretto di indossare una maschera da sci?</t>
  </si>
  <si>
    <t>A. Sopra il casco e sopra il viso B. Sotto il casco e sopra il viso C. All'interno del casco D. Non è necessario indossarla</t>
  </si>
  <si>
    <t>Sopra il casco e sopra il viso</t>
  </si>
  <si>
    <t>Qual è il segnale di una valanga imminente?</t>
  </si>
  <si>
    <t>A. Neve fresca sulla pista B. Rumore forte e crepe nel manto nevoso C. Poca visibilità e vento D. Un improvviso cambio di temperatura</t>
  </si>
  <si>
    <t>Rumore forte e crepe nel manto nevoso</t>
  </si>
  <si>
    <t>Cosa indica un cartello con una freccia verde?</t>
  </si>
  <si>
    <t>A. Pista chiusa B. Pista per principianti C. Area per snowboard D. Pista ripida</t>
  </si>
  <si>
    <t>Pista per principianti</t>
  </si>
  <si>
    <t>Qual è il significato di una bandiera arancione?</t>
  </si>
  <si>
    <t>A. Zona di pericolo imminente B. Area di allenamento C. Segnale per principianti D. Area di riposo</t>
  </si>
  <si>
    <t>Zona di pericolo imminente</t>
  </si>
  <si>
    <t>Cosa fare se il tuo scarpone da sci si allenta mentre scii?</t>
  </si>
  <si>
    <t>A. Ignorarlo fino alla fine della discesa B. Regolarlo subito per evitare rischi C. Chiamare il soccorso D. Continuare e regolarlo a valle</t>
  </si>
  <si>
    <t>Regolarlo subito per evitare rischi</t>
  </si>
  <si>
    <t>Cosa succede se scii fuori dai confini segnalati?</t>
  </si>
  <si>
    <t>A. Ricevi una multa B. Metti in pericolo la tua sicurezza C. Ti viene vietato sciare per un giorno D. Ricevi assistenza da un istruttore</t>
  </si>
  <si>
    <t>Metti in pericolo la tua sicurezza</t>
  </si>
  <si>
    <t>Qual è l'attrezzatura necessaria per lo sci notturno?</t>
  </si>
  <si>
    <t>A. Sci con luci incorporate B. Casco riflettente C. Lampada frontale e abbigliamento riflettente D. Un orologio luminoso</t>
  </si>
  <si>
    <t>Lampada frontale e abbigliamento riflettente</t>
  </si>
  <si>
    <t>Cosa dovresti fare se vedi qualcuno cadere sulla pista?</t>
  </si>
  <si>
    <t>A. Ignorarlo e continuare B. Prestare aiuto se necessario C. Chiamare i soccorsi solo se grave D. Attendere che si rialzi</t>
  </si>
  <si>
    <t>Prestare aiuto se necessario</t>
  </si>
  <si>
    <t>Cosa significa un cartello con un cerchio rosso?</t>
  </si>
  <si>
    <t>A. Pista di difficoltà media B. Pista chiusa C. Area riservata a esperti D. Pista con curve strette</t>
  </si>
  <si>
    <t>Pista di difficoltà media</t>
  </si>
  <si>
    <t>Qual è il modo corretto per fermarsi durante una discesa?</t>
  </si>
  <si>
    <t>A. Curva stretta e spazzaneve B. Semplicemente cadere C. Posizione dritta senza curvare D. Curva a U con accelerazione</t>
  </si>
  <si>
    <t>Curva stretta e spazzaneve</t>
  </si>
  <si>
    <t>Cosa fare se la temperatura si abbassa improvvisamente?</t>
  </si>
  <si>
    <t>A. Indossare strati aggiuntivi B. Rimuovere la giacca C. Accelerare per generare calore D. Fermarsi e fare stretching</t>
  </si>
  <si>
    <t>Indossare strati aggiuntivi</t>
  </si>
  <si>
    <t>Qual è l'importanza di una buona visibilità durante lo sci?</t>
  </si>
  <si>
    <t>A. Permette di sciare più velocemente B. Riduce il rischio di incidenti C. È necessaria solo per principianti D. Serve solo per godersi il panorama</t>
  </si>
  <si>
    <t>Riduce il rischio di incidenti</t>
  </si>
  <si>
    <t>Come puoi migliorare il tuo equilibrio sugli sci?</t>
  </si>
  <si>
    <t>A. Sciando senza bastoncini B. Focalizzandoti sulla velocità C. Tenendo le ginocchia dritte D. Usando scarponi larghi</t>
  </si>
  <si>
    <t>Sciando senza bastoncini</t>
  </si>
  <si>
    <t>Cosa indica una linea tratteggiata sulla mappa della pista?</t>
  </si>
  <si>
    <t>A. Pista di livello intermedio B. Sentiero fuori pista C. Pista non battuta D. Confine della pista</t>
  </si>
  <si>
    <t>Pista non battuta</t>
  </si>
  <si>
    <t>Cosa fare se incontri neve fresca durante una discesa?</t>
  </si>
  <si>
    <t>A. Cambiare direzione e tornare indietro B. Adattare il peso per un migliore controllo C. Ignorarla e continuare come sempre D. Fermarsi e aspettare</t>
  </si>
  <si>
    <t>Adattare il peso per un migliore controllo</t>
  </si>
  <si>
    <t>Qual è l'obiettivo del carving?</t>
  </si>
  <si>
    <t>A. Creare curve larghe e morbide B. Sciare in linea retta C. Creare curve strette e precise D. Decelerare rapidamente</t>
  </si>
  <si>
    <t>Creare curve larghe e morbide</t>
  </si>
  <si>
    <t>Cosa significa un cartello "Zona lenta"?</t>
  </si>
  <si>
    <t>A. Pista per principianti B. Area di rallentamento obbligatorio C. Pista per famiglie D. Zona per imparare</t>
  </si>
  <si>
    <t>Area di rallentamento obbligatorio</t>
  </si>
  <si>
    <t>Cosa fare se il tuo sci si incastra nella neve?</t>
  </si>
  <si>
    <t>A. Forzare lo sci per liberarlo B. Usare i bastoncini per aiuto C. Chiamare aiuto D. Attendere che qualcuno lo liberi</t>
  </si>
  <si>
    <t>Usare i bastoncini per aiuto</t>
  </si>
  <si>
    <t>Cosa indica una bandiera blu accanto alla pista?</t>
  </si>
  <si>
    <t>A. Condizioni meteorologiche perfette B. Area per snowboard C. Pista sicura e facile D. Zona vietata</t>
  </si>
  <si>
    <t>Pista sicura e facile</t>
  </si>
  <si>
    <t>Come puoi evitare di sovraccaricare le ginocchia mentre scii?</t>
  </si>
  <si>
    <t>A. Stendere le gambe al massimo B. Tenere una posizione centrale e flessibile C. Evitare le curve D. Fare pause frequenti</t>
  </si>
  <si>
    <t>Tenere una posizione centrale e flessibile</t>
  </si>
  <si>
    <t>Qual è il primo segno di ipotermia durante lo sci?</t>
  </si>
  <si>
    <t>A. Sensazione di calore improvviso B. Confusione mentale e brividi C. Perdita di sensibilità alle mani D. Visione offuscata</t>
  </si>
  <si>
    <t>Confusione mentale e brividi</t>
  </si>
  <si>
    <t>Cosa significa una segnalazione con un triangolo giallo?</t>
  </si>
  <si>
    <t>A. Zona a traffico intenso B. Zona per principianti C. Zona pericolo caduta massi D. Zona per slittini</t>
  </si>
  <si>
    <t>Zona pericolo caduta massi</t>
  </si>
  <si>
    <t>Qual è il momento migliore per fermarsi per una pausa?</t>
  </si>
  <si>
    <t>A. Quando si è stanchi B. Ogni due discese indipendentemente C. Quando lo fanno gli altri D. Ogni volta che si raggiunge un punto di ristoro</t>
  </si>
  <si>
    <t>Quando si è stanchi</t>
  </si>
  <si>
    <t>Qual è il modo migliore per affrontare una curva stretta in velocità?</t>
  </si>
  <si>
    <t>A. Ridurre la velocità e inclinarti B. Accelerare per completare la curva C. Tenere gli sci dritti D. Usare i bastoncini per spingerti</t>
  </si>
  <si>
    <t>Ridurre la velocità e inclinarti</t>
  </si>
  <si>
    <t>Cosa significa una segnalazione "Fuori pista pericoloso"?</t>
  </si>
  <si>
    <t>A. Area sicura per esperti B. Zona vietata agli sciatori C. Area con neve fresca D. Pista difficile ma accessibile</t>
  </si>
  <si>
    <t>Zona vietata agli sciatori</t>
  </si>
  <si>
    <t>Cosa fare se perdi il controllo durante una discesa?</t>
  </si>
  <si>
    <t>A. Cadere intenzionalmente per fermarti B. Accelerare per recuperare il controllo C. Usare i bastoncini per frenare D. Gridare per avvisare gli altri</t>
  </si>
  <si>
    <t>Cadere intenzionalmente per fermarti</t>
  </si>
  <si>
    <t>Qual è il vantaggio di sciare in gruppi organizzati?</t>
  </si>
  <si>
    <t>A. Più divertimento B. Maggiore sicurezza C. Maggiore velocità D. Possibilità di competere</t>
  </si>
  <si>
    <t>Maggiore sicurezza</t>
  </si>
  <si>
    <t>Quando è più importante fare stretching?</t>
  </si>
  <si>
    <t>A. Dopo una lunga discesa B. Prima di iniziare a sciare C. Quando sei stanco D. Prima di una pausa</t>
  </si>
  <si>
    <t>Prima di iniziare a sciare</t>
  </si>
  <si>
    <t>Cosa fare se il vento aumenta improvvisamente mentre scii?</t>
  </si>
  <si>
    <t>A. Rallentare e prestare attenzione B. Accelerare per completare la discesa C. Ignorarlo e continuare D. Metterti in una posizione aerodinamica</t>
  </si>
  <si>
    <t>Rallentare e prestare attenzione</t>
  </si>
  <si>
    <t>Cosa indica un cartello con una freccia nera?</t>
  </si>
  <si>
    <t>A. Pista riservata agli snowboarder B. Pista per sciatori avanzati C. Pista chiusa al pubblico D. Percorso alternativo</t>
  </si>
  <si>
    <t>Pista per sciatori avanzati</t>
  </si>
  <si>
    <t>Cosa fare se incontri una zona piena di gobbe sulla pista?</t>
  </si>
  <si>
    <t>A. Evitarla e cambiare percorso B. Aumentare la velocità per superarla rapidamente C. Rallentare e adattare il movimento D. Rimuovere gli sci e camminare</t>
  </si>
  <si>
    <t>Rallentare e adattare il movimento</t>
  </si>
  <si>
    <t>Come si chiama la tecnica di mantenere gli sci paralleli durante la discesa?</t>
  </si>
  <si>
    <t>A. Slalom B. Carving C. Posizione parallela D. Freeride</t>
  </si>
  <si>
    <t>Posizione parallela</t>
  </si>
  <si>
    <t>Qual è l'importanza di una giacca impermeabile durante lo sci?</t>
  </si>
  <si>
    <t>A. Ti mantiene asciutto e caldo B. Ti aiuta a sciare più velocemente C. Serve solo per le foto D. Non è necessaria</t>
  </si>
  <si>
    <t>Ti mantiene asciutto e caldo</t>
  </si>
  <si>
    <t>Cosa fare se perdi un guanto mentre scii?</t>
  </si>
  <si>
    <t>A. Continuare senza di esso B. Recuperarlo immediatamente C. Chiedere a qualcuno di aiutarti D. Usare un ricambio che hai con te</t>
  </si>
  <si>
    <t>Recuperarlo immediatamente</t>
  </si>
  <si>
    <t>Cosa significa un cartello "Area a rischio valanghe"?</t>
  </si>
  <si>
    <t>A. Zona per esperti B. Non è consentito sciare in quella zona C. Zona sicura se seguita con attenzione D. Pista con neve compatta</t>
  </si>
  <si>
    <t>Non è consentito sciare in quella zona</t>
  </si>
  <si>
    <t>Qual è il modo migliore per gestire la stanchezza durante una lunga giornata di sci?</t>
  </si>
  <si>
    <t>A. Bere molta acqua e fare pause B. Continuare per abituarti C. Passare a piste più difficili D. Mangiare un pasto pesante a pranzo</t>
  </si>
  <si>
    <t>Bere molta acqua e fare pause</t>
  </si>
  <si>
    <t>Cosa fare se il tuo casco si allenta mentre scii?</t>
  </si>
  <si>
    <t>A. Rimetterlo a posto subito B. Fermarti per regolarlo C. Ignorarlo fino a fine discesa D. Chiedere a qualcuno di aiutarti</t>
  </si>
  <si>
    <t>Fermarti per regolarlo</t>
  </si>
  <si>
    <t>Come puoi migliorare la tua tecnica su piste ripide?</t>
  </si>
  <si>
    <t>A. Evitandole e restando su piste più facili B. Affrontandole lentamente e con cautela C. Accelerando per mantenere l’equilibrio D. Usando solo i bastoncini</t>
  </si>
  <si>
    <t>Affrontandole lentamente e con cautela</t>
  </si>
  <si>
    <t>Cosa indica una segnaletica con una croce verde?</t>
  </si>
  <si>
    <t>A. Punto di ristoro B. Centro medico o primo soccorso C. Zona sicura D. Pista facile</t>
  </si>
  <si>
    <t>Centro medico o primo soccorso</t>
  </si>
  <si>
    <t>Come si chiama la tecnica di saltare piccole rampe sulla pista?</t>
  </si>
  <si>
    <t>A. Freeride B. Slalom C. Salto tecnico D. Schuss</t>
  </si>
  <si>
    <t>Salto tecnico</t>
  </si>
  <si>
    <t>Cosa fare se incontri neve profonda durante la discesa?</t>
  </si>
  <si>
    <t>A. Rallentare e spostare il peso all’indietro B. Accelerare per superarla C. Usare solo i bastoncini D. Curvare di più</t>
  </si>
  <si>
    <t>Rallentare e spostare il peso all’indietro</t>
  </si>
  <si>
    <t>Qual è il primo passo per evitare incidenti sulla pista?</t>
  </si>
  <si>
    <t>A. Essere il più veloce B. Seguire le regole della pista C. Ignorare gli altri sciatori D. Evitare le piste più difficili</t>
  </si>
  <si>
    <t>Seguire le regole della pista</t>
  </si>
  <si>
    <t>Cosa significa se vedi un cartello "Uscita obbligatoria"?</t>
  </si>
  <si>
    <t>A. Zona a traffico intenso B. Zona chiusa al pubblico C. Devi cambiare pista D. Pista per principianti</t>
  </si>
  <si>
    <t>Devi cambiare pista</t>
  </si>
  <si>
    <t>Come puoi evitare che la neve entri nei tuoi scarponi?</t>
  </si>
  <si>
    <t>A. Usare ghette impermeabili B. Indossare calzini spessi C. Tenere gli scarponi più larghi D. Non c’è modo di evitarlo</t>
  </si>
  <si>
    <t>Usare ghette impermeabili</t>
  </si>
  <si>
    <t>Cosa fare se hai difficoltà a vedere a causa della nebbia?</t>
  </si>
  <si>
    <t>A. Usare occhiali con lenti adatte B. Rimuovere gli occhiali C. Continuare senza fare nulla D. Chiedere aiuto a un istruttore</t>
  </si>
  <si>
    <t>Usare occhiali con lenti adatte</t>
  </si>
  <si>
    <t>Come puoi identificare una pista adatta ai principianti?</t>
  </si>
  <si>
    <t>A. Dal colore blu sulla mappa B. Dalla presenza di gobbe C. Dalla lunghezza della pista D. Dalla mancanza di curve ripide</t>
  </si>
  <si>
    <t>Dal colore blu sulla mappa</t>
  </si>
  <si>
    <t>Cosa fare se trovi una parte della pista molto stretta?</t>
  </si>
  <si>
    <t>A. Rallentare e scendere con cautela B. Accelerare per attraversarla velocemente C. Usare i bastoncini per spingerti D. Non scendere in quella parte</t>
  </si>
  <si>
    <t>Rallentare e scendere con cautela</t>
  </si>
  <si>
    <t>Come puoi migliorare la tua velocità in discesa?</t>
  </si>
  <si>
    <t>A. Tenendo una posizione aerodinamica B. Curvando di più C. Usando bastoncini più corti D. Riducendo il peso dell’attrezzatura</t>
  </si>
  <si>
    <t>Tenendo una posizione aerodinamica</t>
  </si>
  <si>
    <t>Cosa fare se senti il rumore di una valanga in avvicinamento?</t>
  </si>
  <si>
    <t>A. Fuggire lateralmente verso un’area sicura B. Accelerare per scendere più velocemente C. Fermarti e restare fermo D. Gridare per chiedere aiuto</t>
  </si>
  <si>
    <t>Fuggire lateralmente verso un’area sicura</t>
  </si>
  <si>
    <t>Cosa fare se il tuo sci si stacca durante una discesa?</t>
  </si>
  <si>
    <t>A. Continuare con un solo sci B. Fermarti immediatamente e recuperarlo C. Chiedere aiuto a uno sciatore vicino D. Togliere anche l'altro sci</t>
  </si>
  <si>
    <t>Fermarti immediatamente e recuperarlo</t>
  </si>
  <si>
    <t>Cosa significa un cartello con un simbolo di neve e una freccia?</t>
  </si>
  <si>
    <t>A. Zona con neve fresca B. Pista chiusa per neve C. Zona a rischio ghiaccio D. Percorso alternativo</t>
  </si>
  <si>
    <t>Zona con neve fresca</t>
  </si>
  <si>
    <t>Come puoi evitare l’affaticamento muscolare durante lo sci?</t>
  </si>
  <si>
    <t>A. Fare pause regolari e idratarti B. Spingerti oltre i tuoi limiti C. Evitare le piste più facili D. Sciando solo in modo rapido</t>
  </si>
  <si>
    <t>Fare pause regolari e idratarti</t>
  </si>
  <si>
    <t>Cosa fare se il tuo bastoncino si rompe mentre scii?</t>
  </si>
  <si>
    <t>A. Continuare senza bastoncino B. Recuperarlo e fermarti C. Fermarti e cercare un sostituto D. Chiedere un aiuto</t>
  </si>
  <si>
    <t>Continuare senza bastoncino</t>
  </si>
  <si>
    <t>Cosa indica un segnale con una grande "X" rossa sulla pista?</t>
  </si>
  <si>
    <t>A. Zona di pericolo B. Pista chiusa C. Area riservata agli esperti D. Zona non battuta</t>
  </si>
  <si>
    <t>Pista chiusa</t>
  </si>
  <si>
    <t>Cosa fare se ti trovi in una zona di vento forte e neve?</t>
  </si>
  <si>
    <t>A. Procedere con calma e cercare riparo B. Accelerare per finire il percorso C. Ignorare e proseguire D. Chiamare aiuto immediatamente</t>
  </si>
  <si>
    <t>Procedere con calma e cercare riparo</t>
  </si>
  <si>
    <t>Cosa indica una linea ondulata sul percorso?</t>
  </si>
  <si>
    <t>A. Zona con neve compatta B. Zona per principianti C. Zona con gobbe D. Zona di pericolo</t>
  </si>
  <si>
    <t>Zona con gobbe</t>
  </si>
  <si>
    <t>Come puoi migliorare la tua sicurezza su piste molto affollate?</t>
  </si>
  <si>
    <t>A. Evitare le piste difficili B. Mantenere una velocità controllata C. Superare gli altri velocemente D. Ignorare gli altri sciatori</t>
  </si>
  <si>
    <t>Mantenere una velocità controllata</t>
  </si>
  <si>
    <t>Qual è la funzione principale di uno zaino da sci?</t>
  </si>
  <si>
    <t>A. Trasportare cibo e acqua B. Contenere attrezzature di emergenza C. Servire come peso per bilanciare D. Tenere gli oggetti personali</t>
  </si>
  <si>
    <t>Contenere attrezzature di emergenza</t>
  </si>
  <si>
    <t>Cosa fare se il tuo casco si appanna?</t>
  </si>
  <si>
    <t>A. Continuare comunque B. Sollevare la visiera e ripulirlo C. Chiedere aiuto a un esperto D. Ignorarlo e proseguire</t>
  </si>
  <si>
    <t>Sollevare la visiera e ripulirlo</t>
  </si>
  <si>
    <t>Cosa significa un cartello con la scritta "Zona riservata"?</t>
  </si>
  <si>
    <t>A. Pista per principianti B. Zona vietata al pubblico C. Zona per esperti D. Zona di allenamento</t>
  </si>
  <si>
    <t>Zona vietata al pubblico</t>
  </si>
  <si>
    <t>Cosa fare se le tue mani iniziano a congelarsi?</t>
  </si>
  <si>
    <t>A. Muoverle rapidamente e scaldarle B. Ignorarlo e continuare C. Chiedere aiuto immediato D. Rimuovere i guanti</t>
  </si>
  <si>
    <t>Muoverle rapidamente e scaldarle</t>
  </si>
  <si>
    <t>Cosa indica un triangolo con un punto esclamativo sulla pista?</t>
  </si>
  <si>
    <t>A. Zona di pericolo B. Zona per principianti C. Zona vietata D. Zona con neve fresca</t>
  </si>
  <si>
    <t>Come puoi evitare di cadere in un incrocio affollato?</t>
  </si>
  <si>
    <t>A. Accelerare per superarlo rapidamente B. Osservare gli altri e rallentare C. Prendere una via alternativa D. Ignorare gli altri e continuare</t>
  </si>
  <si>
    <t>Osservare gli altri e rallentare</t>
  </si>
  <si>
    <t>Qual è il momento giusto per regolare i tuoi scarponi?</t>
  </si>
  <si>
    <t>A. Prima di iniziare a sciare B. Dopo la prima discesa C. Quando senti fastidio D. Dopo una pausa</t>
  </si>
  <si>
    <t>Cosa fare se il tuo sci si impiglia in una recinzione?</t>
  </si>
  <si>
    <t>A. Chiamare i soccorsi B. Rimuoverlo con calma C. Ignorarlo e continuare D. Lasciare lo sci e tornare a piedi</t>
  </si>
  <si>
    <t>Rimuoverlo con calma</t>
  </si>
  <si>
    <t>Cosa fare se una bufera ti sorprende sulla pista?</t>
  </si>
  <si>
    <t>A. Cercare riparo immediatamente B. Accelerare per raggiungere la base C. Fermarti e aspettare aiuto D. Gridare per avvisare gli altri</t>
  </si>
  <si>
    <t>Cercare riparo immediatamente</t>
  </si>
  <si>
    <t>Qual è il miglior modo per prevenire gli infortuni?</t>
  </si>
  <si>
    <t>A. Evitare piste difficili B. Usare attrezzature adeguate C. Non prendere pause D. Seguire sciatori esperti</t>
  </si>
  <si>
    <t>Usare attrezzature adeguate</t>
  </si>
  <si>
    <t>Cosa fare se il tuo orologio GPS si scarica?</t>
  </si>
  <si>
    <t>A. Ignorarlo e continuare B. Usare una mappa cartacea C. Chiedere indicazioni a qualcuno D. Interrompere la discesa</t>
  </si>
  <si>
    <t>Usare una mappa cartacea</t>
  </si>
  <si>
    <t>Cosa significa un cartello con un simbolo di una sedia e una freccia?</t>
  </si>
  <si>
    <t>A. Zona di ristoro B. Stazione della seggiovia C. Zona per riposarsi D. Pista per principianti</t>
  </si>
  <si>
    <t>Stazione della seggiovia</t>
  </si>
  <si>
    <t>Come si chiama il dispositivo che aiuta a rimanere localizzati in caso di valanga?</t>
  </si>
  <si>
    <t>A. GPS B. ARVA C. Segnalatore di emergenza D. Bastoncino</t>
  </si>
  <si>
    <t>ARVA</t>
  </si>
  <si>
    <t>Cosa fare se una parte della pista diventa ghiacciata?</t>
  </si>
  <si>
    <t>A. Rallentare e spostare il peso in avanti B. Accelerare per superarla C. Curvare strettamente per evitarla D. Rimuovere gli sci</t>
  </si>
  <si>
    <t>Rallentare e spostare il peso in avanti</t>
  </si>
  <si>
    <t>Cosa indica una bandiera bianca con un bordo rosso?</t>
  </si>
  <si>
    <t>A. Zona sicura per lo sci B. Area chiusa per pericolo C. Zona di emergenza D. Pista con condizioni difficili</t>
  </si>
  <si>
    <t>Area chiusa per pericolo</t>
  </si>
  <si>
    <t>Come puoi migliorare la tua tecnica nei salti?</t>
  </si>
  <si>
    <t>A. Evitando i salti difficili B. Praticando su rampe più piccole C. Seguendo sciatori esperti D. Usando bastoncini per la spinta</t>
  </si>
  <si>
    <t>Praticando su rampe più piccole</t>
  </si>
  <si>
    <t>Cosa fare se incontri una pista con molte curve strette?</t>
  </si>
  <si>
    <t>A. Prendere velocità prima di ogni curva B. Rallentare e mantenere il controllo C. Evitarla e prendere un percorso alternativo D. Usare i bastoncini per frenare</t>
  </si>
  <si>
    <t>Rallentare e mantenere il controllo</t>
  </si>
  <si>
    <t>Cosa significa un segnale con una "H" rossa?</t>
  </si>
  <si>
    <t>A. Zona di emergenza B. Zona di primo soccorso C. Punto di ristoro D. Area di elisoccorso</t>
  </si>
  <si>
    <t>Area di elisoccorso</t>
  </si>
  <si>
    <t>Come puoi sapere se una pista è aperta?</t>
  </si>
  <si>
    <t>A. Controllando la segnaletica B. Chiedendo a uno sciatore esperto C. Provandola direttamente D. Seguendo la mappa della pista</t>
  </si>
  <si>
    <t>Controllando la segnaletica</t>
  </si>
  <si>
    <t>Cosa fare se il tuo sci si piega o si deforma?</t>
  </si>
  <si>
    <t>A. Continuare e verificare più tardi B. Fermarti e farlo controllare C. Ignorarlo e continuare D. Chiedere aiuto immediatamente</t>
  </si>
  <si>
    <t>Fermarti e farlo controllare</t>
  </si>
  <si>
    <t>Cosa significa una bandiera gialla accanto alla pista?</t>
  </si>
  <si>
    <t>A. Zona con vento forte B. Zona per esperti C. Zona pericolo valanghe D. Zona per principianti</t>
  </si>
  <si>
    <t>Zona pericolo valanghe</t>
  </si>
  <si>
    <t>Cosa fare se senti che stai perdendo il controllo in una curva?</t>
  </si>
  <si>
    <t>A. Ridurre la velocità e riprendere l’equilibrio B. Accelerare per completare la curva C. Usare i bastoncini per frenare D. Cadere per fermarti</t>
  </si>
  <si>
    <t>Ridurre la velocità e riprendere l’equilibrio</t>
  </si>
  <si>
    <t>Cosa fare se vedi qualcuno cadere gravemente sulla pista?</t>
  </si>
  <si>
    <t>A. Chiamare i soccorsi immediatamente B. Continuare e avvisare alla base C. Fermarti per aiutarlo direttamente D. Ignorare e proseguire</t>
  </si>
  <si>
    <t>Chiamare i soccorsi immediatamente</t>
  </si>
  <si>
    <t>Come si chiama il movimento laterale per scalare una salita in sci?</t>
  </si>
  <si>
    <t>A. Scivolata laterale B. Passo a spina di pesce C. Slalom D. Carving</t>
  </si>
  <si>
    <t>Passo a spina di pesce</t>
  </si>
  <si>
    <t>A. Zona per principianti B. Zona riservata C. Zona per esperti D. Zona con neve fresca</t>
  </si>
  <si>
    <t>Zona per principianti</t>
  </si>
  <si>
    <t>Cosa fare se incontri una pista completamente ghiacciata?</t>
  </si>
  <si>
    <t>A. Rallentare e procedere con cautela B. Accelerare per superarla più rapidamente C. Evitarla del tutto D. Camminare lungo il bordo</t>
  </si>
  <si>
    <t>Rallentare e procedere con cautela</t>
  </si>
  <si>
    <t>Come si chiama la tecnica per fermarsi girando gli sci di traverso?</t>
  </si>
  <si>
    <t>A. Stop laterale B. Stop diagonale C. Stop a spazzaneve D. Stop parallelo</t>
  </si>
  <si>
    <t>Stop a spazzaneve</t>
  </si>
  <si>
    <t>Cosa fare se il tuo abbigliamento si bagna durante lo sci?</t>
  </si>
  <si>
    <t>A. Continuare a sciare B. Asciugarlo al più presto C. Fermarti e rimuoverlo D. Ignorarlo e continuare</t>
  </si>
  <si>
    <t>Asciugarlo al più presto</t>
  </si>
  <si>
    <t>A. Percorso facile B. Percorso alternativo C. Zona vietata D. Percorso intermedio</t>
  </si>
  <si>
    <t>Percorso facile</t>
  </si>
  <si>
    <t>Cosa significa il simbolo di un fiocco di neve su un cartello?</t>
  </si>
  <si>
    <t>A. Zona a rischio valanghe B. Zona con neve fresca C. Zona per esperti D. Zona ghiacciata</t>
  </si>
  <si>
    <t>Cosa fare se non riesci a vedere bene a causa della neve?</t>
  </si>
  <si>
    <t>A. Fermarti e pulire gli occhiali B. Continuare a sciare lentamente C. Rimuovere gli occhiali D. Ignorare il problema</t>
  </si>
  <si>
    <t>Fermarti e pulire gli occhiali</t>
  </si>
  <si>
    <t>Cosa fare se perdi il pallino di riferimento sulla pista?</t>
  </si>
  <si>
    <t>A. Continuare senza di esso B. Segnalare il problema C. Fermarti e chiedere aiuto D. Seguire il percorso principale</t>
  </si>
  <si>
    <t>Fermarti e chiedere aiuto</t>
  </si>
  <si>
    <t>Cosa significa un cartello con un simbolo di una pala?</t>
  </si>
  <si>
    <t>A. Zona pericolo valanghe B. Zona di lavoro sulla pista C. Zona di emergenza D. Zona per esperti</t>
  </si>
  <si>
    <t>Zona di lavoro sulla pista</t>
  </si>
  <si>
    <t>Cosa fare se le tue gambe iniziano a tremare durante lo sci?</t>
  </si>
  <si>
    <t>A. Continuare per abituarti B. Fermarti e riposarti C. Accelerare per ridurre la fatica D. Ignorarlo e proseguire</t>
  </si>
  <si>
    <t>Fermarti e riposarti</t>
  </si>
  <si>
    <t>A. Percorso chiuso B. Percorso difficile C. Percorso alternativo D. Percorso per esperti</t>
  </si>
  <si>
    <t>Percorso alternativo</t>
  </si>
  <si>
    <t>Come puoi ridurre il rischio di lesioni alle ginocchia durante lo sci?</t>
  </si>
  <si>
    <t>A. Evitando le curve B. Indossando protezioni C. Prendendo velocità D. Usando scarponi più stretti</t>
  </si>
  <si>
    <t>Indossando protezioni</t>
  </si>
  <si>
    <t>Cosa fare se il tuo zaino si sgancia durante una discesa?</t>
  </si>
  <si>
    <t>A. Ignorarlo e continuare B. Fermarti e sistemarlo C. Chiamare aiuto D. Abbandonarlo sulla pista</t>
  </si>
  <si>
    <t>Fermarti e sistemarlo</t>
  </si>
  <si>
    <t>Cosa significa un cartello con un triangolo giallo e una figura che scia?</t>
  </si>
  <si>
    <t>A. Zona riservata agli esperti B. Zona per principianti C. Zona con neve fresca D. Zona pericolo valanghe</t>
  </si>
  <si>
    <t>Come si chiama il dispositivo per risalire una pista?</t>
  </si>
  <si>
    <t>A. Tappeto magico B. Seggiovia C. Skilift D. Cabina</t>
  </si>
  <si>
    <t>Skilift</t>
  </si>
  <si>
    <t>Cosa fare se i tuoi sci non scorrono bene sulla neve?</t>
  </si>
  <si>
    <t>A. Aumentare la velocità B. Applicare cera agli sci C. Usare i bastoncini D. Chiedere un controllo</t>
  </si>
  <si>
    <t>Applicare cera agli sci</t>
  </si>
  <si>
    <t>Cosa fare se senti un rumore sospetto provenire dai tuoi scarponi?</t>
  </si>
  <si>
    <t>A. Ignorarlo e continuare B. Chiedere aiuto a un esperto C. Fermarti e controllarli D. Regolarli e continuare</t>
  </si>
  <si>
    <t>Fermarti e controllarli</t>
  </si>
  <si>
    <t>Come puoi migliorare il tuo equilibrio durante lo sci?</t>
  </si>
  <si>
    <t>A. Curvando più spesso B. Usando bastoncini più lunghi C. Allenando la forza delle gambe D. Mantenendo gli sci paralleli</t>
  </si>
  <si>
    <t>Mantenendo gli sci paralleli</t>
  </si>
  <si>
    <t>Cosa indica una croce rossa su una pista?</t>
  </si>
  <si>
    <t>A. Punto di emergenza B. Zona vietata C. Pista con difficoltà media D. Zona per principianti</t>
  </si>
  <si>
    <t>Punto di emergenza</t>
  </si>
  <si>
    <t>Cosa fare se non riesci a seguire il ritmo del gruppo?</t>
  </si>
  <si>
    <t>A. Accelerare per raggiungerli B. Rallentare e avvisare C. Prendere un percorso alternativo D. Fermarti e aspettare aiuto</t>
  </si>
  <si>
    <t>Rallentare e avvisare</t>
  </si>
  <si>
    <t>Cosa fare se incontri una parte della pista coperta di rocce?</t>
  </si>
  <si>
    <t>A. Superarla con cautela B. Evitare quella zona C. Accelerare per saltarla D. Usare i bastoncini per appoggiarti</t>
  </si>
  <si>
    <t>Evitare quella zona</t>
  </si>
  <si>
    <t>Come puoi sapere se una pista è ben battuta?</t>
  </si>
  <si>
    <t>A. Controllando la segnaletica B. Osservandola prima di scendere C. Seguendo un esperto D. Chiedendo agli altri sciatori</t>
  </si>
  <si>
    <t>Osservandola prima di scendere</t>
  </si>
  <si>
    <t>Cosa significa un simbolo di sci incrociati su un cartello?</t>
  </si>
  <si>
    <t>A. Zona vietata agli sciatori B. Zona per esperti C. Zona chiusa D. Pista per snowboard</t>
  </si>
  <si>
    <t>Zona chiusa</t>
  </si>
  <si>
    <t>Cosa fare se ti accorgi di aver sbagliato direzione?</t>
  </si>
  <si>
    <t>A. Continuare fino alla fine della pista B. Invertire la rotta immediatamente C. Fermarti e orientarti D. Chiedere aiuto</t>
  </si>
  <si>
    <t>Fermarti e orientarti</t>
  </si>
  <si>
    <t>Cosa fare se incontri un tratto di pista molto stretto?</t>
  </si>
  <si>
    <t>A. Superarlo velocemente B. Rallentare e mantenere il controllo C. Usare i bastoncini per spingerti D. Evitarlo completamente</t>
  </si>
  <si>
    <t>Cosa indica un cartello con la scritta "Zona tecnica"?</t>
  </si>
  <si>
    <t>A. Zona per principianti B. Zona per allenamenti C. Zona per esperti D. Pista chiusa</t>
  </si>
  <si>
    <t>Zona per allenamenti</t>
  </si>
  <si>
    <t>Come puoi proteggere la tua attrezzatura durante il trasporto?</t>
  </si>
  <si>
    <t>A. Usare una custodia protettiva B. Legarla strettamente C. Avvolgerla in un panno D. Portarla separatamente</t>
  </si>
  <si>
    <t>Usare una custodia protettiva</t>
  </si>
  <si>
    <t>Cosa fare se la neve sulla pista diventa molto morbida?</t>
  </si>
  <si>
    <t>A. Accelerare per attraversarla B. Rallentare e adattare i movimenti C. Usare solo i bastoncini per spingerti D. Fermarti e cambiare percorso</t>
  </si>
  <si>
    <t>Rallentare e adattare i movimenti</t>
  </si>
  <si>
    <t>Cosa significa un cartello con una freccia e un numero di chilometri?</t>
  </si>
  <si>
    <t>A. Indica la distanza rimanente B. Indica la velocità massima consentita C. Indica il livello di difficoltà D. Indica la lunghezza della pista</t>
  </si>
  <si>
    <t>Indica la distanza rimanente</t>
  </si>
  <si>
    <t>Come puoi evitare di perdere il controllo su una pista ripida?</t>
  </si>
  <si>
    <t>A. Curvando frequentemente B. Mantenendo velocità costante C. Usando solo un bastoncino D. Fermandoti frequentemente</t>
  </si>
  <si>
    <t>Curvando frequentemente</t>
  </si>
  <si>
    <t>Cosa fare se trovi una crepa nel tuo sci?</t>
  </si>
  <si>
    <t>A. Continuare con cautela B. Fermarti immediatamente e farlo controllare C. Ignorare il problema D. Applicare del nastro adesivo</t>
  </si>
  <si>
    <t>Fermarti immediatamente e farlo controllare</t>
  </si>
  <si>
    <t>Cosa significa un cartello con il simbolo di una valanga?</t>
  </si>
  <si>
    <t>A. Zona con pericolo di valanghe B. Zona chiusa per neve fresca C. Zona riservata a esperti D. Zona con neve compatta</t>
  </si>
  <si>
    <t>Zona con pericolo di valanghe</t>
  </si>
  <si>
    <t>Cosa fare se la tua visiera si rompe durante lo sci?</t>
  </si>
  <si>
    <t>A. Continuare senza visiera B. Fermarti e sostituirla C. Usare occhiali da sole D. Ignorare il problema</t>
  </si>
  <si>
    <t>Fermarti e sostituirla</t>
  </si>
  <si>
    <t>Cosa indica una bandiera rossa accanto alla pista?</t>
  </si>
  <si>
    <t>A. Zona vietata B. Zona a rischio C. Zona per esperti D. Pista chiusa</t>
  </si>
  <si>
    <t>Zona per esperti</t>
  </si>
  <si>
    <t>Cosa fare se senti dolore alle caviglie mentre scii?</t>
  </si>
  <si>
    <t>A. Allentare gli scarponi e continuare B. Fermarti e regolare gli scarponi C. Ignorare il dolore D. Chiamare i soccorsi</t>
  </si>
  <si>
    <t>Fermarti e regolare gli scarponi</t>
  </si>
  <si>
    <t>Cosa significa il simbolo di un bicchiere su un cartello?</t>
  </si>
  <si>
    <t>A. Zona di ristoro B. Zona vietata agli sciatori C. Zona per esperti D. Zona con condizioni difficili</t>
  </si>
  <si>
    <t>Zona di ristoro</t>
  </si>
  <si>
    <t>Cosa fare se incontri una zona con poca visibilità?</t>
  </si>
  <si>
    <t>A. Rallentare e usare cautela B. Accelerare per superarla C. Seguire un altro sciatore D. Chiamare i soccorsi</t>
  </si>
  <si>
    <t>Rallentare e usare cautela</t>
  </si>
  <si>
    <t>Cosa significa il simbolo di uno sciatore che cade su un cartello?</t>
  </si>
  <si>
    <t>A. Zona per principianti B. Zona pericolosa C. Zona con neve morbida D. Zona con ghiaccio</t>
  </si>
  <si>
    <t>Zona pericolosa</t>
  </si>
  <si>
    <t>Cosa fare se il tuo bastoncino si incastra in una barriera?</t>
  </si>
  <si>
    <t>A. Tirarlo con forza B. Fermarti e rimuoverlo con calma C. Continuare senza di esso D. Chiamare aiuto</t>
  </si>
  <si>
    <t>Fermarti e rimuoverlo con calma</t>
  </si>
  <si>
    <t>Cosa fare se il tuo sci si graffia profondamente?</t>
  </si>
  <si>
    <t>A. Continuare e verificare più tardi B. Fermarti e farlo controllare C. Usare del nastro adesivo D. Ignorare il problema</t>
  </si>
  <si>
    <t>Cosa fare se il tuo abbigliamento è troppo stretto?</t>
  </si>
  <si>
    <t>A. Cambiarlo prima di iniziare a sciare B. Continuare comunque C. Allentare le cerniere D. Ignorare il disagio</t>
  </si>
  <si>
    <t>Cambiarlo prima di iniziare a sciare</t>
  </si>
  <si>
    <t>Cosa indica una bandiera verde accanto alla pista?</t>
  </si>
  <si>
    <t>A. Zona sicura B. Zona per principianti C. Zona riservata D. Zona per esperti</t>
  </si>
  <si>
    <t>Zona sicura</t>
  </si>
  <si>
    <t>Come puoi ridurre il rischio di cadere su neve fresca?</t>
  </si>
  <si>
    <t>A. Mantenendo gli sci paralleli B. Usando i bastoncini per frenare C. Curvando più frequentemente D. Usando scarponi più stretti</t>
  </si>
  <si>
    <t>Cosa fare se il tuo casco non si adatta bene?</t>
  </si>
  <si>
    <t>A. Sistemarlo mentre scii B. Fermarti e regolarlo C. Chiamare un esperto D. Ignorare il problema</t>
  </si>
  <si>
    <t>Fermarti e regolarlo</t>
  </si>
  <si>
    <t>Cosa significa una croce bianca su uno sfondo blu?</t>
  </si>
  <si>
    <t>A. Zona per principianti B. Zona sicura per emergenze C. Zona riservata D. Zona con condizioni difficili</t>
  </si>
  <si>
    <t>Zona sicura per emergenze</t>
  </si>
  <si>
    <t>Cosa fare se incontri una pista con neve molto compatta?</t>
  </si>
  <si>
    <t>A. Accelerare per superarla B. Adattare i movimenti e rallentare C. Usare i bastoncini per bilanciarti D. Evitarla completamente</t>
  </si>
  <si>
    <t>Adattare i movimenti e rallentare</t>
  </si>
  <si>
    <t>Come puoi mantenere la visibilità in una giornata nebbiosa?</t>
  </si>
  <si>
    <t>A. Usando occhiali con lenti adeguate B. Rallentando e togliendo gli occhiali C. Seguendo un altro sciatore D. Ignorando il problema</t>
  </si>
  <si>
    <t>Usando occhiali con lenti adeguate</t>
  </si>
  <si>
    <t>Cosa significa un cartello con un simbolo di un rifugio?</t>
  </si>
  <si>
    <t>A. Zona per riposarsi B. Zona per esperti C. Zona vietata D. Punto di partenza</t>
  </si>
  <si>
    <t>Zona per riposarsi</t>
  </si>
  <si>
    <t>Cosa fare se noti una valanga in lontananza?</t>
  </si>
  <si>
    <t>A. Allontanarti dalla zona B. Rimanere fermo C. Chiamare i soccorsi D. Accelerare per allontanarti</t>
  </si>
  <si>
    <t>Allontanarti dalla zona</t>
  </si>
  <si>
    <t>Come puoi migliorare la tua postura durante lo sci?</t>
  </si>
  <si>
    <t>A. Curvando meno frequentemente B. Usando bastoncini più lunghi C. Mantenendo le ginocchia leggermente piegate D. Sciando più velocemente</t>
  </si>
  <si>
    <t>Mantenendo le ginocchia leggermente piegate</t>
  </si>
  <si>
    <t>Cosa fare se il tuo scarponcino si allenta durante una discesa?</t>
  </si>
  <si>
    <t>A. Continuare con attenzione B. Fermarti e regolarlo C. Ignorare il problema D. Chiedere aiuto</t>
  </si>
  <si>
    <t>Cosa significa un cartello con una stella rossa?</t>
  </si>
  <si>
    <t>A. Zona di primo soccorso B. Zona per esperti C. Zona vietata D. Punto di ristoro</t>
  </si>
  <si>
    <t>Zona di primo soccorso</t>
  </si>
  <si>
    <t>Cosa fare se inizi a scivolare lateralmente su una pista ghiacciata?</t>
  </si>
  <si>
    <t>A. Mantenere la calma e riprendere l'equilibrio B. Accelerare per superare il tratto C. Usare i bastoncini per frenare D. Cadere volontariamente per fermarti</t>
  </si>
  <si>
    <t>Mantenere la calma e riprendere l'equilibrio</t>
  </si>
  <si>
    <t>Cosa indica un cartello con una freccia blu e un fiocco di neve?</t>
  </si>
  <si>
    <t>A. Zona con neve fresca B. Percorso intermedio C. Zona per esperti D. Zona vietata</t>
  </si>
  <si>
    <t>Percorso intermedio</t>
  </si>
  <si>
    <t>Come puoi prevenire l’appannamento degli occhiali?</t>
  </si>
  <si>
    <t>A. Togliendoli frequentemente B. Usando lenti anti-appannamento C. Indossandoli sopra una sciarpa D. Ignorando il problema</t>
  </si>
  <si>
    <t>Usando lenti anti-appannamento</t>
  </si>
  <si>
    <t>Cosa fare se il tuo sci perde una vite?</t>
  </si>
  <si>
    <t>A. Continuare con cautela B. Fermarti e chiedere riparazione C. Usare nastro adesivo D. Ignorare il problema</t>
  </si>
  <si>
    <t>Fermarti e chiedere riparazione</t>
  </si>
  <si>
    <t>Cosa significa una linea continua blu sulla mappa?</t>
  </si>
  <si>
    <t>A. Pista facile B. Pista intermedia C. Pista per esperti D. Percorso chiuso</t>
  </si>
  <si>
    <t>Pista intermedia</t>
  </si>
  <si>
    <t>Cosa fare se noti un’area non segnalata durante lo sci?</t>
  </si>
  <si>
    <t>A. Esplorarla per curiosità B. Segnalarla e evitarla C. Continuare comunque D. Chiedere aiuto</t>
  </si>
  <si>
    <t>Segnalarla e evitarla</t>
  </si>
  <si>
    <t>Cosa fare se ti trovi in una zona con forti raffiche di vento?</t>
  </si>
  <si>
    <t>A. Rallentare e abbassare il corpo B. Accelerare per superarla C. Usare i bastoncini per frenare D. Fermarti e aspettare</t>
  </si>
  <si>
    <t>Rallentare e abbassare il corpo</t>
  </si>
  <si>
    <t>Cosa significa un cartello con un triangolo giallo e un punto esclamativo?</t>
  </si>
  <si>
    <t>A. Zona con pericolo generale B. Zona vietata C. Zona per principianti D. Zona riservata</t>
  </si>
  <si>
    <t>Zona con pericolo generale</t>
  </si>
  <si>
    <t>Come puoi proteggerti meglio dal freddo intenso mentre scii?</t>
  </si>
  <si>
    <t>A. Indossando più strati di cotone B. Usando abbigliamento tecnico e isolante C. Mantenendo un ritmo elevato D. Bevendo molta acqua</t>
  </si>
  <si>
    <t>Usando abbigliamento tecnico e isolante</t>
  </si>
  <si>
    <t>Cosa fare se incontri una zona con neve mista a ghiaccio?</t>
  </si>
  <si>
    <t>A. Rallentare e mantenere controllo B. Accelerare per attraversarla C. Curvare meno frequentemente D. Evitare del tutto quella zona</t>
  </si>
  <si>
    <t>Rallentare e mantenere controllo</t>
  </si>
  <si>
    <t>Cosa significa una freccia arancione sulla pista?</t>
  </si>
  <si>
    <t>A. Percorso alternativo B. Percorso chiuso C. Zona di emergenza D. Percorso per esperti</t>
  </si>
  <si>
    <t>Come puoi migliorare la tua tecnica su una pista difficile?</t>
  </si>
  <si>
    <t>A. Seguendo un istruttore B. Praticando solo piste facili C. Sciando più velocemente D. Evitando le piste difficili</t>
  </si>
  <si>
    <t>Seguendo un istruttore</t>
  </si>
  <si>
    <t>Cosa fare se il tuo equipaggiamento si danneggia durante una discesa?</t>
  </si>
  <si>
    <t>A. Continuare con cautela B. Fermarti immediatamente e farlo riparare C. Chiedere aiuto agli altri sciatori D. Ignorare il danno</t>
  </si>
  <si>
    <t>Fermarti immediatamente e farlo riparare</t>
  </si>
  <si>
    <t>Cosa significa il simbolo di uno sciatore che salta su un cartello?</t>
  </si>
  <si>
    <t>A. Zona con ostacoli B. Zona per salti C. Zona vietata agli sciatori D. Zona per principianti</t>
  </si>
  <si>
    <t>Zona per salti</t>
  </si>
  <si>
    <t>Come puoi migliorare il tuo controllo su curve strette?</t>
  </si>
  <si>
    <t>A. Usando i bastoncini per spingerti B. Mantenendo una posizione centrale C. Piegandoti molto in avanti D. Curvando con velocità costante</t>
  </si>
  <si>
    <t>Mantenendo una posizione centrale</t>
  </si>
  <si>
    <t>Cosa fare se i tuoi guanti si bagnano completamente?</t>
  </si>
  <si>
    <t>A. Continuare senza guanti B. Cambiarli appena possibile C. Fermarti e asciugarli D. Usare una protezione extra</t>
  </si>
  <si>
    <t>Cambiarli appena possibile</t>
  </si>
  <si>
    <t>Cosa indica una linea ondulata su una mappa della pista?</t>
  </si>
  <si>
    <t>A. Percorso per slalom B. Percorso con neve fresca C. Pista con ostacoli D. Pista per principianti</t>
  </si>
  <si>
    <t>Percorso per slalom</t>
  </si>
  <si>
    <t>Cosa fare se la tua visibilità è ostacolata da neve intensa?</t>
  </si>
  <si>
    <t>A. Fermarti e orientarti meglio B. Rallentare e procedere con cautela C. Toglierti gli occhiali D. Seguire un altro sciatore</t>
  </si>
  <si>
    <t>Come puoi prevenire crampi alle gambe durante lo sci?</t>
  </si>
  <si>
    <t>A. Facendo pause frequenti B. Accelerando il ritmo C. Indossando scarponi più stretti D. Evacuando spesso</t>
  </si>
  <si>
    <t>Facendo pause frequenti</t>
  </si>
  <si>
    <t>Cosa significa un cartello con il simbolo di una tenda?</t>
  </si>
  <si>
    <t>A. Zona di campeggio B. Punto di riposo C. Zona riservata D. Zona vietata</t>
  </si>
  <si>
    <t>Zona di campeggio</t>
  </si>
  <si>
    <t>Cosa fare se perdi la concentrazione durante una lunga discesa?</t>
  </si>
  <si>
    <t>A. Continuare con cautela B. Fermarti e fare una pausa C. Accelerare per finire più velocemente D. Chiamare aiuto</t>
  </si>
  <si>
    <t>Fermarti e fare una pausa</t>
  </si>
  <si>
    <t>Cosa indica una linea tratteggiata rossa sulla mappa?</t>
  </si>
  <si>
    <t>A. Pista per esperti B. Percorso alternativo C. Pista per principianti D. Pista chiusa</t>
  </si>
  <si>
    <t>Cosa fare se noti una barriera improvvisa davanti a te?</t>
  </si>
  <si>
    <t>A. Fermarti immediatamente B. Curvare per evitarla C. Continuare e saltarla D. Chiamare aiuto</t>
  </si>
  <si>
    <t>Curvare per evitarla</t>
  </si>
  <si>
    <t>Come puoi proteggere il tuo viso da raffiche di vento gelido?</t>
  </si>
  <si>
    <t>A. Indossando una maschera protettiva B. Abbassando la testa C. Togliendo gli occhiali D. Usando una sciarpa</t>
  </si>
  <si>
    <t>Indossando una maschera protettiva</t>
  </si>
  <si>
    <t>Cosa fare se incontri una zona con forti pendenze?</t>
  </si>
  <si>
    <t>A. Curvare frequentemente e rallentare B. Accelerare per mantenere l’equilibrio C. Fermarti e camminare D. Usare solo i bastoncini</t>
  </si>
  <si>
    <t>Curvare frequentemente e rallentare</t>
  </si>
  <si>
    <t>Cosa significa un cartello con il simbolo di una freccia gialla?</t>
  </si>
  <si>
    <t>A. Percorso di emergenza B. Percorso alternativo C. Zona per principianti D. Zona vietata</t>
  </si>
  <si>
    <t>Cosa fare se i tuoi scarponi ti causano dolore prolungato?</t>
  </si>
  <si>
    <t>A. Cambiarli con altri più comodi B. Fermarti e regolarli C. Continuare con attenzione D. Usare calzini più spessi</t>
  </si>
  <si>
    <t>Cambiarli con altri più comodi</t>
  </si>
  <si>
    <t>Come puoi evitare di scivolare lateralmente su una pista inclinata?</t>
  </si>
  <si>
    <t>A. Mantenendo gli sci paralleli B. Usando solo un bastoncino C. Curvando meno frequentemente D. Accelerando leggermente</t>
  </si>
  <si>
    <t>Cosa significa una stella blu su un cartello?</t>
  </si>
  <si>
    <t>A. Zona per principianti B. Zona sicura C. Zona riservata D. Zona di ristoro</t>
  </si>
  <si>
    <t>Cosa fare se ti accorgi che il tuo ritmo è troppo lento rispetto agli altri?</t>
  </si>
  <si>
    <t>A. Accelerare senza curvare B. Continuare al tuo ritmo C. Chiedere agli altri di rallentare D. Fermarti e lasciare passare</t>
  </si>
  <si>
    <t>Continuare al tuo ritmo</t>
  </si>
  <si>
    <t>Cosa indica un cartello con un simbolo di slitta?</t>
  </si>
  <si>
    <t>A. Zona per slittino B. Percorso per esperti C. Percorso vietato D. Pista per principianti</t>
  </si>
  <si>
    <t>Zona per slittino</t>
  </si>
  <si>
    <t>Cosa fare se una pista è chiusa ma sembra utilizzabile?</t>
  </si>
  <si>
    <t>A. Non entrarci mai B. Usarla con cautela C. Chiedere agli altri sciatori D. Ignorare il cartello</t>
  </si>
  <si>
    <t>Non entrarci mai</t>
  </si>
  <si>
    <t>Come puoi adattarti meglio a condizioni di neve mista?</t>
  </si>
  <si>
    <t>A. Usando una posizione più bilanciata B. Accelerando frequentemente C. Cambiando spesso direzione D. Usando scarponi più larghi</t>
  </si>
  <si>
    <t>Usando una posizione più bilanciata</t>
  </si>
  <si>
    <t>Cosa significa una croce blu su un cartello?</t>
  </si>
  <si>
    <t>A. Zona di emergenza B. Zona per esperti C. Zona vietata D. Zona per principianti</t>
  </si>
  <si>
    <t>Zona di emergenza</t>
  </si>
  <si>
    <t>Cosa fare se ti accorgi di essere troppo stanco per continuare a sciare?</t>
  </si>
  <si>
    <t>A. Fermarti e riposare B. Accelerare per finire prima C. Usare i bastoncini per sostenerti D. Continuare a ritmo ridotto</t>
  </si>
  <si>
    <t>Fermarti e riposare</t>
  </si>
  <si>
    <t>Cosa indica una linea verde continua sulla mappa della pista?</t>
  </si>
  <si>
    <t>A. Pista per principianti B. Pista per esperti C. Pista chiusa D. Zona per allenamenti</t>
  </si>
  <si>
    <t>Cosa fare se incontri una pista con ghiaccio visibile?</t>
  </si>
  <si>
    <t>A. Rallentare e usare i bastoncini B. Fermarti e cercare un altro percorso C. Continuare senza preoccupazioni D. Accelerare per superare il tratto</t>
  </si>
  <si>
    <t>Rallentare e usare i bastoncini</t>
  </si>
  <si>
    <t>Cosa significa un cartello con il simbolo di un albero?</t>
  </si>
  <si>
    <t>A. Zona con possibile rischio di rami B. Zona protetta C. Stagione di apertura D. Zona di sosta</t>
  </si>
  <si>
    <t>Zona con possibile rischio di rami</t>
  </si>
  <si>
    <t>Cosa fare se la pista è troppo affollata per continuare a sciare?</t>
  </si>
  <si>
    <t>A. Aspettare che si liberi un po' B. Accelerare per passare rapidamente C. Scendere solo su piccole curve D. Usare una pista alternativa</t>
  </si>
  <si>
    <t>Aspettare che si liberi un po'</t>
  </si>
  <si>
    <t>Cosa significa un cartello con il simbolo di una tenda blu?</t>
  </si>
  <si>
    <t>A. Zona di emergenza B. Zona per esperti C. Zona riservata D. Area di rifugio</t>
  </si>
  <si>
    <t>Cosa fare se la neve è troppo morbida per sciare?</t>
  </si>
  <si>
    <t>A. Rallentare e utilizzare una tecnica di scivolamento B. Accelerare per proseguire più velocemente C. Fermarti e aspettare che la neve si solidifichi D. Rimanere sulla stessa traiettoria</t>
  </si>
  <si>
    <t>Rallentare e utilizzare una tecnica di scivolamento</t>
  </si>
  <si>
    <t>Cosa significa il simbolo di una croce su una pista?</t>
  </si>
  <si>
    <t>A. Zona con rischio di caduta B. Zona per slalom C. Zona con pericolo di valanghe D. Zona riservata</t>
  </si>
  <si>
    <t>Zona con rischio di caduta</t>
  </si>
  <si>
    <t>Cosa fare se scivoli su una pista molto ripida?</t>
  </si>
  <si>
    <t>A. Mantenere una postura più eretta B. Accelerare per uscire più velocemente C. Usare un'andatura più lenta D. Curvare più frequentemente</t>
  </si>
  <si>
    <t>Mantenere una postura più eretta</t>
  </si>
  <si>
    <t>Come puoi migliorare la tua tecnica su una pista innevata?</t>
  </si>
  <si>
    <t>A. Mantenendo la velocità costante B. Curvando più lentamente C. Usando solo i bastoncini per frenare D. Mantenendo gli sci paralleli</t>
  </si>
  <si>
    <t>Cosa fare se durante lo sci senti un dolore improvviso?</t>
  </si>
  <si>
    <t>A. Fermarti e chiedere aiuto B. Fermarti e fare una pausa C. Ignorare il dolore D. Continuare scivolando</t>
  </si>
  <si>
    <t>Cosa significa un cartello con un simbolo di una montagna rossa?</t>
  </si>
  <si>
    <t>A. Zona per esperti B. Zona riservata C. Zona di emergenza D. Percorso intermedio</t>
  </si>
  <si>
    <t>Cosa fare se la neve diventa pesante durante una discesa?</t>
  </si>
  <si>
    <t>A. Rallentare e usare movimenti più controllati B. Accelerare per superare il tratto C. Continuare con lo stesso ritmo D. Usare la tecnica del parallelo</t>
  </si>
  <si>
    <t>Rallentare e usare movimenti più controllati</t>
  </si>
  <si>
    <t>Come puoi ridurre il rischio di una caduta durante una curva?</t>
  </si>
  <si>
    <t>A. Posizionandoti più inclinato e controllato B. Mantenendo una postura rigida C. Usando i bastoncini per evitare la perdita d’equilibrio D. Curvando più velocemente</t>
  </si>
  <si>
    <t>Posizionandoti più inclinato e controllato</t>
  </si>
  <si>
    <t>Cosa fare se un altro sciatore ti taglia la strada?</t>
  </si>
  <si>
    <t>A. Fermarti immediatamente e riprendere il controllo B. Continuare a sciare come prima C. Evitarlo con una curva brusca D. Suonare un campanello per avvisarlo</t>
  </si>
  <si>
    <t>Fermarti immediatamente e riprendere il controllo</t>
  </si>
  <si>
    <t>Cosa significa il simbolo di uno sci di fondo su un cartello?</t>
  </si>
  <si>
    <t>A. Percorso dedicato agli sciatori di fondo B. Zona di emergenza C. Pista per principianti D. Area di sosta</t>
  </si>
  <si>
    <t>Percorso dedicato agli sciatori di fondo</t>
  </si>
  <si>
    <t>Cosa fare se trovi un ostacolo improvviso sulla pista?</t>
  </si>
  <si>
    <t>A. Fermarti immediatamente e segnalarlo B. Accelerare per saltarlo C. Curvare per evitarlo D. Continuare sulla traiettoria</t>
  </si>
  <si>
    <t>Fermarti immediatamente e segnalarlo</t>
  </si>
  <si>
    <t>Cosa significa un cartello con una curva stretta e un'esclamazione?</t>
  </si>
  <si>
    <t>A. Pista con rischio di caduta B. Zona riservata C. Zona di emergenza D. Curva pericolosa</t>
  </si>
  <si>
    <t>Pista con rischio di caduta</t>
  </si>
  <si>
    <t>Come puoi migliorare la tua velocità durante lo sci?</t>
  </si>
  <si>
    <t>A. Usando sci più corti B. Continuando a curvare frequentemente C. Posizionando i piedi più lontani D. Usando una postura aerodinamica</t>
  </si>
  <si>
    <t>Usando una postura aerodinamica</t>
  </si>
  <si>
    <t>Cosa fare se ti accorgi che i tuoi sci non scivolano correttamente?</t>
  </si>
  <si>
    <t>A. Verificare che non ci siano pietre o ghiaccio sotto B. Fermarti e cambiarli C. Continuare con attenzione D. Regolare la posizione del piede</t>
  </si>
  <si>
    <t>Verificare che non ci siano pietre o ghiaccio sotto</t>
  </si>
  <si>
    <t>Cosa significa un cartello con una linea continua rossa?</t>
  </si>
  <si>
    <t>A. Pista difficile B. Zona chiusa C. Percorso per principianti D. Area per allenamento</t>
  </si>
  <si>
    <t>Pista difficile</t>
  </si>
  <si>
    <t>Cosa fare se un altro sciatore cade davanti a te?</t>
  </si>
  <si>
    <t>A. Evitare la caduta curvando improvvisamente B. Chiamare aiuto e fermarsi C. Passare sopra la caduta D. Fermarsi e aspettare che si rialzi</t>
  </si>
  <si>
    <t>Chiamare aiuto e fermarsi</t>
  </si>
  <si>
    <t>Cosa significa il simbolo di una montagna con un sole su un cartello?</t>
  </si>
  <si>
    <t>A. Pista adatta per tutte le età B. Zona di ritrovo C. Pista soleggiata D. Zona per slalom</t>
  </si>
  <si>
    <t>Pista soleggiata</t>
  </si>
  <si>
    <t>Cosa fare se un altro sciatore ti sta sorpassando pericolosamente?</t>
  </si>
  <si>
    <t>A. Allontanarti dalla sua traiettoria B. Accelerare per superarlo C. Spostarti più velocemente D. Rimanere sulla stessa linea</t>
  </si>
  <si>
    <t>Allontanarti dalla sua traiettoria</t>
  </si>
  <si>
    <t>Cosa fare se la visibilità è troppo bassa per continuare?</t>
  </si>
  <si>
    <t>A. Rallentare e cercare un rifugio B. Accelerare per finire prima C. Usare un percorso alternativo D. Continuare con cautela</t>
  </si>
  <si>
    <t>Rallentare e cercare un rifugio</t>
  </si>
  <si>
    <t>Cosa significa un cartello con un simbolo di una palla di neve?</t>
  </si>
  <si>
    <t>A. Zona di sosta B. Pista ghiacciata C. Valanga imminente D. Zona di scivolamento</t>
  </si>
  <si>
    <t>Zona di sosta</t>
  </si>
  <si>
    <t>Cosa fare se il tuo casco si stacca durante una discesa?</t>
  </si>
  <si>
    <t>A. Fermarti immediatamente e rimetterlo B. Fermarti e chiedere aiuto C. Continuare senza casco D. Regolare la visiera</t>
  </si>
  <si>
    <t>Fermarti immediatamente e rimetterlo</t>
  </si>
  <si>
    <t>Come puoi aumentare la tua sicurezza durante lo sci in montagna?</t>
  </si>
  <si>
    <t>A. Sciando in gruppo B. Indossando solo abbigliamento tecnico C. Curvando più frequentemente D. Sciando sempre da solo</t>
  </si>
  <si>
    <t>Sciando in gruppo</t>
  </si>
  <si>
    <t>Cosa fare se trovi un cartello che indica "Pista chiusa"?</t>
  </si>
  <si>
    <t>A. Non entrare mai nella pista B. Scendere comunque in sicurezza C. Chiedere permesso D. Provare a trovare una via alternativa</t>
  </si>
  <si>
    <t>Non entrare mai nella pista</t>
  </si>
  <si>
    <t>Cosa fare se la tua velocità aumenta troppo su una pista ripida?</t>
  </si>
  <si>
    <t>A. Usare i bastoncini per rallentare B. Accelerare per mantenere il controllo C. Curvare più bruscamente D. Usare gli sci per frenare</t>
  </si>
  <si>
    <t>Usare i bastoncini per rallentare</t>
  </si>
  <si>
    <t>Cosa significa un cartello con una nuvola e il simbolo di un fiocco di neve?</t>
  </si>
  <si>
    <t>A. Precipitazioni nevose previste B. Pista chiusa per neve C. Pista con neve morbida D. Zona di riscaldamento</t>
  </si>
  <si>
    <t>Precipitazioni nevose previste</t>
  </si>
  <si>
    <t>Cosa fare se la tua sciata è influenzata da un forte vento laterale?</t>
  </si>
  <si>
    <t>A. Mantenere il corpo più centrale e stabile B. Accelerare per non fermarsi C. Curvare più frequentemente D. Scendere solo su curve larghe</t>
  </si>
  <si>
    <t>Mantenere il corpo più centrale e stabile</t>
  </si>
  <si>
    <t>Cosa fare se la visibilità è ridotta a causa di una tempesta di neve?</t>
  </si>
  <si>
    <t>A. Fermarti e aspettare che migliori B. Continuare a sciare lentamente C. Chiedere aiuto agli altri sciatori D. Utilizzare gli sci come punto di riferimento</t>
  </si>
  <si>
    <t>Fermarti e aspettare che migliori</t>
  </si>
  <si>
    <t>Cosa significa un cartello con il simbolo di un orso?</t>
  </si>
  <si>
    <t>A. Zona con possibile presenza di animali selvatici B. Zona di riposo C. Pista per esperti D. Zona di emergenza</t>
  </si>
  <si>
    <t>Zona con possibile presenza di animali selvatici</t>
  </si>
  <si>
    <t>Cosa fare se una pista si interseca con una pista di slalom?</t>
  </si>
  <si>
    <t>A. Rallentare e prestare attenzione B. Accelerare per superare il tratto C. Ignorare la pista di slalom D. Continuare con cautela</t>
  </si>
  <si>
    <t>Cosa significa un cartello con un simbolo di un cuore?</t>
  </si>
  <si>
    <t>A. Zona di primo soccorso B. Pista con alta affluenza di sciatori C. Zona di ristoro D. Pista per allenamento</t>
  </si>
  <si>
    <t>Cosa fare se il tuo scarponi non si adattano correttamente?</t>
  </si>
  <si>
    <t>A. Fermarti e regolarli B. Continuare a sciare comunque C. Chiedere l'aiuto di un istruttore D. Usare scarponi più larghi</t>
  </si>
  <si>
    <t>Fermarti e regolarli</t>
  </si>
  <si>
    <t>Cosa significa un cartello con una linea ondulata blu?</t>
  </si>
  <si>
    <t>A. Pista per principianti con curve B. Zona di emergenza C. Zona con forte pendenza D. Pista adatta per sciatori esperti</t>
  </si>
  <si>
    <t>Pista per principianti con curve</t>
  </si>
  <si>
    <t>Cosa fare se scivoli su una superficie ghiacciata durante la discesa?</t>
  </si>
  <si>
    <t>A. Usare i bastoncini per frenare B. Rallentare e piegare le ginocchia C. Accelerare per superare il tratto D. Controllare la velocità con le mani</t>
  </si>
  <si>
    <t>Usare i bastoncini per frenare</t>
  </si>
  <si>
    <t>Cosa significa un cartello con il simbolo di un elicottero?</t>
  </si>
  <si>
    <t>A. Pista di soccorso B. Zona di emergenza C. Pista per esperti D. Percorso alternativo</t>
  </si>
  <si>
    <t>Pista di soccorso</t>
  </si>
  <si>
    <t>Cosa fare se il tuo schermo degli occhiali si appanna durante lo sci?</t>
  </si>
  <si>
    <t>A. Fermarti e pulirlo B. Continuare e ignorarlo C. Aprire gli occhiali per migliorare la visibilità D. Utilizzare un panno</t>
  </si>
  <si>
    <t>Fermarti e pulirlo</t>
  </si>
  <si>
    <t>Cosa significa il simbolo di una linea rossa sul bordo della pista?</t>
  </si>
  <si>
    <t>A. Zona con forte pendenza B. Zona di sosta C. Area di pericolo D. Stazione di soccorso</t>
  </si>
  <si>
    <t>Zona con forte pendenza</t>
  </si>
  <si>
    <t>Cosa fare se un altro sciatore perde il controllo e viene verso di te?</t>
  </si>
  <si>
    <t>A. Spostarti lateralmente e fermarti B. Rimanere sulla tua traiettoria C. Curvare per evitargli la strada D. Accelerare per evitare il contatto</t>
  </si>
  <si>
    <t>Spostarti lateralmente e fermarti</t>
  </si>
  <si>
    <t>Cosa significa un cartello con il simbolo di una neve che cade?</t>
  </si>
  <si>
    <t>A. Zona con neve fresca e recente B. Pista chiusa C. Condizioni di scarsa visibilità D. Zona di riposo</t>
  </si>
  <si>
    <t>Zona con neve fresca e recente</t>
  </si>
  <si>
    <t>Come puoi proteggere la tua pelle dal freddo intenso mentre scii?</t>
  </si>
  <si>
    <t>A. Usando una crema protettiva B. Indossando solo abbigliamento tecnico C. Indossando guanti più spessi D. Evaporando frequentemente</t>
  </si>
  <si>
    <t>Usando una crema protettiva</t>
  </si>
  <si>
    <t>Cosa fare se la neve è molto farinosa durante la sciata?</t>
  </si>
  <si>
    <t>A. Rallentare e mantenere il controllo B. Accelerare per scivolare meglio C. Fermarti e aspettare che si solidifichi D. Usare più forza con le gambe</t>
  </si>
  <si>
    <t>Cosa significa un cartello con il simbolo di un uomo in snowboard?</t>
  </si>
  <si>
    <t>A. Percorso per snowboard B. Area di sosta C. Pista per principianti D. Area di emergenza</t>
  </si>
  <si>
    <t>Percorso per snowboard</t>
  </si>
  <si>
    <t>Cosa fare se la tua velocità è troppo alta su una pista ripida?</t>
  </si>
  <si>
    <t>A. Piegare le ginocchia e rallentare B. Accelerare per migliorare il controllo C. Fermarsi immediatamente D. Curvare velocemente</t>
  </si>
  <si>
    <t>Piegare le ginocchia e rallentare</t>
  </si>
  <si>
    <t>Cosa significa un cartello con il simbolo di un pallone da calcio?</t>
  </si>
  <si>
    <t>A. Area di allenamento B. Zona di riposo C. Pista con ostacoli D. Zona per principianti</t>
  </si>
  <si>
    <t>Area di allenamento</t>
  </si>
  <si>
    <t>Cosa fare se una pista si incrocia con una zona di soccorso?</t>
  </si>
  <si>
    <t>A. Rallentare e fare attenzione B. Continuare con cautela C. Accelerare per passare velocemente D. Scendere solo su tratti sicuri</t>
  </si>
  <si>
    <t>Rallentare e fare attenzione</t>
  </si>
  <si>
    <t>Cosa significa un cartello con il simbolo di una montagna innevata?</t>
  </si>
  <si>
    <t>A. Condizioni ideali per sciare B. Valanga imminente C. Zona di riscaldamento D. Pericolo di vento forte</t>
  </si>
  <si>
    <t>Condizioni ideali per sciare</t>
  </si>
  <si>
    <t>Cosa fare se il tuo casco è danneggiato durante lo sci?</t>
  </si>
  <si>
    <t>A. Fermarti e cambiarlo B. Continuare senza casco C. Segnalare a un altro sciatore D. Fermarti e aspettare assistenza</t>
  </si>
  <si>
    <t>Fermarti e cambiarlo</t>
  </si>
  <si>
    <t>Cosa significa il simbolo di una stella gialla?</t>
  </si>
  <si>
    <t>A. Zona di emergenza B. Zona di riposo C. Luogo di soccorso D. Zona di sosta</t>
  </si>
  <si>
    <t>Cosa fare se senti che il tuo bastoncino si stacca durante la discesa?</t>
  </si>
  <si>
    <t>A. Fermarti immediatamente e rimetterlo B. Continuare senza di esso C. Chiedere aiuto ad altri sciatori D. Fermarti e regolarlo</t>
  </si>
  <si>
    <t>Cosa significa un cartello con una linea continua verde?</t>
  </si>
  <si>
    <t>A. Pista facile per principianti B. Zona di sosta C. Pista difficile D. Zona per esperti</t>
  </si>
  <si>
    <t>Pista facile per principianti</t>
  </si>
  <si>
    <t>Cosa fare se scivoli su una zona di neve fresca e soffice?</t>
  </si>
  <si>
    <t>A. Rallentare e mantenere il controllo B. Accelerare per prendere velocità C. Fermarti e aspettare che la neve si compatti D. Usare i bastoncini per frenare</t>
  </si>
  <si>
    <t>Cosa significa il simbolo di una freccia su una mappa della pista?</t>
  </si>
  <si>
    <t>A. Percorso alternativo B. Pista chiusa C. Zona di sosta D. Inizio di una pista</t>
  </si>
  <si>
    <t>Cosa fare se ti accorgi di sciare troppo vicino a un altro sciatore?</t>
  </si>
  <si>
    <t>A. Aumentare la distanza B. Accelerare per superarlo C. Passare a sinistra D. Scivolare lateralmente</t>
  </si>
  <si>
    <t>Aumentare la distanza</t>
  </si>
  <si>
    <t>Cosa significa il simbolo di un orologio su una pista?</t>
  </si>
  <si>
    <t>A. Pista con tempo limitato B. Zona di sosta C. Pista in chiusura D. Inizio di una nuova discesa</t>
  </si>
  <si>
    <t>Pista con tempo limitato</t>
  </si>
  <si>
    <t>Cosa fare se scivoli mentre stai scendendo?</t>
  </si>
  <si>
    <t>A. Rimanere il più rigido possibile B. Frenare utilizzando solo le gambe C. Assumere una posizione più bassa D. Utilizzare il corpo per mantenere il controllo</t>
  </si>
  <si>
    <t>Rimanere il più rigido possibile</t>
  </si>
  <si>
    <t>Cosa significa un cartello con un simbolo di un piede?</t>
  </si>
  <si>
    <t>A. Zona per camminare B. Pista per esperti C. Area di riposo D. Percorso alternativo</t>
  </si>
  <si>
    <t>Zona per camminare</t>
  </si>
  <si>
    <t>Cosa fare se ti trovi in una zona con neve dura e ghiacciata?</t>
  </si>
  <si>
    <t>A. Rallentare e usare movimenti più dolci B. Accelerare per aumentare il controllo C. Usare le mani per frenare D. Continuare con cautela</t>
  </si>
  <si>
    <t>Rallentare e usare movimenti più dolci</t>
  </si>
  <si>
    <t>Cosa fare se un altro sciatore scende troppo velocemente verso di te?</t>
  </si>
  <si>
    <t>A. Spostarti lateralmente e fermarti B. Rimanere sulla tua traiettoria C. Curvare più lentamente D. Accelerare per evitare il contatto</t>
  </si>
  <si>
    <t>Cosa significa un cartello con il simbolo di un cane?</t>
  </si>
  <si>
    <t>A. Zona con possibilità di animali domestici B. Pista chiusa C. Zona di riposo D. Area per famiglie</t>
  </si>
  <si>
    <t>Zona con possibilità di animali domestici</t>
  </si>
  <si>
    <t>Cosa fare se i tuoi sci non scivolano correttamente su una pista dura?</t>
  </si>
  <si>
    <t>A. Fermarti e controllare gli sci B. Continuare a sciare lentamente C. Regolare la posizione del corpo D. Scivolare sulla pista con cautela</t>
  </si>
  <si>
    <t>Fermarti e controllare gli sci</t>
  </si>
  <si>
    <t>Cosa significa il simbolo di una croce rossa su un cartello?</t>
  </si>
  <si>
    <t>A. Pista di soccorso B. Zona con possibile pericolo C. Zona di riposo D. Percorso per esperti</t>
  </si>
  <si>
    <t>Cosa fare se un altro sciatore cade vicino a te?</t>
  </si>
  <si>
    <t>A. Spostarti per evitare il contatto B. Continuare a scivolare con cautela C. Chiamare un soccorritore D. Accertarti che stia bene e chiedere aiuto</t>
  </si>
  <si>
    <t>Spostarti per evitare il contatto</t>
  </si>
  <si>
    <t>Cosa significa un cartello con il simbolo di un uomo che scia?</t>
  </si>
  <si>
    <t>A. Pista per sciatori B. Zona di soccorso C. Zona di riposo D. Pista di slalom</t>
  </si>
  <si>
    <t>Pista per sciatori</t>
  </si>
  <si>
    <t>Cosa fare se sei sopraffatto dalla velocità durante una discesa?</t>
  </si>
  <si>
    <t>A. Spostarti lateralmente per rallentare B. Fermarti bruscamente C. Curvare a velocità alta D. Usare una tecnica più avanzata</t>
  </si>
  <si>
    <t>Spostarti lateralmente per rallentare</t>
  </si>
  <si>
    <t>A. Zona a rischio valanghe B. Zona di riposo C. Pista chiusa D. Area di soccorso</t>
  </si>
  <si>
    <t>Zona a rischio valanghe</t>
  </si>
  <si>
    <t>Cosa fare se ti accorgi di non riuscire a frenare durante la discesa?</t>
  </si>
  <si>
    <t>A. Usare i bastoncini per frenare B. Controllare la velocità curvando C. Assumere una posizione più eretta D. Frenare utilizzando il corpo</t>
  </si>
  <si>
    <t>Cosa significa un cartello con una freccia che punta verso il basso?</t>
  </si>
  <si>
    <t>A. Indica la direzione della discesa B. Pista chiusa C. Zona di emergenza D. Zona di sosta</t>
  </si>
  <si>
    <t>Indica la direzione della discesa</t>
  </si>
  <si>
    <t>Cosa fare se un altro sciatore ti urta durante una discesa?</t>
  </si>
  <si>
    <t>A. Fermarti e assicurarti che stia bene B. Continuare a scivolare con calma C. Fermarti e segnalare l'incidente D. Chiedere scusa e continuare</t>
  </si>
  <si>
    <t>Fermarti e assicurarti che stia bene</t>
  </si>
  <si>
    <t>Cosa significa un cartello con una linea ondulata verde?</t>
  </si>
  <si>
    <t>A. Pista facile per principianti B. Zona di allenamento C. Zona di riposo D. Pista difficile</t>
  </si>
  <si>
    <t>Cosa fare se sei stanco durante una lunga discesa?</t>
  </si>
  <si>
    <t>A. Prendere una breve pausa e riprendere fiato B. Accelerare per completare rapidamente C. Chiedere aiuto per una salita D. Fermarti e riposarti su una panca</t>
  </si>
  <si>
    <t>Prendere una breve pausa e riprendere fiato</t>
  </si>
  <si>
    <t>Cosa significa un cartello con il simbolo di un occhio?</t>
  </si>
  <si>
    <t>A. Zona con scarsa visibilità B. Pista adatta per principianti C. Inizio di una pista di slalom D. Area di emergenza</t>
  </si>
  <si>
    <t>Zona con scarsa visibilità</t>
  </si>
  <si>
    <t>Cosa fare se la neve è ghiacciata durante una discesa?</t>
  </si>
  <si>
    <t>A. Rallentare e piegare le ginocchia B. Accelerare per migliorare il controllo C. Usare il corpo per mantenere il bilanciamento D. Curvare a velocità più alta</t>
  </si>
  <si>
    <t>Rallentare e piegare le ginocchia</t>
  </si>
  <si>
    <t>Cosa significa un cartello con il simbolo di una stella?</t>
  </si>
  <si>
    <t>A. Zona di soccorso B. Zona di riposo C. Zona di sosta D. Pista facile</t>
  </si>
  <si>
    <t>Zona di soccorso</t>
  </si>
  <si>
    <t>Cosa fare se un altro sciatore scende troppo lentamente davanti a te?</t>
  </si>
  <si>
    <t>A. Spostarti lateralmente e superarli B. Scendere lentamente anche tu C. Accelerare per superarli velocemente D. Aspettare che si spostino</t>
  </si>
  <si>
    <t>Spostarti lateralmente e superarli</t>
  </si>
  <si>
    <t>Cosa significa un cartello con il simbolo di una tenda rossa?</t>
  </si>
  <si>
    <t>A. Area di riposo B. Zona di emergenza C. Pista difficile D. Zone per allenamento</t>
  </si>
  <si>
    <t>Area di riposo</t>
  </si>
  <si>
    <t>Cosa fare se un altro sciatore ti sorpassa senza segnalare?</t>
  </si>
  <si>
    <t>A. Spostarti per evitare il contatto B. Accorgerti della sua traiettoria C. Non fare nulla e continuare D. Curvare per evitare il contatto</t>
  </si>
  <si>
    <t>Cosa significa un cartello con il simbolo di un fiocco di neve?</t>
  </si>
  <si>
    <t>A. Condizioni di neve fresca B. Zona con pista ghiacciata C. Zona chiusa per rischio valanghe D. Pista in ottime condizioni</t>
  </si>
  <si>
    <t>Condizioni di neve fresca</t>
  </si>
  <si>
    <t>Cosa fare se scivoli e perdi il controllo durante una discesa?</t>
  </si>
  <si>
    <t>A. Mantenere il corpo il più stabile possibile B. Alzarsi rapidamente e riprendere il controllo C. Scivolare con una postura rigida D. Usare i bastoncini per fermarsi</t>
  </si>
  <si>
    <t>Mantenere il corpo il più stabile possibile</t>
  </si>
  <si>
    <t>A. Zona con pericolo di ostacoli naturali B. Zona di riposo C. Inizio di una nuova pista D. Tratto di pista ricoperto di neve</t>
  </si>
  <si>
    <t>Zona con pericolo di ostacoli naturali</t>
  </si>
  <si>
    <t>Cosa fare se un altro sciatore ti urta durante una curva?</t>
  </si>
  <si>
    <t>A. Assicurati di essere in equilibrio e fermati B. Segnalare l'incidente e riprendere la discesa C. Proseguire come se nulla fosse D. Fermarti immediatamente e chiedere aiuto</t>
  </si>
  <si>
    <t>Assicurati di essere in equilibrio e fermati</t>
  </si>
  <si>
    <t>Cosa significa il simbolo di una montagna blu su un cartello?</t>
  </si>
  <si>
    <t>A. Pista con moderata difficoltà B. Zona di sosta C. Area di soccorso D. Pista facile</t>
  </si>
  <si>
    <t>Pista con moderata difficoltà</t>
  </si>
  <si>
    <t>Cosa fare se la pista è troppo affollata durante il weekend?</t>
  </si>
  <si>
    <t>A. Cambiare pista e cercare un percorso meno affollato B. Accettare l'affollamento e continuare C. Fermarti per evitare incidenti D. Scendere su una pista parallela</t>
  </si>
  <si>
    <t>Cambiare pista e cercare un percorso meno affollato</t>
  </si>
  <si>
    <t>Cosa significa un cartello con il simbolo di una campana?</t>
  </si>
  <si>
    <t>A. Pista chiusa B. Zona di riposo C. Area di emergenza D. Inizio della discesa</t>
  </si>
  <si>
    <t>Cosa fare se trovi ostacoli sulla pista di sci?</t>
  </si>
  <si>
    <t>A. Evitarli con una curva improvvisa B. Segnalare il pericolo e fermarti C. Continuare a sciare come se nulla fosse D. Curvare per evitarli</t>
  </si>
  <si>
    <t>Segnalare il pericolo e fermarti</t>
  </si>
  <si>
    <t>Cosa significa un cartello con il simbolo di un cuore verde?</t>
  </si>
  <si>
    <t>A. Zona di riposo per tutti B. Zona di riscaldamento C. Pista per esperti D. Area di recupero</t>
  </si>
  <si>
    <t>Zona di riposo per tutti</t>
  </si>
  <si>
    <t>Cosa fare se la visibilità è completamente ridotta dalla nebbia?</t>
  </si>
  <si>
    <t>A. Fermarti e aspettare che migliori B. Continuare lentamente con molta attenzione C. Scendere velocemente per evitare di essere fermati D. Chiedere aiuto ad altri sciatori</t>
  </si>
  <si>
    <t>Cosa significa un cartello con una linea gialla e una freccia?</t>
  </si>
  <si>
    <t>A. Percorso alternativo da seguire B. Zona di pericolo C. Inizio di una pista difficile D. Pista per sciatori esperti</t>
  </si>
  <si>
    <t>Percorso alternativo da seguire</t>
  </si>
  <si>
    <t>Cosa fare se trovi una persona ferita sulla pista?</t>
  </si>
  <si>
    <t>A. Segnalare l'incidente e chiamare i soccorsi B. Fermarsi e cercare di aiutare direttamente C. Proseguire con cautela D. Chiedere aiuto agli altri sciatori</t>
  </si>
  <si>
    <t>Segnalare l'incidente e chiamare i soccorsi</t>
  </si>
  <si>
    <t>Cosa significa un cartello con il simbolo di una valanga in corso?</t>
  </si>
  <si>
    <t>A. Zona ad alto rischio B. Condizioni di neve sicura C. Area di sosta D. Pista chiusa</t>
  </si>
  <si>
    <t>Zona ad alto rischio</t>
  </si>
  <si>
    <t>Cosa fare se senti un forte vento durante la discesa?</t>
  </si>
  <si>
    <t>A. Rallentare e prestare attenzione B. Scivolare velocemente per evitare il vento C. Continuare normalmente D. Accovacciarsi per proteggerti</t>
  </si>
  <si>
    <t>Cosa significa un cartello con il simbolo di un corridoio?</t>
  </si>
  <si>
    <t>A. Zona di passaggio obbligato B. Area di sosta C. Pista con ostacoli naturali D. Zona di riposo</t>
  </si>
  <si>
    <t>Zona di passaggio obbligato</t>
  </si>
  <si>
    <t>Cosa fare se un altro sciatore ti urta mentre sei in una curva?</t>
  </si>
  <si>
    <t>A. Fermarti e controllare che stia bene B. Proseguire come se nulla fosse C. Segnalare il fatto e continuare D. Curvare per evitare ulteriori contatti</t>
  </si>
  <si>
    <t>Fermarti e controllare che stia bene</t>
  </si>
  <si>
    <t>Cosa significa il simbolo di un triangolo con una linea rossa?</t>
  </si>
  <si>
    <t>A. Pista per esperti con rischio elevato B. Zona di emergenza C. Pista chiusa D. Area di riscaldamento</t>
  </si>
  <si>
    <t>Pista per esperti con rischio elevato</t>
  </si>
  <si>
    <t>Cosa fare se la tua maschera da sci si appanna durante la discesa?</t>
  </si>
  <si>
    <t>A. Fermarti e pulirla B. Scivolare senza occhiali C. Continuare con la maschera appannata D. Ignorarlo e proseguire</t>
  </si>
  <si>
    <t>Fermarti e pulirla</t>
  </si>
  <si>
    <t>Cosa significa un cartello con il simbolo di una collina?</t>
  </si>
  <si>
    <t>A. Pista in leggera salita B. Inizio di una pista C. Tratto di pista pianeggiante D. Zona di riposo</t>
  </si>
  <si>
    <t>Pista in leggera salita</t>
  </si>
  <si>
    <t>Un giocatore dice "cinque" ma mostra solo quattro dita. Cosa succede?</t>
  </si>
  <si>
    <t>A. Il punto viene assegnato all'avversario B. Il giocatore viene ammonito C. Il gioco continua normalmente D. Il punto viene annullato</t>
  </si>
  <si>
    <t>Il punto viene assegnato all'avversario</t>
  </si>
  <si>
    <t>Un giocatore mostra il numero corretto ma dice "quattro". Cosa succede?</t>
  </si>
  <si>
    <t>A. Il punto viene annullato B. Il punto viene assegnato all'avversario C. Il gioco continua normalmente D. Il punto viene assegnato</t>
  </si>
  <si>
    <t>Un giocatore non riesce a dire il numero prima di mostrare le dita. Cosa accade?</t>
  </si>
  <si>
    <t>A. Il punto viene annullato B. Il giocatore perde il turno C. Il gioco continua normalmente D. Il punto viene assegnato all'avversario</t>
  </si>
  <si>
    <t>Un giocatore grida "due" e mostra "due" dita. Cosa succede?</t>
  </si>
  <si>
    <t>A. Il punto viene assegnato B. Il punto viene annullato C. Il gioco continua normalmente D. Il giocatore perde il turno</t>
  </si>
  <si>
    <t>Un giocatore non dice nulla ma mostra il numero "tre". Cosa accade?</t>
  </si>
  <si>
    <t>A. Il punto viene annullato B. Il punto viene assegnato all'avversario C. Il gioco continua normalmente D. Il giocatore perde il turno</t>
  </si>
  <si>
    <t>Un giocatore grida "cinque" ma mostra "quattro" dita. Cosa succede?</t>
  </si>
  <si>
    <t>A. Il punto viene assegnato all'avversario B. Il punto viene annullato C. Il gioco continua normalmente D. Il punto viene assegnato</t>
  </si>
  <si>
    <t>Un giocatore dice "uno" e mostra "due" dita. Cosa succede?</t>
  </si>
  <si>
    <t>A. Il punto viene annullato B. Il gioco continua normalmente C. Il punto viene assegnato all'avversario D. Il punto viene assegnato</t>
  </si>
  <si>
    <t>Un giocatore mostra il numero "tre" ma dice "due". Cosa accade?</t>
  </si>
  <si>
    <t>A. Il punto viene assegnato all'avversario B. Il gioco continua normalmente C. Il punto viene annullato D. Il giocatore perde il turno</t>
  </si>
  <si>
    <t>Un giocatore non dice alcun numero prima di mostrare le dita. Cosa succede?</t>
  </si>
  <si>
    <t>Un giocatore mostra "quattro" dita ma dice "tre". Cosa succede?</t>
  </si>
  <si>
    <t>A. Il punto viene annullato B. Il gioco continua normalmente C. Il punto viene assegnato all'avversario D. Il giocatore perde il turno</t>
  </si>
  <si>
    <t>Un giocatore grida "tre" ma mostra "cinque" dita. Cosa accade?</t>
  </si>
  <si>
    <t>Un giocatore dice il numero corretto ma mostra il numero sbagliato con le dita. Cosa succede?</t>
  </si>
  <si>
    <t>Un giocatore grida "quattro" e mostra "quattro" dita. Cosa succede?</t>
  </si>
  <si>
    <t>Un giocatore sbaglia a dire il numero e mostra un numero più alto delle dita che ha. Cosa accade?</t>
  </si>
  <si>
    <t>Un giocatore sbaglia il numero e mostra "due" dita invece di "tre". Cosa succede?</t>
  </si>
  <si>
    <t>A. Il punto viene assegnato all'avversario B. Il gioco continua normalmente C. Il punto viene annullato D. Il punto viene assegnato</t>
  </si>
  <si>
    <t>Un giocatore grida "quattro" ma non mostra le dita. Cosa succede?</t>
  </si>
  <si>
    <t>Un giocatore dice "sei" e mostra "quattro" dita. Cosa succede?</t>
  </si>
  <si>
    <t>Un giocatore dice "tre" e mostra "tre" dita. Cosa succede?</t>
  </si>
  <si>
    <t>A. Il punto viene assegnato B. Il gioco continua normalmente C. Il punto viene annullato D. Il punto viene assegnato</t>
  </si>
  <si>
    <t>Un giocatore mostra "due" dita ma dice "tre". Cosa succede?</t>
  </si>
  <si>
    <t>Un giocatore grida "cinque" ma mostra solo "quattro" dita. Cosa accade?</t>
  </si>
  <si>
    <t>A. Il punto viene assegnato all'avversario B. Il punto viene annullato C. Il gioco continua normalmente D. Il giocatore perde il turno</t>
  </si>
  <si>
    <t>Un giocatore grida "due" ma mostra "tre" dita. Cosa succede?</t>
  </si>
  <si>
    <t>Un giocatore dice "due" ma mostra "quattro" dita. Cosa succede?</t>
  </si>
  <si>
    <t>Un giocatore sbaglia a dire il numero e mostra "tre" dita invece di "due". Cosa accade?</t>
  </si>
  <si>
    <t>Un giocatore grida "sei" e mostra "cinque" dita. Cosa succede?</t>
  </si>
  <si>
    <t>Un giocatore mostra il numero "due" ma dice "uno". Cosa succede?</t>
  </si>
  <si>
    <t>Un giocatore grida "tre" ma mostra "due" dita. Cosa accade?</t>
  </si>
  <si>
    <t>Un giocatore mostra "cinque" dita ma dice "due". Cosa succede?</t>
  </si>
  <si>
    <t>Un giocatore grida "due" ma mostra "uno". Cosa succede?</t>
  </si>
  <si>
    <t>Un giocatore mostra "due" dita e dice "tre". Cosa succede?</t>
  </si>
  <si>
    <t>Un giocatore mostra "tre" dita e dice "due". Cosa accade?</t>
  </si>
  <si>
    <t>Un giocatore dice "quattro" e mostra "due" dita. Cosa succede?</t>
  </si>
  <si>
    <t>Un giocatore dice "uno" ma mostra "due" dita. Cosa accade?</t>
  </si>
  <si>
    <t>Un giocatore grida "quattro" ma non mostra alcuna mano. Cosa succede?</t>
  </si>
  <si>
    <t>Un giocatore dice "cinque" e mostra "quattro" dita. Cosa succede?</t>
  </si>
  <si>
    <t>Un giocatore grida "due" ma mostra "uno" dito. Cosa succede?</t>
  </si>
  <si>
    <t>Un giocatore mostra "cinque" dita e dice "quattro". Cosa succede?</t>
  </si>
  <si>
    <t>Un giocatore grida "tre" ma mostra "tre" dita. Cosa succede?</t>
  </si>
  <si>
    <t>A. Il punto viene assegnato B. Il punto viene annullato C. Il gioco continua normalmente D. Il punto viene assegnato</t>
  </si>
  <si>
    <t>Un giocatore sbaglia a dire il numero e mostra "quattro" invece di "tre". Cosa succede?</t>
  </si>
  <si>
    <t>Un giocatore grida "quattro" ma non mostra alcun dito. Cosa succede?</t>
  </si>
  <si>
    <t>Un giocatore mostra "tre" dita e dice "quattro". Cosa succede?</t>
  </si>
  <si>
    <t>Un giocatore dice "cinque" e mostra "tre" dita. Cosa succede?</t>
  </si>
  <si>
    <t>Un giocatore dice "quattro" ma non mostra le dita. Cosa succede?</t>
  </si>
  <si>
    <t>Un giocatore grida "quattro" ma mostra "due" dita. Cosa succede?</t>
  </si>
  <si>
    <t>Un giocatore dice "cinque" ma mostra "tre" dita. Cosa succede?</t>
  </si>
  <si>
    <t>Un giocatore mostra "tre" dita ma dice "due". Cosa succede?</t>
  </si>
  <si>
    <t>Un giocatore grida "cinque" ma mostra "due" dita. Cosa succede?</t>
  </si>
  <si>
    <t>Un giocatore mostra "due" dita e dice "cinque". Cosa succede?</t>
  </si>
  <si>
    <t>Un giocatore dice "due" ma mostra "uno". Cosa succede?</t>
  </si>
  <si>
    <t>Un giocatore mostra "cinque" dita e dice "tre". Cosa succede?</t>
  </si>
  <si>
    <t>Un giocatore grida "due" ma non mostra le dita. Cosa succede?</t>
  </si>
  <si>
    <t>Un giocatore dice "quattro" e mostra "cinque" dita. Cosa succede?</t>
  </si>
  <si>
    <t>Un giocatore grida "tre" ma mostra "quattro" dita. Cosa succede?</t>
  </si>
  <si>
    <t>Un giocatore dice "cinque" e mostra "due" dita. Cosa succede?</t>
  </si>
  <si>
    <t>Un giocatore dice "quattro" e mostra "quattro" dita. Cosa succede?</t>
  </si>
  <si>
    <t>Un giocatore grida "quattro" e mostra "due" dita. Cosa succede?</t>
  </si>
  <si>
    <t>Un giocatore grida "tre" e mostra "tre" dita. Cosa succede?</t>
  </si>
  <si>
    <t>Un giocatore mostra "cinque" dita e dice "due". Cosa succede?</t>
  </si>
  <si>
    <t>Un giocatore mostra "due" dita e dice "due". Cosa succede?</t>
  </si>
  <si>
    <t>Un giocatore dice "tre" e mostra "due" dita. Cosa succede?</t>
  </si>
  <si>
    <t>Un giocatore grida "due" ma mostra "quattro" dita. Cosa succede?</t>
  </si>
  <si>
    <t>Un giocatore mostra "tre" dita e dice "tre". Cosa succede?</t>
  </si>
  <si>
    <t>Un giocatore grida "due" ma mostra "cinque" dita. Cosa succede?</t>
  </si>
  <si>
    <t>Un giocatore dice "due" ma mostra "tre" dita. Cosa succede?</t>
  </si>
  <si>
    <t>Un giocatore grida "cinque" ma non mostra le dita. Cosa succede?</t>
  </si>
  <si>
    <t>Un giocatore mostra "due" dita e grida "cinque". Cosa succede?</t>
  </si>
  <si>
    <t>Un giocatore mostra "tre" dita e grida "due". Cosa succede?</t>
  </si>
  <si>
    <t>Un giocatore dice "tre" ma mostra "quattro" dita. Cosa succede?</t>
  </si>
  <si>
    <t>Un giocatore mostra "tre" dita ma dice "quattro". Cosa succede?</t>
  </si>
  <si>
    <t>Un giocatore grida "tre" ma mostra "cinque" dita. Cosa succede?</t>
  </si>
  <si>
    <t>Un giocatore mostra "quattro" dita e grida "quattro". Cosa succede?</t>
  </si>
  <si>
    <t>Un giocatore mostra "due" dita e grida "due". Cosa succede?</t>
  </si>
  <si>
    <t>Un giocatore grida "due" e mostra "quattro" dita. Cosa succede?</t>
  </si>
  <si>
    <t>Un giocatore mostra "cinque" dita e grida "quattro". Cosa succede?</t>
  </si>
  <si>
    <t>Un giocatore mostra "tre" dita e grida "tre". Cosa succede?</t>
  </si>
  <si>
    <t>Un giocatore grida "cinque" e mostra "due" dita. Cosa succede?</t>
  </si>
  <si>
    <t>Un giocatore mostra "cinque" dita ma dice "quattro". Cosa succede?</t>
  </si>
  <si>
    <t>Un giocatore grida "cinque" e mostra "cinque" dita. Cosa succede?</t>
  </si>
  <si>
    <t>Un giocatore mostra "due" dita e grida "tre". Cosa succede?</t>
  </si>
  <si>
    <t>Un giocatore mostra "tre" dita e dice "due". Cosa succede?</t>
  </si>
  <si>
    <t>Un giocatore grida "quattro" ma mostra "tre" dita. Cosa succede?</t>
  </si>
  <si>
    <t>Un giocatore mostra "quattro" dita ma dice "due". Cosa succede?</t>
  </si>
  <si>
    <t>Un giocatore dice "due" e mostra "due" dita. Cosa succede?</t>
  </si>
  <si>
    <t>Un giocatore dice "due" e mostra "cinque" dita. Cosa succede?</t>
  </si>
  <si>
    <t>Un giocatore mostra "due" dita ma grida "quattro". Cosa succede?</t>
  </si>
  <si>
    <t>Un giocatore mostra "due" dita ma grida "tre". Cosa succede?</t>
  </si>
  <si>
    <t>Un giocatore grida "due" e mostra "tre" dita. Cosa succede?</t>
  </si>
  <si>
    <t>Un giocatore mostra "cinque" dita e grida "tre". Cosa succede?</t>
  </si>
  <si>
    <t>Un giocatore mostra "tre" dita ma grida "cinque". Cosa succede?</t>
  </si>
  <si>
    <t>Un giocatore grida "tre" ma mostra "uno" dito. Cosa succede?</t>
  </si>
  <si>
    <t>Un giocatore mostra "due" dita e grida "uno". Cosa succede?</t>
  </si>
  <si>
    <t>Un giocatore grida "tre" e mostra "cinque" dita. Cosa succede?</t>
  </si>
  <si>
    <t>Un giocatore mostra "due" dita e grida "quattro". Cosa succede?</t>
  </si>
  <si>
    <t>Un giocatore mostra "tre" dita e grida "quattro". Cosa succede?</t>
  </si>
  <si>
    <t>Un giocatore grida "tre" ma mostra "due" dita. Cosa succede?</t>
  </si>
  <si>
    <t>Un giocatore grida "due" e mostra "uno" dito. Cosa succede?</t>
  </si>
  <si>
    <t>Un giocatore mostra "cinque" dita ma grida "due". Cosa succede?</t>
  </si>
  <si>
    <t>Un giocatore grida "tre" e mostra "due" dita. Cosa succede?</t>
  </si>
  <si>
    <t>Un giocatore dice "due" e mostra "quattro" dita. Cosa succede?</t>
  </si>
  <si>
    <t>Un giocatore grida "uno" e mostra "due" dita. Cosa succede?</t>
  </si>
  <si>
    <t>Un giocatore grida "tre" e mostra "quattro" dita. Cosa succede?</t>
  </si>
  <si>
    <t>Un giocatore grida "uno" e mostra "cinque" dita. Cosa succede?</t>
  </si>
  <si>
    <t>Un giocatore grida "cinque" e mostra "tre" dita. Cosa succede?</t>
  </si>
  <si>
    <t>Un giocatore mostra "due" dita e dice "quattro". Cosa succede?</t>
  </si>
  <si>
    <t>Un giocatore mostra "quattro" dita e grida "due". Cosa succede?</t>
  </si>
  <si>
    <t>Un giocatore grida "uno" e mostra "tre" dita. Cosa succede?</t>
  </si>
  <si>
    <t>Un giocatore grida "quattro" e mostra "cinque" dita. Cosa succede?</t>
  </si>
  <si>
    <t>Un giocatore mostra "cinque" dita e dice "cinque". Cosa succede?</t>
  </si>
  <si>
    <t>Un giocatore mostra "uno" dito e dice "quattro". Cosa succede?</t>
  </si>
  <si>
    <t>Un giocatore mostra "quattro" dita e dice "quattro". Cosa succede?</t>
  </si>
  <si>
    <t>Un giocatore grida "cinque" e mostra "uno" dito. Cosa succede?</t>
  </si>
  <si>
    <t>Un giocatore grida "tre" e mostra "uno" dito. Cosa succede?</t>
  </si>
  <si>
    <t>Un giocatore mostra "uno" dito e dice "cinque". Cosa succede?</t>
  </si>
  <si>
    <t>Un giocatore grida "due" e mostra "cinque" dita. Cosa succede?</t>
  </si>
  <si>
    <t>Un giocatore mostra "tre" dita e grida "cinque". Cosa succede?</t>
  </si>
  <si>
    <t>Un giocatore mostra "cinque" dita e grida "cinque". Cosa succede?</t>
  </si>
  <si>
    <t>Un giocatore mostra "quattro" dita e grida "uno". Cosa succede?</t>
  </si>
  <si>
    <t>Un giocatore grida "cinque" e mostra "quattro" dita. Cosa succede?</t>
  </si>
  <si>
    <t>Un giocatore mostra "tre" dita e grida "uno". Cosa succede?</t>
  </si>
  <si>
    <t>Un giocatore grida "quattro" e mostra "tre" dita. Cosa succede?</t>
  </si>
  <si>
    <t>Un giocatore mostra "quattro" dita e dice "due". Cosa succede?</t>
  </si>
  <si>
    <t>Un giocatore mostra "tre" dita e dice "cinque". Cosa succede?</t>
  </si>
  <si>
    <t>Un giocatore grida "quattro" e mostra "uno" dito. Cosa succede?</t>
  </si>
  <si>
    <t>Un giocatore mostra "due" dita e dice "uno". Cosa succede?</t>
  </si>
  <si>
    <t>Un giocatore mostra "cinque" dita e grida "uno". Cosa succede?</t>
  </si>
  <si>
    <t>Un giocatore mostra "uno" dito e grida "due". Cosa succede?</t>
  </si>
  <si>
    <t>Un giocatore mostra "uno" dito e grida "tre". Cosa succede?</t>
  </si>
  <si>
    <t>Un giocatore mostra "cinque" dita e grida "due". Cosa succede?</t>
  </si>
  <si>
    <t>A. Il punto viene assegnato B. Il punto viene annullato C. Il gioco continua normalmente D. Il punto viene annullato</t>
  </si>
  <si>
    <t>Un giocatore mostra "quattro" dita e grida "cinque". Cosa succede?</t>
  </si>
  <si>
    <t>Un giocatore mostra "uno" dito e grida "cinque". Cosa succede?</t>
  </si>
  <si>
    <t>Un giocatore mostra "quattro" dita e grida "tre". Cosa succede?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</si>
</sst>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8">
    <tableStyle count="4" pivot="0" name="Calcio-style">
      <tableStyleElement dxfId="1" type="headerRow"/>
      <tableStyleElement dxfId="2" type="firstRowStripe"/>
      <tableStyleElement dxfId="3" type="secondRowStripe"/>
      <tableStyleElement dxfId="4" size="0" type="wholeTable"/>
    </tableStyle>
    <tableStyle count="4" pivot="0" name="Calcio-style 2">
      <tableStyleElement dxfId="1" type="headerRow"/>
      <tableStyleElement dxfId="2" type="firstRowStripe"/>
      <tableStyleElement dxfId="3" type="secondRowStripe"/>
      <tableStyleElement dxfId="4" size="0" type="wholeTable"/>
    </tableStyle>
    <tableStyle count="4" pivot="0" name="Ruzzola-style">
      <tableStyleElement dxfId="1" type="headerRow"/>
      <tableStyleElement dxfId="2" type="firstRowStripe"/>
      <tableStyleElement dxfId="3" type="secondRowStripe"/>
      <tableStyleElement dxfId="4" size="0" type="wholeTable"/>
    </tableStyle>
    <tableStyle count="4" pivot="0" name="Ruzzola-style 2">
      <tableStyleElement dxfId="1" type="headerRow"/>
      <tableStyleElement dxfId="2" type="firstRowStripe"/>
      <tableStyleElement dxfId="3" type="secondRowStripe"/>
      <tableStyleElement dxfId="4" size="0" type="wholeTable"/>
    </tableStyle>
    <tableStyle count="4" pivot="0" name="Pallanuoto-style">
      <tableStyleElement dxfId="1" type="headerRow"/>
      <tableStyleElement dxfId="2" type="firstRowStripe"/>
      <tableStyleElement dxfId="3" type="secondRowStripe"/>
      <tableStyleElement dxfId="4" size="0" type="wholeTable"/>
    </tableStyle>
    <tableStyle count="4" pivot="0" name="Pallanuoto-style 2">
      <tableStyleElement dxfId="1" type="headerRow"/>
      <tableStyleElement dxfId="2" type="firstRowStripe"/>
      <tableStyleElement dxfId="3" type="secondRowStripe"/>
      <tableStyleElement dxfId="4" size="0" type="wholeTable"/>
    </tableStyle>
    <tableStyle count="4" pivot="0" name="Pallavolo-style">
      <tableStyleElement dxfId="1" type="headerRow"/>
      <tableStyleElement dxfId="2" type="firstRowStripe"/>
      <tableStyleElement dxfId="3" type="secondRowStripe"/>
      <tableStyleElement dxfId="4" size="0" type="wholeTable"/>
    </tableStyle>
    <tableStyle count="4" pivot="0" name="Pallavolo-style 2">
      <tableStyleElement dxfId="1" type="headerRow"/>
      <tableStyleElement dxfId="2" type="firstRowStripe"/>
      <tableStyleElement dxfId="3" type="secondRowStripe"/>
      <tableStyleElement dxfId="4" size="0" type="wholeTable"/>
    </tableStyle>
    <tableStyle count="4" pivot="0" name="Bocce-style">
      <tableStyleElement dxfId="1" type="headerRow"/>
      <tableStyleElement dxfId="2" type="firstRowStripe"/>
      <tableStyleElement dxfId="3" type="secondRowStripe"/>
      <tableStyleElement dxfId="4" size="0" type="wholeTable"/>
    </tableStyle>
    <tableStyle count="4" pivot="0" name="Bocce-style 2">
      <tableStyleElement dxfId="1" type="headerRow"/>
      <tableStyleElement dxfId="2" type="firstRowStripe"/>
      <tableStyleElement dxfId="3" type="secondRowStripe"/>
      <tableStyleElement dxfId="4" size="0" type="wholeTable"/>
    </tableStyle>
    <tableStyle count="4" pivot="0" name="Pallone-style">
      <tableStyleElement dxfId="1" type="headerRow"/>
      <tableStyleElement dxfId="2" type="firstRowStripe"/>
      <tableStyleElement dxfId="3" type="secondRowStripe"/>
      <tableStyleElement dxfId="4" size="0" type="wholeTable"/>
    </tableStyle>
    <tableStyle count="4" pivot="0" name="Pallone-style 2">
      <tableStyleElement dxfId="1" type="headerRow"/>
      <tableStyleElement dxfId="2" type="firstRowStripe"/>
      <tableStyleElement dxfId="3" type="secondRowStripe"/>
      <tableStyleElement dxfId="4" size="0" type="wholeTable"/>
    </tableStyle>
    <tableStyle count="4" pivot="0" name="Palio-style">
      <tableStyleElement dxfId="1" type="headerRow"/>
      <tableStyleElement dxfId="2" type="firstRowStripe"/>
      <tableStyleElement dxfId="3" type="secondRowStripe"/>
      <tableStyleElement dxfId="4" size="0" type="wholeTable"/>
    </tableStyle>
    <tableStyle count="4" pivot="0" name="Palio-style 2">
      <tableStyleElement dxfId="1" type="headerRow"/>
      <tableStyleElement dxfId="2" type="firstRowStripe"/>
      <tableStyleElement dxfId="3" type="secondRowStripe"/>
      <tableStyleElement dxfId="4" size="0" type="wholeTable"/>
    </tableStyle>
    <tableStyle count="4" pivot="0" name="Skiing-style">
      <tableStyleElement dxfId="1" type="headerRow"/>
      <tableStyleElement dxfId="2" type="firstRowStripe"/>
      <tableStyleElement dxfId="3" type="secondRowStripe"/>
      <tableStyleElement dxfId="4" size="0" type="wholeTable"/>
    </tableStyle>
    <tableStyle count="4" pivot="0" name="Skiing-style 2">
      <tableStyleElement dxfId="1" type="headerRow"/>
      <tableStyleElement dxfId="2" type="firstRowStripe"/>
      <tableStyleElement dxfId="3" type="secondRowStripe"/>
      <tableStyleElement dxfId="4" size="0" type="wholeTable"/>
    </tableStyle>
    <tableStyle count="4" pivot="0" name="Morra-style">
      <tableStyleElement dxfId="1" type="headerRow"/>
      <tableStyleElement dxfId="2" type="firstRowStripe"/>
      <tableStyleElement dxfId="3" type="secondRowStripe"/>
      <tableStyleElement dxfId="4" size="0" type="wholeTable"/>
    </tableStyle>
    <tableStyle count="4" pivot="0" name="Morr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94" displayName="Table2" name="Table2" id="1">
  <tableColumns count="4">
    <tableColumn name="Question Number" id="1"/>
    <tableColumn name="Domanda" id="2"/>
    <tableColumn name="Opzioni" id="3"/>
    <tableColumn name="Risposta corretta" id="4"/>
  </tableColumns>
  <tableStyleInfo name="Calcio-style" showColumnStripes="0" showFirstColumn="1" showLastColumn="1" showRowStripes="1"/>
</table>
</file>

<file path=xl/tables/table2.xml><?xml version="1.0" encoding="utf-8"?>
<table xmlns="http://schemas.openxmlformats.org/spreadsheetml/2006/main" ref="F1:I294" displayName="Table1" name="Table1" id="2">
  <tableColumns count="4">
    <tableColumn name="Question Number" id="1"/>
    <tableColumn name="Question" id="2"/>
    <tableColumn name="Options" id="3"/>
    <tableColumn name="Correct Option" id="4"/>
  </tableColumns>
  <tableStyleInfo name="Calcio-style 2" showColumnStripes="0" showFirstColumn="1" showLastColumn="1" showRowStripes="1"/>
</table>
</file>

<file path=xl/tables/table3.xml><?xml version="1.0" encoding="utf-8"?>
<table xmlns="http://schemas.openxmlformats.org/spreadsheetml/2006/main" ref="A1:D285" displayName="Table3" name="Table3" id="3">
  <tableColumns count="4">
    <tableColumn name="Question Number" id="1"/>
    <tableColumn name="Domanda" id="2"/>
    <tableColumn name="Opzioni" id="3"/>
    <tableColumn name="Risposta corretta" id="4"/>
  </tableColumns>
  <tableStyleInfo name="Ruzzola-style" showColumnStripes="0" showFirstColumn="1" showLastColumn="1" showRowStripes="1"/>
</table>
</file>

<file path=xl/tables/table4.xml><?xml version="1.0" encoding="utf-8"?>
<table xmlns="http://schemas.openxmlformats.org/spreadsheetml/2006/main" ref="F1:I285" displayName="Table4" name="Table4" id="4">
  <tableColumns count="4">
    <tableColumn name="Question Number" id="1"/>
    <tableColumn name="Question" id="2"/>
    <tableColumn name="Options" id="3"/>
    <tableColumn name="Correct Option" id="4"/>
  </tableColumns>
  <tableStyleInfo name="Ruzzola-style 2" showColumnStripes="0" showFirstColumn="1" showLastColumn="1" showRowStripes="1"/>
</table>
</file>

<file path=xl/tables/table5.xml><?xml version="1.0" encoding="utf-8"?>
<table xmlns="http://schemas.openxmlformats.org/spreadsheetml/2006/main" ref="A1:D156" displayName="Table5" name="Table5" id="5">
  <tableColumns count="4">
    <tableColumn name="Question Number" id="1"/>
    <tableColumn name="Domanda" id="2"/>
    <tableColumn name="Opzioni" id="3"/>
    <tableColumn name="Risposta corretta" id="4"/>
  </tableColumns>
  <tableStyleInfo name="Pallanuoto-style" showColumnStripes="0" showFirstColumn="1" showLastColumn="1" showRowStripes="1"/>
</table>
</file>

<file path=xl/tables/table6.xml><?xml version="1.0" encoding="utf-8"?>
<table xmlns="http://schemas.openxmlformats.org/spreadsheetml/2006/main" ref="F1:I156" displayName="Table6" name="Table6" id="6">
  <tableColumns count="4">
    <tableColumn name="Question Number" id="1"/>
    <tableColumn name="Question" id="2"/>
    <tableColumn name="Options" id="3"/>
    <tableColumn name="Correct Option" id="4"/>
  </tableColumns>
  <tableStyleInfo name="Pallanuoto-style 2" showColumnStripes="0" showFirstColumn="1" showLastColumn="1" showRowStripes="1"/>
</table>
</file>

<file path=xl/tables/table7.xml><?xml version="1.0" encoding="utf-8"?>
<table xmlns="http://schemas.openxmlformats.org/spreadsheetml/2006/main" ref="A1:D290" displayName="Table7" name="Table7" id="7">
  <tableColumns count="4">
    <tableColumn name="Question Number" id="1"/>
    <tableColumn name="Domanda" id="2"/>
    <tableColumn name="Opzioni" id="3"/>
    <tableColumn name="Risposta corretta" id="4"/>
  </tableColumns>
  <tableStyleInfo name="Pallavolo-style" showColumnStripes="0" showFirstColumn="1" showLastColumn="1" showRowStripes="1"/>
</table>
</file>

<file path=xl/tables/table8.xml><?xml version="1.0" encoding="utf-8"?>
<table xmlns="http://schemas.openxmlformats.org/spreadsheetml/2006/main" ref="F1:I290" displayName="Table8" name="Table8" id="8">
  <tableColumns count="4">
    <tableColumn name="Question Number" id="1"/>
    <tableColumn name="Question" id="2"/>
    <tableColumn name="Options" id="3"/>
    <tableColumn name="Correct Option" id="4"/>
  </tableColumns>
  <tableStyleInfo name="Pallavolo-style 2" showColumnStripes="0" showFirstColumn="1" showLastColumn="1" showRowStripes="1"/>
</table>
</file>

<file path=xl/tables/table9.xml><?xml version="1.0" encoding="utf-8"?>
<table xmlns="http://schemas.openxmlformats.org/spreadsheetml/2006/main" ref="A1:D295" displayName="Table10" name="Table10" id="9">
  <tableColumns count="4">
    <tableColumn name="Question Number" id="1"/>
    <tableColumn name="Domanda" id="2"/>
    <tableColumn name="Opzioni" id="3"/>
    <tableColumn name="Risposta corretta" id="4"/>
  </tableColumns>
  <tableStyleInfo name="Bocce-style" showColumnStripes="0" showFirstColumn="1" showLastColumn="1" showRowStripes="1"/>
</table>
</file>

<file path=xl/tables/table10.xml><?xml version="1.0" encoding="utf-8"?>
<table xmlns="http://schemas.openxmlformats.org/spreadsheetml/2006/main" ref="F1:I295" displayName="Table9" name="Table9" id="10">
  <tableColumns count="4">
    <tableColumn name="Question Number" id="1"/>
    <tableColumn name="Question" id="2"/>
    <tableColumn name="Options" id="3"/>
    <tableColumn name="Answer" id="4"/>
  </tableColumns>
  <tableStyleInfo name="Bocce-style 2" showColumnStripes="0" showFirstColumn="1" showLastColumn="1" showRowStripes="1"/>
</table>
</file>

<file path=xl/tables/table11.xml><?xml version="1.0" encoding="utf-8"?>
<table xmlns="http://schemas.openxmlformats.org/spreadsheetml/2006/main" ref="A1:D311" displayName="Table12" name="Table12" id="11">
  <tableColumns count="4">
    <tableColumn name="Question Number" id="1"/>
    <tableColumn name="Domanda" id="2"/>
    <tableColumn name="Opzioni" id="3"/>
    <tableColumn name="Risposta corretta" id="4"/>
  </tableColumns>
  <tableStyleInfo name="Pallone-style" showColumnStripes="0" showFirstColumn="1" showLastColumn="1" showRowStripes="1"/>
</table>
</file>

<file path=xl/tables/table12.xml><?xml version="1.0" encoding="utf-8"?>
<table xmlns="http://schemas.openxmlformats.org/spreadsheetml/2006/main" ref="F1:I311" displayName="Table11" name="Table11" id="12">
  <tableColumns count="4">
    <tableColumn name="Question number" id="1"/>
    <tableColumn name="Question" id="2"/>
    <tableColumn name="Options" id="3"/>
    <tableColumn name="Correct Option" id="4"/>
  </tableColumns>
  <tableStyleInfo name="Pallone-style 2" showColumnStripes="0" showFirstColumn="1" showLastColumn="1" showRowStripes="1"/>
</table>
</file>

<file path=xl/tables/table13.xml><?xml version="1.0" encoding="utf-8"?>
<table xmlns="http://schemas.openxmlformats.org/spreadsheetml/2006/main" ref="A1:D297" displayName="Table13" name="Table13" id="13">
  <tableColumns count="4">
    <tableColumn name="Question Number" id="1"/>
    <tableColumn name="Domanda" id="2"/>
    <tableColumn name="Opzioni" id="3"/>
    <tableColumn name="Risposta corretta" id="4"/>
  </tableColumns>
  <tableStyleInfo name="Palio-style" showColumnStripes="0" showFirstColumn="1" showLastColumn="1" showRowStripes="1"/>
</table>
</file>

<file path=xl/tables/table14.xml><?xml version="1.0" encoding="utf-8"?>
<table xmlns="http://schemas.openxmlformats.org/spreadsheetml/2006/main" ref="F1:I297" displayName="Table14" name="Table14" id="14">
  <tableColumns count="4">
    <tableColumn name="Question Number" id="1"/>
    <tableColumn name="Question" id="2"/>
    <tableColumn name="Options" id="3"/>
    <tableColumn name="Answer" id="4"/>
  </tableColumns>
  <tableStyleInfo name="Palio-style 2" showColumnStripes="0" showFirstColumn="1" showLastColumn="1" showRowStripes="1"/>
</table>
</file>

<file path=xl/tables/table15.xml><?xml version="1.0" encoding="utf-8"?>
<table xmlns="http://schemas.openxmlformats.org/spreadsheetml/2006/main" ref="A1:D295" displayName="Table15" name="Table15" id="15">
  <tableColumns count="4">
    <tableColumn name="Question Number" id="1"/>
    <tableColumn name="Domanda" id="2"/>
    <tableColumn name=" Opzioni" id="3"/>
    <tableColumn name="Risposta corretta" id="4"/>
  </tableColumns>
  <tableStyleInfo name="Skiing-style" showColumnStripes="0" showFirstColumn="1" showLastColumn="1" showRowStripes="1"/>
</table>
</file>

<file path=xl/tables/table16.xml><?xml version="1.0" encoding="utf-8"?>
<table xmlns="http://schemas.openxmlformats.org/spreadsheetml/2006/main" ref="F1:I295" displayName="Table16" name="Table16" id="16">
  <tableColumns count="4">
    <tableColumn name="Question Number" id="1"/>
    <tableColumn name="Question" id="2"/>
    <tableColumn name="Options" id="3"/>
    <tableColumn name="Correct Option" id="4"/>
  </tableColumns>
  <tableStyleInfo name="Skiing-style 2" showColumnStripes="0" showFirstColumn="1" showLastColumn="1" showRowStripes="1"/>
</table>
</file>

<file path=xl/tables/table17.xml><?xml version="1.0" encoding="utf-8"?>
<table xmlns="http://schemas.openxmlformats.org/spreadsheetml/2006/main" ref="A1:D259" displayName="Table17" name="Table17" id="17">
  <tableColumns count="4">
    <tableColumn name="Question Number" id="1"/>
    <tableColumn name="Domanda" id="2"/>
    <tableColumn name="Opzioni" id="3"/>
    <tableColumn name="Correct Option" id="4"/>
  </tableColumns>
  <tableStyleInfo name="Morra-style" showColumnStripes="0" showFirstColumn="1" showLastColumn="1" showRowStripes="1"/>
</table>
</file>

<file path=xl/tables/table18.xml><?xml version="1.0" encoding="utf-8"?>
<table xmlns="http://schemas.openxmlformats.org/spreadsheetml/2006/main" ref="F1:I259" displayName="Table18" name="Table18" id="18">
  <tableColumns count="4">
    <tableColumn name="Question Number" id="1"/>
    <tableColumn name="Question" id="2"/>
    <tableColumn name="Options" id="3"/>
    <tableColumn name="Correct Option" id="4"/>
  </tableColumns>
  <tableStyleInfo name="Morr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0</v>
      </c>
      <c r="G1" s="1" t="s">
        <v>4</v>
      </c>
      <c r="H1" s="1" t="s">
        <v>5</v>
      </c>
      <c r="I1" s="1" t="s">
        <v>6</v>
      </c>
      <c r="J1" s="2"/>
      <c r="K1" s="2"/>
      <c r="L1" s="2"/>
      <c r="M1" s="2"/>
      <c r="N1" s="2"/>
      <c r="O1" s="2"/>
      <c r="P1" s="2"/>
      <c r="Q1" s="2"/>
    </row>
    <row r="2" ht="22.5" customHeight="1">
      <c r="A2" s="3">
        <v>1.0</v>
      </c>
      <c r="B2" s="3" t="s">
        <v>7</v>
      </c>
      <c r="C2" s="3" t="s">
        <v>8</v>
      </c>
      <c r="D2" s="3" t="s">
        <v>9</v>
      </c>
      <c r="E2" s="2"/>
      <c r="F2" s="3" t="str">
        <f>IFERROR(__xludf.DUMMYFUNCTION("GOOGLETRANSLATE(A2, ""it"", ""en"")"),"1")</f>
        <v>1</v>
      </c>
      <c r="G2" s="3" t="str">
        <f>IFERROR(__xludf.DUMMYFUNCTION("GOOGLETRANSLATE(B2, ""it"", ""en"")"),"What happens if a player commits a serious foul?")</f>
        <v>What happens if a player commits a serious foul?</v>
      </c>
      <c r="H2" s="3" t="str">
        <f>IFERROR(__xludf.DUMMYFUNCTION("GOOGLETRANSLATE(C2, ""it"", ""en"")"),"A. The game continues B. The player is sent off C. The player receives a yellow card D. The game is stopped")</f>
        <v>A. The game continues B. The player is sent off C. The player receives a yellow card D. The game is stopped</v>
      </c>
      <c r="I2" s="3" t="str">
        <f>IFERROR(__xludf.DUMMYFUNCTION("GOOGLETRANSLATE(D2, ""it"", ""en"")"),"The player is sent off")</f>
        <v>The player is sent off</v>
      </c>
      <c r="J2" s="2"/>
      <c r="K2" s="2"/>
      <c r="L2" s="2"/>
      <c r="M2" s="2"/>
      <c r="N2" s="2"/>
      <c r="O2" s="2"/>
      <c r="P2" s="2"/>
      <c r="Q2" s="2"/>
    </row>
    <row r="3" ht="22.5" customHeight="1">
      <c r="A3" s="3">
        <v>2.0</v>
      </c>
      <c r="B3" s="3" t="s">
        <v>10</v>
      </c>
      <c r="C3" s="3" t="s">
        <v>11</v>
      </c>
      <c r="D3" s="3" t="s">
        <v>12</v>
      </c>
      <c r="E3" s="2"/>
      <c r="F3" s="3" t="str">
        <f>IFERROR(__xludf.DUMMYFUNCTION("GOOGLETRANSLATE(A3, ""it"", ""en"")"),"2")</f>
        <v>2</v>
      </c>
      <c r="G3" s="3" t="str">
        <f>IFERROR(__xludf.DUMMYFUNCTION("GOOGLETRANSLATE(B3, ""it"", ""en"")"),"What happens if a player commits a foul but the referee doesn't see it?")</f>
        <v>What happens if a player commits a foul but the referee doesn't see it?</v>
      </c>
      <c r="H3" s="3" t="str">
        <f>IFERROR(__xludf.DUMMYFUNCTION("GOOGLETRANSLATE(C3, ""it"", ""en"")"),"A. The game continues B. The opposing team requests a throw-in C. The game is stopped D. The team earns a free kick")</f>
        <v>A. The game continues B. The opposing team requests a throw-in C. The game is stopped D. The team earns a free kick</v>
      </c>
      <c r="I3" s="3" t="str">
        <f>IFERROR(__xludf.DUMMYFUNCTION("GOOGLETRANSLATE(D3, ""it"", ""en"")"),"The game continues")</f>
        <v>The game continues</v>
      </c>
      <c r="J3" s="2"/>
      <c r="K3" s="2"/>
      <c r="L3" s="2"/>
      <c r="M3" s="2"/>
      <c r="N3" s="2"/>
      <c r="O3" s="2"/>
      <c r="P3" s="2"/>
      <c r="Q3" s="2"/>
    </row>
    <row r="4" ht="22.5" customHeight="1">
      <c r="A4" s="3">
        <v>3.0</v>
      </c>
      <c r="B4" s="3" t="s">
        <v>13</v>
      </c>
      <c r="C4" s="3" t="s">
        <v>14</v>
      </c>
      <c r="D4" s="3" t="s">
        <v>15</v>
      </c>
      <c r="E4" s="2"/>
      <c r="F4" s="3" t="str">
        <f>IFERROR(__xludf.DUMMYFUNCTION("GOOGLETRANSLATE(A4, ""it"", ""en"")"),"3")</f>
        <v>3</v>
      </c>
      <c r="G4" s="3" t="str">
        <f>IFERROR(__xludf.DUMMYFUNCTION("GOOGLETRANSLATE(B4, ""it"", ""en"")"),"What happens if the ball hits the ground outside the court?")</f>
        <v>What happens if the ball hits the ground outside the court?</v>
      </c>
      <c r="H4" s="3" t="str">
        <f>IFERROR(__xludf.DUMMYFUNCTION("GOOGLETRANSLATE(C4, ""it"", ""en"")"),"A. The game continues B. The ball is returned to the opposing team C. The game is stopped D. The team is awarded a free kick")</f>
        <v>A. The game continues B. The ball is returned to the opposing team C. The game is stopped D. The team is awarded a free kick</v>
      </c>
      <c r="I4" s="3" t="str">
        <f>IFERROR(__xludf.DUMMYFUNCTION("GOOGLETRANSLATE(D4, ""it"", ""en"")"),"The ball is returned to the opposing team")</f>
        <v>The ball is returned to the opposing team</v>
      </c>
      <c r="J4" s="2"/>
      <c r="K4" s="2"/>
      <c r="L4" s="2"/>
      <c r="M4" s="2"/>
      <c r="N4" s="2"/>
      <c r="O4" s="2"/>
      <c r="P4" s="2"/>
      <c r="Q4" s="2"/>
    </row>
    <row r="5" ht="22.5" customHeight="1">
      <c r="A5" s="3">
        <v>4.0</v>
      </c>
      <c r="B5" s="3" t="s">
        <v>16</v>
      </c>
      <c r="C5" s="3" t="s">
        <v>17</v>
      </c>
      <c r="D5" s="3" t="s">
        <v>18</v>
      </c>
      <c r="E5" s="2"/>
      <c r="F5" s="3" t="str">
        <f>IFERROR(__xludf.DUMMYFUNCTION("GOOGLETRANSLATE(A5, ""it"", ""en"")"),"4")</f>
        <v>4</v>
      </c>
      <c r="G5" s="3" t="str">
        <f>IFERROR(__xludf.DUMMYFUNCTION("GOOGLETRANSLATE(B5, ""it"", ""en"")"),"What happens if a player accidentally injures an opponent?")</f>
        <v>What happens if a player accidentally injures an opponent?</v>
      </c>
      <c r="H5" s="3" t="str">
        <f>IFERROR(__xludf.DUMMYFUNCTION("GOOGLETRANSLATE(C5, ""it"", ""en"")"),"A. The game continues B. The player is cautioned C. The game is stopped D. The player receives a free kick")</f>
        <v>A. The game continues B. The player is cautioned C. The game is stopped D. The player receives a free kick</v>
      </c>
      <c r="I5" s="3" t="str">
        <f>IFERROR(__xludf.DUMMYFUNCTION("GOOGLETRANSLATE(D5, ""it"", ""en"")"),"The game is stopped")</f>
        <v>The game is stopped</v>
      </c>
      <c r="J5" s="2"/>
      <c r="K5" s="2"/>
      <c r="L5" s="2"/>
      <c r="M5" s="2"/>
      <c r="N5" s="2"/>
      <c r="O5" s="2"/>
      <c r="P5" s="2"/>
      <c r="Q5" s="2"/>
    </row>
    <row r="6" ht="22.5" customHeight="1">
      <c r="A6" s="3">
        <v>5.0</v>
      </c>
      <c r="B6" s="3" t="s">
        <v>19</v>
      </c>
      <c r="C6" s="3" t="s">
        <v>20</v>
      </c>
      <c r="D6" s="3" t="s">
        <v>21</v>
      </c>
      <c r="E6" s="2"/>
      <c r="F6" s="3" t="str">
        <f>IFERROR(__xludf.DUMMYFUNCTION("GOOGLETRANSLATE(A6, ""it"", ""en"")"),"5")</f>
        <v>5</v>
      </c>
      <c r="G6" s="3" t="str">
        <f>IFERROR(__xludf.DUMMYFUNCTION("GOOGLETRANSLATE(B6, ""it"", ""en"")"),"If a player scores a point, what happens?")</f>
        <v>If a player scores a point, what happens?</v>
      </c>
      <c r="H6" s="3" t="str">
        <f>IFERROR(__xludf.DUMMYFUNCTION("GOOGLETRANSLATE(C6, ""it"", ""en"")"),"A. The game continues normally B. The opposing team earns a free kick C. The game is stopped D. The team gains an advantage")</f>
        <v>A. The game continues normally B. The opposing team earns a free kick C. The game is stopped D. The team gains an advantage</v>
      </c>
      <c r="I6" s="3" t="str">
        <f>IFERROR(__xludf.DUMMYFUNCTION("GOOGLETRANSLATE(D6, ""it"", ""en"")"),"The game continues normally")</f>
        <v>The game continues normally</v>
      </c>
      <c r="J6" s="2"/>
      <c r="K6" s="2"/>
      <c r="L6" s="2"/>
      <c r="M6" s="2"/>
      <c r="N6" s="2"/>
      <c r="O6" s="2"/>
      <c r="P6" s="2"/>
      <c r="Q6" s="2"/>
    </row>
    <row r="7" ht="22.5" customHeight="1">
      <c r="A7" s="3">
        <v>6.0</v>
      </c>
      <c r="B7" s="3" t="s">
        <v>22</v>
      </c>
      <c r="C7" s="3" t="s">
        <v>23</v>
      </c>
      <c r="D7" s="3" t="s">
        <v>24</v>
      </c>
      <c r="E7" s="2"/>
      <c r="F7" s="3" t="str">
        <f>IFERROR(__xludf.DUMMYFUNCTION("GOOGLETRANSLATE(A7, ""it"", ""en"")"),"6")</f>
        <v>6</v>
      </c>
      <c r="G7" s="3" t="str">
        <f>IFERROR(__xludf.DUMMYFUNCTION("GOOGLETRANSLATE(B7, ""it"", ""en"")"),"What happens if a player enters a restricted play area?")</f>
        <v>What happens if a player enters a restricted play area?</v>
      </c>
      <c r="H7" s="3" t="str">
        <f>IFERROR(__xludf.DUMMYFUNCTION("GOOGLETRANSLATE(C7, ""it"", ""en"")"),"A. The game continues B. The player receives a free kick C. The player is sent off D. The game is stopped")</f>
        <v>A. The game continues B. The player receives a free kick C. The player is sent off D. The game is stopped</v>
      </c>
      <c r="I7" s="3" t="str">
        <f>IFERROR(__xludf.DUMMYFUNCTION("GOOGLETRANSLATE(D7, ""it"", ""en"")"),"The player receives a free kick")</f>
        <v>The player receives a free kick</v>
      </c>
      <c r="J7" s="2"/>
      <c r="K7" s="2"/>
      <c r="L7" s="2"/>
      <c r="M7" s="2"/>
      <c r="N7" s="2"/>
      <c r="O7" s="2"/>
      <c r="P7" s="2"/>
      <c r="Q7" s="2"/>
    </row>
    <row r="8" ht="22.5" customHeight="1">
      <c r="A8" s="3">
        <v>7.0</v>
      </c>
      <c r="B8" s="3" t="s">
        <v>25</v>
      </c>
      <c r="C8" s="3" t="s">
        <v>26</v>
      </c>
      <c r="D8" s="3" t="s">
        <v>27</v>
      </c>
      <c r="E8" s="2"/>
      <c r="F8" s="3" t="str">
        <f>IFERROR(__xludf.DUMMYFUNCTION("GOOGLETRANSLATE(A8, ""it"", ""en"")"),"7")</f>
        <v>7</v>
      </c>
      <c r="G8" s="3" t="str">
        <f>IFERROR(__xludf.DUMMYFUNCTION("GOOGLETRANSLATE(B8, ""it"", ""en"")"),"What happens if a player touches the ball violently with his foot?")</f>
        <v>What happens if a player touches the ball violently with his foot?</v>
      </c>
      <c r="H8" s="3" t="str">
        <f>IFERROR(__xludf.DUMMYFUNCTION("GOOGLETRANSLATE(C8, ""it"", ""en"")"),"A. The game continues B. The opposing team receives a free kick C. The player receives a yellow card D. The game is stopped")</f>
        <v>A. The game continues B. The opposing team receives a free kick C. The player receives a yellow card D. The game is stopped</v>
      </c>
      <c r="I8" s="3" t="str">
        <f>IFERROR(__xludf.DUMMYFUNCTION("GOOGLETRANSLATE(D8, ""it"", ""en"")"),"The player receives a yellow card")</f>
        <v>The player receives a yellow card</v>
      </c>
      <c r="J8" s="2"/>
      <c r="K8" s="2"/>
      <c r="L8" s="2"/>
      <c r="M8" s="2"/>
      <c r="N8" s="2"/>
      <c r="O8" s="2"/>
      <c r="P8" s="2"/>
      <c r="Q8" s="2"/>
    </row>
    <row r="9" ht="22.5" customHeight="1">
      <c r="A9" s="3">
        <v>8.0</v>
      </c>
      <c r="B9" s="3" t="s">
        <v>28</v>
      </c>
      <c r="C9" s="3" t="s">
        <v>29</v>
      </c>
      <c r="D9" s="3" t="s">
        <v>30</v>
      </c>
      <c r="E9" s="2"/>
      <c r="F9" s="3" t="str">
        <f>IFERROR(__xludf.DUMMYFUNCTION("GOOGLETRANSLATE(A9, ""it"", ""en"")"),"8")</f>
        <v>8</v>
      </c>
      <c r="G9" s="3" t="str">
        <f>IFERROR(__xludf.DUMMYFUNCTION("GOOGLETRANSLATE(B9, ""it"", ""en"")"),"What happens if a player intentionally hits an opponent?")</f>
        <v>What happens if a player intentionally hits an opponent?</v>
      </c>
      <c r="H9" s="3" t="str">
        <f>IFERROR(__xludf.DUMMYFUNCTION("GOOGLETRANSLATE(C9, ""it"", ""en"")"),"A. The game continues B. The player receives a red card C. The game is stopped D. The player receives a yellow card")</f>
        <v>A. The game continues B. The player receives a red card C. The game is stopped D. The player receives a yellow card</v>
      </c>
      <c r="I9" s="3" t="str">
        <f>IFERROR(__xludf.DUMMYFUNCTION("GOOGLETRANSLATE(D9, ""it"", ""en"")"),"The player receives a red card")</f>
        <v>The player receives a red card</v>
      </c>
      <c r="J9" s="2"/>
      <c r="K9" s="2"/>
      <c r="L9" s="2"/>
      <c r="M9" s="2"/>
      <c r="N9" s="2"/>
      <c r="O9" s="2"/>
      <c r="P9" s="2"/>
      <c r="Q9" s="2"/>
    </row>
    <row r="10" ht="22.5" customHeight="1">
      <c r="A10" s="3">
        <v>9.0</v>
      </c>
      <c r="B10" s="3" t="s">
        <v>31</v>
      </c>
      <c r="C10" s="3" t="s">
        <v>32</v>
      </c>
      <c r="D10" s="3" t="s">
        <v>21</v>
      </c>
      <c r="E10" s="2"/>
      <c r="F10" s="3" t="str">
        <f>IFERROR(__xludf.DUMMYFUNCTION("GOOGLETRANSLATE(A10, ""it"", ""en"")"),"9")</f>
        <v>9</v>
      </c>
      <c r="G10" s="3" t="str">
        <f>IFERROR(__xludf.DUMMYFUNCTION("GOOGLETRANSLATE(B10, ""it"", ""en"")"),"What happens if a team scores a point?")</f>
        <v>What happens if a team scores a point?</v>
      </c>
      <c r="H10" s="3" t="str">
        <f>IFERROR(__xludf.DUMMYFUNCTION("GOOGLETRANSLATE(C10, ""it"", ""en"")"),"A. The game continues normally B. The opposing team earns a free kick C. The game is stopped D. The team scores two points")</f>
        <v>A. The game continues normally B. The opposing team earns a free kick C. The game is stopped D. The team scores two points</v>
      </c>
      <c r="I10" s="3" t="str">
        <f>IFERROR(__xludf.DUMMYFUNCTION("GOOGLETRANSLATE(D10, ""it"", ""en"")"),"The game continues normally")</f>
        <v>The game continues normally</v>
      </c>
      <c r="J10" s="2"/>
      <c r="K10" s="2"/>
      <c r="L10" s="2"/>
      <c r="M10" s="2"/>
      <c r="N10" s="2"/>
      <c r="O10" s="2"/>
      <c r="P10" s="2"/>
      <c r="Q10" s="2"/>
    </row>
    <row r="11" ht="22.5" customHeight="1">
      <c r="A11" s="3">
        <v>10.0</v>
      </c>
      <c r="B11" s="3" t="s">
        <v>33</v>
      </c>
      <c r="C11" s="3" t="s">
        <v>34</v>
      </c>
      <c r="D11" s="3" t="s">
        <v>35</v>
      </c>
      <c r="E11" s="2"/>
      <c r="F11" s="3" t="str">
        <f>IFERROR(__xludf.DUMMYFUNCTION("GOOGLETRANSLATE(A11, ""it"", ""en"")"),"10")</f>
        <v>10</v>
      </c>
      <c r="G11" s="3" t="str">
        <f>IFERROR(__xludf.DUMMYFUNCTION("GOOGLETRANSLATE(B11, ""it"", ""en"")"),"What happens if a player takes a free kick but the ball goes out of play?")</f>
        <v>What happens if a player takes a free kick but the ball goes out of play?</v>
      </c>
      <c r="H11" s="3" t="str">
        <f>IFERROR(__xludf.DUMMYFUNCTION("GOOGLETRANSLATE(C11, ""it"", ""en"")"),"A. The opposing team wins the ball B. Play continues normally C. The free kick is retaken D. The team receives a new free kick")</f>
        <v>A. The opposing team wins the ball B. Play continues normally C. The free kick is retaken D. The team receives a new free kick</v>
      </c>
      <c r="I11" s="3" t="str">
        <f>IFERROR(__xludf.DUMMYFUNCTION("GOOGLETRANSLATE(D11, ""it"", ""en"")"),"The free kick is retaken")</f>
        <v>The free kick is retaken</v>
      </c>
      <c r="J11" s="2"/>
      <c r="K11" s="2"/>
      <c r="L11" s="2"/>
      <c r="M11" s="2"/>
      <c r="N11" s="2"/>
      <c r="O11" s="2"/>
      <c r="P11" s="2"/>
      <c r="Q11" s="2"/>
    </row>
    <row r="12" ht="22.5" customHeight="1">
      <c r="A12" s="3">
        <v>11.0</v>
      </c>
      <c r="B12" s="3" t="s">
        <v>36</v>
      </c>
      <c r="C12" s="3" t="s">
        <v>37</v>
      </c>
      <c r="D12" s="3" t="s">
        <v>12</v>
      </c>
      <c r="E12" s="2"/>
      <c r="F12" s="3" t="str">
        <f>IFERROR(__xludf.DUMMYFUNCTION("GOOGLETRANSLATE(A12, ""it"", ""en"")"),"11")</f>
        <v>11</v>
      </c>
      <c r="G12" s="3" t="str">
        <f>IFERROR(__xludf.DUMMYFUNCTION("GOOGLETRANSLATE(B12, ""it"", ""en"")"),"What happens if a player touches the ground with his hands during play?")</f>
        <v>What happens if a player touches the ground with his hands during play?</v>
      </c>
      <c r="H12" s="3" t="str">
        <f>IFERROR(__xludf.DUMMYFUNCTION("GOOGLETRANSLATE(C12, ""it"", ""en"")"),"A. The game continues B. The player receives a red card C. The game is stopped D. The opposing team earns a free kick")</f>
        <v>A. The game continues B. The player receives a red card C. The game is stopped D. The opposing team earns a free kick</v>
      </c>
      <c r="I12" s="3" t="str">
        <f>IFERROR(__xludf.DUMMYFUNCTION("GOOGLETRANSLATE(D12, ""it"", ""en"")"),"The game continues")</f>
        <v>The game continues</v>
      </c>
      <c r="J12" s="2"/>
      <c r="K12" s="2"/>
      <c r="L12" s="2"/>
      <c r="M12" s="2"/>
      <c r="N12" s="2"/>
      <c r="O12" s="2"/>
      <c r="P12" s="2"/>
      <c r="Q12" s="2"/>
    </row>
    <row r="13" ht="22.5" customHeight="1">
      <c r="A13" s="3">
        <v>12.0</v>
      </c>
      <c r="B13" s="3" t="s">
        <v>38</v>
      </c>
      <c r="C13" s="3" t="s">
        <v>39</v>
      </c>
      <c r="D13" s="3" t="s">
        <v>40</v>
      </c>
      <c r="E13" s="2"/>
      <c r="F13" s="3" t="str">
        <f>IFERROR(__xludf.DUMMYFUNCTION("GOOGLETRANSLATE(A13, ""it"", ""en"")"),"12")</f>
        <v>12</v>
      </c>
      <c r="G13" s="3" t="str">
        <f>IFERROR(__xludf.DUMMYFUNCTION("GOOGLETRANSLATE(B13, ""it"", ""en"")"),"What happens if a player is sent off?")</f>
        <v>What happens if a player is sent off?</v>
      </c>
      <c r="H13" s="3" t="str">
        <f>IFERROR(__xludf.DUMMYFUNCTION("GOOGLETRANSLATE(C13, ""it"", ""en"")"),"A. The game continues normally B. The player must leave the field C. The player must remain on the bench D. The team plays with one less player")</f>
        <v>A. The game continues normally B. The player must leave the field C. The player must remain on the bench D. The team plays with one less player</v>
      </c>
      <c r="I13" s="3" t="str">
        <f>IFERROR(__xludf.DUMMYFUNCTION("GOOGLETRANSLATE(D13, ""it"", ""en"")"),"The player must leave the field")</f>
        <v>The player must leave the field</v>
      </c>
      <c r="J13" s="2"/>
      <c r="K13" s="2"/>
      <c r="L13" s="2"/>
      <c r="M13" s="2"/>
      <c r="N13" s="2"/>
      <c r="O13" s="2"/>
      <c r="P13" s="2"/>
      <c r="Q13" s="2"/>
    </row>
    <row r="14" ht="22.5" customHeight="1">
      <c r="A14" s="3">
        <v>13.0</v>
      </c>
      <c r="B14" s="3" t="s">
        <v>41</v>
      </c>
      <c r="C14" s="3" t="s">
        <v>42</v>
      </c>
      <c r="D14" s="3" t="s">
        <v>43</v>
      </c>
      <c r="E14" s="2"/>
      <c r="F14" s="3" t="str">
        <f>IFERROR(__xludf.DUMMYFUNCTION("GOOGLETRANSLATE(A14, ""it"", ""en"")"),"13")</f>
        <v>13</v>
      </c>
      <c r="G14" s="3" t="str">
        <f>IFERROR(__xludf.DUMMYFUNCTION("GOOGLETRANSLATE(B14, ""it"", ""en"")"),"What happens if the game is stopped due to an injury?")</f>
        <v>What happens if the game is stopped due to an injury?</v>
      </c>
      <c r="H14" s="3" t="str">
        <f>IFERROR(__xludf.DUMMYFUNCTION("GOOGLETRANSLATE(C14, ""it"", ""en"")"),"A. The game continues B. The injured player is replaced C. The game is suspended for the necessary time D. The injured player receives treatment")</f>
        <v>A. The game continues B. The injured player is replaced C. The game is suspended for the necessary time D. The injured player receives treatment</v>
      </c>
      <c r="I14" s="3" t="str">
        <f>IFERROR(__xludf.DUMMYFUNCTION("GOOGLETRANSLATE(D14, ""it"", ""en"")"),"The game is suspended for the necessary time")</f>
        <v>The game is suspended for the necessary time</v>
      </c>
      <c r="J14" s="2"/>
      <c r="K14" s="2"/>
      <c r="L14" s="2"/>
      <c r="M14" s="2"/>
      <c r="N14" s="2"/>
      <c r="O14" s="2"/>
      <c r="P14" s="2"/>
      <c r="Q14" s="2"/>
    </row>
    <row r="15" ht="22.5" customHeight="1">
      <c r="A15" s="3">
        <v>14.0</v>
      </c>
      <c r="B15" s="3" t="s">
        <v>44</v>
      </c>
      <c r="C15" s="3" t="s">
        <v>45</v>
      </c>
      <c r="D15" s="3" t="s">
        <v>46</v>
      </c>
      <c r="E15" s="2"/>
      <c r="F15" s="3" t="str">
        <f>IFERROR(__xludf.DUMMYFUNCTION("GOOGLETRANSLATE(A15, ""it"", ""en"")"),"14")</f>
        <v>14</v>
      </c>
      <c r="G15" s="3" t="str">
        <f>IFERROR(__xludf.DUMMYFUNCTION("GOOGLETRANSLATE(B15, ""it"", ""en"")"),"What happens if a team wins a free kick in a dangerous area?")</f>
        <v>What happens if a team wins a free kick in a dangerous area?</v>
      </c>
      <c r="H15" s="3" t="str">
        <f>IFERROR(__xludf.DUMMYFUNCTION("GOOGLETRANSLATE(C15, ""it"", ""en"")"),"A. The game continues B. The player takes the free kick C. The game is stopped D. The free kick is retaken")</f>
        <v>A. The game continues B. The player takes the free kick C. The game is stopped D. The free kick is retaken</v>
      </c>
      <c r="I15" s="3" t="str">
        <f>IFERROR(__xludf.DUMMYFUNCTION("GOOGLETRANSLATE(D15, ""it"", ""en"")"),"The player takes the free kick")</f>
        <v>The player takes the free kick</v>
      </c>
      <c r="J15" s="2"/>
      <c r="K15" s="2"/>
      <c r="L15" s="2"/>
      <c r="M15" s="2"/>
      <c r="N15" s="2"/>
      <c r="O15" s="2"/>
      <c r="P15" s="2"/>
      <c r="Q15" s="2"/>
    </row>
    <row r="16" ht="22.5" customHeight="1">
      <c r="A16" s="3">
        <v>15.0</v>
      </c>
      <c r="B16" s="3" t="s">
        <v>47</v>
      </c>
      <c r="C16" s="3" t="s">
        <v>48</v>
      </c>
      <c r="D16" s="3" t="s">
        <v>49</v>
      </c>
      <c r="E16" s="2"/>
      <c r="F16" s="3" t="str">
        <f>IFERROR(__xludf.DUMMYFUNCTION("GOOGLETRANSLATE(A16, ""it"", ""en"")"),"15")</f>
        <v>15</v>
      </c>
      <c r="G16" s="3" t="str">
        <f>IFERROR(__xludf.DUMMYFUNCTION("GOOGLETRANSLATE(B16, ""it"", ""en"")"),"What happens if a player is unable to continue playing due to injury?")</f>
        <v>What happens if a player is unable to continue playing due to injury?</v>
      </c>
      <c r="H16" s="3" t="str">
        <f>IFERROR(__xludf.DUMMYFUNCTION("GOOGLETRANSLATE(C16, ""it"", ""en"")"),"A. The game continues normally B. The player is substituted C. The player receives treatment D. The game is stopped")</f>
        <v>A. The game continues normally B. The player is substituted C. The player receives treatment D. The game is stopped</v>
      </c>
      <c r="I16" s="3" t="str">
        <f>IFERROR(__xludf.DUMMYFUNCTION("GOOGLETRANSLATE(D16, ""it"", ""en"")"),"The player is replaced")</f>
        <v>The player is replaced</v>
      </c>
      <c r="J16" s="2"/>
      <c r="K16" s="2"/>
      <c r="L16" s="2"/>
      <c r="M16" s="2"/>
      <c r="N16" s="2"/>
      <c r="O16" s="2"/>
      <c r="P16" s="2"/>
      <c r="Q16" s="2"/>
    </row>
    <row r="17" ht="22.5" customHeight="1">
      <c r="A17" s="3">
        <v>16.0</v>
      </c>
      <c r="B17" s="3" t="s">
        <v>50</v>
      </c>
      <c r="C17" s="3" t="s">
        <v>51</v>
      </c>
      <c r="D17" s="3" t="s">
        <v>21</v>
      </c>
      <c r="E17" s="2"/>
      <c r="F17" s="3" t="str">
        <f>IFERROR(__xludf.DUMMYFUNCTION("GOOGLETRANSLATE(A17, ""it"", ""en"")"),"16")</f>
        <v>16</v>
      </c>
      <c r="G17" s="3" t="str">
        <f>IFERROR(__xludf.DUMMYFUNCTION("GOOGLETRANSLATE(B17, ""it"", ""en"")"),"What happens if a player is cautioned?")</f>
        <v>What happens if a player is cautioned?</v>
      </c>
      <c r="H17" s="3" t="str">
        <f>IFERROR(__xludf.DUMMYFUNCTION("GOOGLETRANSLATE(C17, ""it"", ""en"")"),"A. The game continues normally B. The player receives a free kick C. The player is sent off D. The player receives a warning")</f>
        <v>A. The game continues normally B. The player receives a free kick C. The player is sent off D. The player receives a warning</v>
      </c>
      <c r="I17" s="3" t="str">
        <f>IFERROR(__xludf.DUMMYFUNCTION("GOOGLETRANSLATE(D17, ""it"", ""en"")"),"The game continues normally")</f>
        <v>The game continues normally</v>
      </c>
      <c r="J17" s="2"/>
      <c r="K17" s="2"/>
      <c r="L17" s="2"/>
      <c r="M17" s="2"/>
      <c r="N17" s="2"/>
      <c r="O17" s="2"/>
      <c r="P17" s="2"/>
      <c r="Q17" s="2"/>
    </row>
    <row r="18" ht="22.5" customHeight="1">
      <c r="A18" s="3">
        <v>17.0</v>
      </c>
      <c r="B18" s="3" t="s">
        <v>52</v>
      </c>
      <c r="C18" s="3" t="s">
        <v>53</v>
      </c>
      <c r="D18" s="3" t="s">
        <v>12</v>
      </c>
      <c r="E18" s="2"/>
      <c r="F18" s="3" t="str">
        <f>IFERROR(__xludf.DUMMYFUNCTION("GOOGLETRANSLATE(A18, ""it"", ""en"")"),"17")</f>
        <v>17</v>
      </c>
      <c r="G18" s="3" t="str">
        <f>IFERROR(__xludf.DUMMYFUNCTION("GOOGLETRANSLATE(B18, ""it"", ""en"")"),"What happens if a player commits a foul that isn't seen by the referee?")</f>
        <v>What happens if a player commits a foul that isn't seen by the referee?</v>
      </c>
      <c r="H18" s="3" t="str">
        <f>IFERROR(__xludf.DUMMYFUNCTION("GOOGLETRANSLATE(C18, ""it"", ""en"")"),"A. The game continues B. The foul is penalised retroactively C. The player is cautioned D. The game is stopped")</f>
        <v>A. The game continues B. The foul is penalised retroactively C. The player is cautioned D. The game is stopped</v>
      </c>
      <c r="I18" s="3" t="str">
        <f>IFERROR(__xludf.DUMMYFUNCTION("GOOGLETRANSLATE(D18, ""it"", ""en"")"),"The game continues")</f>
        <v>The game continues</v>
      </c>
      <c r="J18" s="2"/>
      <c r="K18" s="2"/>
      <c r="L18" s="2"/>
      <c r="M18" s="2"/>
      <c r="N18" s="2"/>
      <c r="O18" s="2"/>
      <c r="P18" s="2"/>
      <c r="Q18" s="2"/>
    </row>
    <row r="19" ht="22.5" customHeight="1">
      <c r="A19" s="3">
        <v>18.0</v>
      </c>
      <c r="B19" s="3" t="s">
        <v>54</v>
      </c>
      <c r="C19" s="3" t="s">
        <v>55</v>
      </c>
      <c r="D19" s="3" t="s">
        <v>56</v>
      </c>
      <c r="E19" s="2"/>
      <c r="F19" s="3" t="str">
        <f>IFERROR(__xludf.DUMMYFUNCTION("GOOGLETRANSLATE(A19, ""it"", ""en"")"),"18")</f>
        <v>18</v>
      </c>
      <c r="G19" s="3" t="str">
        <f>IFERROR(__xludf.DUMMYFUNCTION("GOOGLETRANSLATE(B19, ""it"", ""en"")"),"What happens if a player gets too close to the referee?")</f>
        <v>What happens if a player gets too close to the referee?</v>
      </c>
      <c r="H19" s="3" t="str">
        <f>IFERROR(__xludf.DUMMYFUNCTION("GOOGLETRANSLATE(C19, ""it"", ""en"")"),"A. The game continues normally B. The player receives a warning C. The game is stopped D. The player is cautioned")</f>
        <v>A. The game continues normally B. The player receives a warning C. The game is stopped D. The player is cautioned</v>
      </c>
      <c r="I19" s="3" t="str">
        <f>IFERROR(__xludf.DUMMYFUNCTION("GOOGLETRANSLATE(D19, ""it"", ""en"")"),"The player receives a warning")</f>
        <v>The player receives a warning</v>
      </c>
      <c r="J19" s="2"/>
      <c r="K19" s="2"/>
      <c r="L19" s="2"/>
      <c r="M19" s="2"/>
      <c r="N19" s="2"/>
      <c r="O19" s="2"/>
      <c r="P19" s="2"/>
      <c r="Q19" s="2"/>
    </row>
    <row r="20" ht="22.5" customHeight="1">
      <c r="A20" s="3">
        <v>19.0</v>
      </c>
      <c r="B20" s="3" t="s">
        <v>57</v>
      </c>
      <c r="C20" s="3" t="s">
        <v>58</v>
      </c>
      <c r="D20" s="3" t="s">
        <v>30</v>
      </c>
      <c r="E20" s="2"/>
      <c r="F20" s="3" t="str">
        <f>IFERROR(__xludf.DUMMYFUNCTION("GOOGLETRANSLATE(A20, ""it"", ""en"")"),"19")</f>
        <v>19</v>
      </c>
      <c r="G20" s="3" t="str">
        <f>IFERROR(__xludf.DUMMYFUNCTION("GOOGLETRANSLATE(B20, ""it"", ""en"")"),"What happens if a player kicks the ball against an opponent's head?")</f>
        <v>What happens if a player kicks the ball against an opponent's head?</v>
      </c>
      <c r="H20" s="3" t="str">
        <f>IFERROR(__xludf.DUMMYFUNCTION("GOOGLETRANSLATE(C20, ""it"", ""en"")"),"A. The game continues B. The player receives a red card C. The player receives a yellow card D. The game is stopped")</f>
        <v>A. The game continues B. The player receives a red card C. The player receives a yellow card D. The game is stopped</v>
      </c>
      <c r="I20" s="3" t="str">
        <f>IFERROR(__xludf.DUMMYFUNCTION("GOOGLETRANSLATE(D20, ""it"", ""en"")"),"The player receives a red card")</f>
        <v>The player receives a red card</v>
      </c>
      <c r="J20" s="2"/>
      <c r="K20" s="2"/>
      <c r="L20" s="2"/>
      <c r="M20" s="2"/>
      <c r="N20" s="2"/>
      <c r="O20" s="2"/>
      <c r="P20" s="2"/>
      <c r="Q20" s="2"/>
    </row>
    <row r="21" ht="22.5" customHeight="1">
      <c r="A21" s="3">
        <v>20.0</v>
      </c>
      <c r="B21" s="3" t="s">
        <v>59</v>
      </c>
      <c r="C21" s="3" t="s">
        <v>60</v>
      </c>
      <c r="D21" s="3" t="s">
        <v>9</v>
      </c>
      <c r="E21" s="2"/>
      <c r="F21" s="3" t="str">
        <f>IFERROR(__xludf.DUMMYFUNCTION("GOOGLETRANSLATE(A21, ""it"", ""en"")"),"20")</f>
        <v>20</v>
      </c>
      <c r="G21" s="3" t="str">
        <f>IFERROR(__xludf.DUMMYFUNCTION("GOOGLETRANSLATE(B21, ""it"", ""en"")"),"What happens if a team commits a last-man foul?")</f>
        <v>What happens if a team commits a last-man foul?</v>
      </c>
      <c r="H21" s="3" t="str">
        <f>IFERROR(__xludf.DUMMYFUNCTION("GOOGLETRANSLATE(C21, ""it"", ""en"")"),"A. The game continues normally B. The player is sent off C. The game is stopped D. The opposing team receives a free kick")</f>
        <v>A. The game continues normally B. The player is sent off C. The game is stopped D. The opposing team receives a free kick</v>
      </c>
      <c r="I21" s="3" t="str">
        <f>IFERROR(__xludf.DUMMYFUNCTION("GOOGLETRANSLATE(D21, ""it"", ""en"")"),"The player is sent off")</f>
        <v>The player is sent off</v>
      </c>
      <c r="J21" s="2"/>
      <c r="K21" s="2"/>
      <c r="L21" s="2"/>
      <c r="M21" s="2"/>
      <c r="N21" s="2"/>
      <c r="O21" s="2"/>
      <c r="P21" s="2"/>
      <c r="Q21" s="2"/>
    </row>
    <row r="22" ht="22.5" customHeight="1">
      <c r="A22" s="3">
        <v>21.0</v>
      </c>
      <c r="B22" s="3" t="s">
        <v>61</v>
      </c>
      <c r="C22" s="3" t="s">
        <v>62</v>
      </c>
      <c r="D22" s="3" t="s">
        <v>12</v>
      </c>
      <c r="E22" s="2"/>
      <c r="F22" s="3" t="str">
        <f>IFERROR(__xludf.DUMMYFUNCTION("GOOGLETRANSLATE(A22, ""it"", ""en"")"),"21")</f>
        <v>21</v>
      </c>
      <c r="G22" s="3" t="str">
        <f>IFERROR(__xludf.DUMMYFUNCTION("GOOGLETRANSLATE(B22, ""it"", ""en"")"),"What happens if a player runs with the ball without passing it for too long?")</f>
        <v>What happens if a player runs with the ball without passing it for too long?</v>
      </c>
      <c r="H22" s="3" t="str">
        <f>IFERROR(__xludf.DUMMYFUNCTION("GOOGLETRANSLATE(C22, ""it"", ""en"")"),"A. The game continues B. The player is cautioned C. The game is stopped D. The opposing team receives a free kick")</f>
        <v>A. The game continues B. The player is cautioned C. The game is stopped D. The opposing team receives a free kick</v>
      </c>
      <c r="I22" s="3" t="str">
        <f>IFERROR(__xludf.DUMMYFUNCTION("GOOGLETRANSLATE(D22, ""it"", ""en"")"),"The game continues")</f>
        <v>The game continues</v>
      </c>
      <c r="J22" s="2"/>
      <c r="K22" s="2"/>
      <c r="L22" s="2"/>
      <c r="M22" s="2"/>
      <c r="N22" s="2"/>
      <c r="O22" s="2"/>
      <c r="P22" s="2"/>
      <c r="Q22" s="2"/>
    </row>
    <row r="23" ht="22.5" customHeight="1">
      <c r="A23" s="3">
        <v>22.0</v>
      </c>
      <c r="B23" s="3" t="s">
        <v>63</v>
      </c>
      <c r="C23" s="3" t="s">
        <v>64</v>
      </c>
      <c r="D23" s="3" t="s">
        <v>65</v>
      </c>
      <c r="E23" s="2"/>
      <c r="F23" s="3" t="str">
        <f>IFERROR(__xludf.DUMMYFUNCTION("GOOGLETRANSLATE(A23, ""it"", ""en"")"),"22")</f>
        <v>22</v>
      </c>
      <c r="G23" s="3" t="str">
        <f>IFERROR(__xludf.DUMMYFUNCTION("GOOGLETRANSLATE(B23, ""it"", ""en"")"),"What happens if a player holds the ball too long without trying to score?")</f>
        <v>What happens if a player holds the ball too long without trying to score?</v>
      </c>
      <c r="H23" s="3" t="str">
        <f>IFERROR(__xludf.DUMMYFUNCTION("GOOGLETRANSLATE(C23, ""it"", ""en"")"),"A. The game continues B. The player receives a warning C. The game is stopped D. The opposing team receives a free kick")</f>
        <v>A. The game continues B. The player receives a warning C. The game is stopped D. The opposing team receives a free kick</v>
      </c>
      <c r="I23" s="3" t="str">
        <f>IFERROR(__xludf.DUMMYFUNCTION("GOOGLETRANSLATE(D23, ""it"", ""en"")"),"The game is stopped")</f>
        <v>The game is stopped</v>
      </c>
      <c r="J23" s="2"/>
      <c r="K23" s="2"/>
      <c r="L23" s="2"/>
      <c r="M23" s="2"/>
      <c r="N23" s="2"/>
      <c r="O23" s="2"/>
      <c r="P23" s="2"/>
      <c r="Q23" s="2"/>
    </row>
    <row r="24" ht="22.5" customHeight="1">
      <c r="A24" s="3">
        <v>23.0</v>
      </c>
      <c r="B24" s="3" t="s">
        <v>66</v>
      </c>
      <c r="C24" s="3" t="s">
        <v>67</v>
      </c>
      <c r="D24" s="3" t="s">
        <v>18</v>
      </c>
      <c r="E24" s="2"/>
      <c r="F24" s="3" t="str">
        <f>IFERROR(__xludf.DUMMYFUNCTION("GOOGLETRANSLATE(A24, ""it"", ""en"")"),"23")</f>
        <v>23</v>
      </c>
      <c r="G24" s="3" t="str">
        <f>IFERROR(__xludf.DUMMYFUNCTION("GOOGLETRANSLATE(B24, ""it"", ""en"")"),"What happens if a player is out of action during play?")</f>
        <v>What happens if a player is out of action during play?</v>
      </c>
      <c r="H24" s="3" t="str">
        <f>IFERROR(__xludf.DUMMYFUNCTION("GOOGLETRANSLATE(C24, ""it"", ""en"")"),"A. The game continues B. The opposing team earns a free kick C. The game is stopped D. The player is sent off")</f>
        <v>A. The game continues B. The opposing team earns a free kick C. The game is stopped D. The player is sent off</v>
      </c>
      <c r="I24" s="3" t="str">
        <f>IFERROR(__xludf.DUMMYFUNCTION("GOOGLETRANSLATE(D24, ""it"", ""en"")"),"The game is stopped")</f>
        <v>The game is stopped</v>
      </c>
      <c r="J24" s="2"/>
      <c r="K24" s="2"/>
      <c r="L24" s="2"/>
      <c r="M24" s="2"/>
      <c r="N24" s="2"/>
      <c r="O24" s="2"/>
      <c r="P24" s="2"/>
      <c r="Q24" s="2"/>
    </row>
    <row r="25" ht="22.5" customHeight="1">
      <c r="A25" s="3">
        <v>24.0</v>
      </c>
      <c r="B25" s="3" t="s">
        <v>68</v>
      </c>
      <c r="C25" s="3" t="s">
        <v>58</v>
      </c>
      <c r="D25" s="3" t="s">
        <v>30</v>
      </c>
      <c r="E25" s="2"/>
      <c r="F25" s="3" t="str">
        <f>IFERROR(__xludf.DUMMYFUNCTION("GOOGLETRANSLATE(A25, ""it"", ""en"")"),"24")</f>
        <v>24</v>
      </c>
      <c r="G25" s="3" t="str">
        <f>IFERROR(__xludf.DUMMYFUNCTION("GOOGLETRANSLATE(B25, ""it"", ""en"")"),"What happens if a player makes a dangerous tackle?")</f>
        <v>What happens if a player makes a dangerous tackle?</v>
      </c>
      <c r="H25" s="3" t="str">
        <f>IFERROR(__xludf.DUMMYFUNCTION("GOOGLETRANSLATE(C25, ""it"", ""en"")"),"A. The game continues B. The player receives a red card C. The player receives a yellow card D. The game is stopped")</f>
        <v>A. The game continues B. The player receives a red card C. The player receives a yellow card D. The game is stopped</v>
      </c>
      <c r="I25" s="3" t="str">
        <f>IFERROR(__xludf.DUMMYFUNCTION("GOOGLETRANSLATE(D25, ""it"", ""en"")"),"The player receives a red card")</f>
        <v>The player receives a red card</v>
      </c>
      <c r="J25" s="2"/>
      <c r="K25" s="2"/>
      <c r="L25" s="2"/>
      <c r="M25" s="2"/>
      <c r="N25" s="2"/>
      <c r="O25" s="2"/>
      <c r="P25" s="2"/>
      <c r="Q25" s="2"/>
    </row>
    <row r="26" ht="22.5" customHeight="1">
      <c r="A26" s="3">
        <v>25.0</v>
      </c>
      <c r="B26" s="3" t="s">
        <v>69</v>
      </c>
      <c r="C26" s="3" t="s">
        <v>70</v>
      </c>
      <c r="D26" s="3" t="s">
        <v>71</v>
      </c>
      <c r="E26" s="2"/>
      <c r="F26" s="3" t="str">
        <f>IFERROR(__xludf.DUMMYFUNCTION("GOOGLETRANSLATE(A26, ""it"", ""en"")"),"25")</f>
        <v>25</v>
      </c>
      <c r="G26" s="3" t="str">
        <f>IFERROR(__xludf.DUMMYFUNCTION("GOOGLETRANSLATE(B26, ""it"", ""en"")"),"What happens if a player scores a goal but touches the goal line first?")</f>
        <v>What happens if a player scores a goal but touches the goal line first?</v>
      </c>
      <c r="H26" s="3" t="str">
        <f>IFERROR(__xludf.DUMMYFUNCTION("GOOGLETRANSLATE(C26, ""it"", ""en"")"),"A. The goal is valid B. The game continues C. The goal is not valid D. The game is stopped")</f>
        <v>A. The goal is valid B. The game continues C. The goal is not valid D. The game is stopped</v>
      </c>
      <c r="I26" s="3" t="str">
        <f>IFERROR(__xludf.DUMMYFUNCTION("GOOGLETRANSLATE(D26, ""it"", ""en"")"),"The goal is not valid")</f>
        <v>The goal is not valid</v>
      </c>
      <c r="J26" s="2"/>
      <c r="K26" s="2"/>
      <c r="L26" s="2"/>
      <c r="M26" s="2"/>
      <c r="N26" s="2"/>
      <c r="O26" s="2"/>
      <c r="P26" s="2"/>
      <c r="Q26" s="2"/>
    </row>
    <row r="27" ht="22.5" customHeight="1">
      <c r="A27" s="3">
        <v>26.0</v>
      </c>
      <c r="B27" s="3" t="s">
        <v>72</v>
      </c>
      <c r="C27" s="3" t="s">
        <v>73</v>
      </c>
      <c r="D27" s="3" t="s">
        <v>74</v>
      </c>
      <c r="E27" s="2"/>
      <c r="F27" s="3" t="str">
        <f>IFERROR(__xludf.DUMMYFUNCTION("GOOGLETRANSLATE(A27, ""it"", ""en"")"),"26")</f>
        <v>26</v>
      </c>
      <c r="G27" s="3" t="str">
        <f>IFERROR(__xludf.DUMMYFUNCTION("GOOGLETRANSLATE(B27, ""it"", ""en"")"),"What happens if a player leaves the field without permission?")</f>
        <v>What happens if a player leaves the field without permission?</v>
      </c>
      <c r="H27" s="3" t="str">
        <f>IFERROR(__xludf.DUMMYFUNCTION("GOOGLETRANSLATE(C27, ""it"", ""en"")"),"A. The game continues normally B. The player is cautioned C. The player receives a red card D. The game is stopped")</f>
        <v>A. The game continues normally B. The player is cautioned C. The player receives a red card D. The game is stopped</v>
      </c>
      <c r="I27" s="3" t="str">
        <f>IFERROR(__xludf.DUMMYFUNCTION("GOOGLETRANSLATE(D27, ""it"", ""en"")"),"The player is cautioned")</f>
        <v>The player is cautioned</v>
      </c>
      <c r="J27" s="2"/>
      <c r="K27" s="2"/>
      <c r="L27" s="2"/>
      <c r="M27" s="2"/>
      <c r="N27" s="2"/>
      <c r="O27" s="2"/>
      <c r="P27" s="2"/>
      <c r="Q27" s="2"/>
    </row>
    <row r="28" ht="22.5" customHeight="1">
      <c r="A28" s="3">
        <v>27.0</v>
      </c>
      <c r="B28" s="3" t="s">
        <v>75</v>
      </c>
      <c r="C28" s="3" t="s">
        <v>76</v>
      </c>
      <c r="D28" s="3" t="s">
        <v>77</v>
      </c>
      <c r="E28" s="2"/>
      <c r="F28" s="3" t="str">
        <f>IFERROR(__xludf.DUMMYFUNCTION("GOOGLETRANSLATE(A28, ""it"", ""en"")"),"27")</f>
        <v>27</v>
      </c>
      <c r="G28" s="3" t="str">
        <f>IFERROR(__xludf.DUMMYFUNCTION("GOOGLETRANSLATE(B28, ""it"", ""en"")"),"What happens if a team kicks the ball out of bounds?")</f>
        <v>What happens if a team kicks the ball out of bounds?</v>
      </c>
      <c r="H28" s="3" t="str">
        <f>IFERROR(__xludf.DUMMYFUNCTION("GOOGLETRANSLATE(C28, ""it"", ""en"")"),"A. The game continues B. The opposing team gets the ball C. The game is stopped D. The team scores a point")</f>
        <v>A. The game continues B. The opposing team gets the ball C. The game is stopped D. The team scores a point</v>
      </c>
      <c r="I28" s="3" t="str">
        <f>IFERROR(__xludf.DUMMYFUNCTION("GOOGLETRANSLATE(D28, ""it"", ""en"")"),"The opposing team gets the ball")</f>
        <v>The opposing team gets the ball</v>
      </c>
      <c r="J28" s="2"/>
      <c r="K28" s="2"/>
      <c r="L28" s="2"/>
      <c r="M28" s="2"/>
      <c r="N28" s="2"/>
      <c r="O28" s="2"/>
      <c r="P28" s="2"/>
      <c r="Q28" s="2"/>
    </row>
    <row r="29" ht="22.5" customHeight="1">
      <c r="A29" s="3">
        <v>28.0</v>
      </c>
      <c r="B29" s="3" t="s">
        <v>78</v>
      </c>
      <c r="C29" s="3" t="s">
        <v>79</v>
      </c>
      <c r="D29" s="3" t="s">
        <v>27</v>
      </c>
      <c r="E29" s="2"/>
      <c r="F29" s="3" t="str">
        <f>IFERROR(__xludf.DUMMYFUNCTION("GOOGLETRANSLATE(A29, ""it"", ""en"")"),"28")</f>
        <v>28</v>
      </c>
      <c r="G29" s="3" t="str">
        <f>IFERROR(__xludf.DUMMYFUNCTION("GOOGLETRANSLATE(B29, ""it"", ""en"")"),"What happens if a player fakes a foul?")</f>
        <v>What happens if a player fakes a foul?</v>
      </c>
      <c r="H29" s="3" t="str">
        <f>IFERROR(__xludf.DUMMYFUNCTION("GOOGLETRANSLATE(C29, ""it"", ""en"")"),"A. The game continues B. The player receives a yellow card C. The player receives a red card D. The game is stopped")</f>
        <v>A. The game continues B. The player receives a yellow card C. The player receives a red card D. The game is stopped</v>
      </c>
      <c r="I29" s="3" t="str">
        <f>IFERROR(__xludf.DUMMYFUNCTION("GOOGLETRANSLATE(D29, ""it"", ""en"")"),"The player receives a yellow card")</f>
        <v>The player receives a yellow card</v>
      </c>
      <c r="J29" s="2"/>
      <c r="K29" s="2"/>
      <c r="L29" s="2"/>
      <c r="M29" s="2"/>
      <c r="N29" s="2"/>
      <c r="O29" s="2"/>
      <c r="P29" s="2"/>
      <c r="Q29" s="2"/>
    </row>
    <row r="30" ht="22.5" customHeight="1">
      <c r="A30" s="3">
        <v>29.0</v>
      </c>
      <c r="B30" s="3" t="s">
        <v>80</v>
      </c>
      <c r="C30" s="3" t="s">
        <v>81</v>
      </c>
      <c r="D30" s="3" t="s">
        <v>30</v>
      </c>
      <c r="E30" s="2"/>
      <c r="F30" s="3" t="str">
        <f>IFERROR(__xludf.DUMMYFUNCTION("GOOGLETRANSLATE(A30, ""it"", ""en"")"),"29")</f>
        <v>29</v>
      </c>
      <c r="G30" s="3" t="str">
        <f>IFERROR(__xludf.DUMMYFUNCTION("GOOGLETRANSLATE(B30, ""it"", ""en"")"),"What happens if a player prevents an opponent from scoring?")</f>
        <v>What happens if a player prevents an opponent from scoring?</v>
      </c>
      <c r="H30" s="3" t="str">
        <f>IFERROR(__xludf.DUMMYFUNCTION("GOOGLETRANSLATE(C30, ""it"", ""en"")"),"A. The game continues B. The player is cautioned C. The opposing team earns a free kick D. The player receives a red card")</f>
        <v>A. The game continues B. The player is cautioned C. The opposing team earns a free kick D. The player receives a red card</v>
      </c>
      <c r="I30" s="3" t="str">
        <f>IFERROR(__xludf.DUMMYFUNCTION("GOOGLETRANSLATE(D30, ""it"", ""en"")"),"The player receives a red card")</f>
        <v>The player receives a red card</v>
      </c>
      <c r="J30" s="2"/>
      <c r="K30" s="2"/>
      <c r="L30" s="2"/>
      <c r="M30" s="2"/>
      <c r="N30" s="2"/>
      <c r="O30" s="2"/>
      <c r="P30" s="2"/>
      <c r="Q30" s="2"/>
    </row>
    <row r="31" ht="22.5" customHeight="1">
      <c r="A31" s="3">
        <v>30.0</v>
      </c>
      <c r="B31" s="3" t="s">
        <v>82</v>
      </c>
      <c r="C31" s="3" t="s">
        <v>83</v>
      </c>
      <c r="D31" s="3" t="s">
        <v>30</v>
      </c>
      <c r="E31" s="2"/>
      <c r="F31" s="3" t="str">
        <f>IFERROR(__xludf.DUMMYFUNCTION("GOOGLETRANSLATE(A31, ""it"", ""en"")"),"30")</f>
        <v>30</v>
      </c>
      <c r="G31" s="3" t="str">
        <f>IFERROR(__xludf.DUMMYFUNCTION("GOOGLETRANSLATE(B31, ""it"", ""en"")"),"What happens if a player initiates a violent attack on an opponent?")</f>
        <v>What happens if a player initiates a violent attack on an opponent?</v>
      </c>
      <c r="H31" s="3" t="str">
        <f>IFERROR(__xludf.DUMMYFUNCTION("GOOGLETRANSLATE(C31, ""it"", ""en"")"),"A. The game continues B. The player receives a red card C. The player receives a yellow card D. The game is stopped")</f>
        <v>A. The game continues B. The player receives a red card C. The player receives a yellow card D. The game is stopped</v>
      </c>
      <c r="I31" s="3" t="str">
        <f>IFERROR(__xludf.DUMMYFUNCTION("GOOGLETRANSLATE(D31, ""it"", ""en"")"),"The player receives a red card")</f>
        <v>The player receives a red card</v>
      </c>
      <c r="J31" s="2"/>
      <c r="K31" s="2"/>
      <c r="L31" s="2"/>
      <c r="M31" s="2"/>
      <c r="N31" s="2"/>
      <c r="O31" s="2"/>
      <c r="P31" s="2"/>
      <c r="Q31" s="2"/>
    </row>
    <row r="32" ht="22.5" customHeight="1">
      <c r="A32" s="3">
        <v>31.0</v>
      </c>
      <c r="B32" s="3" t="s">
        <v>84</v>
      </c>
      <c r="C32" s="3" t="s">
        <v>85</v>
      </c>
      <c r="D32" s="3" t="s">
        <v>40</v>
      </c>
      <c r="E32" s="2"/>
      <c r="F32" s="3" t="str">
        <f>IFERROR(__xludf.DUMMYFUNCTION("GOOGLETRANSLATE(A32, ""it"", ""en"")"),"31")</f>
        <v>31</v>
      </c>
      <c r="G32" s="3" t="str">
        <f>IFERROR(__xludf.DUMMYFUNCTION("GOOGLETRANSLATE(B32, ""it"", ""en"")"),"What happens if a player receives a red card?")</f>
        <v>What happens if a player receives a red card?</v>
      </c>
      <c r="H32" s="3" t="str">
        <f>IFERROR(__xludf.DUMMYFUNCTION("GOOGLETRANSLATE(C32, ""it"", ""en"")"),"A. The player must leave the field B. The game continues C. The game is stopped D. The player is cautioned")</f>
        <v>A. The player must leave the field B. The game continues C. The game is stopped D. The player is cautioned</v>
      </c>
      <c r="I32" s="3" t="str">
        <f>IFERROR(__xludf.DUMMYFUNCTION("GOOGLETRANSLATE(D32, ""it"", ""en"")"),"The player must leave the field")</f>
        <v>The player must leave the field</v>
      </c>
      <c r="J32" s="2"/>
      <c r="K32" s="2"/>
      <c r="L32" s="2"/>
      <c r="M32" s="2"/>
      <c r="N32" s="2"/>
      <c r="O32" s="2"/>
      <c r="P32" s="2"/>
      <c r="Q32" s="2"/>
    </row>
    <row r="33" ht="22.5" customHeight="1">
      <c r="A33" s="3">
        <v>32.0</v>
      </c>
      <c r="B33" s="3" t="s">
        <v>86</v>
      </c>
      <c r="C33" s="3" t="s">
        <v>87</v>
      </c>
      <c r="D33" s="3" t="s">
        <v>12</v>
      </c>
      <c r="E33" s="2"/>
      <c r="F33" s="3" t="str">
        <f>IFERROR(__xludf.DUMMYFUNCTION("GOOGLETRANSLATE(A33, ""it"", ""en"")"),"32")</f>
        <v>32</v>
      </c>
      <c r="G33" s="3" t="str">
        <f>IFERROR(__xludf.DUMMYFUNCTION("GOOGLETRANSLATE(B33, ""it"", ""en"")"),"What happens if a player hits the ball with his chest?")</f>
        <v>What happens if a player hits the ball with his chest?</v>
      </c>
      <c r="H33" s="3" t="str">
        <f>IFERROR(__xludf.DUMMYFUNCTION("GOOGLETRANSLATE(C33, ""it"", ""en"")"),"A. The game continues B. The player is cautioned C. The game is stopped D. The player receives a red card")</f>
        <v>A. The game continues B. The player is cautioned C. The game is stopped D. The player receives a red card</v>
      </c>
      <c r="I33" s="3" t="str">
        <f>IFERROR(__xludf.DUMMYFUNCTION("GOOGLETRANSLATE(D33, ""it"", ""en"")"),"The game continues")</f>
        <v>The game continues</v>
      </c>
      <c r="J33" s="2"/>
      <c r="K33" s="2"/>
      <c r="L33" s="2"/>
      <c r="M33" s="2"/>
      <c r="N33" s="2"/>
      <c r="O33" s="2"/>
      <c r="P33" s="2"/>
      <c r="Q33" s="2"/>
    </row>
    <row r="34" ht="22.5" customHeight="1">
      <c r="A34" s="3">
        <v>33.0</v>
      </c>
      <c r="B34" s="3" t="s">
        <v>88</v>
      </c>
      <c r="C34" s="3" t="s">
        <v>89</v>
      </c>
      <c r="D34" s="3" t="s">
        <v>90</v>
      </c>
      <c r="E34" s="2"/>
      <c r="F34" s="3" t="str">
        <f>IFERROR(__xludf.DUMMYFUNCTION("GOOGLETRANSLATE(A34, ""it"", ""en"")"),"33")</f>
        <v>33</v>
      </c>
      <c r="G34" s="3" t="str">
        <f>IFERROR(__xludf.DUMMYFUNCTION("GOOGLETRANSLATE(B34, ""it"", ""en"")"),"What happens if a player blocks an opponent's shot with his handles?")</f>
        <v>What happens if a player blocks an opponent's shot with his handles?</v>
      </c>
      <c r="H34" s="3" t="str">
        <f>IFERROR(__xludf.DUMMYFUNCTION("GOOGLETRANSLATE(C34, ""it"", ""en"")"),"A. The game continues B. The opposing team is awarded a free kick C. The game is stopped D. The player receives a yellow card")</f>
        <v>A. The game continues B. The opposing team is awarded a free kick C. The game is stopped D. The player receives a yellow card</v>
      </c>
      <c r="I34" s="3" t="str">
        <f>IFERROR(__xludf.DUMMYFUNCTION("GOOGLETRANSLATE(D34, ""it"", ""en"")"),"The opposing team gets a free kick")</f>
        <v>The opposing team gets a free kick</v>
      </c>
      <c r="J34" s="2"/>
      <c r="K34" s="2"/>
      <c r="L34" s="2"/>
      <c r="M34" s="2"/>
      <c r="N34" s="2"/>
      <c r="O34" s="2"/>
      <c r="P34" s="2"/>
      <c r="Q34" s="2"/>
    </row>
    <row r="35" ht="22.5" customHeight="1">
      <c r="A35" s="3">
        <v>34.0</v>
      </c>
      <c r="B35" s="3" t="s">
        <v>91</v>
      </c>
      <c r="C35" s="3" t="s">
        <v>29</v>
      </c>
      <c r="D35" s="3" t="s">
        <v>30</v>
      </c>
      <c r="E35" s="2"/>
      <c r="F35" s="3" t="str">
        <f>IFERROR(__xludf.DUMMYFUNCTION("GOOGLETRANSLATE(A35, ""it"", ""en"")"),"34")</f>
        <v>34</v>
      </c>
      <c r="G35" s="3" t="str">
        <f>IFERROR(__xludf.DUMMYFUNCTION("GOOGLETRANSLATE(B35, ""it"", ""en"")"),"What happens if a player hits an opponent in the face?")</f>
        <v>What happens if a player hits an opponent in the face?</v>
      </c>
      <c r="H35" s="3" t="str">
        <f>IFERROR(__xludf.DUMMYFUNCTION("GOOGLETRANSLATE(C35, ""it"", ""en"")"),"A. The game continues B. The player receives a red card C. The game is stopped D. The player receives a yellow card")</f>
        <v>A. The game continues B. The player receives a red card C. The game is stopped D. The player receives a yellow card</v>
      </c>
      <c r="I35" s="3" t="str">
        <f>IFERROR(__xludf.DUMMYFUNCTION("GOOGLETRANSLATE(D35, ""it"", ""en"")"),"The player receives a red card")</f>
        <v>The player receives a red card</v>
      </c>
      <c r="J35" s="2"/>
      <c r="K35" s="2"/>
      <c r="L35" s="2"/>
      <c r="M35" s="2"/>
      <c r="N35" s="2"/>
      <c r="O35" s="2"/>
      <c r="P35" s="2"/>
      <c r="Q35" s="2"/>
    </row>
    <row r="36" ht="22.5" customHeight="1">
      <c r="A36" s="3">
        <v>35.0</v>
      </c>
      <c r="B36" s="3" t="s">
        <v>92</v>
      </c>
      <c r="C36" s="3" t="s">
        <v>93</v>
      </c>
      <c r="D36" s="3" t="s">
        <v>94</v>
      </c>
      <c r="E36" s="2"/>
      <c r="F36" s="3" t="str">
        <f>IFERROR(__xludf.DUMMYFUNCTION("GOOGLETRANSLATE(A36, ""it"", ""en"")"),"35")</f>
        <v>35</v>
      </c>
      <c r="G36" s="3" t="str">
        <f>IFERROR(__xludf.DUMMYFUNCTION("GOOGLETRANSLATE(B36, ""it"", ""en"")"),"What happens if a player scores a goal but the ball was out of play?")</f>
        <v>What happens if a player scores a goal but the ball was out of play?</v>
      </c>
      <c r="H36" s="3" t="str">
        <f>IFERROR(__xludf.DUMMYFUNCTION("GOOGLETRANSLATE(C36, ""it"", ""en"")"),"A. The goal is disallowed B. The game continues normally C. The goal is valid D. The game is stopped")</f>
        <v>A. The goal is disallowed B. The game continues normally C. The goal is valid D. The game is stopped</v>
      </c>
      <c r="I36" s="3" t="str">
        <f>IFERROR(__xludf.DUMMYFUNCTION("GOOGLETRANSLATE(D36, ""it"", ""en"")"),"The goal is disallowed")</f>
        <v>The goal is disallowed</v>
      </c>
      <c r="J36" s="2"/>
      <c r="K36" s="2"/>
      <c r="L36" s="2"/>
      <c r="M36" s="2"/>
      <c r="N36" s="2"/>
      <c r="O36" s="2"/>
      <c r="P36" s="2"/>
      <c r="Q36" s="2"/>
    </row>
    <row r="37" ht="22.5" customHeight="1">
      <c r="A37" s="3">
        <v>36.0</v>
      </c>
      <c r="B37" s="3" t="s">
        <v>95</v>
      </c>
      <c r="C37" s="3" t="s">
        <v>96</v>
      </c>
      <c r="D37" s="3" t="s">
        <v>35</v>
      </c>
      <c r="E37" s="2"/>
      <c r="F37" s="3" t="str">
        <f>IFERROR(__xludf.DUMMYFUNCTION("GOOGLETRANSLATE(A37, ""it"", ""en"")"),"36")</f>
        <v>36</v>
      </c>
      <c r="G37" s="3" t="str">
        <f>IFERROR(__xludf.DUMMYFUNCTION("GOOGLETRANSLATE(B37, ""it"", ""en"")"),"What happens if a player commits a foul during a free kick?")</f>
        <v>What happens if a player commits a foul during a free kick?</v>
      </c>
      <c r="H37" s="3" t="str">
        <f>IFERROR(__xludf.DUMMYFUNCTION("GOOGLETRANSLATE(C37, ""it"", ""en"")"),"A. The free kick is retaken B. Play continues normally C. The player is cautioned D. Play is stopped")</f>
        <v>A. The free kick is retaken B. Play continues normally C. The player is cautioned D. Play is stopped</v>
      </c>
      <c r="I37" s="3" t="str">
        <f>IFERROR(__xludf.DUMMYFUNCTION("GOOGLETRANSLATE(D37, ""it"", ""en"")"),"The free kick is retaken")</f>
        <v>The free kick is retaken</v>
      </c>
      <c r="J37" s="2"/>
      <c r="K37" s="2"/>
      <c r="L37" s="2"/>
      <c r="M37" s="2"/>
      <c r="N37" s="2"/>
      <c r="O37" s="2"/>
      <c r="P37" s="2"/>
      <c r="Q37" s="2"/>
    </row>
    <row r="38" ht="22.5" customHeight="1">
      <c r="A38" s="3">
        <v>37.0</v>
      </c>
      <c r="B38" s="3" t="s">
        <v>97</v>
      </c>
      <c r="C38" s="3" t="s">
        <v>98</v>
      </c>
      <c r="D38" s="3" t="s">
        <v>12</v>
      </c>
      <c r="E38" s="2"/>
      <c r="F38" s="3" t="str">
        <f>IFERROR(__xludf.DUMMYFUNCTION("GOOGLETRANSLATE(A38, ""it"", ""en"")"),"37")</f>
        <v>37</v>
      </c>
      <c r="G38" s="3" t="str">
        <f>IFERROR(__xludf.DUMMYFUNCTION("GOOGLETRANSLATE(B38, ""it"", ""en"")"),"What happens if a player touches the ball with his foot while on the ground?")</f>
        <v>What happens if a player touches the ball with his foot while on the ground?</v>
      </c>
      <c r="H38" s="3" t="str">
        <f>IFERROR(__xludf.DUMMYFUNCTION("GOOGLETRANSLATE(C38, ""it"", ""en"")"),"A. The game continues B. The opposing team receives a free kick C. The game is stopped D. The player receives a yellow card")</f>
        <v>A. The game continues B. The opposing team receives a free kick C. The game is stopped D. The player receives a yellow card</v>
      </c>
      <c r="I38" s="3" t="str">
        <f>IFERROR(__xludf.DUMMYFUNCTION("GOOGLETRANSLATE(D38, ""it"", ""en"")"),"The game continues")</f>
        <v>The game continues</v>
      </c>
      <c r="J38" s="2"/>
      <c r="K38" s="2"/>
      <c r="L38" s="2"/>
      <c r="M38" s="2"/>
      <c r="N38" s="2"/>
      <c r="O38" s="2"/>
      <c r="P38" s="2"/>
      <c r="Q38" s="2"/>
    </row>
    <row r="39" ht="22.5" customHeight="1">
      <c r="A39" s="3">
        <v>38.0</v>
      </c>
      <c r="B39" s="3" t="s">
        <v>99</v>
      </c>
      <c r="C39" s="3" t="s">
        <v>29</v>
      </c>
      <c r="D39" s="3" t="s">
        <v>27</v>
      </c>
      <c r="E39" s="2"/>
      <c r="F39" s="3" t="str">
        <f>IFERROR(__xludf.DUMMYFUNCTION("GOOGLETRANSLATE(A39, ""it"", ""en"")"),"38")</f>
        <v>38</v>
      </c>
      <c r="G39" s="3" t="str">
        <f>IFERROR(__xludf.DUMMYFUNCTION("GOOGLETRANSLATE(B39, ""it"", ""en"")"),"What happens if a player tries to obstruct an opponent with his body for no reason?")</f>
        <v>What happens if a player tries to obstruct an opponent with his body for no reason?</v>
      </c>
      <c r="H39" s="3" t="str">
        <f>IFERROR(__xludf.DUMMYFUNCTION("GOOGLETRANSLATE(C39, ""it"", ""en"")"),"A. The game continues B. The player receives a red card C. The game is stopped D. The player receives a yellow card")</f>
        <v>A. The game continues B. The player receives a red card C. The game is stopped D. The player receives a yellow card</v>
      </c>
      <c r="I39" s="3" t="str">
        <f>IFERROR(__xludf.DUMMYFUNCTION("GOOGLETRANSLATE(D39, ""it"", ""en"")"),"The player receives a yellow card")</f>
        <v>The player receives a yellow card</v>
      </c>
      <c r="J39" s="2"/>
      <c r="K39" s="2"/>
      <c r="L39" s="2"/>
      <c r="M39" s="2"/>
      <c r="N39" s="2"/>
      <c r="O39" s="2"/>
      <c r="P39" s="2"/>
      <c r="Q39" s="2"/>
    </row>
    <row r="40" ht="22.5" customHeight="1">
      <c r="A40" s="3">
        <v>39.0</v>
      </c>
      <c r="B40" s="3" t="s">
        <v>100</v>
      </c>
      <c r="C40" s="3" t="s">
        <v>101</v>
      </c>
      <c r="D40" s="3" t="s">
        <v>30</v>
      </c>
      <c r="E40" s="2"/>
      <c r="F40" s="3" t="str">
        <f>IFERROR(__xludf.DUMMYFUNCTION("GOOGLETRANSLATE(A40, ""it"", ""en"")"),"39")</f>
        <v>39</v>
      </c>
      <c r="G40" s="3" t="str">
        <f>IFERROR(__xludf.DUMMYFUNCTION("GOOGLETRANSLATE(B40, ""it"", ""en"")"),"What happens if a player shouts insults at the referee?")</f>
        <v>What happens if a player shouts insults at the referee?</v>
      </c>
      <c r="H40" s="3" t="str">
        <f>IFERROR(__xludf.DUMMYFUNCTION("GOOGLETRANSLATE(C40, ""it"", ""en"")"),"A. The game continues B. The player receives a yellow card C. The game is stopped D. The player receives a red card")</f>
        <v>A. The game continues B. The player receives a yellow card C. The game is stopped D. The player receives a red card</v>
      </c>
      <c r="I40" s="3" t="str">
        <f>IFERROR(__xludf.DUMMYFUNCTION("GOOGLETRANSLATE(D40, ""it"", ""en"")"),"The player receives a red card")</f>
        <v>The player receives a red card</v>
      </c>
      <c r="J40" s="2"/>
      <c r="K40" s="2"/>
      <c r="L40" s="2"/>
      <c r="M40" s="2"/>
      <c r="N40" s="2"/>
      <c r="O40" s="2"/>
      <c r="P40" s="2"/>
      <c r="Q40" s="2"/>
    </row>
    <row r="41" ht="22.5" customHeight="1">
      <c r="A41" s="3">
        <v>40.0</v>
      </c>
      <c r="B41" s="3" t="s">
        <v>102</v>
      </c>
      <c r="C41" s="3" t="s">
        <v>103</v>
      </c>
      <c r="D41" s="3" t="s">
        <v>12</v>
      </c>
      <c r="E41" s="2"/>
      <c r="F41" s="3" t="str">
        <f>IFERROR(__xludf.DUMMYFUNCTION("GOOGLETRANSLATE(A41, ""it"", ""en"")"),"40")</f>
        <v>40</v>
      </c>
      <c r="G41" s="3" t="str">
        <f>IFERROR(__xludf.DUMMYFUNCTION("GOOGLETRANSLATE(B41, ""it"", ""en"")"),"What happens if a player touches the ball with his head during an attack?")</f>
        <v>What happens if a player touches the ball with his head during an attack?</v>
      </c>
      <c r="H41" s="3" t="str">
        <f>IFERROR(__xludf.DUMMYFUNCTION("GOOGLETRANSLATE(C41, ""it"", ""en"")"),"A. The game continues B. The opposing team earns a free kick C. The game is stopped D. The player receives a red card")</f>
        <v>A. The game continues B. The opposing team earns a free kick C. The game is stopped D. The player receives a red card</v>
      </c>
      <c r="I41" s="3" t="str">
        <f>IFERROR(__xludf.DUMMYFUNCTION("GOOGLETRANSLATE(D41, ""it"", ""en"")"),"The game continues")</f>
        <v>The game continues</v>
      </c>
      <c r="J41" s="2"/>
      <c r="K41" s="2"/>
      <c r="L41" s="2"/>
      <c r="M41" s="2"/>
      <c r="N41" s="2"/>
      <c r="O41" s="2"/>
      <c r="P41" s="2"/>
      <c r="Q41" s="2"/>
    </row>
    <row r="42" ht="22.5" customHeight="1">
      <c r="A42" s="3">
        <v>41.0</v>
      </c>
      <c r="B42" s="3" t="s">
        <v>104</v>
      </c>
      <c r="C42" s="3" t="s">
        <v>101</v>
      </c>
      <c r="D42" s="3" t="s">
        <v>18</v>
      </c>
      <c r="E42" s="2"/>
      <c r="F42" s="3" t="str">
        <f>IFERROR(__xludf.DUMMYFUNCTION("GOOGLETRANSLATE(A42, ""it"", ""en"")"),"41")</f>
        <v>41</v>
      </c>
      <c r="G42" s="3" t="str">
        <f>IFERROR(__xludf.DUMMYFUNCTION("GOOGLETRANSLATE(B42, ""it"", ""en"")"),"What happens if a player pushes an opponent for no reason?")</f>
        <v>What happens if a player pushes an opponent for no reason?</v>
      </c>
      <c r="H42" s="3" t="str">
        <f>IFERROR(__xludf.DUMMYFUNCTION("GOOGLETRANSLATE(C42, ""it"", ""en"")"),"A. The game continues B. The player receives a yellow card C. The game is stopped D. The player receives a red card")</f>
        <v>A. The game continues B. The player receives a yellow card C. The game is stopped D. The player receives a red card</v>
      </c>
      <c r="I42" s="3" t="str">
        <f>IFERROR(__xludf.DUMMYFUNCTION("GOOGLETRANSLATE(D42, ""it"", ""en"")"),"The game is stopped")</f>
        <v>The game is stopped</v>
      </c>
      <c r="J42" s="2"/>
      <c r="K42" s="2"/>
      <c r="L42" s="2"/>
      <c r="M42" s="2"/>
      <c r="N42" s="2"/>
      <c r="O42" s="2"/>
      <c r="P42" s="2"/>
      <c r="Q42" s="2"/>
    </row>
    <row r="43" ht="22.5" customHeight="1">
      <c r="A43" s="3">
        <v>42.0</v>
      </c>
      <c r="B43" s="3" t="s">
        <v>105</v>
      </c>
      <c r="C43" s="3" t="s">
        <v>106</v>
      </c>
      <c r="D43" s="3" t="s">
        <v>107</v>
      </c>
      <c r="E43" s="2"/>
      <c r="F43" s="3" t="str">
        <f>IFERROR(__xludf.DUMMYFUNCTION("GOOGLETRANSLATE(A43, ""it"", ""en"")"),"42")</f>
        <v>42</v>
      </c>
      <c r="G43" s="3" t="str">
        <f>IFERROR(__xludf.DUMMYFUNCTION("GOOGLETRANSLATE(B43, ""it"", ""en"")"),"What happens if a player intentionally handballs?")</f>
        <v>What happens if a player intentionally handballs?</v>
      </c>
      <c r="H43" s="3" t="str">
        <f>IFERROR(__xludf.DUMMYFUNCTION("GOOGLETRANSLATE(C43, ""it"", ""en"")"),"A. The game continues B. The opposing team receives a free kick C. The player receives a yellow card D. The game is stopped")</f>
        <v>A. The game continues B. The opposing team receives a free kick C. The player receives a yellow card D. The game is stopped</v>
      </c>
      <c r="I43" s="3" t="str">
        <f>IFERROR(__xludf.DUMMYFUNCTION("GOOGLETRANSLATE(D43, ""it"", ""en"")"),"The opposing team receives a free kick")</f>
        <v>The opposing team receives a free kick</v>
      </c>
      <c r="J43" s="2"/>
      <c r="K43" s="2"/>
      <c r="L43" s="2"/>
      <c r="M43" s="2"/>
      <c r="N43" s="2"/>
      <c r="O43" s="2"/>
      <c r="P43" s="2"/>
      <c r="Q43" s="2"/>
    </row>
    <row r="44" ht="22.5" customHeight="1">
      <c r="A44" s="3">
        <v>43.0</v>
      </c>
      <c r="B44" s="3" t="s">
        <v>108</v>
      </c>
      <c r="C44" s="3" t="s">
        <v>98</v>
      </c>
      <c r="D44" s="3" t="s">
        <v>12</v>
      </c>
      <c r="E44" s="2"/>
      <c r="F44" s="3" t="str">
        <f>IFERROR(__xludf.DUMMYFUNCTION("GOOGLETRANSLATE(A44, ""it"", ""en"")"),"43")</f>
        <v>43</v>
      </c>
      <c r="G44" s="3" t="str">
        <f>IFERROR(__xludf.DUMMYFUNCTION("GOOGLETRANSLATE(B44, ""it"", ""en"")"),"What happens if a player touches the ball with his hand during play without intending to?")</f>
        <v>What happens if a player touches the ball with his hand during play without intending to?</v>
      </c>
      <c r="H44" s="3" t="str">
        <f>IFERROR(__xludf.DUMMYFUNCTION("GOOGLETRANSLATE(C44, ""it"", ""en"")"),"A. The game continues B. The opposing team receives a free kick C. The game is stopped D. The player receives a yellow card")</f>
        <v>A. The game continues B. The opposing team receives a free kick C. The game is stopped D. The player receives a yellow card</v>
      </c>
      <c r="I44" s="3" t="str">
        <f>IFERROR(__xludf.DUMMYFUNCTION("GOOGLETRANSLATE(D44, ""it"", ""en"")"),"The game continues")</f>
        <v>The game continues</v>
      </c>
      <c r="J44" s="2"/>
      <c r="K44" s="2"/>
      <c r="L44" s="2"/>
      <c r="M44" s="2"/>
      <c r="N44" s="2"/>
      <c r="O44" s="2"/>
      <c r="P44" s="2"/>
      <c r="Q44" s="2"/>
    </row>
    <row r="45" ht="22.5" customHeight="1">
      <c r="A45" s="3">
        <v>44.0</v>
      </c>
      <c r="B45" s="3" t="s">
        <v>109</v>
      </c>
      <c r="C45" s="3" t="s">
        <v>110</v>
      </c>
      <c r="D45" s="3" t="s">
        <v>111</v>
      </c>
      <c r="E45" s="2"/>
      <c r="F45" s="3" t="str">
        <f>IFERROR(__xludf.DUMMYFUNCTION("GOOGLETRANSLATE(A45, ""it"", ""en"")"),"44")</f>
        <v>44</v>
      </c>
      <c r="G45" s="3" t="str">
        <f>IFERROR(__xludf.DUMMYFUNCTION("GOOGLETRANSLATE(B45, ""it"", ""en"")"),"What happens if a player commits a foul to prevent an opponent from scoring?")</f>
        <v>What happens if a player commits a foul to prevent an opponent from scoring?</v>
      </c>
      <c r="H45" s="3" t="str">
        <f>IFERROR(__xludf.DUMMYFUNCTION("GOOGLETRANSLATE(C45, ""it"", ""en"")"),"A. The game is stopped B. The player receives a red card C. The opposing team earns a free kick D. The game continues")</f>
        <v>A. The game is stopped B. The player receives a red card C. The opposing team earns a free kick D. The game continues</v>
      </c>
      <c r="I45" s="3" t="str">
        <f>IFERROR(__xludf.DUMMYFUNCTION("GOOGLETRANSLATE(D45, ""it"", ""en"")"),"The opposing team earns a free kick")</f>
        <v>The opposing team earns a free kick</v>
      </c>
      <c r="J45" s="2"/>
      <c r="K45" s="2"/>
      <c r="L45" s="2"/>
      <c r="M45" s="2"/>
      <c r="N45" s="2"/>
      <c r="O45" s="2"/>
      <c r="P45" s="2"/>
      <c r="Q45" s="2"/>
    </row>
    <row r="46" ht="22.5" customHeight="1">
      <c r="A46" s="3">
        <v>45.0</v>
      </c>
      <c r="B46" s="3" t="s">
        <v>112</v>
      </c>
      <c r="C46" s="3" t="s">
        <v>113</v>
      </c>
      <c r="D46" s="3" t="s">
        <v>21</v>
      </c>
      <c r="E46" s="2"/>
      <c r="F46" s="3" t="str">
        <f>IFERROR(__xludf.DUMMYFUNCTION("GOOGLETRANSLATE(A46, ""it"", ""en"")"),"45")</f>
        <v>45</v>
      </c>
      <c r="G46" s="3" t="str">
        <f>IFERROR(__xludf.DUMMYFUNCTION("GOOGLETRANSLATE(B46, ""it"", ""en"")"),"What happens if a team has a points advantage?")</f>
        <v>What happens if a team has a points advantage?</v>
      </c>
      <c r="H46" s="3" t="str">
        <f>IFERROR(__xludf.DUMMYFUNCTION("GOOGLETRANSLATE(C46, ""it"", ""en"")"),"A. The game continues normally B. The opposing team earns a free kick C. The game is stopped D. The advantage is cancelled")</f>
        <v>A. The game continues normally B. The opposing team earns a free kick C. The game is stopped D. The advantage is cancelled</v>
      </c>
      <c r="I46" s="3" t="str">
        <f>IFERROR(__xludf.DUMMYFUNCTION("GOOGLETRANSLATE(D46, ""it"", ""en"")"),"The game continues normally")</f>
        <v>The game continues normally</v>
      </c>
      <c r="J46" s="2"/>
      <c r="K46" s="2"/>
      <c r="L46" s="2"/>
      <c r="M46" s="2"/>
      <c r="N46" s="2"/>
      <c r="O46" s="2"/>
      <c r="P46" s="2"/>
      <c r="Q46" s="2"/>
    </row>
    <row r="47" ht="22.5" customHeight="1">
      <c r="A47" s="3">
        <v>46.0</v>
      </c>
      <c r="B47" s="3" t="s">
        <v>114</v>
      </c>
      <c r="C47" s="3" t="s">
        <v>115</v>
      </c>
      <c r="D47" s="3" t="s">
        <v>107</v>
      </c>
      <c r="E47" s="2"/>
      <c r="F47" s="3" t="str">
        <f>IFERROR(__xludf.DUMMYFUNCTION("GOOGLETRANSLATE(A47, ""it"", ""en"")"),"46")</f>
        <v>46</v>
      </c>
      <c r="G47" s="3" t="str">
        <f>IFERROR(__xludf.DUMMYFUNCTION("GOOGLETRANSLATE(B47, ""it"", ""en"")"),"What happens if a player tackles an opponent who is in possession of the ball?")</f>
        <v>What happens if a player tackles an opponent who is in possession of the ball?</v>
      </c>
      <c r="H47" s="3" t="str">
        <f>IFERROR(__xludf.DUMMYFUNCTION("GOOGLETRANSLATE(C47, ""it"", ""en"")"),"A. The game continues B. The opposing team receives a free kick C. The game is stopped D. The player receives a red card")</f>
        <v>A. The game continues B. The opposing team receives a free kick C. The game is stopped D. The player receives a red card</v>
      </c>
      <c r="I47" s="3" t="str">
        <f>IFERROR(__xludf.DUMMYFUNCTION("GOOGLETRANSLATE(D47, ""it"", ""en"")"),"The opposing team receives a free kick")</f>
        <v>The opposing team receives a free kick</v>
      </c>
      <c r="J47" s="2"/>
      <c r="K47" s="2"/>
      <c r="L47" s="2"/>
      <c r="M47" s="2"/>
      <c r="N47" s="2"/>
      <c r="O47" s="2"/>
      <c r="P47" s="2"/>
      <c r="Q47" s="2"/>
    </row>
    <row r="48" ht="22.5" customHeight="1">
      <c r="A48" s="3">
        <v>47.0</v>
      </c>
      <c r="B48" s="3" t="s">
        <v>116</v>
      </c>
      <c r="C48" s="3" t="s">
        <v>117</v>
      </c>
      <c r="D48" s="3" t="s">
        <v>118</v>
      </c>
      <c r="E48" s="2"/>
      <c r="F48" s="3" t="str">
        <f>IFERROR(__xludf.DUMMYFUNCTION("GOOGLETRANSLATE(A48, ""it"", ""en"")"),"47")</f>
        <v>47</v>
      </c>
      <c r="G48" s="3" t="str">
        <f>IFERROR(__xludf.DUMMYFUNCTION("GOOGLETRANSLATE(B48, ""it"", ""en"")"),"What happens if the game is interrupted due to a serious injury?")</f>
        <v>What happens if the game is interrupted due to a serious injury?</v>
      </c>
      <c r="H48" s="3" t="str">
        <f>IFERROR(__xludf.DUMMYFUNCTION("GOOGLETRANSLATE(C48, ""it"", ""en"")"),"A. Play continues B. The player is substituted C. Play is suspended until the player recovers D. The player receives treatment")</f>
        <v>A. Play continues B. The player is substituted C. Play is suspended until the player recovers D. The player receives treatment</v>
      </c>
      <c r="I48" s="3" t="str">
        <f>IFERROR(__xludf.DUMMYFUNCTION("GOOGLETRANSLATE(D48, ""it"", ""en"")"),"The game is suspended until the player recovers")</f>
        <v>The game is suspended until the player recovers</v>
      </c>
      <c r="J48" s="2"/>
      <c r="K48" s="2"/>
      <c r="L48" s="2"/>
      <c r="M48" s="2"/>
      <c r="N48" s="2"/>
      <c r="O48" s="2"/>
      <c r="P48" s="2"/>
      <c r="Q48" s="2"/>
    </row>
    <row r="49" ht="22.5" customHeight="1">
      <c r="A49" s="3">
        <v>48.0</v>
      </c>
      <c r="B49" s="3" t="s">
        <v>119</v>
      </c>
      <c r="C49" s="3" t="s">
        <v>101</v>
      </c>
      <c r="D49" s="3" t="s">
        <v>27</v>
      </c>
      <c r="E49" s="2"/>
      <c r="F49" s="3" t="str">
        <f>IFERROR(__xludf.DUMMYFUNCTION("GOOGLETRANSLATE(A49, ""it"", ""en"")"),"48")</f>
        <v>48</v>
      </c>
      <c r="G49" s="3" t="str">
        <f>IFERROR(__xludf.DUMMYFUNCTION("GOOGLETRANSLATE(B49, ""it"", ""en"")"),"What happens if a player enters the field without the referee's permission?")</f>
        <v>What happens if a player enters the field without the referee's permission?</v>
      </c>
      <c r="H49" s="3" t="str">
        <f>IFERROR(__xludf.DUMMYFUNCTION("GOOGLETRANSLATE(C49, ""it"", ""en"")"),"A. The game continues B. The player receives a yellow card C. The game is stopped D. The player receives a red card")</f>
        <v>A. The game continues B. The player receives a yellow card C. The game is stopped D. The player receives a red card</v>
      </c>
      <c r="I49" s="3" t="str">
        <f>IFERROR(__xludf.DUMMYFUNCTION("GOOGLETRANSLATE(D49, ""it"", ""en"")"),"The player receives a yellow card")</f>
        <v>The player receives a yellow card</v>
      </c>
      <c r="J49" s="2"/>
      <c r="K49" s="2"/>
      <c r="L49" s="2"/>
      <c r="M49" s="2"/>
      <c r="N49" s="2"/>
      <c r="O49" s="2"/>
      <c r="P49" s="2"/>
      <c r="Q49" s="2"/>
    </row>
    <row r="50" ht="22.5" customHeight="1">
      <c r="A50" s="3">
        <v>49.0</v>
      </c>
      <c r="B50" s="3" t="s">
        <v>120</v>
      </c>
      <c r="C50" s="3" t="s">
        <v>103</v>
      </c>
      <c r="D50" s="3" t="s">
        <v>12</v>
      </c>
      <c r="E50" s="2"/>
      <c r="F50" s="3" t="str">
        <f>IFERROR(__xludf.DUMMYFUNCTION("GOOGLETRANSLATE(A50, ""it"", ""en"")"),"49")</f>
        <v>49</v>
      </c>
      <c r="G50" s="3" t="str">
        <f>IFERROR(__xludf.DUMMYFUNCTION("GOOGLETRANSLATE(B50, ""it"", ""en"")"),"What happens if a team reports a violation but the referee doesn't intervene?")</f>
        <v>What happens if a team reports a violation but the referee doesn't intervene?</v>
      </c>
      <c r="H50" s="3" t="str">
        <f>IFERROR(__xludf.DUMMYFUNCTION("GOOGLETRANSLATE(C50, ""it"", ""en"")"),"A. The game continues B. The opposing team earns a free kick C. The game is stopped D. The player receives a red card")</f>
        <v>A. The game continues B. The opposing team earns a free kick C. The game is stopped D. The player receives a red card</v>
      </c>
      <c r="I50" s="3" t="str">
        <f>IFERROR(__xludf.DUMMYFUNCTION("GOOGLETRANSLATE(D50, ""it"", ""en"")"),"The game continues")</f>
        <v>The game continues</v>
      </c>
      <c r="J50" s="2"/>
      <c r="K50" s="2"/>
      <c r="L50" s="2"/>
      <c r="M50" s="2"/>
      <c r="N50" s="2"/>
      <c r="O50" s="2"/>
      <c r="P50" s="2"/>
      <c r="Q50" s="2"/>
    </row>
    <row r="51" ht="22.5" customHeight="1">
      <c r="A51" s="3">
        <v>50.0</v>
      </c>
      <c r="B51" s="3" t="s">
        <v>121</v>
      </c>
      <c r="C51" s="3" t="s">
        <v>122</v>
      </c>
      <c r="D51" s="3" t="s">
        <v>123</v>
      </c>
      <c r="E51" s="2"/>
      <c r="F51" s="3" t="str">
        <f>IFERROR(__xludf.DUMMYFUNCTION("GOOGLETRANSLATE(A51, ""it"", ""en"")"),"50")</f>
        <v>50</v>
      </c>
      <c r="G51" s="3" t="str">
        <f>IFERROR(__xludf.DUMMYFUNCTION("GOOGLETRANSLATE(B51, ""it"", ""en"")"),"What happens if a player loses the ball during play?")</f>
        <v>What happens if a player loses the ball during play?</v>
      </c>
      <c r="H51" s="3" t="str">
        <f>IFERROR(__xludf.DUMMYFUNCTION("GOOGLETRANSLATE(C51, ""it"", ""en"")"),"A. The game continues B. The opposing team wins the ball C. The game is stopped D. The player receives a red card")</f>
        <v>A. The game continues B. The opposing team wins the ball C. The game is stopped D. The player receives a red card</v>
      </c>
      <c r="I51" s="3" t="str">
        <f>IFERROR(__xludf.DUMMYFUNCTION("GOOGLETRANSLATE(D51, ""it"", ""en"")"),"The opposing team wins the ball")</f>
        <v>The opposing team wins the ball</v>
      </c>
      <c r="J51" s="2"/>
      <c r="K51" s="2"/>
      <c r="L51" s="2"/>
      <c r="M51" s="2"/>
      <c r="N51" s="2"/>
      <c r="O51" s="2"/>
      <c r="P51" s="2"/>
      <c r="Q51" s="2"/>
    </row>
    <row r="52" ht="22.5" customHeight="1">
      <c r="A52" s="3">
        <v>51.0</v>
      </c>
      <c r="B52" s="3" t="s">
        <v>124</v>
      </c>
      <c r="C52" s="3" t="s">
        <v>125</v>
      </c>
      <c r="D52" s="3" t="s">
        <v>123</v>
      </c>
      <c r="E52" s="2"/>
      <c r="F52" s="3" t="str">
        <f>IFERROR(__xludf.DUMMYFUNCTION("GOOGLETRANSLATE(A52, ""it"", ""en"")"),"51")</f>
        <v>51</v>
      </c>
      <c r="G52" s="3" t="str">
        <f>IFERROR(__xludf.DUMMYFUNCTION("GOOGLETRANSLATE(B52, ""it"", ""en"")"),"What happens if a player kicks the ball out of bounds during extra time?")</f>
        <v>What happens if a player kicks the ball out of bounds during extra time?</v>
      </c>
      <c r="H52" s="3" t="str">
        <f>IFERROR(__xludf.DUMMYFUNCTION("GOOGLETRANSLATE(C52, ""it"", ""en"")"),"A. The game continues B. The opposing team wins the ball C. The game is stopped D. The player receives a yellow card")</f>
        <v>A. The game continues B. The opposing team wins the ball C. The game is stopped D. The player receives a yellow card</v>
      </c>
      <c r="I52" s="3" t="str">
        <f>IFERROR(__xludf.DUMMYFUNCTION("GOOGLETRANSLATE(D52, ""it"", ""en"")"),"The opposing team wins the ball")</f>
        <v>The opposing team wins the ball</v>
      </c>
      <c r="J52" s="2"/>
      <c r="K52" s="2"/>
      <c r="L52" s="2"/>
      <c r="M52" s="2"/>
      <c r="N52" s="2"/>
      <c r="O52" s="2"/>
      <c r="P52" s="2"/>
      <c r="Q52" s="2"/>
    </row>
    <row r="53" ht="22.5" customHeight="1">
      <c r="A53" s="3">
        <v>52.0</v>
      </c>
      <c r="B53" s="3" t="s">
        <v>126</v>
      </c>
      <c r="C53" s="3" t="s">
        <v>127</v>
      </c>
      <c r="D53" s="3" t="s">
        <v>18</v>
      </c>
      <c r="E53" s="2"/>
      <c r="F53" s="3" t="str">
        <f>IFERROR(__xludf.DUMMYFUNCTION("GOOGLETRANSLATE(A53, ""it"", ""en"")"),"52")</f>
        <v>52</v>
      </c>
      <c r="G53" s="3" t="str">
        <f>IFERROR(__xludf.DUMMYFUNCTION("GOOGLETRANSLATE(B53, ""it"", ""en"")"),"What happens if a player accidentally hits the referee with the ball?")</f>
        <v>What happens if a player accidentally hits the referee with the ball?</v>
      </c>
      <c r="H53" s="3" t="str">
        <f>IFERROR(__xludf.DUMMYFUNCTION("GOOGLETRANSLATE(C53, ""it"", ""en"")"),"A. The game continues B. The game is stopped C. The opposing team earns a free kick D. The player receives a red card")</f>
        <v>A. The game continues B. The game is stopped C. The opposing team earns a free kick D. The player receives a red card</v>
      </c>
      <c r="I53" s="3" t="str">
        <f>IFERROR(__xludf.DUMMYFUNCTION("GOOGLETRANSLATE(D53, ""it"", ""en"")"),"The game is stopped")</f>
        <v>The game is stopped</v>
      </c>
      <c r="J53" s="2"/>
      <c r="K53" s="2"/>
      <c r="L53" s="2"/>
      <c r="M53" s="2"/>
      <c r="N53" s="2"/>
      <c r="O53" s="2"/>
      <c r="P53" s="2"/>
      <c r="Q53" s="2"/>
    </row>
    <row r="54" ht="22.5" customHeight="1">
      <c r="A54" s="3">
        <v>53.0</v>
      </c>
      <c r="B54" s="3" t="s">
        <v>128</v>
      </c>
      <c r="C54" s="3" t="s">
        <v>129</v>
      </c>
      <c r="D54" s="3" t="s">
        <v>12</v>
      </c>
      <c r="E54" s="2"/>
      <c r="F54" s="3" t="str">
        <f>IFERROR(__xludf.DUMMYFUNCTION("GOOGLETRANSLATE(A54, ""it"", ""en"")"),"53")</f>
        <v>53</v>
      </c>
      <c r="G54" s="3" t="str">
        <f>IFERROR(__xludf.DUMMYFUNCTION("GOOGLETRANSLATE(B54, ""it"", ""en"")"),"What happens if a player blocks a goal with his hand?")</f>
        <v>What happens if a player blocks a goal with his hand?</v>
      </c>
      <c r="H54" s="3" t="str">
        <f>IFERROR(__xludf.DUMMYFUNCTION("GOOGLETRANSLATE(C54, ""it"", ""en"")"),"A. The goal is disallowed B. The game continues C. The opposing team receives a free kick D. The player receives a red card")</f>
        <v>A. The goal is disallowed B. The game continues C. The opposing team receives a free kick D. The player receives a red card</v>
      </c>
      <c r="I54" s="3" t="str">
        <f>IFERROR(__xludf.DUMMYFUNCTION("GOOGLETRANSLATE(D54, ""it"", ""en"")"),"The game continues")</f>
        <v>The game continues</v>
      </c>
      <c r="J54" s="2"/>
      <c r="K54" s="2"/>
      <c r="L54" s="2"/>
      <c r="M54" s="2"/>
      <c r="N54" s="2"/>
      <c r="O54" s="2"/>
      <c r="P54" s="2"/>
      <c r="Q54" s="2"/>
    </row>
    <row r="55" ht="22.5" customHeight="1">
      <c r="A55" s="3">
        <v>54.0</v>
      </c>
      <c r="B55" s="3" t="s">
        <v>130</v>
      </c>
      <c r="C55" s="3" t="s">
        <v>29</v>
      </c>
      <c r="D55" s="3" t="s">
        <v>30</v>
      </c>
      <c r="E55" s="2"/>
      <c r="F55" s="3" t="str">
        <f>IFERROR(__xludf.DUMMYFUNCTION("GOOGLETRANSLATE(A55, ""it"", ""en"")"),"54")</f>
        <v>54</v>
      </c>
      <c r="G55" s="3" t="str">
        <f>IFERROR(__xludf.DUMMYFUNCTION("GOOGLETRANSLATE(B55, ""it"", ""en"")"),"What happens if a player behaves aggressively towards a referee?")</f>
        <v>What happens if a player behaves aggressively towards a referee?</v>
      </c>
      <c r="H55" s="3" t="str">
        <f>IFERROR(__xludf.DUMMYFUNCTION("GOOGLETRANSLATE(C55, ""it"", ""en"")"),"A. The game continues B. The player receives a red card C. The game is stopped D. The player receives a yellow card")</f>
        <v>A. The game continues B. The player receives a red card C. The game is stopped D. The player receives a yellow card</v>
      </c>
      <c r="I55" s="3" t="str">
        <f>IFERROR(__xludf.DUMMYFUNCTION("GOOGLETRANSLATE(D55, ""it"", ""en"")"),"The player receives a red card")</f>
        <v>The player receives a red card</v>
      </c>
      <c r="J55" s="2"/>
      <c r="K55" s="2"/>
      <c r="L55" s="2"/>
      <c r="M55" s="2"/>
      <c r="N55" s="2"/>
      <c r="O55" s="2"/>
      <c r="P55" s="2"/>
      <c r="Q55" s="2"/>
    </row>
    <row r="56" ht="22.5" customHeight="1">
      <c r="A56" s="3">
        <v>55.0</v>
      </c>
      <c r="B56" s="3" t="s">
        <v>131</v>
      </c>
      <c r="C56" s="3" t="s">
        <v>132</v>
      </c>
      <c r="D56" s="3" t="s">
        <v>35</v>
      </c>
      <c r="E56" s="2"/>
      <c r="F56" s="3" t="str">
        <f>IFERROR(__xludf.DUMMYFUNCTION("GOOGLETRANSLATE(A56, ""it"", ""en"")"),"55")</f>
        <v>55</v>
      </c>
      <c r="G56" s="3" t="str">
        <f>IFERROR(__xludf.DUMMYFUNCTION("GOOGLETRANSLATE(B56, ""it"", ""en"")"),"What happens if a player kicks a free kick that goes out of bounds?")</f>
        <v>What happens if a player kicks a free kick that goes out of bounds?</v>
      </c>
      <c r="H56" s="3" t="str">
        <f>IFERROR(__xludf.DUMMYFUNCTION("GOOGLETRANSLATE(C56, ""it"", ""en"")"),"A. The free kick is retaken B. The game continues C. The opposing team wins the ball D. The game is stopped")</f>
        <v>A. The free kick is retaken B. The game continues C. The opposing team wins the ball D. The game is stopped</v>
      </c>
      <c r="I56" s="3" t="str">
        <f>IFERROR(__xludf.DUMMYFUNCTION("GOOGLETRANSLATE(D56, ""it"", ""en"")"),"The free kick is retaken")</f>
        <v>The free kick is retaken</v>
      </c>
      <c r="J56" s="2"/>
      <c r="K56" s="2"/>
      <c r="L56" s="2"/>
      <c r="M56" s="2"/>
      <c r="N56" s="2"/>
      <c r="O56" s="2"/>
      <c r="P56" s="2"/>
      <c r="Q56" s="2"/>
    </row>
    <row r="57" ht="22.5" customHeight="1">
      <c r="A57" s="3">
        <v>56.0</v>
      </c>
      <c r="B57" s="3" t="s">
        <v>133</v>
      </c>
      <c r="C57" s="3" t="s">
        <v>134</v>
      </c>
      <c r="D57" s="3" t="s">
        <v>12</v>
      </c>
      <c r="E57" s="2"/>
      <c r="F57" s="3" t="str">
        <f>IFERROR(__xludf.DUMMYFUNCTION("GOOGLETRANSLATE(A57, ""it"", ""en"")"),"56")</f>
        <v>56</v>
      </c>
      <c r="G57" s="3" t="str">
        <f>IFERROR(__xludf.DUMMYFUNCTION("GOOGLETRANSLATE(B57, ""it"", ""en"")"),"What happens if a player loses his jersey during the game?")</f>
        <v>What happens if a player loses his jersey during the game?</v>
      </c>
      <c r="H57" s="3" t="str">
        <f>IFERROR(__xludf.DUMMYFUNCTION("GOOGLETRANSLATE(C57, ""it"", ""en"")"),"A. The game continues B. The player receives a yellow card C. The game is stopped D. The player must change shirts")</f>
        <v>A. The game continues B. The player receives a yellow card C. The game is stopped D. The player must change shirts</v>
      </c>
      <c r="I57" s="3" t="str">
        <f>IFERROR(__xludf.DUMMYFUNCTION("GOOGLETRANSLATE(D57, ""it"", ""en"")"),"The game continues")</f>
        <v>The game continues</v>
      </c>
      <c r="J57" s="2"/>
      <c r="K57" s="2"/>
      <c r="L57" s="2"/>
      <c r="M57" s="2"/>
      <c r="N57" s="2"/>
      <c r="O57" s="2"/>
      <c r="P57" s="2"/>
      <c r="Q57" s="2"/>
    </row>
    <row r="58" ht="22.5" customHeight="1">
      <c r="A58" s="3">
        <v>57.0</v>
      </c>
      <c r="B58" s="3" t="s">
        <v>135</v>
      </c>
      <c r="C58" s="3" t="s">
        <v>83</v>
      </c>
      <c r="D58" s="3" t="s">
        <v>30</v>
      </c>
      <c r="E58" s="2"/>
      <c r="F58" s="3" t="str">
        <f>IFERROR(__xludf.DUMMYFUNCTION("GOOGLETRANSLATE(A58, ""it"", ""en"")"),"57")</f>
        <v>57</v>
      </c>
      <c r="G58" s="3" t="str">
        <f>IFERROR(__xludf.DUMMYFUNCTION("GOOGLETRANSLATE(B58, ""it"", ""en"")"),"What happens if a player kicks an opponent during a tackle?")</f>
        <v>What happens if a player kicks an opponent during a tackle?</v>
      </c>
      <c r="H58" s="3" t="str">
        <f>IFERROR(__xludf.DUMMYFUNCTION("GOOGLETRANSLATE(C58, ""it"", ""en"")"),"A. The game continues B. The player receives a red card C. The player receives a yellow card D. The game is stopped")</f>
        <v>A. The game continues B. The player receives a red card C. The player receives a yellow card D. The game is stopped</v>
      </c>
      <c r="I58" s="3" t="str">
        <f>IFERROR(__xludf.DUMMYFUNCTION("GOOGLETRANSLATE(D58, ""it"", ""en"")"),"The player receives a red card")</f>
        <v>The player receives a red card</v>
      </c>
      <c r="J58" s="2"/>
      <c r="K58" s="2"/>
      <c r="L58" s="2"/>
      <c r="M58" s="2"/>
      <c r="N58" s="2"/>
      <c r="O58" s="2"/>
      <c r="P58" s="2"/>
      <c r="Q58" s="2"/>
    </row>
    <row r="59" ht="22.5" customHeight="1">
      <c r="A59" s="3">
        <v>58.0</v>
      </c>
      <c r="B59" s="3" t="s">
        <v>136</v>
      </c>
      <c r="C59" s="3" t="s">
        <v>137</v>
      </c>
      <c r="D59" s="3" t="s">
        <v>18</v>
      </c>
      <c r="E59" s="2"/>
      <c r="F59" s="3" t="str">
        <f>IFERROR(__xludf.DUMMYFUNCTION("GOOGLETRANSLATE(A59, ""it"", ""en"")"),"58")</f>
        <v>58</v>
      </c>
      <c r="G59" s="3" t="str">
        <f>IFERROR(__xludf.DUMMYFUNCTION("GOOGLETRANSLATE(B59, ""it"", ""en"")"),"What happens if a player commits a handball while on offense?")</f>
        <v>What happens if a player commits a handball while on offense?</v>
      </c>
      <c r="H59" s="3" t="str">
        <f>IFERROR(__xludf.DUMMYFUNCTION("GOOGLETRANSLATE(C59, ""it"", ""en"")"),"A. The game is stopped B. The opposing team earns a free kick C. The goal is disallowed D. The game continues")</f>
        <v>A. The game is stopped B. The opposing team earns a free kick C. The goal is disallowed D. The game continues</v>
      </c>
      <c r="I59" s="3" t="str">
        <f>IFERROR(__xludf.DUMMYFUNCTION("GOOGLETRANSLATE(D59, ""it"", ""en"")"),"The game is stopped")</f>
        <v>The game is stopped</v>
      </c>
      <c r="J59" s="2"/>
      <c r="K59" s="2"/>
      <c r="L59" s="2"/>
      <c r="M59" s="2"/>
      <c r="N59" s="2"/>
      <c r="O59" s="2"/>
      <c r="P59" s="2"/>
      <c r="Q59" s="2"/>
    </row>
    <row r="60" ht="22.5" customHeight="1">
      <c r="A60" s="3">
        <v>59.0</v>
      </c>
      <c r="B60" s="3" t="s">
        <v>138</v>
      </c>
      <c r="C60" s="3" t="s">
        <v>139</v>
      </c>
      <c r="D60" s="3" t="s">
        <v>111</v>
      </c>
      <c r="E60" s="2"/>
      <c r="F60" s="3" t="str">
        <f>IFERROR(__xludf.DUMMYFUNCTION("GOOGLETRANSLATE(A60, ""it"", ""en"")"),"59")</f>
        <v>59</v>
      </c>
      <c r="G60" s="3" t="str">
        <f>IFERROR(__xludf.DUMMYFUNCTION("GOOGLETRANSLATE(B60, ""it"", ""en"")"),"What happens if a player commits a foul near the goal line?")</f>
        <v>What happens if a player commits a foul near the goal line?</v>
      </c>
      <c r="H60" s="3" t="str">
        <f>IFERROR(__xludf.DUMMYFUNCTION("GOOGLETRANSLATE(C60, ""it"", ""en"")"),"A. The opposing team earns a free kick B. The game is stopped C. The player receives a yellow card D. The game continues")</f>
        <v>A. The opposing team earns a free kick B. The game is stopped C. The player receives a yellow card D. The game continues</v>
      </c>
      <c r="I60" s="3" t="str">
        <f>IFERROR(__xludf.DUMMYFUNCTION("GOOGLETRANSLATE(D60, ""it"", ""en"")"),"The opposing team earns a free kick")</f>
        <v>The opposing team earns a free kick</v>
      </c>
      <c r="J60" s="2"/>
      <c r="K60" s="2"/>
      <c r="L60" s="2"/>
      <c r="M60" s="2"/>
      <c r="N60" s="2"/>
      <c r="O60" s="2"/>
      <c r="P60" s="2"/>
      <c r="Q60" s="2"/>
    </row>
    <row r="61" ht="22.5" customHeight="1">
      <c r="A61" s="3">
        <v>60.0</v>
      </c>
      <c r="B61" s="3" t="s">
        <v>140</v>
      </c>
      <c r="C61" s="3" t="s">
        <v>141</v>
      </c>
      <c r="D61" s="3" t="s">
        <v>142</v>
      </c>
      <c r="E61" s="2"/>
      <c r="F61" s="3" t="str">
        <f>IFERROR(__xludf.DUMMYFUNCTION("GOOGLETRANSLATE(A61, ""it"", ""en"")"),"60")</f>
        <v>60</v>
      </c>
      <c r="G61" s="3" t="str">
        <f>IFERROR(__xludf.DUMMYFUNCTION("GOOGLETRANSLATE(B61, ""it"", ""en"")"),"What happens if a player kicks the ball out of bounds?")</f>
        <v>What happens if a player kicks the ball out of bounds?</v>
      </c>
      <c r="H61" s="3" t="str">
        <f>IFERROR(__xludf.DUMMYFUNCTION("GOOGLETRANSLATE(C61, ""it"", ""en"")"),"A. The game continues B. The opposing team receives the ball C. The game is stopped D. The player receives a red card")</f>
        <v>A. The game continues B. The opposing team receives the ball C. The game is stopped D. The player receives a red card</v>
      </c>
      <c r="I61" s="3" t="str">
        <f>IFERROR(__xludf.DUMMYFUNCTION("GOOGLETRANSLATE(D61, ""it"", ""en"")"),"The opposing team receives the ball")</f>
        <v>The opposing team receives the ball</v>
      </c>
      <c r="J61" s="2"/>
      <c r="K61" s="2"/>
      <c r="L61" s="2"/>
      <c r="M61" s="2"/>
      <c r="N61" s="2"/>
      <c r="O61" s="2"/>
      <c r="P61" s="2"/>
      <c r="Q61" s="2"/>
    </row>
    <row r="62" ht="22.5" customHeight="1">
      <c r="A62" s="3">
        <v>61.0</v>
      </c>
      <c r="B62" s="3" t="s">
        <v>143</v>
      </c>
      <c r="C62" s="3" t="s">
        <v>144</v>
      </c>
      <c r="D62" s="3" t="s">
        <v>145</v>
      </c>
      <c r="E62" s="2"/>
      <c r="F62" s="3" t="str">
        <f>IFERROR(__xludf.DUMMYFUNCTION("GOOGLETRANSLATE(A62, ""it"", ""en"")"),"61")</f>
        <v>61</v>
      </c>
      <c r="G62" s="3" t="str">
        <f>IFERROR(__xludf.DUMMYFUNCTION("GOOGLETRANSLATE(B62, ""it"", ""en"")"),"What happens if a player is injured but can't get up?")</f>
        <v>What happens if a player is injured but can't get up?</v>
      </c>
      <c r="H62" s="3" t="str">
        <f>IFERROR(__xludf.DUMMYFUNCTION("GOOGLETRANSLATE(C62, ""it"", ""en"")"),"A. Play is suspended until the player is assisted B. Play continues C. The player must leave the court D. Play is stopped")</f>
        <v>A. Play is suspended until the player is assisted B. Play continues C. The player must leave the court D. Play is stopped</v>
      </c>
      <c r="I62" s="3" t="str">
        <f>IFERROR(__xludf.DUMMYFUNCTION("GOOGLETRANSLATE(D62, ""it"", ""en"")"),"The game is suspended until the player is assisted")</f>
        <v>The game is suspended until the player is assisted</v>
      </c>
      <c r="J62" s="2"/>
      <c r="K62" s="2"/>
      <c r="L62" s="2"/>
      <c r="M62" s="2"/>
      <c r="N62" s="2"/>
      <c r="O62" s="2"/>
      <c r="P62" s="2"/>
      <c r="Q62" s="2"/>
    </row>
    <row r="63" ht="22.5" customHeight="1">
      <c r="A63" s="3">
        <v>62.0</v>
      </c>
      <c r="B63" s="3" t="s">
        <v>146</v>
      </c>
      <c r="C63" s="3" t="s">
        <v>147</v>
      </c>
      <c r="D63" s="3" t="s">
        <v>18</v>
      </c>
      <c r="E63" s="2"/>
      <c r="F63" s="3" t="str">
        <f>IFERROR(__xludf.DUMMYFUNCTION("GOOGLETRANSLATE(A63, ""it"", ""en"")"),"62")</f>
        <v>62</v>
      </c>
      <c r="G63" s="3" t="str">
        <f>IFERROR(__xludf.DUMMYFUNCTION("GOOGLETRANSLATE(B63, ""it"", ""en"")"),"What happens if a player makes a sliding tackle on an opponent?")</f>
        <v>What happens if a player makes a sliding tackle on an opponent?</v>
      </c>
      <c r="H63" s="3" t="str">
        <f>IFERROR(__xludf.DUMMYFUNCTION("GOOGLETRANSLATE(C63, ""it"", ""en"")"),"A. The game is stopped B. The player receives a red card C. The player receives a yellow card D. The game continues")</f>
        <v>A. The game is stopped B. The player receives a red card C. The player receives a yellow card D. The game continues</v>
      </c>
      <c r="I63" s="3" t="str">
        <f>IFERROR(__xludf.DUMMYFUNCTION("GOOGLETRANSLATE(D63, ""it"", ""en"")"),"The game is stopped")</f>
        <v>The game is stopped</v>
      </c>
      <c r="J63" s="2"/>
      <c r="K63" s="2"/>
      <c r="L63" s="2"/>
      <c r="M63" s="2"/>
      <c r="N63" s="2"/>
      <c r="O63" s="2"/>
      <c r="P63" s="2"/>
      <c r="Q63" s="2"/>
    </row>
    <row r="64" ht="22.5" customHeight="1">
      <c r="A64" s="3">
        <v>63.0</v>
      </c>
      <c r="B64" s="3" t="s">
        <v>148</v>
      </c>
      <c r="C64" s="3" t="s">
        <v>29</v>
      </c>
      <c r="D64" s="3" t="s">
        <v>30</v>
      </c>
      <c r="E64" s="2"/>
      <c r="F64" s="3" t="str">
        <f>IFERROR(__xludf.DUMMYFUNCTION("GOOGLETRANSLATE(A64, ""it"", ""en"")"),"63")</f>
        <v>63</v>
      </c>
      <c r="G64" s="3" t="str">
        <f>IFERROR(__xludf.DUMMYFUNCTION("GOOGLETRANSLATE(B64, ""it"", ""en"")"),"What happens if a player intentionally injures an opponent?")</f>
        <v>What happens if a player intentionally injures an opponent?</v>
      </c>
      <c r="H64" s="3" t="str">
        <f>IFERROR(__xludf.DUMMYFUNCTION("GOOGLETRANSLATE(C64, ""it"", ""en"")"),"A. The game continues B. The player receives a red card C. The game is stopped D. The player receives a yellow card")</f>
        <v>A. The game continues B. The player receives a red card C. The game is stopped D. The player receives a yellow card</v>
      </c>
      <c r="I64" s="3" t="str">
        <f>IFERROR(__xludf.DUMMYFUNCTION("GOOGLETRANSLATE(D64, ""it"", ""en"")"),"The player receives a red card")</f>
        <v>The player receives a red card</v>
      </c>
      <c r="J64" s="2"/>
      <c r="K64" s="2"/>
      <c r="L64" s="2"/>
      <c r="M64" s="2"/>
      <c r="N64" s="2"/>
      <c r="O64" s="2"/>
      <c r="P64" s="2"/>
      <c r="Q64" s="2"/>
    </row>
    <row r="65" ht="22.5" customHeight="1">
      <c r="A65" s="3">
        <v>64.0</v>
      </c>
      <c r="B65" s="3" t="s">
        <v>149</v>
      </c>
      <c r="C65" s="3" t="s">
        <v>150</v>
      </c>
      <c r="D65" s="3" t="s">
        <v>151</v>
      </c>
      <c r="E65" s="2"/>
      <c r="F65" s="3" t="str">
        <f>IFERROR(__xludf.DUMMYFUNCTION("GOOGLETRANSLATE(A65, ""it"", ""en"")"),"64")</f>
        <v>64</v>
      </c>
      <c r="G65" s="3" t="str">
        <f>IFERROR(__xludf.DUMMYFUNCTION("GOOGLETRANSLATE(B65, ""it"", ""en"")"),"What happens if the game is interrupted due to a technical problem?")</f>
        <v>What happens if the game is interrupted due to a technical problem?</v>
      </c>
      <c r="H65" s="3" t="str">
        <f>IFERROR(__xludf.DUMMYFUNCTION("GOOGLETRANSLATE(C65, ""it"", ""en"")"),"A. The game continues B. The game is resumed from where it was interrupted C. The opposing team gains the ball D. The game is suspended")</f>
        <v>A. The game continues B. The game is resumed from where it was interrupted C. The opposing team gains the ball D. The game is suspended</v>
      </c>
      <c r="I65" s="3" t="str">
        <f>IFERROR(__xludf.DUMMYFUNCTION("GOOGLETRANSLATE(D65, ""it"", ""en"")"),"The game resumes from where it was interrupted.")</f>
        <v>The game resumes from where it was interrupted.</v>
      </c>
      <c r="J65" s="2"/>
      <c r="K65" s="2"/>
      <c r="L65" s="2"/>
      <c r="M65" s="2"/>
      <c r="N65" s="2"/>
      <c r="O65" s="2"/>
      <c r="P65" s="2"/>
      <c r="Q65" s="2"/>
    </row>
    <row r="66" ht="22.5" customHeight="1">
      <c r="A66" s="3">
        <v>65.0</v>
      </c>
      <c r="B66" s="3" t="s">
        <v>152</v>
      </c>
      <c r="C66" s="3" t="s">
        <v>153</v>
      </c>
      <c r="D66" s="3" t="s">
        <v>94</v>
      </c>
      <c r="E66" s="2"/>
      <c r="F66" s="3" t="str">
        <f>IFERROR(__xludf.DUMMYFUNCTION("GOOGLETRANSLATE(A66, ""it"", ""en"")"),"65")</f>
        <v>65</v>
      </c>
      <c r="G66" s="3" t="str">
        <f>IFERROR(__xludf.DUMMYFUNCTION("GOOGLETRANSLATE(B66, ""it"", ""en"")"),"What happens if a player scores a goal but is out of play?")</f>
        <v>What happens if a player scores a goal but is out of play?</v>
      </c>
      <c r="H66" s="3" t="str">
        <f>IFERROR(__xludf.DUMMYFUNCTION("GOOGLETRANSLATE(C66, ""it"", ""en"")"),"A. The goal is disallowed B. The game continues C. The player receives a red card D. The game is stopped")</f>
        <v>A. The goal is disallowed B. The game continues C. The player receives a red card D. The game is stopped</v>
      </c>
      <c r="I66" s="3" t="str">
        <f>IFERROR(__xludf.DUMMYFUNCTION("GOOGLETRANSLATE(D66, ""it"", ""en"")"),"The goal is disallowed")</f>
        <v>The goal is disallowed</v>
      </c>
      <c r="J66" s="2"/>
      <c r="K66" s="2"/>
      <c r="L66" s="2"/>
      <c r="M66" s="2"/>
      <c r="N66" s="2"/>
      <c r="O66" s="2"/>
      <c r="P66" s="2"/>
      <c r="Q66" s="2"/>
    </row>
    <row r="67" ht="22.5" customHeight="1">
      <c r="A67" s="3">
        <v>66.0</v>
      </c>
      <c r="B67" s="3" t="s">
        <v>154</v>
      </c>
      <c r="C67" s="3" t="s">
        <v>155</v>
      </c>
      <c r="D67" s="3" t="s">
        <v>18</v>
      </c>
      <c r="E67" s="2"/>
      <c r="F67" s="3" t="str">
        <f>IFERROR(__xludf.DUMMYFUNCTION("GOOGLETRANSLATE(A67, ""it"", ""en"")"),"66")</f>
        <v>66</v>
      </c>
      <c r="G67" s="3" t="str">
        <f>IFERROR(__xludf.DUMMYFUNCTION("GOOGLETRANSLATE(B67, ""it"", ""en"")"),"What happens if a player fouls an opponent during a scrum?")</f>
        <v>What happens if a player fouls an opponent during a scrum?</v>
      </c>
      <c r="H67" s="3" t="str">
        <f>IFERROR(__xludf.DUMMYFUNCTION("GOOGLETRANSLATE(C67, ""it"", ""en"")"),"A. The game is stopped B. The player receives a yellow card C. The game continues D. The opposing team earns a free kick")</f>
        <v>A. The game is stopped B. The player receives a yellow card C. The game continues D. The opposing team earns a free kick</v>
      </c>
      <c r="I67" s="3" t="str">
        <f>IFERROR(__xludf.DUMMYFUNCTION("GOOGLETRANSLATE(D67, ""it"", ""en"")"),"The game is stopped")</f>
        <v>The game is stopped</v>
      </c>
      <c r="J67" s="2"/>
      <c r="K67" s="2"/>
      <c r="L67" s="2"/>
      <c r="M67" s="2"/>
      <c r="N67" s="2"/>
      <c r="O67" s="2"/>
      <c r="P67" s="2"/>
      <c r="Q67" s="2"/>
    </row>
    <row r="68" ht="22.5" customHeight="1">
      <c r="A68" s="3">
        <v>67.0</v>
      </c>
      <c r="B68" s="3" t="s">
        <v>156</v>
      </c>
      <c r="C68" s="3" t="s">
        <v>37</v>
      </c>
      <c r="D68" s="3" t="s">
        <v>111</v>
      </c>
      <c r="E68" s="2"/>
      <c r="F68" s="3" t="str">
        <f>IFERROR(__xludf.DUMMYFUNCTION("GOOGLETRANSLATE(A68, ""it"", ""en"")"),"67")</f>
        <v>67</v>
      </c>
      <c r="G68" s="3" t="str">
        <f>IFERROR(__xludf.DUMMYFUNCTION("GOOGLETRANSLATE(B68, ""it"", ""en"")"),"What happens if the goalkeeper leaves his penalty area and commits a foul?")</f>
        <v>What happens if the goalkeeper leaves his penalty area and commits a foul?</v>
      </c>
      <c r="H68" s="3" t="str">
        <f>IFERROR(__xludf.DUMMYFUNCTION("GOOGLETRANSLATE(C68, ""it"", ""en"")"),"A. The game continues B. The player receives a red card C. The game is stopped D. The opposing team earns a free kick")</f>
        <v>A. The game continues B. The player receives a red card C. The game is stopped D. The opposing team earns a free kick</v>
      </c>
      <c r="I68" s="3" t="str">
        <f>IFERROR(__xludf.DUMMYFUNCTION("GOOGLETRANSLATE(D68, ""it"", ""en"")"),"The opposing team earns a free kick")</f>
        <v>The opposing team earns a free kick</v>
      </c>
      <c r="J68" s="2"/>
      <c r="K68" s="2"/>
      <c r="L68" s="2"/>
      <c r="M68" s="2"/>
      <c r="N68" s="2"/>
      <c r="O68" s="2"/>
      <c r="P68" s="2"/>
      <c r="Q68" s="2"/>
    </row>
    <row r="69" ht="22.5" customHeight="1">
      <c r="A69" s="3">
        <v>68.0</v>
      </c>
      <c r="B69" s="3" t="s">
        <v>157</v>
      </c>
      <c r="C69" s="3" t="s">
        <v>158</v>
      </c>
      <c r="D69" s="3" t="s">
        <v>27</v>
      </c>
      <c r="E69" s="2"/>
      <c r="F69" s="3" t="str">
        <f>IFERROR(__xludf.DUMMYFUNCTION("GOOGLETRANSLATE(A69, ""it"", ""en"")"),"68")</f>
        <v>68</v>
      </c>
      <c r="G69" s="3" t="str">
        <f>IFERROR(__xludf.DUMMYFUNCTION("GOOGLETRANSLATE(B69, ""it"", ""en"")"),"What happens if a player holds the ball too long without passing?")</f>
        <v>What happens if a player holds the ball too long without passing?</v>
      </c>
      <c r="H69" s="3" t="str">
        <f>IFERROR(__xludf.DUMMYFUNCTION("GOOGLETRANSLATE(C69, ""it"", ""en"")"),"A. The game continues B. The opposing team wins the ball C. The player receives a yellow card D. The game is stopped")</f>
        <v>A. The game continues B. The opposing team wins the ball C. The player receives a yellow card D. The game is stopped</v>
      </c>
      <c r="I69" s="3" t="str">
        <f>IFERROR(__xludf.DUMMYFUNCTION("GOOGLETRANSLATE(D69, ""it"", ""en"")"),"The player receives a yellow card")</f>
        <v>The player receives a yellow card</v>
      </c>
      <c r="J69" s="2"/>
      <c r="K69" s="2"/>
      <c r="L69" s="2"/>
      <c r="M69" s="2"/>
      <c r="N69" s="2"/>
      <c r="O69" s="2"/>
      <c r="P69" s="2"/>
      <c r="Q69" s="2"/>
    </row>
    <row r="70" ht="22.5" customHeight="1">
      <c r="A70" s="3">
        <v>69.0</v>
      </c>
      <c r="B70" s="3" t="s">
        <v>159</v>
      </c>
      <c r="C70" s="3" t="s">
        <v>101</v>
      </c>
      <c r="D70" s="3" t="s">
        <v>27</v>
      </c>
      <c r="E70" s="2"/>
      <c r="F70" s="3" t="str">
        <f>IFERROR(__xludf.DUMMYFUNCTION("GOOGLETRANSLATE(A70, ""it"", ""en"")"),"69")</f>
        <v>69</v>
      </c>
      <c r="G70" s="3" t="str">
        <f>IFERROR(__xludf.DUMMYFUNCTION("GOOGLETRANSLATE(B70, ""it"", ""en"")"),"What happens if a player makes a bad foul simulation?")</f>
        <v>What happens if a player makes a bad foul simulation?</v>
      </c>
      <c r="H70" s="3" t="str">
        <f>IFERROR(__xludf.DUMMYFUNCTION("GOOGLETRANSLATE(C70, ""it"", ""en"")"),"A. The game continues B. The player receives a yellow card C. The game is stopped D. The player receives a red card")</f>
        <v>A. The game continues B. The player receives a yellow card C. The game is stopped D. The player receives a red card</v>
      </c>
      <c r="I70" s="3" t="str">
        <f>IFERROR(__xludf.DUMMYFUNCTION("GOOGLETRANSLATE(D70, ""it"", ""en"")"),"The player receives a yellow card")</f>
        <v>The player receives a yellow card</v>
      </c>
      <c r="J70" s="2"/>
      <c r="K70" s="2"/>
      <c r="L70" s="2"/>
      <c r="M70" s="2"/>
      <c r="N70" s="2"/>
      <c r="O70" s="2"/>
      <c r="P70" s="2"/>
      <c r="Q70" s="2"/>
    </row>
    <row r="71" ht="22.5" customHeight="1">
      <c r="A71" s="3">
        <v>70.0</v>
      </c>
      <c r="B71" s="3" t="s">
        <v>160</v>
      </c>
      <c r="C71" s="3" t="s">
        <v>161</v>
      </c>
      <c r="D71" s="3" t="s">
        <v>12</v>
      </c>
      <c r="E71" s="2"/>
      <c r="F71" s="3" t="str">
        <f>IFERROR(__xludf.DUMMYFUNCTION("GOOGLETRANSLATE(A71, ""it"", ""en"")"),"70")</f>
        <v>70</v>
      </c>
      <c r="G71" s="3" t="str">
        <f>IFERROR(__xludf.DUMMYFUNCTION("GOOGLETRANSLATE(B71, ""it"", ""en"")"),"What happens if a player hits the ball incorrectly with his head?")</f>
        <v>What happens if a player hits the ball incorrectly with his head?</v>
      </c>
      <c r="H71" s="3" t="str">
        <f>IFERROR(__xludf.DUMMYFUNCTION("GOOGLETRANSLATE(C71, ""it"", ""en"")"),"A. The game is stopped B. The game continues C. The player receives a yellow card D. The player receives a red card")</f>
        <v>A. The game is stopped B. The game continues C. The player receives a yellow card D. The player receives a red card</v>
      </c>
      <c r="I71" s="3" t="str">
        <f>IFERROR(__xludf.DUMMYFUNCTION("GOOGLETRANSLATE(D71, ""it"", ""en"")"),"The game continues")</f>
        <v>The game continues</v>
      </c>
      <c r="J71" s="2"/>
      <c r="K71" s="2"/>
      <c r="L71" s="2"/>
      <c r="M71" s="2"/>
      <c r="N71" s="2"/>
      <c r="O71" s="2"/>
      <c r="P71" s="2"/>
      <c r="Q71" s="2"/>
    </row>
    <row r="72" ht="22.5" customHeight="1">
      <c r="A72" s="3">
        <v>71.0</v>
      </c>
      <c r="B72" s="3" t="s">
        <v>162</v>
      </c>
      <c r="C72" s="3" t="s">
        <v>163</v>
      </c>
      <c r="D72" s="3" t="s">
        <v>18</v>
      </c>
      <c r="E72" s="2"/>
      <c r="F72" s="3" t="str">
        <f>IFERROR(__xludf.DUMMYFUNCTION("GOOGLETRANSLATE(A72, ""it"", ""en"")"),"71")</f>
        <v>71</v>
      </c>
      <c r="G72" s="3" t="str">
        <f>IFERROR(__xludf.DUMMYFUNCTION("GOOGLETRANSLATE(B72, ""it"", ""en"")"),"What happens if a player fouls an opponent from behind?")</f>
        <v>What happens if a player fouls an opponent from behind?</v>
      </c>
      <c r="H72" s="3" t="str">
        <f>IFERROR(__xludf.DUMMYFUNCTION("GOOGLETRANSLATE(C72, ""it"", ""en"")"),"A. The game is stopped B. The player receives a red card C. The game continues D. The player receives a yellow card")</f>
        <v>A. The game is stopped B. The player receives a red card C. The game continues D. The player receives a yellow card</v>
      </c>
      <c r="I72" s="3" t="str">
        <f>IFERROR(__xludf.DUMMYFUNCTION("GOOGLETRANSLATE(D72, ""it"", ""en"")"),"The game is stopped")</f>
        <v>The game is stopped</v>
      </c>
      <c r="J72" s="2"/>
      <c r="K72" s="2"/>
      <c r="L72" s="2"/>
      <c r="M72" s="2"/>
      <c r="N72" s="2"/>
      <c r="O72" s="2"/>
      <c r="P72" s="2"/>
      <c r="Q72" s="2"/>
    </row>
    <row r="73" ht="22.5" customHeight="1">
      <c r="A73" s="3">
        <v>72.0</v>
      </c>
      <c r="B73" s="3" t="s">
        <v>164</v>
      </c>
      <c r="C73" s="3" t="s">
        <v>165</v>
      </c>
      <c r="D73" s="3" t="s">
        <v>111</v>
      </c>
      <c r="E73" s="2"/>
      <c r="F73" s="3" t="str">
        <f>IFERROR(__xludf.DUMMYFUNCTION("GOOGLETRANSLATE(A73, ""it"", ""en"")"),"72")</f>
        <v>72</v>
      </c>
      <c r="G73" s="3" t="str">
        <f>IFERROR(__xludf.DUMMYFUNCTION("GOOGLETRANSLATE(B73, ""it"", ""en"")"),"What happens if a player uses his hands to stop an attack?")</f>
        <v>What happens if a player uses his hands to stop an attack?</v>
      </c>
      <c r="H73" s="3" t="str">
        <f>IFERROR(__xludf.DUMMYFUNCTION("GOOGLETRANSLATE(C73, ""it"", ""en"")"),"A. The game is stopped B. The opposing team earns a free kick C. The game continues D. The player receives a yellow card")</f>
        <v>A. The game is stopped B. The opposing team earns a free kick C. The game continues D. The player receives a yellow card</v>
      </c>
      <c r="I73" s="3" t="str">
        <f>IFERROR(__xludf.DUMMYFUNCTION("GOOGLETRANSLATE(D73, ""it"", ""en"")"),"The opposing team earns a free kick")</f>
        <v>The opposing team earns a free kick</v>
      </c>
      <c r="J73" s="2"/>
      <c r="K73" s="2"/>
      <c r="L73" s="2"/>
      <c r="M73" s="2"/>
      <c r="N73" s="2"/>
      <c r="O73" s="2"/>
      <c r="P73" s="2"/>
      <c r="Q73" s="2"/>
    </row>
    <row r="74" ht="22.5" customHeight="1">
      <c r="A74" s="3">
        <v>73.0</v>
      </c>
      <c r="B74" s="3" t="s">
        <v>166</v>
      </c>
      <c r="C74" s="3" t="s">
        <v>167</v>
      </c>
      <c r="D74" s="3" t="s">
        <v>35</v>
      </c>
      <c r="E74" s="2"/>
      <c r="F74" s="3" t="str">
        <f>IFERROR(__xludf.DUMMYFUNCTION("GOOGLETRANSLATE(A74, ""it"", ""en"")"),"73")</f>
        <v>73</v>
      </c>
      <c r="G74" s="3" t="str">
        <f>IFERROR(__xludf.DUMMYFUNCTION("GOOGLETRANSLATE(B74, ""it"", ""en"")"),"What happens if a player disobeys a free kick?")</f>
        <v>What happens if a player disobeys a free kick?</v>
      </c>
      <c r="H74" s="3" t="str">
        <f>IFERROR(__xludf.DUMMYFUNCTION("GOOGLETRANSLATE(C74, ""it"", ""en"")"),"A. The game is stopped B. The player receives a red card C. The game continues D. The free kick is retaken")</f>
        <v>A. The game is stopped B. The player receives a red card C. The game continues D. The free kick is retaken</v>
      </c>
      <c r="I74" s="3" t="str">
        <f>IFERROR(__xludf.DUMMYFUNCTION("GOOGLETRANSLATE(D74, ""it"", ""en"")"),"The free kick is retaken")</f>
        <v>The free kick is retaken</v>
      </c>
      <c r="J74" s="2"/>
      <c r="K74" s="2"/>
      <c r="L74" s="2"/>
      <c r="M74" s="2"/>
      <c r="N74" s="2"/>
      <c r="O74" s="2"/>
      <c r="P74" s="2"/>
      <c r="Q74" s="2"/>
    </row>
    <row r="75" ht="22.5" customHeight="1">
      <c r="A75" s="3">
        <v>74.0</v>
      </c>
      <c r="B75" s="3" t="s">
        <v>168</v>
      </c>
      <c r="C75" s="3" t="s">
        <v>163</v>
      </c>
      <c r="D75" s="3" t="s">
        <v>30</v>
      </c>
      <c r="E75" s="2"/>
      <c r="F75" s="3" t="str">
        <f>IFERROR(__xludf.DUMMYFUNCTION("GOOGLETRANSLATE(A75, ""it"", ""en"")"),"74")</f>
        <v>74</v>
      </c>
      <c r="G75" s="3" t="str">
        <f>IFERROR(__xludf.DUMMYFUNCTION("GOOGLETRANSLATE(B75, ""it"", ""en"")"),"What happens if a player uses violent behavior during a match?")</f>
        <v>What happens if a player uses violent behavior during a match?</v>
      </c>
      <c r="H75" s="3" t="str">
        <f>IFERROR(__xludf.DUMMYFUNCTION("GOOGLETRANSLATE(C75, ""it"", ""en"")"),"A. The game is stopped B. The player receives a red card C. The game continues D. The player receives a yellow card")</f>
        <v>A. The game is stopped B. The player receives a red card C. The game continues D. The player receives a yellow card</v>
      </c>
      <c r="I75" s="3" t="str">
        <f>IFERROR(__xludf.DUMMYFUNCTION("GOOGLETRANSLATE(D75, ""it"", ""en"")"),"The player receives a red card")</f>
        <v>The player receives a red card</v>
      </c>
      <c r="J75" s="2"/>
      <c r="K75" s="2"/>
      <c r="L75" s="2"/>
      <c r="M75" s="2"/>
      <c r="N75" s="2"/>
      <c r="O75" s="2"/>
      <c r="P75" s="2"/>
      <c r="Q75" s="2"/>
    </row>
    <row r="76" ht="22.5" customHeight="1">
      <c r="A76" s="3">
        <v>75.0</v>
      </c>
      <c r="B76" s="3" t="s">
        <v>169</v>
      </c>
      <c r="C76" s="3" t="s">
        <v>170</v>
      </c>
      <c r="D76" s="3" t="s">
        <v>171</v>
      </c>
      <c r="E76" s="2"/>
      <c r="F76" s="3" t="str">
        <f>IFERROR(__xludf.DUMMYFUNCTION("GOOGLETRANSLATE(A76, ""it"", ""en"")"),"75")</f>
        <v>75</v>
      </c>
      <c r="G76" s="3" t="str">
        <f>IFERROR(__xludf.DUMMYFUNCTION("GOOGLETRANSLATE(B76, ""it"", ""en"")"),"What happens if the goalkeeper makes a mistake when catching the ball and it goes into the net?")</f>
        <v>What happens if the goalkeeper makes a mistake when catching the ball and it goes into the net?</v>
      </c>
      <c r="H76" s="3" t="str">
        <f>IFERROR(__xludf.DUMMYFUNCTION("GOOGLETRANSLATE(C76, ""it"", ""en"")"),"A. The goal is valid B. The goal is disallowed C. The game is stopped D. The goalkeeper receives a yellow card")</f>
        <v>A. The goal is valid B. The goal is disallowed C. The game is stopped D. The goalkeeper receives a yellow card</v>
      </c>
      <c r="I76" s="3" t="str">
        <f>IFERROR(__xludf.DUMMYFUNCTION("GOOGLETRANSLATE(D76, ""it"", ""en"")"),"The goal is valid")</f>
        <v>The goal is valid</v>
      </c>
      <c r="J76" s="2"/>
      <c r="K76" s="2"/>
      <c r="L76" s="2"/>
      <c r="M76" s="2"/>
      <c r="N76" s="2"/>
      <c r="O76" s="2"/>
      <c r="P76" s="2"/>
      <c r="Q76" s="2"/>
    </row>
    <row r="77" ht="22.5" customHeight="1">
      <c r="A77" s="3">
        <v>76.0</v>
      </c>
      <c r="B77" s="3" t="s">
        <v>172</v>
      </c>
      <c r="C77" s="3" t="s">
        <v>127</v>
      </c>
      <c r="D77" s="3" t="s">
        <v>18</v>
      </c>
      <c r="E77" s="2"/>
      <c r="F77" s="3" t="str">
        <f>IFERROR(__xludf.DUMMYFUNCTION("GOOGLETRANSLATE(A77, ""it"", ""en"")"),"76")</f>
        <v>76</v>
      </c>
      <c r="G77" s="3" t="str">
        <f>IFERROR(__xludf.DUMMYFUNCTION("GOOGLETRANSLATE(B77, ""it"", ""en"")"),"What happens if a player pushes an opponent during a game?")</f>
        <v>What happens if a player pushes an opponent during a game?</v>
      </c>
      <c r="H77" s="3" t="str">
        <f>IFERROR(__xludf.DUMMYFUNCTION("GOOGLETRANSLATE(C77, ""it"", ""en"")"),"A. The game continues B. The game is stopped C. The opposing team earns a free kick D. The player receives a red card")</f>
        <v>A. The game continues B. The game is stopped C. The opposing team earns a free kick D. The player receives a red card</v>
      </c>
      <c r="I77" s="3" t="str">
        <f>IFERROR(__xludf.DUMMYFUNCTION("GOOGLETRANSLATE(D77, ""it"", ""en"")"),"The game is stopped")</f>
        <v>The game is stopped</v>
      </c>
      <c r="J77" s="2"/>
      <c r="K77" s="2"/>
      <c r="L77" s="2"/>
      <c r="M77" s="2"/>
      <c r="N77" s="2"/>
      <c r="O77" s="2"/>
      <c r="P77" s="2"/>
      <c r="Q77" s="2"/>
    </row>
    <row r="78" ht="22.5" customHeight="1">
      <c r="A78" s="3">
        <v>77.0</v>
      </c>
      <c r="B78" s="3" t="s">
        <v>173</v>
      </c>
      <c r="C78" s="3" t="s">
        <v>163</v>
      </c>
      <c r="D78" s="3" t="s">
        <v>30</v>
      </c>
      <c r="E78" s="2"/>
      <c r="F78" s="3" t="str">
        <f>IFERROR(__xludf.DUMMYFUNCTION("GOOGLETRANSLATE(A78, ""it"", ""en"")"),"77")</f>
        <v>77</v>
      </c>
      <c r="G78" s="3" t="str">
        <f>IFERROR(__xludf.DUMMYFUNCTION("GOOGLETRANSLATE(B78, ""it"", ""en"")"),"If a player slides an opponent and injures him, what happens?")</f>
        <v>If a player slides an opponent and injures him, what happens?</v>
      </c>
      <c r="H78" s="3" t="str">
        <f>IFERROR(__xludf.DUMMYFUNCTION("GOOGLETRANSLATE(C78, ""it"", ""en"")"),"A. The game is stopped B. The player receives a red card C. The game continues D. The player receives a yellow card")</f>
        <v>A. The game is stopped B. The player receives a red card C. The game continues D. The player receives a yellow card</v>
      </c>
      <c r="I78" s="3" t="str">
        <f>IFERROR(__xludf.DUMMYFUNCTION("GOOGLETRANSLATE(D78, ""it"", ""en"")"),"The player receives a red card")</f>
        <v>The player receives a red card</v>
      </c>
      <c r="J78" s="2"/>
      <c r="K78" s="2"/>
      <c r="L78" s="2"/>
      <c r="M78" s="2"/>
      <c r="N78" s="2"/>
      <c r="O78" s="2"/>
      <c r="P78" s="2"/>
      <c r="Q78" s="2"/>
    </row>
    <row r="79" ht="22.5" customHeight="1">
      <c r="A79" s="3">
        <v>78.0</v>
      </c>
      <c r="B79" s="3" t="s">
        <v>174</v>
      </c>
      <c r="C79" s="3" t="s">
        <v>103</v>
      </c>
      <c r="D79" s="3" t="s">
        <v>12</v>
      </c>
      <c r="E79" s="2"/>
      <c r="F79" s="3" t="str">
        <f>IFERROR(__xludf.DUMMYFUNCTION("GOOGLETRANSLATE(A79, ""it"", ""en"")"),"78")</f>
        <v>78</v>
      </c>
      <c r="G79" s="3" t="str">
        <f>IFERROR(__xludf.DUMMYFUNCTION("GOOGLETRANSLATE(B79, ""it"", ""en"")"),"What happens if a player kicks the ball incorrectly during play?")</f>
        <v>What happens if a player kicks the ball incorrectly during play?</v>
      </c>
      <c r="H79" s="3" t="str">
        <f>IFERROR(__xludf.DUMMYFUNCTION("GOOGLETRANSLATE(C79, ""it"", ""en"")"),"A. The game continues B. The opposing team earns a free kick C. The game is stopped D. The player receives a red card")</f>
        <v>A. The game continues B. The opposing team earns a free kick C. The game is stopped D. The player receives a red card</v>
      </c>
      <c r="I79" s="3" t="str">
        <f>IFERROR(__xludf.DUMMYFUNCTION("GOOGLETRANSLATE(D79, ""it"", ""en"")"),"The game continues")</f>
        <v>The game continues</v>
      </c>
      <c r="J79" s="2"/>
      <c r="K79" s="2"/>
      <c r="L79" s="2"/>
      <c r="M79" s="2"/>
      <c r="N79" s="2"/>
      <c r="O79" s="2"/>
      <c r="P79" s="2"/>
      <c r="Q79" s="2"/>
    </row>
    <row r="80" ht="22.5" customHeight="1">
      <c r="A80" s="3">
        <v>79.0</v>
      </c>
      <c r="B80" s="3" t="s">
        <v>175</v>
      </c>
      <c r="C80" s="3" t="s">
        <v>163</v>
      </c>
      <c r="D80" s="3" t="s">
        <v>30</v>
      </c>
      <c r="E80" s="2"/>
      <c r="F80" s="3" t="str">
        <f>IFERROR(__xludf.DUMMYFUNCTION("GOOGLETRANSLATE(A80, ""it"", ""en"")"),"79")</f>
        <v>79</v>
      </c>
      <c r="G80" s="3" t="str">
        <f>IFERROR(__xludf.DUMMYFUNCTION("GOOGLETRANSLATE(B80, ""it"", ""en"")"),"What happens if a player makes a violent gesture towards an opponent?")</f>
        <v>What happens if a player makes a violent gesture towards an opponent?</v>
      </c>
      <c r="H80" s="3" t="str">
        <f>IFERROR(__xludf.DUMMYFUNCTION("GOOGLETRANSLATE(C80, ""it"", ""en"")"),"A. The game is stopped B. The player receives a red card C. The game continues D. The player receives a yellow card")</f>
        <v>A. The game is stopped B. The player receives a red card C. The game continues D. The player receives a yellow card</v>
      </c>
      <c r="I80" s="3" t="str">
        <f>IFERROR(__xludf.DUMMYFUNCTION("GOOGLETRANSLATE(D80, ""it"", ""en"")"),"The player receives a red card")</f>
        <v>The player receives a red card</v>
      </c>
      <c r="J80" s="2"/>
      <c r="K80" s="2"/>
      <c r="L80" s="2"/>
      <c r="M80" s="2"/>
      <c r="N80" s="2"/>
      <c r="O80" s="2"/>
      <c r="P80" s="2"/>
      <c r="Q80" s="2"/>
    </row>
    <row r="81" ht="22.5" customHeight="1">
      <c r="A81" s="3">
        <v>80.0</v>
      </c>
      <c r="B81" s="3" t="s">
        <v>176</v>
      </c>
      <c r="C81" s="3" t="s">
        <v>101</v>
      </c>
      <c r="D81" s="3" t="s">
        <v>18</v>
      </c>
      <c r="E81" s="2"/>
      <c r="F81" s="3" t="str">
        <f>IFERROR(__xludf.DUMMYFUNCTION("GOOGLETRANSLATE(A81, ""it"", ""en"")"),"80")</f>
        <v>80</v>
      </c>
      <c r="G81" s="3" t="str">
        <f>IFERROR(__xludf.DUMMYFUNCTION("GOOGLETRANSLATE(B81, ""it"", ""en"")"),"What happens if a player doesn't respect the rules of conduct?")</f>
        <v>What happens if a player doesn't respect the rules of conduct?</v>
      </c>
      <c r="H81" s="3" t="str">
        <f>IFERROR(__xludf.DUMMYFUNCTION("GOOGLETRANSLATE(C81, ""it"", ""en"")"),"A. The game continues B. The player receives a yellow card C. The game is stopped D. The player receives a red card")</f>
        <v>A. The game continues B. The player receives a yellow card C. The game is stopped D. The player receives a red card</v>
      </c>
      <c r="I81" s="3" t="str">
        <f>IFERROR(__xludf.DUMMYFUNCTION("GOOGLETRANSLATE(D81, ""it"", ""en"")"),"The game is stopped")</f>
        <v>The game is stopped</v>
      </c>
      <c r="J81" s="2"/>
      <c r="K81" s="2"/>
      <c r="L81" s="2"/>
      <c r="M81" s="2"/>
      <c r="N81" s="2"/>
      <c r="O81" s="2"/>
      <c r="P81" s="2"/>
      <c r="Q81" s="2"/>
    </row>
    <row r="82" ht="22.5" customHeight="1">
      <c r="A82" s="3">
        <v>81.0</v>
      </c>
      <c r="B82" s="3" t="s">
        <v>177</v>
      </c>
      <c r="C82" s="3" t="s">
        <v>29</v>
      </c>
      <c r="D82" s="3" t="s">
        <v>30</v>
      </c>
      <c r="E82" s="2"/>
      <c r="F82" s="3" t="str">
        <f>IFERROR(__xludf.DUMMYFUNCTION("GOOGLETRANSLATE(A82, ""it"", ""en"")"),"81")</f>
        <v>81</v>
      </c>
      <c r="G82" s="3" t="str">
        <f>IFERROR(__xludf.DUMMYFUNCTION("GOOGLETRANSLATE(B82, ""it"", ""en"")"),"What happens if a player hits the referee during play?")</f>
        <v>What happens if a player hits the referee during play?</v>
      </c>
      <c r="H82" s="3" t="str">
        <f>IFERROR(__xludf.DUMMYFUNCTION("GOOGLETRANSLATE(C82, ""it"", ""en"")"),"A. The game continues B. The player receives a red card C. The game is stopped D. The player receives a yellow card")</f>
        <v>A. The game continues B. The player receives a red card C. The game is stopped D. The player receives a yellow card</v>
      </c>
      <c r="I82" s="3" t="str">
        <f>IFERROR(__xludf.DUMMYFUNCTION("GOOGLETRANSLATE(D82, ""it"", ""en"")"),"The player receives a red card")</f>
        <v>The player receives a red card</v>
      </c>
      <c r="J82" s="2"/>
      <c r="K82" s="2"/>
      <c r="L82" s="2"/>
      <c r="M82" s="2"/>
      <c r="N82" s="2"/>
      <c r="O82" s="2"/>
      <c r="P82" s="2"/>
      <c r="Q82" s="2"/>
    </row>
    <row r="83" ht="22.5" customHeight="1">
      <c r="A83" s="3">
        <v>82.0</v>
      </c>
      <c r="B83" s="3" t="s">
        <v>178</v>
      </c>
      <c r="C83" s="3" t="s">
        <v>179</v>
      </c>
      <c r="D83" s="3" t="s">
        <v>18</v>
      </c>
      <c r="E83" s="2"/>
      <c r="F83" s="3" t="str">
        <f>IFERROR(__xludf.DUMMYFUNCTION("GOOGLETRANSLATE(A83, ""it"", ""en"")"),"82")</f>
        <v>82</v>
      </c>
      <c r="G83" s="3" t="str">
        <f>IFERROR(__xludf.DUMMYFUNCTION("GOOGLETRANSLATE(B83, ""it"", ""en"")"),"What happens if a player is in an illegal position during a scrum?")</f>
        <v>What happens if a player is in an illegal position during a scrum?</v>
      </c>
      <c r="H83" s="3" t="str">
        <f>IFERROR(__xludf.DUMMYFUNCTION("GOOGLETRANSLATE(C83, ""it"", ""en"")"),"A. The game is stopped B. The player receives a yellow card C. The game continues D. The player receives a red card")</f>
        <v>A. The game is stopped B. The player receives a yellow card C. The game continues D. The player receives a red card</v>
      </c>
      <c r="I83" s="3" t="str">
        <f>IFERROR(__xludf.DUMMYFUNCTION("GOOGLETRANSLATE(D83, ""it"", ""en"")"),"The game is stopped")</f>
        <v>The game is stopped</v>
      </c>
      <c r="J83" s="2"/>
      <c r="K83" s="2"/>
      <c r="L83" s="2"/>
      <c r="M83" s="2"/>
      <c r="N83" s="2"/>
      <c r="O83" s="2"/>
      <c r="P83" s="2"/>
      <c r="Q83" s="2"/>
    </row>
    <row r="84" ht="22.5" customHeight="1">
      <c r="A84" s="3">
        <v>83.0</v>
      </c>
      <c r="B84" s="3" t="s">
        <v>180</v>
      </c>
      <c r="C84" s="3" t="s">
        <v>103</v>
      </c>
      <c r="D84" s="3" t="s">
        <v>111</v>
      </c>
      <c r="E84" s="2"/>
      <c r="F84" s="3" t="str">
        <f>IFERROR(__xludf.DUMMYFUNCTION("GOOGLETRANSLATE(A84, ""it"", ""en"")"),"83")</f>
        <v>83</v>
      </c>
      <c r="G84" s="3" t="str">
        <f>IFERROR(__xludf.DUMMYFUNCTION("GOOGLETRANSLATE(B84, ""it"", ""en"")"),"What happens if a player hits the ball incorrectly with his foot?")</f>
        <v>What happens if a player hits the ball incorrectly with his foot?</v>
      </c>
      <c r="H84" s="3" t="str">
        <f>IFERROR(__xludf.DUMMYFUNCTION("GOOGLETRANSLATE(C84, ""it"", ""en"")"),"A. The game continues B. The opposing team earns a free kick C. The game is stopped D. The player receives a red card")</f>
        <v>A. The game continues B. The opposing team earns a free kick C. The game is stopped D. The player receives a red card</v>
      </c>
      <c r="I84" s="3" t="str">
        <f>IFERROR(__xludf.DUMMYFUNCTION("GOOGLETRANSLATE(D84, ""it"", ""en"")"),"The opposing team earns a free kick")</f>
        <v>The opposing team earns a free kick</v>
      </c>
      <c r="J84" s="2"/>
      <c r="K84" s="2"/>
      <c r="L84" s="2"/>
      <c r="M84" s="2"/>
      <c r="N84" s="2"/>
      <c r="O84" s="2"/>
      <c r="P84" s="2"/>
      <c r="Q84" s="2"/>
    </row>
    <row r="85" ht="22.5" customHeight="1">
      <c r="A85" s="3">
        <v>84.0</v>
      </c>
      <c r="B85" s="3" t="s">
        <v>181</v>
      </c>
      <c r="C85" s="3" t="s">
        <v>182</v>
      </c>
      <c r="D85" s="3" t="s">
        <v>107</v>
      </c>
      <c r="E85" s="2"/>
      <c r="F85" s="3" t="str">
        <f>IFERROR(__xludf.DUMMYFUNCTION("GOOGLETRANSLATE(A85, ""it"", ""en"")"),"84")</f>
        <v>84</v>
      </c>
      <c r="G85" s="3" t="str">
        <f>IFERROR(__xludf.DUMMYFUNCTION("GOOGLETRANSLATE(B85, ""it"", ""en"")"),"What happens if a player intentionally puts his hand on the ball?")</f>
        <v>What happens if a player intentionally puts his hand on the ball?</v>
      </c>
      <c r="H85" s="3" t="str">
        <f>IFERROR(__xludf.DUMMYFUNCTION("GOOGLETRANSLATE(C85, ""it"", ""en"")"),"A. The game continues B. The player receives a red card C. The game is stopped D. The opposing team receives a free kick")</f>
        <v>A. The game continues B. The player receives a red card C. The game is stopped D. The opposing team receives a free kick</v>
      </c>
      <c r="I85" s="3" t="str">
        <f>IFERROR(__xludf.DUMMYFUNCTION("GOOGLETRANSLATE(D85, ""it"", ""en"")"),"The opposing team receives a free kick")</f>
        <v>The opposing team receives a free kick</v>
      </c>
      <c r="J85" s="2"/>
      <c r="K85" s="2"/>
      <c r="L85" s="2"/>
      <c r="M85" s="2"/>
      <c r="N85" s="2"/>
      <c r="O85" s="2"/>
      <c r="P85" s="2"/>
      <c r="Q85" s="2"/>
    </row>
    <row r="86" ht="22.5" customHeight="1">
      <c r="A86" s="3">
        <v>85.0</v>
      </c>
      <c r="B86" s="3" t="s">
        <v>183</v>
      </c>
      <c r="C86" s="3" t="s">
        <v>29</v>
      </c>
      <c r="D86" s="3" t="s">
        <v>30</v>
      </c>
      <c r="E86" s="2"/>
      <c r="F86" s="3" t="str">
        <f>IFERROR(__xludf.DUMMYFUNCTION("GOOGLETRANSLATE(A86, ""it"", ""en"")"),"85")</f>
        <v>85</v>
      </c>
      <c r="G86" s="3" t="str">
        <f>IFERROR(__xludf.DUMMYFUNCTION("GOOGLETRANSLATE(B86, ""it"", ""en"")"),"What happens if a player kicks an opponent for no reason?")</f>
        <v>What happens if a player kicks an opponent for no reason?</v>
      </c>
      <c r="H86" s="3" t="str">
        <f>IFERROR(__xludf.DUMMYFUNCTION("GOOGLETRANSLATE(C86, ""it"", ""en"")"),"A. The game continues B. The player receives a red card C. The game is stopped D. The player receives a yellow card")</f>
        <v>A. The game continues B. The player receives a red card C. The game is stopped D. The player receives a yellow card</v>
      </c>
      <c r="I86" s="3" t="str">
        <f>IFERROR(__xludf.DUMMYFUNCTION("GOOGLETRANSLATE(D86, ""it"", ""en"")"),"The player receives a red card")</f>
        <v>The player receives a red card</v>
      </c>
      <c r="J86" s="2"/>
      <c r="K86" s="2"/>
      <c r="L86" s="2"/>
      <c r="M86" s="2"/>
      <c r="N86" s="2"/>
      <c r="O86" s="2"/>
      <c r="P86" s="2"/>
      <c r="Q86" s="2"/>
    </row>
    <row r="87" ht="22.5" customHeight="1">
      <c r="A87" s="3">
        <v>86.0</v>
      </c>
      <c r="B87" s="3" t="s">
        <v>184</v>
      </c>
      <c r="C87" s="3" t="s">
        <v>185</v>
      </c>
      <c r="D87" s="3" t="s">
        <v>21</v>
      </c>
      <c r="E87" s="2"/>
      <c r="F87" s="3" t="str">
        <f>IFERROR(__xludf.DUMMYFUNCTION("GOOGLETRANSLATE(A87, ""it"", ""en"")"),"86")</f>
        <v>86</v>
      </c>
      <c r="G87" s="3" t="str">
        <f>IFERROR(__xludf.DUMMYFUNCTION("GOOGLETRANSLATE(B87, ""it"", ""en"")"),"What happens if the game is stopped due to injury?")</f>
        <v>What happens if the game is stopped due to injury?</v>
      </c>
      <c r="H87" s="3" t="str">
        <f>IFERROR(__xludf.DUMMYFUNCTION("GOOGLETRANSLATE(C87, ""it"", ""en"")"),"A. Play continues normally B. The injured player is replaced C. Play is stopped for a long period D. The player is replaced")</f>
        <v>A. Play continues normally B. The injured player is replaced C. Play is stopped for a long period D. The player is replaced</v>
      </c>
      <c r="I87" s="3" t="str">
        <f>IFERROR(__xludf.DUMMYFUNCTION("GOOGLETRANSLATE(D87, ""it"", ""en"")"),"The game continues normally")</f>
        <v>The game continues normally</v>
      </c>
      <c r="J87" s="2"/>
      <c r="K87" s="2"/>
      <c r="L87" s="2"/>
      <c r="M87" s="2"/>
      <c r="N87" s="2"/>
      <c r="O87" s="2"/>
      <c r="P87" s="2"/>
      <c r="Q87" s="2"/>
    </row>
    <row r="88" ht="22.5" customHeight="1">
      <c r="A88" s="3">
        <v>87.0</v>
      </c>
      <c r="B88" s="3" t="s">
        <v>186</v>
      </c>
      <c r="C88" s="3" t="s">
        <v>187</v>
      </c>
      <c r="D88" s="3" t="s">
        <v>171</v>
      </c>
      <c r="E88" s="2"/>
      <c r="F88" s="3" t="str">
        <f>IFERROR(__xludf.DUMMYFUNCTION("GOOGLETRANSLATE(A88, ""it"", ""en"")"),"87")</f>
        <v>87</v>
      </c>
      <c r="G88" s="3" t="str">
        <f>IFERROR(__xludf.DUMMYFUNCTION("GOOGLETRANSLATE(B88, ""it"", ""en"")"),"What happens if a player heads the ball into the net?")</f>
        <v>What happens if a player heads the ball into the net?</v>
      </c>
      <c r="H88" s="3" t="str">
        <f>IFERROR(__xludf.DUMMYFUNCTION("GOOGLETRANSLATE(C88, ""it"", ""en"")"),"A. The goal is valid B. The goal is disallowed C. The game is stopped D. The player receives a red card")</f>
        <v>A. The goal is valid B. The goal is disallowed C. The game is stopped D. The player receives a red card</v>
      </c>
      <c r="I88" s="3" t="str">
        <f>IFERROR(__xludf.DUMMYFUNCTION("GOOGLETRANSLATE(D88, ""it"", ""en"")"),"The goal is valid")</f>
        <v>The goal is valid</v>
      </c>
      <c r="J88" s="2"/>
      <c r="K88" s="2"/>
      <c r="L88" s="2"/>
      <c r="M88" s="2"/>
      <c r="N88" s="2"/>
      <c r="O88" s="2"/>
      <c r="P88" s="2"/>
      <c r="Q88" s="2"/>
    </row>
    <row r="89" ht="22.5" customHeight="1">
      <c r="A89" s="3">
        <v>88.0</v>
      </c>
      <c r="B89" s="3" t="s">
        <v>188</v>
      </c>
      <c r="C89" s="3" t="s">
        <v>189</v>
      </c>
      <c r="D89" s="3" t="s">
        <v>190</v>
      </c>
      <c r="E89" s="2"/>
      <c r="F89" s="3" t="str">
        <f>IFERROR(__xludf.DUMMYFUNCTION("GOOGLETRANSLATE(A89, ""it"", ""en"")"),"88")</f>
        <v>88</v>
      </c>
      <c r="G89" s="3" t="str">
        <f>IFERROR(__xludf.DUMMYFUNCTION("GOOGLETRANSLATE(B89, ""it"", ""en"")"),"What happens if a player is sent off during a match?")</f>
        <v>What happens if a player is sent off during a match?</v>
      </c>
      <c r="H89" s="3" t="str">
        <f>IFERROR(__xludf.DUMMYFUNCTION("GOOGLETRANSLATE(C89, ""it"", ""en"")"),"A. The game continues B. The player must leave the field and cannot return C. The team continues to play with a reduced number of players D. The game is stopped")</f>
        <v>A. The game continues B. The player must leave the field and cannot return C. The team continues to play with a reduced number of players D. The game is stopped</v>
      </c>
      <c r="I89" s="3" t="str">
        <f>IFERROR(__xludf.DUMMYFUNCTION("GOOGLETRANSLATE(D89, ""it"", ""en"")"),"The player must leave the field and cannot return")</f>
        <v>The player must leave the field and cannot return</v>
      </c>
      <c r="J89" s="2"/>
      <c r="K89" s="2"/>
      <c r="L89" s="2"/>
      <c r="M89" s="2"/>
      <c r="N89" s="2"/>
      <c r="O89" s="2"/>
      <c r="P89" s="2"/>
      <c r="Q89" s="2"/>
    </row>
    <row r="90" ht="22.5" customHeight="1">
      <c r="A90" s="3">
        <v>89.0</v>
      </c>
      <c r="B90" s="3" t="s">
        <v>183</v>
      </c>
      <c r="C90" s="3" t="s">
        <v>29</v>
      </c>
      <c r="D90" s="3" t="s">
        <v>30</v>
      </c>
      <c r="E90" s="2"/>
      <c r="F90" s="3" t="str">
        <f>IFERROR(__xludf.DUMMYFUNCTION("GOOGLETRANSLATE(A90, ""it"", ""en"")"),"89")</f>
        <v>89</v>
      </c>
      <c r="G90" s="3" t="str">
        <f>IFERROR(__xludf.DUMMYFUNCTION("GOOGLETRANSLATE(B90, ""it"", ""en"")"),"What happens if a player kicks an opponent for no reason?")</f>
        <v>What happens if a player kicks an opponent for no reason?</v>
      </c>
      <c r="H90" s="3" t="str">
        <f>IFERROR(__xludf.DUMMYFUNCTION("GOOGLETRANSLATE(C90, ""it"", ""en"")"),"A. The game continues B. The player receives a red card C. The game is stopped D. The player receives a yellow card")</f>
        <v>A. The game continues B. The player receives a red card C. The game is stopped D. The player receives a yellow card</v>
      </c>
      <c r="I90" s="3" t="str">
        <f>IFERROR(__xludf.DUMMYFUNCTION("GOOGLETRANSLATE(D90, ""it"", ""en"")"),"The player receives a red card")</f>
        <v>The player receives a red card</v>
      </c>
      <c r="J90" s="2"/>
      <c r="K90" s="2"/>
      <c r="L90" s="2"/>
      <c r="M90" s="2"/>
      <c r="N90" s="2"/>
      <c r="O90" s="2"/>
      <c r="P90" s="2"/>
      <c r="Q90" s="2"/>
    </row>
    <row r="91" ht="22.5" customHeight="1">
      <c r="A91" s="3">
        <v>90.0</v>
      </c>
      <c r="B91" s="3" t="s">
        <v>191</v>
      </c>
      <c r="C91" s="3" t="s">
        <v>103</v>
      </c>
      <c r="D91" s="3" t="s">
        <v>12</v>
      </c>
      <c r="E91" s="2"/>
      <c r="F91" s="3" t="str">
        <f>IFERROR(__xludf.DUMMYFUNCTION("GOOGLETRANSLATE(A91, ""it"", ""en"")"),"90")</f>
        <v>90</v>
      </c>
      <c r="G91" s="3" t="str">
        <f>IFERROR(__xludf.DUMMYFUNCTION("GOOGLETRANSLATE(B91, ""it"", ""en"")"),"What happens if a player commits a handball and the referee doesn't see it?")</f>
        <v>What happens if a player commits a handball and the referee doesn't see it?</v>
      </c>
      <c r="H91" s="3" t="str">
        <f>IFERROR(__xludf.DUMMYFUNCTION("GOOGLETRANSLATE(C91, ""it"", ""en"")"),"A. The game continues B. The opposing team earns a free kick C. The game is stopped D. The player receives a red card")</f>
        <v>A. The game continues B. The opposing team earns a free kick C. The game is stopped D. The player receives a red card</v>
      </c>
      <c r="I91" s="3" t="str">
        <f>IFERROR(__xludf.DUMMYFUNCTION("GOOGLETRANSLATE(D91, ""it"", ""en"")"),"The game continues")</f>
        <v>The game continues</v>
      </c>
      <c r="J91" s="2"/>
      <c r="K91" s="2"/>
      <c r="L91" s="2"/>
      <c r="M91" s="2"/>
      <c r="N91" s="2"/>
      <c r="O91" s="2"/>
      <c r="P91" s="2"/>
      <c r="Q91" s="2"/>
    </row>
    <row r="92" ht="22.5" customHeight="1">
      <c r="A92" s="3">
        <v>91.0</v>
      </c>
      <c r="B92" s="3" t="s">
        <v>192</v>
      </c>
      <c r="C92" s="3" t="s">
        <v>193</v>
      </c>
      <c r="D92" s="3" t="s">
        <v>111</v>
      </c>
      <c r="E92" s="2"/>
      <c r="F92" s="3" t="str">
        <f>IFERROR(__xludf.DUMMYFUNCTION("GOOGLETRANSLATE(A92, ""it"", ""en"")"),"91")</f>
        <v>91</v>
      </c>
      <c r="G92" s="3" t="str">
        <f>IFERROR(__xludf.DUMMYFUNCTION("GOOGLETRANSLATE(B92, ""it"", ""en"")"),"What happens if a player pushes an opponent off the pitch?")</f>
        <v>What happens if a player pushes an opponent off the pitch?</v>
      </c>
      <c r="H92" s="3" t="str">
        <f>IFERROR(__xludf.DUMMYFUNCTION("GOOGLETRANSLATE(C92, ""it"", ""en"")"),"A. The game is stopped B. The player receives a yellow card C. The opposing team earns a free kick D. The game continues")</f>
        <v>A. The game is stopped B. The player receives a yellow card C. The opposing team earns a free kick D. The game continues</v>
      </c>
      <c r="I92" s="3" t="str">
        <f>IFERROR(__xludf.DUMMYFUNCTION("GOOGLETRANSLATE(D92, ""it"", ""en"")"),"The opposing team earns a free kick")</f>
        <v>The opposing team earns a free kick</v>
      </c>
      <c r="J92" s="2"/>
      <c r="K92" s="2"/>
      <c r="L92" s="2"/>
      <c r="M92" s="2"/>
      <c r="N92" s="2"/>
      <c r="O92" s="2"/>
      <c r="P92" s="2"/>
      <c r="Q92" s="2"/>
    </row>
    <row r="93" ht="22.5" customHeight="1">
      <c r="A93" s="3">
        <v>92.0</v>
      </c>
      <c r="B93" s="3" t="s">
        <v>194</v>
      </c>
      <c r="C93" s="3" t="s">
        <v>195</v>
      </c>
      <c r="D93" s="3" t="s">
        <v>196</v>
      </c>
      <c r="E93" s="2"/>
      <c r="F93" s="3" t="str">
        <f>IFERROR(__xludf.DUMMYFUNCTION("GOOGLETRANSLATE(A93, ""it"", ""en"")"),"92")</f>
        <v>92</v>
      </c>
      <c r="G93" s="3" t="str">
        <f>IFERROR(__xludf.DUMMYFUNCTION("GOOGLETRANSLATE(B93, ""it"", ""en"")"),"What happens if a player starts foul play during a kick-off?")</f>
        <v>What happens if a player starts foul play during a kick-off?</v>
      </c>
      <c r="H93" s="3" t="str">
        <f>IFERROR(__xludf.DUMMYFUNCTION("GOOGLETRANSLATE(C93, ""it"", ""en"")"),"A. The game is stopped B. The player receives a red card C. The kick-off is retaken D. The game continues")</f>
        <v>A. The game is stopped B. The player receives a red card C. The kick-off is retaken D. The game continues</v>
      </c>
      <c r="I93" s="3" t="str">
        <f>IFERROR(__xludf.DUMMYFUNCTION("GOOGLETRANSLATE(D93, ""it"", ""en"")"),"The kick-off is retaken")</f>
        <v>The kick-off is retaken</v>
      </c>
      <c r="J93" s="2"/>
      <c r="K93" s="2"/>
      <c r="L93" s="2"/>
      <c r="M93" s="2"/>
      <c r="N93" s="2"/>
      <c r="O93" s="2"/>
      <c r="P93" s="2"/>
      <c r="Q93" s="2"/>
    </row>
    <row r="94" ht="22.5" customHeight="1">
      <c r="A94" s="3">
        <v>93.0</v>
      </c>
      <c r="B94" s="3" t="s">
        <v>197</v>
      </c>
      <c r="C94" s="3" t="s">
        <v>198</v>
      </c>
      <c r="D94" s="3" t="s">
        <v>12</v>
      </c>
      <c r="E94" s="2"/>
      <c r="F94" s="3" t="str">
        <f>IFERROR(__xludf.DUMMYFUNCTION("GOOGLETRANSLATE(A94, ""it"", ""en"")"),"93")</f>
        <v>93</v>
      </c>
      <c r="G94" s="3" t="str">
        <f>IFERROR(__xludf.DUMMYFUNCTION("GOOGLETRANSLATE(B94, ""it"", ""en"")"),"What happens if a player is offside but isn't called?")</f>
        <v>What happens if a player is offside but isn't called?</v>
      </c>
      <c r="H94" s="3" t="str">
        <f>IFERROR(__xludf.DUMMYFUNCTION("GOOGLETRANSLATE(C94, ""it"", ""en"")"),"A. The game continues B. The goal is disallowed C. The opposing team wins the ball D. The game is stopped")</f>
        <v>A. The game continues B. The goal is disallowed C. The opposing team wins the ball D. The game is stopped</v>
      </c>
      <c r="I94" s="3" t="str">
        <f>IFERROR(__xludf.DUMMYFUNCTION("GOOGLETRANSLATE(D94, ""it"", ""en"")"),"The game continues")</f>
        <v>The game continues</v>
      </c>
      <c r="J94" s="2"/>
      <c r="K94" s="2"/>
      <c r="L94" s="2"/>
      <c r="M94" s="2"/>
      <c r="N94" s="2"/>
      <c r="O94" s="2"/>
      <c r="P94" s="2"/>
      <c r="Q94" s="2"/>
    </row>
    <row r="95" ht="22.5" customHeight="1">
      <c r="A95" s="3">
        <v>94.0</v>
      </c>
      <c r="B95" s="3" t="s">
        <v>199</v>
      </c>
      <c r="C95" s="3" t="s">
        <v>179</v>
      </c>
      <c r="D95" s="3" t="s">
        <v>18</v>
      </c>
      <c r="E95" s="2"/>
      <c r="F95" s="3" t="str">
        <f>IFERROR(__xludf.DUMMYFUNCTION("GOOGLETRANSLATE(A95, ""it"", ""en"")"),"94")</f>
        <v>94</v>
      </c>
      <c r="G95" s="3" t="str">
        <f>IFERROR(__xludf.DUMMYFUNCTION("GOOGLETRANSLATE(B95, ""it"", ""en"")"),"What happens if a player accidentally injures an opponent?")</f>
        <v>What happens if a player accidentally injures an opponent?</v>
      </c>
      <c r="H95" s="3" t="str">
        <f>IFERROR(__xludf.DUMMYFUNCTION("GOOGLETRANSLATE(C95, ""it"", ""en"")"),"A. The game is stopped B. The player receives a yellow card C. The game continues D. The player receives a red card")</f>
        <v>A. The game is stopped B. The player receives a yellow card C. The game continues D. The player receives a red card</v>
      </c>
      <c r="I95" s="3" t="str">
        <f>IFERROR(__xludf.DUMMYFUNCTION("GOOGLETRANSLATE(D95, ""it"", ""en"")"),"The game is stopped")</f>
        <v>The game is stopped</v>
      </c>
      <c r="J95" s="2"/>
      <c r="K95" s="2"/>
      <c r="L95" s="2"/>
      <c r="M95" s="2"/>
      <c r="N95" s="2"/>
      <c r="O95" s="2"/>
      <c r="P95" s="2"/>
      <c r="Q95" s="2"/>
    </row>
    <row r="96" ht="22.5" customHeight="1">
      <c r="A96" s="3">
        <v>95.0</v>
      </c>
      <c r="B96" s="3" t="s">
        <v>200</v>
      </c>
      <c r="C96" s="3" t="s">
        <v>201</v>
      </c>
      <c r="D96" s="3" t="s">
        <v>202</v>
      </c>
      <c r="E96" s="2"/>
      <c r="F96" s="3" t="str">
        <f>IFERROR(__xludf.DUMMYFUNCTION("GOOGLETRANSLATE(A96, ""it"", ""en"")"),"95")</f>
        <v>95</v>
      </c>
      <c r="G96" s="3" t="str">
        <f>IFERROR(__xludf.DUMMYFUNCTION("GOOGLETRANSLATE(B96, ""it"", ""en"")"),"What happens if a player commits a foul inside the penalty area?")</f>
        <v>What happens if a player commits a foul inside the penalty area?</v>
      </c>
      <c r="H96" s="3" t="str">
        <f>IFERROR(__xludf.DUMMYFUNCTION("GOOGLETRANSLATE(C96, ""it"", ""en"")"),"A. The game is stopped B. The opposing team earns a penalty C. The game continues D. The player receives a red card")</f>
        <v>A. The game is stopped B. The opposing team earns a penalty C. The game continues D. The player receives a red card</v>
      </c>
      <c r="I96" s="3" t="str">
        <f>IFERROR(__xludf.DUMMYFUNCTION("GOOGLETRANSLATE(D96, ""it"", ""en"")"),"The opposing team earns a penalty kick")</f>
        <v>The opposing team earns a penalty kick</v>
      </c>
      <c r="J96" s="2"/>
      <c r="K96" s="2"/>
      <c r="L96" s="2"/>
      <c r="M96" s="2"/>
      <c r="N96" s="2"/>
      <c r="O96" s="2"/>
      <c r="P96" s="2"/>
      <c r="Q96" s="2"/>
    </row>
    <row r="97" ht="22.5" customHeight="1">
      <c r="A97" s="3">
        <v>96.0</v>
      </c>
      <c r="B97" s="3" t="s">
        <v>203</v>
      </c>
      <c r="C97" s="3" t="s">
        <v>179</v>
      </c>
      <c r="D97" s="3" t="s">
        <v>18</v>
      </c>
      <c r="E97" s="2"/>
      <c r="F97" s="3" t="str">
        <f>IFERROR(__xludf.DUMMYFUNCTION("GOOGLETRANSLATE(A97, ""it"", ""en"")"),"96")</f>
        <v>96</v>
      </c>
      <c r="G97" s="3" t="str">
        <f>IFERROR(__xludf.DUMMYFUNCTION("GOOGLETRANSLATE(B97, ""it"", ""en"")"),"What happens if a player fouls an opponent without physical contact?")</f>
        <v>What happens if a player fouls an opponent without physical contact?</v>
      </c>
      <c r="H97" s="3" t="str">
        <f>IFERROR(__xludf.DUMMYFUNCTION("GOOGLETRANSLATE(C97, ""it"", ""en"")"),"A. The game is stopped B. The player receives a yellow card C. The game continues D. The player receives a red card")</f>
        <v>A. The game is stopped B. The player receives a yellow card C. The game continues D. The player receives a red card</v>
      </c>
      <c r="I97" s="3" t="str">
        <f>IFERROR(__xludf.DUMMYFUNCTION("GOOGLETRANSLATE(D97, ""it"", ""en"")"),"The game is stopped")</f>
        <v>The game is stopped</v>
      </c>
      <c r="J97" s="2"/>
      <c r="K97" s="2"/>
      <c r="L97" s="2"/>
      <c r="M97" s="2"/>
      <c r="N97" s="2"/>
      <c r="O97" s="2"/>
      <c r="P97" s="2"/>
      <c r="Q97" s="2"/>
    </row>
    <row r="98" ht="22.5" customHeight="1">
      <c r="A98" s="3">
        <v>97.0</v>
      </c>
      <c r="B98" s="3" t="s">
        <v>204</v>
      </c>
      <c r="C98" s="3" t="s">
        <v>163</v>
      </c>
      <c r="D98" s="3" t="s">
        <v>18</v>
      </c>
      <c r="E98" s="2"/>
      <c r="F98" s="3" t="str">
        <f>IFERROR(__xludf.DUMMYFUNCTION("GOOGLETRANSLATE(A98, ""it"", ""en"")"),"97")</f>
        <v>97</v>
      </c>
      <c r="G98" s="3" t="str">
        <f>IFERROR(__xludf.DUMMYFUNCTION("GOOGLETRANSLATE(B98, ""it"", ""en"")"),"What happens if a player dribbles and accidentally hits an opponent?")</f>
        <v>What happens if a player dribbles and accidentally hits an opponent?</v>
      </c>
      <c r="H98" s="3" t="str">
        <f>IFERROR(__xludf.DUMMYFUNCTION("GOOGLETRANSLATE(C98, ""it"", ""en"")"),"A. The game is stopped B. The player receives a red card C. The game continues D. The player receives a yellow card")</f>
        <v>A. The game is stopped B. The player receives a red card C. The game continues D. The player receives a yellow card</v>
      </c>
      <c r="I98" s="3" t="str">
        <f>IFERROR(__xludf.DUMMYFUNCTION("GOOGLETRANSLATE(D98, ""it"", ""en"")"),"The game is stopped")</f>
        <v>The game is stopped</v>
      </c>
      <c r="J98" s="2"/>
      <c r="K98" s="2"/>
      <c r="L98" s="2"/>
      <c r="M98" s="2"/>
      <c r="N98" s="2"/>
      <c r="O98" s="2"/>
      <c r="P98" s="2"/>
      <c r="Q98" s="2"/>
    </row>
    <row r="99" ht="22.5" customHeight="1">
      <c r="A99" s="3">
        <v>98.0</v>
      </c>
      <c r="B99" s="3" t="s">
        <v>205</v>
      </c>
      <c r="C99" s="3" t="s">
        <v>179</v>
      </c>
      <c r="D99" s="3" t="s">
        <v>18</v>
      </c>
      <c r="E99" s="2"/>
      <c r="F99" s="3" t="str">
        <f>IFERROR(__xludf.DUMMYFUNCTION("GOOGLETRANSLATE(A99, ""it"", ""en"")"),"98")</f>
        <v>98</v>
      </c>
      <c r="G99" s="3" t="str">
        <f>IFERROR(__xludf.DUMMYFUNCTION("GOOGLETRANSLATE(B99, ""it"", ""en"")"),"What happens if a player is accused of simulation?")</f>
        <v>What happens if a player is accused of simulation?</v>
      </c>
      <c r="H99" s="3" t="str">
        <f>IFERROR(__xludf.DUMMYFUNCTION("GOOGLETRANSLATE(C99, ""it"", ""en"")"),"A. The game is stopped B. The player receives a yellow card C. The game continues D. The player receives a red card")</f>
        <v>A. The game is stopped B. The player receives a yellow card C. The game continues D. The player receives a red card</v>
      </c>
      <c r="I99" s="3" t="str">
        <f>IFERROR(__xludf.DUMMYFUNCTION("GOOGLETRANSLATE(D99, ""it"", ""en"")"),"The game is stopped")</f>
        <v>The game is stopped</v>
      </c>
      <c r="J99" s="2"/>
      <c r="K99" s="2"/>
      <c r="L99" s="2"/>
      <c r="M99" s="2"/>
      <c r="N99" s="2"/>
      <c r="O99" s="2"/>
      <c r="P99" s="2"/>
      <c r="Q99" s="2"/>
    </row>
    <row r="100" ht="22.5" customHeight="1">
      <c r="A100" s="3">
        <v>99.0</v>
      </c>
      <c r="B100" s="3" t="s">
        <v>206</v>
      </c>
      <c r="C100" s="3" t="s">
        <v>207</v>
      </c>
      <c r="D100" s="3" t="s">
        <v>30</v>
      </c>
      <c r="E100" s="2"/>
      <c r="F100" s="3" t="str">
        <f>IFERROR(__xludf.DUMMYFUNCTION("GOOGLETRANSLATE(A100, ""it"", ""en"")"),"99")</f>
        <v>99</v>
      </c>
      <c r="G100" s="3" t="str">
        <f>IFERROR(__xludf.DUMMYFUNCTION("GOOGLETRANSLATE(B100, ""it"", ""en"")"),"What happens if a player leaves the field without the referee's permission?")</f>
        <v>What happens if a player leaves the field without the referee's permission?</v>
      </c>
      <c r="H100" s="3" t="str">
        <f>IFERROR(__xludf.DUMMYFUNCTION("GOOGLETRANSLATE(C100, ""it"", ""en"")"),"A. The game is stopped B. The player receives a red card C. The game continues D. The opposing team earns a free kick")</f>
        <v>A. The game is stopped B. The player receives a red card C. The game continues D. The opposing team earns a free kick</v>
      </c>
      <c r="I100" s="3" t="str">
        <f>IFERROR(__xludf.DUMMYFUNCTION("GOOGLETRANSLATE(D100, ""it"", ""en"")"),"The player receives a red card")</f>
        <v>The player receives a red card</v>
      </c>
      <c r="J100" s="2"/>
      <c r="K100" s="2"/>
      <c r="L100" s="2"/>
      <c r="M100" s="2"/>
      <c r="N100" s="2"/>
      <c r="O100" s="2"/>
      <c r="P100" s="2"/>
      <c r="Q100" s="2"/>
    </row>
    <row r="101" ht="22.5" customHeight="1">
      <c r="A101" s="3">
        <v>100.0</v>
      </c>
      <c r="B101" s="3" t="s">
        <v>208</v>
      </c>
      <c r="C101" s="3" t="s">
        <v>163</v>
      </c>
      <c r="D101" s="3" t="s">
        <v>30</v>
      </c>
      <c r="E101" s="2"/>
      <c r="F101" s="3" t="str">
        <f>IFERROR(__xludf.DUMMYFUNCTION("GOOGLETRANSLATE(A101, ""it"", ""en"")"),"100")</f>
        <v>100</v>
      </c>
      <c r="G101" s="3" t="str">
        <f>IFERROR(__xludf.DUMMYFUNCTION("GOOGLETRANSLATE(B101, ""it"", ""en"")"),"What happens if a player accidentally injures an opponent and the referee considers it serious?")</f>
        <v>What happens if a player accidentally injures an opponent and the referee considers it serious?</v>
      </c>
      <c r="H101" s="3" t="str">
        <f>IFERROR(__xludf.DUMMYFUNCTION("GOOGLETRANSLATE(C101, ""it"", ""en"")"),"A. The game is stopped B. The player receives a red card C. The game continues D. The player receives a yellow card")</f>
        <v>A. The game is stopped B. The player receives a red card C. The game continues D. The player receives a yellow card</v>
      </c>
      <c r="I101" s="3" t="str">
        <f>IFERROR(__xludf.DUMMYFUNCTION("GOOGLETRANSLATE(D101, ""it"", ""en"")"),"The player receives a red card")</f>
        <v>The player receives a red card</v>
      </c>
      <c r="J101" s="2"/>
      <c r="K101" s="2"/>
      <c r="L101" s="2"/>
      <c r="M101" s="2"/>
      <c r="N101" s="2"/>
      <c r="O101" s="2"/>
      <c r="P101" s="2"/>
      <c r="Q101" s="2"/>
    </row>
    <row r="102" ht="22.5" customHeight="1">
      <c r="A102" s="3">
        <v>101.0</v>
      </c>
      <c r="B102" s="3" t="s">
        <v>209</v>
      </c>
      <c r="C102" s="3" t="s">
        <v>210</v>
      </c>
      <c r="D102" s="3" t="s">
        <v>18</v>
      </c>
      <c r="E102" s="2"/>
      <c r="F102" s="3" t="str">
        <f>IFERROR(__xludf.DUMMYFUNCTION("GOOGLETRANSLATE(A102, ""it"", ""en"")"),"101")</f>
        <v>101</v>
      </c>
      <c r="G102" s="3" t="str">
        <f>IFERROR(__xludf.DUMMYFUNCTION("GOOGLETRANSLATE(B102, ""it"", ""en"")"),"What happens if a player intercepts a pass and is stopped for a foul?")</f>
        <v>What happens if a player intercepts a pass and is stopped for a foul?</v>
      </c>
      <c r="H102" s="3" t="str">
        <f>IFERROR(__xludf.DUMMYFUNCTION("GOOGLETRANSLATE(C102, ""it"", ""en"")"),"A. The game is stopped B. The game continues C. The player receives a yellow card D. The opposing team earns a free kick")</f>
        <v>A. The game is stopped B. The game continues C. The player receives a yellow card D. The opposing team earns a free kick</v>
      </c>
      <c r="I102" s="3" t="str">
        <f>IFERROR(__xludf.DUMMYFUNCTION("GOOGLETRANSLATE(D102, ""it"", ""en"")"),"The game is stopped")</f>
        <v>The game is stopped</v>
      </c>
      <c r="J102" s="2"/>
      <c r="K102" s="2"/>
      <c r="L102" s="2"/>
      <c r="M102" s="2"/>
      <c r="N102" s="2"/>
      <c r="O102" s="2"/>
      <c r="P102" s="2"/>
      <c r="Q102" s="2"/>
    </row>
    <row r="103" ht="22.5" customHeight="1">
      <c r="A103" s="3">
        <v>102.0</v>
      </c>
      <c r="B103" s="3" t="s">
        <v>211</v>
      </c>
      <c r="C103" s="3" t="s">
        <v>212</v>
      </c>
      <c r="D103" s="3" t="s">
        <v>213</v>
      </c>
      <c r="E103" s="2"/>
      <c r="F103" s="3" t="str">
        <f>IFERROR(__xludf.DUMMYFUNCTION("GOOGLETRANSLATE(A103, ""it"", ""en"")"),"102")</f>
        <v>102</v>
      </c>
      <c r="G103" s="3" t="str">
        <f>IFERROR(__xludf.DUMMYFUNCTION("GOOGLETRANSLATE(B103, ""it"", ""en"")"),"What happens if a player misses a penalty and the ball bounces out of bounds?")</f>
        <v>What happens if a player misses a penalty and the ball bounces out of bounds?</v>
      </c>
      <c r="H103" s="3" t="str">
        <f>IFERROR(__xludf.DUMMYFUNCTION("GOOGLETRANSLATE(C103, ""it"", ""en"")"),"A. The game continues B. The penalty kick is retaken C. The opposing team wins the ball D. The game is stopped")</f>
        <v>A. The game continues B. The penalty kick is retaken C. The opposing team wins the ball D. The game is stopped</v>
      </c>
      <c r="I103" s="3" t="str">
        <f>IFERROR(__xludf.DUMMYFUNCTION("GOOGLETRANSLATE(D103, ""it"", ""en"")"),"The penalty kick is retaken")</f>
        <v>The penalty kick is retaken</v>
      </c>
      <c r="J103" s="2"/>
      <c r="K103" s="2"/>
      <c r="L103" s="2"/>
      <c r="M103" s="2"/>
      <c r="N103" s="2"/>
      <c r="O103" s="2"/>
      <c r="P103" s="2"/>
      <c r="Q103" s="2"/>
    </row>
    <row r="104" ht="22.5" customHeight="1">
      <c r="A104" s="3">
        <v>103.0</v>
      </c>
      <c r="B104" s="3" t="s">
        <v>214</v>
      </c>
      <c r="C104" s="3" t="s">
        <v>101</v>
      </c>
      <c r="D104" s="3" t="s">
        <v>12</v>
      </c>
      <c r="E104" s="2"/>
      <c r="F104" s="3" t="str">
        <f>IFERROR(__xludf.DUMMYFUNCTION("GOOGLETRANSLATE(A104, ""it"", ""en"")"),"103")</f>
        <v>103</v>
      </c>
      <c r="G104" s="3" t="str">
        <f>IFERROR(__xludf.DUMMYFUNCTION("GOOGLETRANSLATE(B104, ""it"", ""en"")"),"What happens if a player fouls an opponent without the referee seeing it?")</f>
        <v>What happens if a player fouls an opponent without the referee seeing it?</v>
      </c>
      <c r="H104" s="3" t="str">
        <f>IFERROR(__xludf.DUMMYFUNCTION("GOOGLETRANSLATE(C104, ""it"", ""en"")"),"A. The game continues B. The player receives a yellow card C. The game is stopped D. The player receives a red card")</f>
        <v>A. The game continues B. The player receives a yellow card C. The game is stopped D. The player receives a red card</v>
      </c>
      <c r="I104" s="3" t="str">
        <f>IFERROR(__xludf.DUMMYFUNCTION("GOOGLETRANSLATE(D104, ""it"", ""en"")"),"The game continues")</f>
        <v>The game continues</v>
      </c>
      <c r="J104" s="2"/>
      <c r="K104" s="2"/>
      <c r="L104" s="2"/>
      <c r="M104" s="2"/>
      <c r="N104" s="2"/>
      <c r="O104" s="2"/>
      <c r="P104" s="2"/>
      <c r="Q104" s="2"/>
    </row>
    <row r="105" ht="22.5" customHeight="1">
      <c r="A105" s="3">
        <v>104.0</v>
      </c>
      <c r="B105" s="3" t="s">
        <v>215</v>
      </c>
      <c r="C105" s="3" t="s">
        <v>125</v>
      </c>
      <c r="D105" s="3" t="s">
        <v>123</v>
      </c>
      <c r="E105" s="2"/>
      <c r="F105" s="3" t="str">
        <f>IFERROR(__xludf.DUMMYFUNCTION("GOOGLETRANSLATE(A105, ""it"", ""en"")"),"104")</f>
        <v>104</v>
      </c>
      <c r="G105" s="3" t="str">
        <f>IFERROR(__xludf.DUMMYFUNCTION("GOOGLETRANSLATE(B105, ""it"", ""en"")"),"What happens if a player kicks a ball out of bounds without a foul being called?")</f>
        <v>What happens if a player kicks a ball out of bounds without a foul being called?</v>
      </c>
      <c r="H105" s="3" t="str">
        <f>IFERROR(__xludf.DUMMYFUNCTION("GOOGLETRANSLATE(C105, ""it"", ""en"")"),"A. The game continues B. The opposing team wins the ball C. The game is stopped D. The player receives a yellow card")</f>
        <v>A. The game continues B. The opposing team wins the ball C. The game is stopped D. The player receives a yellow card</v>
      </c>
      <c r="I105" s="3" t="str">
        <f>IFERROR(__xludf.DUMMYFUNCTION("GOOGLETRANSLATE(D105, ""it"", ""en"")"),"The opposing team wins the ball")</f>
        <v>The opposing team wins the ball</v>
      </c>
      <c r="J105" s="2"/>
      <c r="K105" s="2"/>
      <c r="L105" s="2"/>
      <c r="M105" s="2"/>
      <c r="N105" s="2"/>
      <c r="O105" s="2"/>
      <c r="P105" s="2"/>
      <c r="Q105" s="2"/>
    </row>
    <row r="106" ht="22.5" customHeight="1">
      <c r="A106" s="3">
        <v>105.0</v>
      </c>
      <c r="B106" s="3" t="s">
        <v>216</v>
      </c>
      <c r="C106" s="3" t="s">
        <v>217</v>
      </c>
      <c r="D106" s="3" t="s">
        <v>123</v>
      </c>
      <c r="E106" s="2"/>
      <c r="F106" s="3" t="str">
        <f>IFERROR(__xludf.DUMMYFUNCTION("GOOGLETRANSLATE(A106, ""it"", ""en"")"),"105")</f>
        <v>105</v>
      </c>
      <c r="G106" s="3" t="str">
        <f>IFERROR(__xludf.DUMMYFUNCTION("GOOGLETRANSLATE(B106, ""it"", ""en"")"),"What happens if a player plays a long pass and the ball goes out of bounds?")</f>
        <v>What happens if a player plays a long pass and the ball goes out of bounds?</v>
      </c>
      <c r="H106" s="3" t="str">
        <f>IFERROR(__xludf.DUMMYFUNCTION("GOOGLETRANSLATE(C106, ""it"", ""en"")"),"A. The game is stopped B. The opposing team wins the ball C. The game continues D. The player receives a red card")</f>
        <v>A. The game is stopped B. The opposing team wins the ball C. The game continues D. The player receives a red card</v>
      </c>
      <c r="I106" s="3" t="str">
        <f>IFERROR(__xludf.DUMMYFUNCTION("GOOGLETRANSLATE(D106, ""it"", ""en"")"),"The opposing team wins the ball")</f>
        <v>The opposing team wins the ball</v>
      </c>
      <c r="J106" s="2"/>
      <c r="K106" s="2"/>
      <c r="L106" s="2"/>
      <c r="M106" s="2"/>
      <c r="N106" s="2"/>
      <c r="O106" s="2"/>
      <c r="P106" s="2"/>
      <c r="Q106" s="2"/>
    </row>
    <row r="107" ht="22.5" customHeight="1">
      <c r="A107" s="3">
        <v>106.0</v>
      </c>
      <c r="B107" s="3" t="s">
        <v>218</v>
      </c>
      <c r="C107" s="3" t="s">
        <v>219</v>
      </c>
      <c r="D107" s="3" t="s">
        <v>220</v>
      </c>
      <c r="E107" s="2"/>
      <c r="F107" s="3" t="str">
        <f>IFERROR(__xludf.DUMMYFUNCTION("GOOGLETRANSLATE(A107, ""it"", ""en"")"),"106")</f>
        <v>106</v>
      </c>
      <c r="G107" s="3" t="str">
        <f>IFERROR(__xludf.DUMMYFUNCTION("GOOGLETRANSLATE(B107, ""it"", ""en"")"),"What happens if a player starts a match with an injury and is unable to play?")</f>
        <v>What happens if a player starts a match with an injury and is unable to play?</v>
      </c>
      <c r="H107" s="3" t="str">
        <f>IFERROR(__xludf.DUMMYFUNCTION("GOOGLETRANSLATE(C107, ""it"", ""en"")"),"A. The game is stopped B. The player is replaced C. The game continues D. The team plays with a reduced number of players")</f>
        <v>A. The game is stopped B. The player is replaced C. The game continues D. The team plays with a reduced number of players</v>
      </c>
      <c r="I107" s="3" t="str">
        <f>IFERROR(__xludf.DUMMYFUNCTION("GOOGLETRANSLATE(D107, ""it"", ""en"")"),"The player is replaced")</f>
        <v>The player is replaced</v>
      </c>
      <c r="J107" s="2"/>
      <c r="K107" s="2"/>
      <c r="L107" s="2"/>
      <c r="M107" s="2"/>
      <c r="N107" s="2"/>
      <c r="O107" s="2"/>
      <c r="P107" s="2"/>
      <c r="Q107" s="2"/>
    </row>
    <row r="108" ht="22.5" customHeight="1">
      <c r="A108" s="3">
        <v>107.0</v>
      </c>
      <c r="B108" s="3" t="s">
        <v>221</v>
      </c>
      <c r="C108" s="3" t="s">
        <v>219</v>
      </c>
      <c r="D108" s="3" t="s">
        <v>220</v>
      </c>
      <c r="E108" s="2"/>
      <c r="F108" s="3" t="str">
        <f>IFERROR(__xludf.DUMMYFUNCTION("GOOGLETRANSLATE(A108, ""it"", ""en"")"),"107")</f>
        <v>107</v>
      </c>
      <c r="G108" s="3" t="str">
        <f>IFERROR(__xludf.DUMMYFUNCTION("GOOGLETRANSLATE(B108, ""it"", ""en"")"),"What happens if a player gets injured and can't continue playing?")</f>
        <v>What happens if a player gets injured and can't continue playing?</v>
      </c>
      <c r="H108" s="3" t="str">
        <f>IFERROR(__xludf.DUMMYFUNCTION("GOOGLETRANSLATE(C108, ""it"", ""en"")"),"A. The game is stopped B. The player is replaced C. The game continues D. The team plays with a reduced number of players")</f>
        <v>A. The game is stopped B. The player is replaced C. The game continues D. The team plays with a reduced number of players</v>
      </c>
      <c r="I108" s="3" t="str">
        <f>IFERROR(__xludf.DUMMYFUNCTION("GOOGLETRANSLATE(D108, ""it"", ""en"")"),"The player is replaced")</f>
        <v>The player is replaced</v>
      </c>
      <c r="J108" s="2"/>
      <c r="K108" s="2"/>
      <c r="L108" s="2"/>
      <c r="M108" s="2"/>
      <c r="N108" s="2"/>
      <c r="O108" s="2"/>
      <c r="P108" s="2"/>
      <c r="Q108" s="2"/>
    </row>
    <row r="109" ht="22.5" customHeight="1">
      <c r="A109" s="3">
        <v>108.0</v>
      </c>
      <c r="B109" s="3" t="s">
        <v>222</v>
      </c>
      <c r="C109" s="3" t="s">
        <v>223</v>
      </c>
      <c r="D109" s="3" t="s">
        <v>27</v>
      </c>
      <c r="E109" s="2"/>
      <c r="F109" s="3" t="str">
        <f>IFERROR(__xludf.DUMMYFUNCTION("GOOGLETRANSLATE(A109, ""it"", ""en"")"),"108")</f>
        <v>108</v>
      </c>
      <c r="G109" s="3" t="str">
        <f>IFERROR(__xludf.DUMMYFUNCTION("GOOGLETRANSLATE(B109, ""it"", ""en"")"),"What happens if a player commits a foul at the start of the game?")</f>
        <v>What happens if a player commits a foul at the start of the game?</v>
      </c>
      <c r="H109" s="3" t="str">
        <f>IFERROR(__xludf.DUMMYFUNCTION("GOOGLETRANSLATE(C109, ""it"", ""en"")"),"A. The game is stopped B. The player receives a yellow card C. The game continues D. The game is stopped")</f>
        <v>A. The game is stopped B. The player receives a yellow card C. The game continues D. The game is stopped</v>
      </c>
      <c r="I109" s="3" t="str">
        <f>IFERROR(__xludf.DUMMYFUNCTION("GOOGLETRANSLATE(D109, ""it"", ""en"")"),"The player receives a yellow card")</f>
        <v>The player receives a yellow card</v>
      </c>
      <c r="J109" s="2"/>
      <c r="K109" s="2"/>
      <c r="L109" s="2"/>
      <c r="M109" s="2"/>
      <c r="N109" s="2"/>
      <c r="O109" s="2"/>
      <c r="P109" s="2"/>
      <c r="Q109" s="2"/>
    </row>
    <row r="110" ht="22.5" customHeight="1">
      <c r="A110" s="3">
        <v>109.0</v>
      </c>
      <c r="B110" s="3" t="s">
        <v>224</v>
      </c>
      <c r="C110" s="3" t="s">
        <v>201</v>
      </c>
      <c r="D110" s="3" t="s">
        <v>202</v>
      </c>
      <c r="E110" s="2"/>
      <c r="F110" s="3" t="str">
        <f>IFERROR(__xludf.DUMMYFUNCTION("GOOGLETRANSLATE(A110, ""it"", ""en"")"),"109")</f>
        <v>109</v>
      </c>
      <c r="G110" s="3" t="str">
        <f>IFERROR(__xludf.DUMMYFUNCTION("GOOGLETRANSLATE(B110, ""it"", ""en"")"),"If a player fouls an opponent inside the penalty area, what happens?")</f>
        <v>If a player fouls an opponent inside the penalty area, what happens?</v>
      </c>
      <c r="H110" s="3" t="str">
        <f>IFERROR(__xludf.DUMMYFUNCTION("GOOGLETRANSLATE(C110, ""it"", ""en"")"),"A. The game is stopped B. The opposing team earns a penalty C. The game continues D. The player receives a red card")</f>
        <v>A. The game is stopped B. The opposing team earns a penalty C. The game continues D. The player receives a red card</v>
      </c>
      <c r="I110" s="3" t="str">
        <f>IFERROR(__xludf.DUMMYFUNCTION("GOOGLETRANSLATE(D110, ""it"", ""en"")"),"The opposing team earns a penalty kick")</f>
        <v>The opposing team earns a penalty kick</v>
      </c>
      <c r="J110" s="2"/>
      <c r="K110" s="2"/>
      <c r="L110" s="2"/>
      <c r="M110" s="2"/>
      <c r="N110" s="2"/>
      <c r="O110" s="2"/>
      <c r="P110" s="2"/>
      <c r="Q110" s="2"/>
    </row>
    <row r="111" ht="22.5" customHeight="1">
      <c r="A111" s="3">
        <v>110.0</v>
      </c>
      <c r="B111" s="3" t="s">
        <v>225</v>
      </c>
      <c r="C111" s="3" t="s">
        <v>179</v>
      </c>
      <c r="D111" s="3" t="s">
        <v>12</v>
      </c>
      <c r="E111" s="2"/>
      <c r="F111" s="3" t="str">
        <f>IFERROR(__xludf.DUMMYFUNCTION("GOOGLETRANSLATE(A111, ""it"", ""en"")"),"110")</f>
        <v>110</v>
      </c>
      <c r="G111" s="3" t="str">
        <f>IFERROR(__xludf.DUMMYFUNCTION("GOOGLETRANSLATE(B111, ""it"", ""en"")"),"What happens if a player moves inside the court without the ball?")</f>
        <v>What happens if a player moves inside the court without the ball?</v>
      </c>
      <c r="H111" s="3" t="str">
        <f>IFERROR(__xludf.DUMMYFUNCTION("GOOGLETRANSLATE(C111, ""it"", ""en"")"),"A. The game is stopped B. The player receives a yellow card C. The game continues D. The player receives a red card")</f>
        <v>A. The game is stopped B. The player receives a yellow card C. The game continues D. The player receives a red card</v>
      </c>
      <c r="I111" s="3" t="str">
        <f>IFERROR(__xludf.DUMMYFUNCTION("GOOGLETRANSLATE(D111, ""it"", ""en"")"),"The game continues")</f>
        <v>The game continues</v>
      </c>
      <c r="J111" s="2"/>
      <c r="K111" s="2"/>
      <c r="L111" s="2"/>
      <c r="M111" s="2"/>
      <c r="N111" s="2"/>
      <c r="O111" s="2"/>
      <c r="P111" s="2"/>
      <c r="Q111" s="2"/>
    </row>
    <row r="112" ht="22.5" customHeight="1">
      <c r="A112" s="3">
        <v>111.0</v>
      </c>
      <c r="B112" s="3" t="s">
        <v>226</v>
      </c>
      <c r="C112" s="3" t="s">
        <v>163</v>
      </c>
      <c r="D112" s="3" t="s">
        <v>12</v>
      </c>
      <c r="E112" s="2"/>
      <c r="F112" s="3" t="str">
        <f>IFERROR(__xludf.DUMMYFUNCTION("GOOGLETRANSLATE(A112, ""it"", ""en"")"),"111")</f>
        <v>111</v>
      </c>
      <c r="G112" s="3" t="str">
        <f>IFERROR(__xludf.DUMMYFUNCTION("GOOGLETRANSLATE(B112, ""it"", ""en"")"),"What happens if a player tackles an opponent without making contact?")</f>
        <v>What happens if a player tackles an opponent without making contact?</v>
      </c>
      <c r="H112" s="3" t="str">
        <f>IFERROR(__xludf.DUMMYFUNCTION("GOOGLETRANSLATE(C112, ""it"", ""en"")"),"A. The game is stopped B. The player receives a red card C. The game continues D. The player receives a yellow card")</f>
        <v>A. The game is stopped B. The player receives a red card C. The game continues D. The player receives a yellow card</v>
      </c>
      <c r="I112" s="3" t="str">
        <f>IFERROR(__xludf.DUMMYFUNCTION("GOOGLETRANSLATE(D112, ""it"", ""en"")"),"The game continues")</f>
        <v>The game continues</v>
      </c>
      <c r="J112" s="2"/>
      <c r="K112" s="2"/>
      <c r="L112" s="2"/>
      <c r="M112" s="2"/>
      <c r="N112" s="2"/>
      <c r="O112" s="2"/>
      <c r="P112" s="2"/>
      <c r="Q112" s="2"/>
    </row>
    <row r="113" ht="22.5" customHeight="1">
      <c r="A113" s="3">
        <v>112.0</v>
      </c>
      <c r="B113" s="3" t="s">
        <v>227</v>
      </c>
      <c r="C113" s="3" t="s">
        <v>163</v>
      </c>
      <c r="D113" s="3" t="s">
        <v>18</v>
      </c>
      <c r="E113" s="2"/>
      <c r="F113" s="3" t="str">
        <f>IFERROR(__xludf.DUMMYFUNCTION("GOOGLETRANSLATE(A113, ""it"", ""en"")"),"112")</f>
        <v>112</v>
      </c>
      <c r="G113" s="3" t="str">
        <f>IFERROR(__xludf.DUMMYFUNCTION("GOOGLETRANSLATE(B113, ""it"", ""en"")"),"What happens if a player gets injured during a foul?")</f>
        <v>What happens if a player gets injured during a foul?</v>
      </c>
      <c r="H113" s="3" t="str">
        <f>IFERROR(__xludf.DUMMYFUNCTION("GOOGLETRANSLATE(C113, ""it"", ""en"")"),"A. The game is stopped B. The player receives a red card C. The game continues D. The player receives a yellow card")</f>
        <v>A. The game is stopped B. The player receives a red card C. The game continues D. The player receives a yellow card</v>
      </c>
      <c r="I113" s="3" t="str">
        <f>IFERROR(__xludf.DUMMYFUNCTION("GOOGLETRANSLATE(D113, ""it"", ""en"")"),"The game is stopped")</f>
        <v>The game is stopped</v>
      </c>
      <c r="J113" s="2"/>
      <c r="K113" s="2"/>
      <c r="L113" s="2"/>
      <c r="M113" s="2"/>
      <c r="N113" s="2"/>
      <c r="O113" s="2"/>
      <c r="P113" s="2"/>
      <c r="Q113" s="2"/>
    </row>
    <row r="114" ht="22.5" customHeight="1">
      <c r="A114" s="3">
        <v>113.0</v>
      </c>
      <c r="B114" s="3" t="s">
        <v>228</v>
      </c>
      <c r="C114" s="3" t="s">
        <v>229</v>
      </c>
      <c r="D114" s="3" t="s">
        <v>171</v>
      </c>
      <c r="E114" s="2"/>
      <c r="F114" s="3" t="str">
        <f>IFERROR(__xludf.DUMMYFUNCTION("GOOGLETRANSLATE(A114, ""it"", ""en"")"),"113")</f>
        <v>113</v>
      </c>
      <c r="G114" s="3" t="str">
        <f>IFERROR(__xludf.DUMMYFUNCTION("GOOGLETRANSLATE(B114, ""it"", ""en"")"),"What happens if a player makes a pass to the goalkeeper and he can't stop it?")</f>
        <v>What happens if a player makes a pass to the goalkeeper and he can't stop it?</v>
      </c>
      <c r="H114" s="3" t="str">
        <f>IFERROR(__xludf.DUMMYFUNCTION("GOOGLETRANSLATE(C114, ""it"", ""en"")"),"A. The goal is valid B. The game continues C. The goalkeeper receives a red card D. The game is stopped")</f>
        <v>A. The goal is valid B. The game continues C. The goalkeeper receives a red card D. The game is stopped</v>
      </c>
      <c r="I114" s="3" t="str">
        <f>IFERROR(__xludf.DUMMYFUNCTION("GOOGLETRANSLATE(D114, ""it"", ""en"")"),"The goal is valid")</f>
        <v>The goal is valid</v>
      </c>
      <c r="J114" s="2"/>
      <c r="K114" s="2"/>
      <c r="L114" s="2"/>
      <c r="M114" s="2"/>
      <c r="N114" s="2"/>
      <c r="O114" s="2"/>
      <c r="P114" s="2"/>
      <c r="Q114" s="2"/>
    </row>
    <row r="115" ht="22.5" customHeight="1">
      <c r="A115" s="3">
        <v>114.0</v>
      </c>
      <c r="B115" s="3" t="s">
        <v>230</v>
      </c>
      <c r="C115" s="3" t="s">
        <v>231</v>
      </c>
      <c r="D115" s="3" t="s">
        <v>12</v>
      </c>
      <c r="E115" s="2"/>
      <c r="F115" s="3" t="str">
        <f>IFERROR(__xludf.DUMMYFUNCTION("GOOGLETRANSLATE(A115, ""it"", ""en"")"),"114")</f>
        <v>114</v>
      </c>
      <c r="G115" s="3" t="str">
        <f>IFERROR(__xludf.DUMMYFUNCTION("GOOGLETRANSLATE(B115, ""it"", ""en"")"),"What happens if a player throws the ball toward the goal but the shot goes wide?")</f>
        <v>What happens if a player throws the ball toward the goal but the shot goes wide?</v>
      </c>
      <c r="H115" s="3" t="str">
        <f>IFERROR(__xludf.DUMMYFUNCTION("GOOGLETRANSLATE(C115, ""it"", ""en"")"),"A. The game continues B. The opposing team wins the ball C. The shot is retaken D. The game is stopped")</f>
        <v>A. The game continues B. The opposing team wins the ball C. The shot is retaken D. The game is stopped</v>
      </c>
      <c r="I115" s="3" t="str">
        <f>IFERROR(__xludf.DUMMYFUNCTION("GOOGLETRANSLATE(D115, ""it"", ""en"")"),"The game continues")</f>
        <v>The game continues</v>
      </c>
      <c r="J115" s="2"/>
      <c r="K115" s="2"/>
      <c r="L115" s="2"/>
      <c r="M115" s="2"/>
      <c r="N115" s="2"/>
      <c r="O115" s="2"/>
      <c r="P115" s="2"/>
      <c r="Q115" s="2"/>
    </row>
    <row r="116" ht="22.5" customHeight="1">
      <c r="A116" s="3">
        <v>115.0</v>
      </c>
      <c r="B116" s="3" t="s">
        <v>232</v>
      </c>
      <c r="C116" s="3" t="s">
        <v>163</v>
      </c>
      <c r="D116" s="3" t="s">
        <v>18</v>
      </c>
      <c r="E116" s="2"/>
      <c r="F116" s="3" t="str">
        <f>IFERROR(__xludf.DUMMYFUNCTION("GOOGLETRANSLATE(A116, ""it"", ""en"")"),"115")</f>
        <v>115</v>
      </c>
      <c r="G116" s="3" t="str">
        <f>IFERROR(__xludf.DUMMYFUNCTION("GOOGLETRANSLATE(B116, ""it"", ""en"")"),"What happens if a player injures an opponent during a tackle?")</f>
        <v>What happens if a player injures an opponent during a tackle?</v>
      </c>
      <c r="H116" s="3" t="str">
        <f>IFERROR(__xludf.DUMMYFUNCTION("GOOGLETRANSLATE(C116, ""it"", ""en"")"),"A. The game is stopped B. The player receives a red card C. The game continues D. The player receives a yellow card")</f>
        <v>A. The game is stopped B. The player receives a red card C. The game continues D. The player receives a yellow card</v>
      </c>
      <c r="I116" s="3" t="str">
        <f>IFERROR(__xludf.DUMMYFUNCTION("GOOGLETRANSLATE(D116, ""it"", ""en"")"),"The game is stopped")</f>
        <v>The game is stopped</v>
      </c>
      <c r="J116" s="2"/>
      <c r="K116" s="2"/>
      <c r="L116" s="2"/>
      <c r="M116" s="2"/>
      <c r="N116" s="2"/>
      <c r="O116" s="2"/>
      <c r="P116" s="2"/>
      <c r="Q116" s="2"/>
    </row>
    <row r="117" ht="22.5" customHeight="1">
      <c r="A117" s="3">
        <v>116.0</v>
      </c>
      <c r="B117" s="3" t="s">
        <v>233</v>
      </c>
      <c r="C117" s="3" t="s">
        <v>29</v>
      </c>
      <c r="D117" s="3" t="s">
        <v>12</v>
      </c>
      <c r="E117" s="2"/>
      <c r="F117" s="3" t="str">
        <f>IFERROR(__xludf.DUMMYFUNCTION("GOOGLETRANSLATE(A117, ""it"", ""en"")"),"116")</f>
        <v>116</v>
      </c>
      <c r="G117" s="3" t="str">
        <f>IFERROR(__xludf.DUMMYFUNCTION("GOOGLETRANSLATE(B117, ""it"", ""en"")"),"If a player commits an unfair play foul and the referee doesn't blow the whistle, what happens?")</f>
        <v>If a player commits an unfair play foul and the referee doesn't blow the whistle, what happens?</v>
      </c>
      <c r="H117" s="3" t="str">
        <f>IFERROR(__xludf.DUMMYFUNCTION("GOOGLETRANSLATE(C117, ""it"", ""en"")"),"A. The game continues B. The player receives a red card C. The game is stopped D. The player receives a yellow card")</f>
        <v>A. The game continues B. The player receives a red card C. The game is stopped D. The player receives a yellow card</v>
      </c>
      <c r="I117" s="3" t="str">
        <f>IFERROR(__xludf.DUMMYFUNCTION("GOOGLETRANSLATE(D117, ""it"", ""en"")"),"The game continues")</f>
        <v>The game continues</v>
      </c>
      <c r="J117" s="2"/>
      <c r="K117" s="2"/>
      <c r="L117" s="2"/>
      <c r="M117" s="2"/>
      <c r="N117" s="2"/>
      <c r="O117" s="2"/>
      <c r="P117" s="2"/>
      <c r="Q117" s="2"/>
    </row>
    <row r="118" ht="22.5" customHeight="1">
      <c r="A118" s="3">
        <v>117.0</v>
      </c>
      <c r="B118" s="3" t="s">
        <v>234</v>
      </c>
      <c r="C118" s="3" t="s">
        <v>235</v>
      </c>
      <c r="D118" s="3" t="s">
        <v>236</v>
      </c>
      <c r="E118" s="2"/>
      <c r="F118" s="3" t="str">
        <f>IFERROR(__xludf.DUMMYFUNCTION("GOOGLETRANSLATE(A118, ""it"", ""en"")"),"117")</f>
        <v>117</v>
      </c>
      <c r="G118" s="3" t="str">
        <f>IFERROR(__xludf.DUMMYFUNCTION("GOOGLETRANSLATE(B118, ""it"", ""en"")"),"What happens if a player is sent off for a serious foul?")</f>
        <v>What happens if a player is sent off for a serious foul?</v>
      </c>
      <c r="H118" s="3" t="str">
        <f>IFERROR(__xludf.DUMMYFUNCTION("GOOGLETRANSLATE(C118, ""it"", ""en"")"),"A. The team is playing with a reduced number of players B. The game is stopped C. The player receives a yellow card D. The game continues")</f>
        <v>A. The team is playing with a reduced number of players B. The game is stopped C. The player receives a yellow card D. The game continues</v>
      </c>
      <c r="I118" s="3" t="str">
        <f>IFERROR(__xludf.DUMMYFUNCTION("GOOGLETRANSLATE(D118, ""it"", ""en"")"),"The team plays with a reduced number of players")</f>
        <v>The team plays with a reduced number of players</v>
      </c>
      <c r="J118" s="2"/>
      <c r="K118" s="2"/>
      <c r="L118" s="2"/>
      <c r="M118" s="2"/>
      <c r="N118" s="2"/>
      <c r="O118" s="2"/>
      <c r="P118" s="2"/>
      <c r="Q118" s="2"/>
    </row>
    <row r="119" ht="22.5" customHeight="1">
      <c r="A119" s="3">
        <v>118.0</v>
      </c>
      <c r="B119" s="3" t="s">
        <v>237</v>
      </c>
      <c r="C119" s="3" t="s">
        <v>238</v>
      </c>
      <c r="D119" s="3" t="s">
        <v>18</v>
      </c>
      <c r="E119" s="2"/>
      <c r="F119" s="3" t="str">
        <f>IFERROR(__xludf.DUMMYFUNCTION("GOOGLETRANSLATE(A119, ""it"", ""en"")"),"118")</f>
        <v>118</v>
      </c>
      <c r="G119" s="3" t="str">
        <f>IFERROR(__xludf.DUMMYFUNCTION("GOOGLETRANSLATE(B119, ""it"", ""en"")"),"What happens if a player enters the field without permission during a substitution?")</f>
        <v>What happens if a player enters the field without permission during a substitution?</v>
      </c>
      <c r="H119" s="3" t="str">
        <f>IFERROR(__xludf.DUMMYFUNCTION("GOOGLETRANSLATE(C119, ""it"", ""en"")"),"A. The game is stopped B. The player receives a yellow card C. The opposing team earns a free kick D. The player is sent off")</f>
        <v>A. The game is stopped B. The player receives a yellow card C. The opposing team earns a free kick D. The player is sent off</v>
      </c>
      <c r="I119" s="3" t="str">
        <f>IFERROR(__xludf.DUMMYFUNCTION("GOOGLETRANSLATE(D119, ""it"", ""en"")"),"The game is stopped")</f>
        <v>The game is stopped</v>
      </c>
      <c r="J119" s="2"/>
      <c r="K119" s="2"/>
      <c r="L119" s="2"/>
      <c r="M119" s="2"/>
      <c r="N119" s="2"/>
      <c r="O119" s="2"/>
      <c r="P119" s="2"/>
      <c r="Q119" s="2"/>
    </row>
    <row r="120" ht="22.5" customHeight="1">
      <c r="A120" s="3">
        <v>119.0</v>
      </c>
      <c r="B120" s="3" t="s">
        <v>239</v>
      </c>
      <c r="C120" s="3" t="s">
        <v>240</v>
      </c>
      <c r="D120" s="3" t="s">
        <v>202</v>
      </c>
      <c r="E120" s="2"/>
      <c r="F120" s="3" t="str">
        <f>IFERROR(__xludf.DUMMYFUNCTION("GOOGLETRANSLATE(A120, ""it"", ""en"")"),"119")</f>
        <v>119</v>
      </c>
      <c r="G120" s="3" t="str">
        <f>IFERROR(__xludf.DUMMYFUNCTION("GOOGLETRANSLATE(B120, ""it"", ""en"")"),"What happens if a player commits a foul to prevent an opponent from scoring?")</f>
        <v>What happens if a player commits a foul to prevent an opponent from scoring?</v>
      </c>
      <c r="H120" s="3" t="str">
        <f>IFERROR(__xludf.DUMMYFUNCTION("GOOGLETRANSLATE(C120, ""it"", ""en"")"),"A. The game is stopped B. The opposing team earns a penalty kick C. The player receives a red card D. The game continues")</f>
        <v>A. The game is stopped B. The opposing team earns a penalty kick C. The player receives a red card D. The game continues</v>
      </c>
      <c r="I120" s="3" t="str">
        <f>IFERROR(__xludf.DUMMYFUNCTION("GOOGLETRANSLATE(D120, ""it"", ""en"")"),"The opposing team earns a penalty kick")</f>
        <v>The opposing team earns a penalty kick</v>
      </c>
      <c r="J120" s="2"/>
      <c r="K120" s="2"/>
      <c r="L120" s="2"/>
      <c r="M120" s="2"/>
      <c r="N120" s="2"/>
      <c r="O120" s="2"/>
      <c r="P120" s="2"/>
      <c r="Q120" s="2"/>
    </row>
    <row r="121" ht="22.5" customHeight="1">
      <c r="A121" s="3">
        <v>120.0</v>
      </c>
      <c r="B121" s="3" t="s">
        <v>241</v>
      </c>
      <c r="C121" s="3" t="s">
        <v>242</v>
      </c>
      <c r="D121" s="3" t="s">
        <v>111</v>
      </c>
      <c r="E121" s="2"/>
      <c r="F121" s="3" t="str">
        <f>IFERROR(__xludf.DUMMYFUNCTION("GOOGLETRANSLATE(A121, ""it"", ""en"")"),"120")</f>
        <v>120</v>
      </c>
      <c r="G121" s="3" t="str">
        <f>IFERROR(__xludf.DUMMYFUNCTION("GOOGLETRANSLATE(B121, ""it"", ""en"")"),"What happens if a player kicks the ball out of bounds during a play?")</f>
        <v>What happens if a player kicks the ball out of bounds during a play?</v>
      </c>
      <c r="H121" s="3" t="str">
        <f>IFERROR(__xludf.DUMMYFUNCTION("GOOGLETRANSLATE(C121, ""it"", ""en"")"),"A. The opposing team earns a free kick B. The game is stopped C. The game continues D. The ball is returned to the opposing team")</f>
        <v>A. The opposing team earns a free kick B. The game is stopped C. The game continues D. The ball is returned to the opposing team</v>
      </c>
      <c r="I121" s="3" t="str">
        <f>IFERROR(__xludf.DUMMYFUNCTION("GOOGLETRANSLATE(D121, ""it"", ""en"")"),"The opposing team earns a free kick")</f>
        <v>The opposing team earns a free kick</v>
      </c>
      <c r="J121" s="2"/>
      <c r="K121" s="2"/>
      <c r="L121" s="2"/>
      <c r="M121" s="2"/>
      <c r="N121" s="2"/>
      <c r="O121" s="2"/>
      <c r="P121" s="2"/>
      <c r="Q121" s="2"/>
    </row>
    <row r="122" ht="22.5" customHeight="1">
      <c r="A122" s="3">
        <v>121.0</v>
      </c>
      <c r="B122" s="3" t="s">
        <v>243</v>
      </c>
      <c r="C122" s="3" t="s">
        <v>244</v>
      </c>
      <c r="D122" s="3" t="s">
        <v>18</v>
      </c>
      <c r="E122" s="2"/>
      <c r="F122" s="3" t="str">
        <f>IFERROR(__xludf.DUMMYFUNCTION("GOOGLETRANSLATE(A122, ""it"", ""en"")"),"121")</f>
        <v>121</v>
      </c>
      <c r="G122" s="3" t="str">
        <f>IFERROR(__xludf.DUMMYFUNCTION("GOOGLETRANSLATE(B122, ""it"", ""en"")"),"What happens if a player suffers a serious injury?")</f>
        <v>What happens if a player suffers a serious injury?</v>
      </c>
      <c r="H122" s="3" t="str">
        <f>IFERROR(__xludf.DUMMYFUNCTION("GOOGLETRANSLATE(C122, ""it"", ""en"")"),"A. The game is stopped B. The player is substituted C. The game continues D. The player receives a red card")</f>
        <v>A. The game is stopped B. The player is substituted C. The game continues D. The player receives a red card</v>
      </c>
      <c r="I122" s="3" t="str">
        <f>IFERROR(__xludf.DUMMYFUNCTION("GOOGLETRANSLATE(D122, ""it"", ""en"")"),"The game is stopped")</f>
        <v>The game is stopped</v>
      </c>
      <c r="J122" s="2"/>
      <c r="K122" s="2"/>
      <c r="L122" s="2"/>
      <c r="M122" s="2"/>
      <c r="N122" s="2"/>
      <c r="O122" s="2"/>
      <c r="P122" s="2"/>
      <c r="Q122" s="2"/>
    </row>
    <row r="123" ht="22.5" customHeight="1">
      <c r="A123" s="3">
        <v>122.0</v>
      </c>
      <c r="B123" s="3" t="s">
        <v>245</v>
      </c>
      <c r="C123" s="3" t="s">
        <v>246</v>
      </c>
      <c r="D123" s="3" t="s">
        <v>12</v>
      </c>
      <c r="E123" s="2"/>
      <c r="F123" s="3" t="str">
        <f>IFERROR(__xludf.DUMMYFUNCTION("GOOGLETRANSLATE(A123, ""it"", ""en"")"),"122")</f>
        <v>122</v>
      </c>
      <c r="G123" s="3" t="str">
        <f>IFERROR(__xludf.DUMMYFUNCTION("GOOGLETRANSLATE(B123, ""it"", ""en"")"),"What happens if a player is hit by the ball during an unintentional play?")</f>
        <v>What happens if a player is hit by the ball during an unintentional play?</v>
      </c>
      <c r="H123" s="3" t="str">
        <f>IFERROR(__xludf.DUMMYFUNCTION("GOOGLETRANSLATE(C123, ""it"", ""en"")"),"A. The game continues B. The game is stopped C. The player receives a yellow card D. The player receives a red card")</f>
        <v>A. The game continues B. The game is stopped C. The player receives a yellow card D. The player receives a red card</v>
      </c>
      <c r="I123" s="3" t="str">
        <f>IFERROR(__xludf.DUMMYFUNCTION("GOOGLETRANSLATE(D123, ""it"", ""en"")"),"The game continues")</f>
        <v>The game continues</v>
      </c>
      <c r="J123" s="2"/>
      <c r="K123" s="2"/>
      <c r="L123" s="2"/>
      <c r="M123" s="2"/>
      <c r="N123" s="2"/>
      <c r="O123" s="2"/>
      <c r="P123" s="2"/>
      <c r="Q123" s="2"/>
    </row>
    <row r="124" ht="22.5" customHeight="1">
      <c r="A124" s="3">
        <v>123.0</v>
      </c>
      <c r="B124" s="3" t="s">
        <v>247</v>
      </c>
      <c r="C124" s="3" t="s">
        <v>240</v>
      </c>
      <c r="D124" s="3" t="s">
        <v>202</v>
      </c>
      <c r="E124" s="2"/>
      <c r="F124" s="3" t="str">
        <f>IFERROR(__xludf.DUMMYFUNCTION("GOOGLETRANSLATE(A124, ""it"", ""en"")"),"123")</f>
        <v>123</v>
      </c>
      <c r="G124" s="3" t="str">
        <f>IFERROR(__xludf.DUMMYFUNCTION("GOOGLETRANSLATE(B124, ""it"", ""en"")"),"What happens if a player touches the ball with his hand inside his own penalty area?")</f>
        <v>What happens if a player touches the ball with his hand inside his own penalty area?</v>
      </c>
      <c r="H124" s="3" t="str">
        <f>IFERROR(__xludf.DUMMYFUNCTION("GOOGLETRANSLATE(C124, ""it"", ""en"")"),"A. The game is stopped B. The opposing team earns a penalty kick C. The player receives a red card D. The game continues")</f>
        <v>A. The game is stopped B. The opposing team earns a penalty kick C. The player receives a red card D. The game continues</v>
      </c>
      <c r="I124" s="3" t="str">
        <f>IFERROR(__xludf.DUMMYFUNCTION("GOOGLETRANSLATE(D124, ""it"", ""en"")"),"The opposing team earns a penalty kick")</f>
        <v>The opposing team earns a penalty kick</v>
      </c>
      <c r="J124" s="2"/>
      <c r="K124" s="2"/>
      <c r="L124" s="2"/>
      <c r="M124" s="2"/>
      <c r="N124" s="2"/>
      <c r="O124" s="2"/>
      <c r="P124" s="2"/>
      <c r="Q124" s="2"/>
    </row>
    <row r="125" ht="22.5" customHeight="1">
      <c r="A125" s="3">
        <v>124.0</v>
      </c>
      <c r="B125" s="3" t="s">
        <v>248</v>
      </c>
      <c r="C125" s="3" t="s">
        <v>249</v>
      </c>
      <c r="D125" s="3" t="s">
        <v>111</v>
      </c>
      <c r="E125" s="2"/>
      <c r="F125" s="3" t="str">
        <f>IFERROR(__xludf.DUMMYFUNCTION("GOOGLETRANSLATE(A125, ""it"", ""en"")"),"124")</f>
        <v>124</v>
      </c>
      <c r="G125" s="3" t="str">
        <f>IFERROR(__xludf.DUMMYFUNCTION("GOOGLETRANSLATE(B125, ""it"", ""en"")"),"If a player fouls an opponent on the edge of the penalty area, what happens?")</f>
        <v>If a player fouls an opponent on the edge of the penalty area, what happens?</v>
      </c>
      <c r="H125" s="3" t="str">
        <f>IFERROR(__xludf.DUMMYFUNCTION("GOOGLETRANSLATE(C125, ""it"", ""en"")"),"A. The game is stopped B. The opposing team earns a free kick C. The game continues D. The player receives a red card")</f>
        <v>A. The game is stopped B. The opposing team earns a free kick C. The game continues D. The player receives a red card</v>
      </c>
      <c r="I125" s="3" t="str">
        <f>IFERROR(__xludf.DUMMYFUNCTION("GOOGLETRANSLATE(D125, ""it"", ""en"")"),"The opposing team earns a free kick")</f>
        <v>The opposing team earns a free kick</v>
      </c>
      <c r="J125" s="2"/>
      <c r="K125" s="2"/>
      <c r="L125" s="2"/>
      <c r="M125" s="2"/>
      <c r="N125" s="2"/>
      <c r="O125" s="2"/>
      <c r="P125" s="2"/>
      <c r="Q125" s="2"/>
    </row>
    <row r="126" ht="22.5" customHeight="1">
      <c r="A126" s="3">
        <v>125.0</v>
      </c>
      <c r="B126" s="3" t="s">
        <v>250</v>
      </c>
      <c r="C126" s="3" t="s">
        <v>163</v>
      </c>
      <c r="D126" s="3" t="s">
        <v>30</v>
      </c>
      <c r="E126" s="2"/>
      <c r="F126" s="3" t="str">
        <f>IFERROR(__xludf.DUMMYFUNCTION("GOOGLETRANSLATE(A126, ""it"", ""en"")"),"125")</f>
        <v>125</v>
      </c>
      <c r="G126" s="3" t="str">
        <f>IFERROR(__xludf.DUMMYFUNCTION("GOOGLETRANSLATE(B126, ""it"", ""en"")"),"What happens if a player uses offensive language towards the referee?")</f>
        <v>What happens if a player uses offensive language towards the referee?</v>
      </c>
      <c r="H126" s="3" t="str">
        <f>IFERROR(__xludf.DUMMYFUNCTION("GOOGLETRANSLATE(C126, ""it"", ""en"")"),"A. The game is stopped B. The player receives a red card C. The game continues D. The player receives a yellow card")</f>
        <v>A. The game is stopped B. The player receives a red card C. The game continues D. The player receives a yellow card</v>
      </c>
      <c r="I126" s="3" t="str">
        <f>IFERROR(__xludf.DUMMYFUNCTION("GOOGLETRANSLATE(D126, ""it"", ""en"")"),"The player receives a red card")</f>
        <v>The player receives a red card</v>
      </c>
      <c r="J126" s="2"/>
      <c r="K126" s="2"/>
      <c r="L126" s="2"/>
      <c r="M126" s="2"/>
      <c r="N126" s="2"/>
      <c r="O126" s="2"/>
      <c r="P126" s="2"/>
      <c r="Q126" s="2"/>
    </row>
    <row r="127" ht="22.5" customHeight="1">
      <c r="A127" s="3">
        <v>126.0</v>
      </c>
      <c r="B127" s="3" t="s">
        <v>251</v>
      </c>
      <c r="C127" s="3" t="s">
        <v>179</v>
      </c>
      <c r="D127" s="3" t="s">
        <v>18</v>
      </c>
      <c r="E127" s="2"/>
      <c r="F127" s="3" t="str">
        <f>IFERROR(__xludf.DUMMYFUNCTION("GOOGLETRANSLATE(A127, ""it"", ""en"")"),"126")</f>
        <v>126</v>
      </c>
      <c r="G127" s="3" t="str">
        <f>IFERROR(__xludf.DUMMYFUNCTION("GOOGLETRANSLATE(B127, ""it"", ""en"")"),"What happens if a player slips and accidentally hits an opponent?")</f>
        <v>What happens if a player slips and accidentally hits an opponent?</v>
      </c>
      <c r="H127" s="3" t="str">
        <f>IFERROR(__xludf.DUMMYFUNCTION("GOOGLETRANSLATE(C127, ""it"", ""en"")"),"A. The game is stopped B. The player receives a yellow card C. The game continues D. The player receives a red card")</f>
        <v>A. The game is stopped B. The player receives a yellow card C. The game continues D. The player receives a red card</v>
      </c>
      <c r="I127" s="3" t="str">
        <f>IFERROR(__xludf.DUMMYFUNCTION("GOOGLETRANSLATE(D127, ""it"", ""en"")"),"The game is stopped")</f>
        <v>The game is stopped</v>
      </c>
      <c r="J127" s="2"/>
      <c r="K127" s="2"/>
      <c r="L127" s="2"/>
      <c r="M127" s="2"/>
      <c r="N127" s="2"/>
      <c r="O127" s="2"/>
      <c r="P127" s="2"/>
      <c r="Q127" s="2"/>
    </row>
    <row r="128" ht="22.5" customHeight="1">
      <c r="A128" s="3">
        <v>127.0</v>
      </c>
      <c r="B128" s="3" t="s">
        <v>252</v>
      </c>
      <c r="C128" s="3" t="s">
        <v>253</v>
      </c>
      <c r="D128" s="3" t="s">
        <v>12</v>
      </c>
      <c r="E128" s="2"/>
      <c r="F128" s="3" t="str">
        <f>IFERROR(__xludf.DUMMYFUNCTION("GOOGLETRANSLATE(A128, ""it"", ""en"")"),"127")</f>
        <v>127</v>
      </c>
      <c r="G128" s="3" t="str">
        <f>IFERROR(__xludf.DUMMYFUNCTION("GOOGLETRANSLATE(B128, ""it"", ""en"")"),"If a player commits a foul in the center of the field, what happens?")</f>
        <v>If a player commits a foul in the center of the field, what happens?</v>
      </c>
      <c r="H128" s="3" t="str">
        <f>IFERROR(__xludf.DUMMYFUNCTION("GOOGLETRANSLATE(C128, ""it"", ""en"")"),"A. The game is stopped B. The game continues C. The opposing team earns a free kick D. The player receives a yellow card")</f>
        <v>A. The game is stopped B. The game continues C. The opposing team earns a free kick D. The player receives a yellow card</v>
      </c>
      <c r="I128" s="3" t="str">
        <f>IFERROR(__xludf.DUMMYFUNCTION("GOOGLETRANSLATE(D128, ""it"", ""en"")"),"The game continues")</f>
        <v>The game continues</v>
      </c>
      <c r="J128" s="2"/>
      <c r="K128" s="2"/>
      <c r="L128" s="2"/>
      <c r="M128" s="2"/>
      <c r="N128" s="2"/>
      <c r="O128" s="2"/>
      <c r="P128" s="2"/>
      <c r="Q128" s="2"/>
    </row>
    <row r="129" ht="22.5" customHeight="1">
      <c r="A129" s="3">
        <v>128.0</v>
      </c>
      <c r="B129" s="3" t="s">
        <v>254</v>
      </c>
      <c r="C129" s="3" t="s">
        <v>217</v>
      </c>
      <c r="D129" s="3" t="s">
        <v>123</v>
      </c>
      <c r="E129" s="2"/>
      <c r="F129" s="3" t="str">
        <f>IFERROR(__xludf.DUMMYFUNCTION("GOOGLETRANSLATE(A129, ""it"", ""en"")"),"128")</f>
        <v>128</v>
      </c>
      <c r="G129" s="3" t="str">
        <f>IFERROR(__xludf.DUMMYFUNCTION("GOOGLETRANSLATE(B129, ""it"", ""en"")"),"What happens if a player kicks the ball out of bounds on purpose?")</f>
        <v>What happens if a player kicks the ball out of bounds on purpose?</v>
      </c>
      <c r="H129" s="3" t="str">
        <f>IFERROR(__xludf.DUMMYFUNCTION("GOOGLETRANSLATE(C129, ""it"", ""en"")"),"A. The game is stopped B. The opposing team wins the ball C. The game continues D. The player receives a red card")</f>
        <v>A. The game is stopped B. The opposing team wins the ball C. The game continues D. The player receives a red card</v>
      </c>
      <c r="I129" s="3" t="str">
        <f>IFERROR(__xludf.DUMMYFUNCTION("GOOGLETRANSLATE(D129, ""it"", ""en"")"),"The opposing team wins the ball")</f>
        <v>The opposing team wins the ball</v>
      </c>
      <c r="J129" s="2"/>
      <c r="K129" s="2"/>
      <c r="L129" s="2"/>
      <c r="M129" s="2"/>
      <c r="N129" s="2"/>
      <c r="O129" s="2"/>
      <c r="P129" s="2"/>
      <c r="Q129" s="2"/>
    </row>
    <row r="130" ht="22.5" customHeight="1">
      <c r="A130" s="3">
        <v>129.0</v>
      </c>
      <c r="B130" s="3" t="s">
        <v>255</v>
      </c>
      <c r="C130" s="3" t="s">
        <v>125</v>
      </c>
      <c r="D130" s="3" t="s">
        <v>12</v>
      </c>
      <c r="E130" s="2"/>
      <c r="F130" s="3" t="str">
        <f>IFERROR(__xludf.DUMMYFUNCTION("GOOGLETRANSLATE(A130, ""it"", ""en"")"),"129")</f>
        <v>129</v>
      </c>
      <c r="G130" s="3" t="str">
        <f>IFERROR(__xludf.DUMMYFUNCTION("GOOGLETRANSLATE(B130, ""it"", ""en"")"),"What happens if a player makes a pass to a teammate who can't control it?")</f>
        <v>What happens if a player makes a pass to a teammate who can't control it?</v>
      </c>
      <c r="H130" s="3" t="str">
        <f>IFERROR(__xludf.DUMMYFUNCTION("GOOGLETRANSLATE(C130, ""it"", ""en"")"),"A. The game continues B. The opposing team wins the ball C. The game is stopped D. The player receives a yellow card")</f>
        <v>A. The game continues B. The opposing team wins the ball C. The game is stopped D. The player receives a yellow card</v>
      </c>
      <c r="I130" s="3" t="str">
        <f>IFERROR(__xludf.DUMMYFUNCTION("GOOGLETRANSLATE(D130, ""it"", ""en"")"),"The game continues")</f>
        <v>The game continues</v>
      </c>
      <c r="J130" s="2"/>
      <c r="K130" s="2"/>
      <c r="L130" s="2"/>
      <c r="M130" s="2"/>
      <c r="N130" s="2"/>
      <c r="O130" s="2"/>
      <c r="P130" s="2"/>
      <c r="Q130" s="2"/>
    </row>
    <row r="131" ht="22.5" customHeight="1">
      <c r="A131" s="3">
        <v>130.0</v>
      </c>
      <c r="B131" s="3" t="s">
        <v>256</v>
      </c>
      <c r="C131" s="3" t="s">
        <v>257</v>
      </c>
      <c r="D131" s="3" t="s">
        <v>12</v>
      </c>
      <c r="E131" s="2"/>
      <c r="F131" s="3" t="str">
        <f>IFERROR(__xludf.DUMMYFUNCTION("GOOGLETRANSLATE(A131, ""it"", ""en"")"),"130")</f>
        <v>130</v>
      </c>
      <c r="G131" s="3" t="str">
        <f>IFERROR(__xludf.DUMMYFUNCTION("GOOGLETRANSLATE(B131, ""it"", ""en"")"),"What happens if a player is fouled and the referee doesn't see it?")</f>
        <v>What happens if a player is fouled and the referee doesn't see it?</v>
      </c>
      <c r="H131" s="3" t="str">
        <f>IFERROR(__xludf.DUMMYFUNCTION("GOOGLETRANSLATE(C131, ""it"", ""en"")"),"A. The game continues B. The player receives a yellow card C. The game is stopped D. The opposing team wins the ball")</f>
        <v>A. The game continues B. The player receives a yellow card C. The game is stopped D. The opposing team wins the ball</v>
      </c>
      <c r="I131" s="3" t="str">
        <f>IFERROR(__xludf.DUMMYFUNCTION("GOOGLETRANSLATE(D131, ""it"", ""en"")"),"The game continues")</f>
        <v>The game continues</v>
      </c>
      <c r="J131" s="2"/>
      <c r="K131" s="2"/>
      <c r="L131" s="2"/>
      <c r="M131" s="2"/>
      <c r="N131" s="2"/>
      <c r="O131" s="2"/>
      <c r="P131" s="2"/>
      <c r="Q131" s="2"/>
    </row>
    <row r="132" ht="22.5" customHeight="1">
      <c r="A132" s="3">
        <v>131.0</v>
      </c>
      <c r="B132" s="3" t="s">
        <v>258</v>
      </c>
      <c r="C132" s="3" t="s">
        <v>259</v>
      </c>
      <c r="D132" s="3" t="s">
        <v>171</v>
      </c>
      <c r="E132" s="2"/>
      <c r="F132" s="3" t="str">
        <f>IFERROR(__xludf.DUMMYFUNCTION("GOOGLETRANSLATE(A132, ""it"", ""en"")"),"131")</f>
        <v>131</v>
      </c>
      <c r="G132" s="3" t="str">
        <f>IFERROR(__xludf.DUMMYFUNCTION("GOOGLETRANSLATE(B132, ""it"", ""en"")"),"What happens if a player scores a goal from outside the box?")</f>
        <v>What happens if a player scores a goal from outside the box?</v>
      </c>
      <c r="H132" s="3" t="str">
        <f>IFERROR(__xludf.DUMMYFUNCTION("GOOGLETRANSLATE(C132, ""it"", ""en"")"),"A. The goal is valid B. The goal is disallowed C. The game is stopped D. The goal is validated")</f>
        <v>A. The goal is valid B. The goal is disallowed C. The game is stopped D. The goal is validated</v>
      </c>
      <c r="I132" s="3" t="str">
        <f>IFERROR(__xludf.DUMMYFUNCTION("GOOGLETRANSLATE(D132, ""it"", ""en"")"),"The goal is valid")</f>
        <v>The goal is valid</v>
      </c>
      <c r="J132" s="2"/>
      <c r="K132" s="2"/>
      <c r="L132" s="2"/>
      <c r="M132" s="2"/>
      <c r="N132" s="2"/>
      <c r="O132" s="2"/>
      <c r="P132" s="2"/>
      <c r="Q132" s="2"/>
    </row>
    <row r="133" ht="22.5" customHeight="1">
      <c r="A133" s="3">
        <v>132.0</v>
      </c>
      <c r="B133" s="3" t="s">
        <v>260</v>
      </c>
      <c r="C133" s="3" t="s">
        <v>163</v>
      </c>
      <c r="D133" s="3" t="s">
        <v>18</v>
      </c>
      <c r="E133" s="2"/>
      <c r="F133" s="3" t="str">
        <f>IFERROR(__xludf.DUMMYFUNCTION("GOOGLETRANSLATE(A133, ""it"", ""en"")"),"132")</f>
        <v>132</v>
      </c>
      <c r="G133" s="3" t="str">
        <f>IFERROR(__xludf.DUMMYFUNCTION("GOOGLETRANSLATE(B133, ""it"", ""en"")"),"If a player jumps to hit the ball and lands on another player, what happens?")</f>
        <v>If a player jumps to hit the ball and lands on another player, what happens?</v>
      </c>
      <c r="H133" s="3" t="str">
        <f>IFERROR(__xludf.DUMMYFUNCTION("GOOGLETRANSLATE(C133, ""it"", ""en"")"),"A. The game is stopped B. The player receives a red card C. The game continues D. The player receives a yellow card")</f>
        <v>A. The game is stopped B. The player receives a red card C. The game continues D. The player receives a yellow card</v>
      </c>
      <c r="I133" s="3" t="str">
        <f>IFERROR(__xludf.DUMMYFUNCTION("GOOGLETRANSLATE(D133, ""it"", ""en"")"),"The game is stopped")</f>
        <v>The game is stopped</v>
      </c>
      <c r="J133" s="2"/>
      <c r="K133" s="2"/>
      <c r="L133" s="2"/>
      <c r="M133" s="2"/>
      <c r="N133" s="2"/>
      <c r="O133" s="2"/>
      <c r="P133" s="2"/>
      <c r="Q133" s="2"/>
    </row>
    <row r="134" ht="22.5" customHeight="1">
      <c r="A134" s="3">
        <v>133.0</v>
      </c>
      <c r="B134" s="3" t="s">
        <v>261</v>
      </c>
      <c r="C134" s="3" t="s">
        <v>246</v>
      </c>
      <c r="D134" s="3" t="s">
        <v>18</v>
      </c>
      <c r="E134" s="2"/>
      <c r="F134" s="3" t="str">
        <f>IFERROR(__xludf.DUMMYFUNCTION("GOOGLETRANSLATE(A134, ""it"", ""en"")"),"133")</f>
        <v>133</v>
      </c>
      <c r="G134" s="3" t="str">
        <f>IFERROR(__xludf.DUMMYFUNCTION("GOOGLETRANSLATE(B134, ""it"", ""en"")"),"What happens if a player accidentally bumps into an opponent while racing?")</f>
        <v>What happens if a player accidentally bumps into an opponent while racing?</v>
      </c>
      <c r="H134" s="3" t="str">
        <f>IFERROR(__xludf.DUMMYFUNCTION("GOOGLETRANSLATE(C134, ""it"", ""en"")"),"A. The game continues B. The game is stopped C. The player receives a yellow card D. The player receives a red card")</f>
        <v>A. The game continues B. The game is stopped C. The player receives a yellow card D. The player receives a red card</v>
      </c>
      <c r="I134" s="3" t="str">
        <f>IFERROR(__xludf.DUMMYFUNCTION("GOOGLETRANSLATE(D134, ""it"", ""en"")"),"The game is stopped")</f>
        <v>The game is stopped</v>
      </c>
      <c r="J134" s="2"/>
      <c r="K134" s="2"/>
      <c r="L134" s="2"/>
      <c r="M134" s="2"/>
      <c r="N134" s="2"/>
      <c r="O134" s="2"/>
      <c r="P134" s="2"/>
      <c r="Q134" s="2"/>
    </row>
    <row r="135" ht="22.5" customHeight="1">
      <c r="A135" s="3">
        <v>134.0</v>
      </c>
      <c r="B135" s="3" t="s">
        <v>262</v>
      </c>
      <c r="C135" s="3" t="s">
        <v>179</v>
      </c>
      <c r="D135" s="3" t="s">
        <v>18</v>
      </c>
      <c r="E135" s="2"/>
      <c r="F135" s="3" t="str">
        <f>IFERROR(__xludf.DUMMYFUNCTION("GOOGLETRANSLATE(A135, ""it"", ""en"")"),"134")</f>
        <v>134</v>
      </c>
      <c r="G135" s="3" t="str">
        <f>IFERROR(__xludf.DUMMYFUNCTION("GOOGLETRANSLATE(B135, ""it"", ""en"")"),"What happens if a player commits a foul to stop a promising attack?")</f>
        <v>What happens if a player commits a foul to stop a promising attack?</v>
      </c>
      <c r="H135" s="3" t="str">
        <f>IFERROR(__xludf.DUMMYFUNCTION("GOOGLETRANSLATE(C135, ""it"", ""en"")"),"A. The game is stopped B. The player receives a yellow card C. The game continues D. The player receives a red card")</f>
        <v>A. The game is stopped B. The player receives a yellow card C. The game continues D. The player receives a red card</v>
      </c>
      <c r="I135" s="3" t="str">
        <f>IFERROR(__xludf.DUMMYFUNCTION("GOOGLETRANSLATE(D135, ""it"", ""en"")"),"The game is stopped")</f>
        <v>The game is stopped</v>
      </c>
      <c r="J135" s="2"/>
      <c r="K135" s="2"/>
      <c r="L135" s="2"/>
      <c r="M135" s="2"/>
      <c r="N135" s="2"/>
      <c r="O135" s="2"/>
      <c r="P135" s="2"/>
      <c r="Q135" s="2"/>
    </row>
    <row r="136" ht="22.5" customHeight="1">
      <c r="A136" s="3">
        <v>135.0</v>
      </c>
      <c r="B136" s="3" t="s">
        <v>263</v>
      </c>
      <c r="C136" s="3" t="s">
        <v>264</v>
      </c>
      <c r="D136" s="3" t="s">
        <v>123</v>
      </c>
      <c r="E136" s="2"/>
      <c r="F136" s="3" t="str">
        <f>IFERROR(__xludf.DUMMYFUNCTION("GOOGLETRANSLATE(A136, ""it"", ""en"")"),"135")</f>
        <v>135</v>
      </c>
      <c r="G136" s="3" t="str">
        <f>IFERROR(__xludf.DUMMYFUNCTION("GOOGLETRANSLATE(B136, ""it"", ""en"")"),"What happens if a player plays a long pass and the ball doesn't reach its destination?")</f>
        <v>What happens if a player plays a long pass and the ball doesn't reach its destination?</v>
      </c>
      <c r="H136" s="3" t="str">
        <f>IFERROR(__xludf.DUMMYFUNCTION("GOOGLETRANSLATE(C136, ""it"", ""en"")"),"A. The game continues B. The opposing team wins the ball C. The game is stopped D. The pass is repeated")</f>
        <v>A. The game continues B. The opposing team wins the ball C. The game is stopped D. The pass is repeated</v>
      </c>
      <c r="I136" s="3" t="str">
        <f>IFERROR(__xludf.DUMMYFUNCTION("GOOGLETRANSLATE(D136, ""it"", ""en"")"),"The opposing team wins the ball")</f>
        <v>The opposing team wins the ball</v>
      </c>
      <c r="J136" s="2"/>
      <c r="K136" s="2"/>
      <c r="L136" s="2"/>
      <c r="M136" s="2"/>
      <c r="N136" s="2"/>
      <c r="O136" s="2"/>
      <c r="P136" s="2"/>
      <c r="Q136" s="2"/>
    </row>
    <row r="137" ht="22.5" customHeight="1">
      <c r="A137" s="3">
        <v>136.0</v>
      </c>
      <c r="B137" s="3" t="s">
        <v>265</v>
      </c>
      <c r="C137" s="3" t="s">
        <v>101</v>
      </c>
      <c r="D137" s="3" t="s">
        <v>12</v>
      </c>
      <c r="E137" s="2"/>
      <c r="F137" s="3" t="str">
        <f>IFERROR(__xludf.DUMMYFUNCTION("GOOGLETRANSLATE(A137, ""it"", ""en"")"),"136")</f>
        <v>136</v>
      </c>
      <c r="G137" s="3" t="str">
        <f>IFERROR(__xludf.DUMMYFUNCTION("GOOGLETRANSLATE(B137, ""it"", ""en"")"),"What happens if a player dribbles past three opponents?")</f>
        <v>What happens if a player dribbles past three opponents?</v>
      </c>
      <c r="H137" s="3" t="str">
        <f>IFERROR(__xludf.DUMMYFUNCTION("GOOGLETRANSLATE(C137, ""it"", ""en"")"),"A. The game continues B. The player receives a yellow card C. The game is stopped D. The player receives a red card")</f>
        <v>A. The game continues B. The player receives a yellow card C. The game is stopped D. The player receives a red card</v>
      </c>
      <c r="I137" s="3" t="str">
        <f>IFERROR(__xludf.DUMMYFUNCTION("GOOGLETRANSLATE(D137, ""it"", ""en"")"),"The game continues")</f>
        <v>The game continues</v>
      </c>
      <c r="J137" s="2"/>
      <c r="K137" s="2"/>
      <c r="L137" s="2"/>
      <c r="M137" s="2"/>
      <c r="N137" s="2"/>
      <c r="O137" s="2"/>
      <c r="P137" s="2"/>
      <c r="Q137" s="2"/>
    </row>
    <row r="138" ht="22.5" customHeight="1">
      <c r="A138" s="3">
        <v>137.0</v>
      </c>
      <c r="B138" s="3" t="s">
        <v>266</v>
      </c>
      <c r="C138" s="3" t="s">
        <v>244</v>
      </c>
      <c r="D138" s="3" t="s">
        <v>18</v>
      </c>
      <c r="E138" s="2"/>
      <c r="F138" s="3" t="str">
        <f>IFERROR(__xludf.DUMMYFUNCTION("GOOGLETRANSLATE(A138, ""it"", ""en"")"),"137")</f>
        <v>137</v>
      </c>
      <c r="G138" s="3" t="str">
        <f>IFERROR(__xludf.DUMMYFUNCTION("GOOGLETRANSLATE(B138, ""it"", ""en"")"),"What happens if a player gets injured but can't continue?")</f>
        <v>What happens if a player gets injured but can't continue?</v>
      </c>
      <c r="H138" s="3" t="str">
        <f>IFERROR(__xludf.DUMMYFUNCTION("GOOGLETRANSLATE(C138, ""it"", ""en"")"),"A. The game is stopped B. The player is substituted C. The game continues D. The player receives a red card")</f>
        <v>A. The game is stopped B. The player is substituted C. The game continues D. The player receives a red card</v>
      </c>
      <c r="I138" s="3" t="str">
        <f>IFERROR(__xludf.DUMMYFUNCTION("GOOGLETRANSLATE(D138, ""it"", ""en"")"),"The game is stopped")</f>
        <v>The game is stopped</v>
      </c>
      <c r="J138" s="2"/>
      <c r="K138" s="2"/>
      <c r="L138" s="2"/>
      <c r="M138" s="2"/>
      <c r="N138" s="2"/>
      <c r="O138" s="2"/>
      <c r="P138" s="2"/>
      <c r="Q138" s="2"/>
    </row>
    <row r="139" ht="22.5" customHeight="1">
      <c r="A139" s="3">
        <v>138.0</v>
      </c>
      <c r="B139" s="3" t="s">
        <v>267</v>
      </c>
      <c r="C139" s="3" t="s">
        <v>179</v>
      </c>
      <c r="D139" s="3" t="s">
        <v>18</v>
      </c>
      <c r="E139" s="2"/>
      <c r="F139" s="3" t="str">
        <f>IFERROR(__xludf.DUMMYFUNCTION("GOOGLETRANSLATE(A139, ""it"", ""en"")"),"138")</f>
        <v>138</v>
      </c>
      <c r="G139" s="3" t="str">
        <f>IFERROR(__xludf.DUMMYFUNCTION("GOOGLETRANSLATE(B139, ""it"", ""en"")"),"What happens if a player commits a foul from behind?")</f>
        <v>What happens if a player commits a foul from behind?</v>
      </c>
      <c r="H139" s="3" t="str">
        <f>IFERROR(__xludf.DUMMYFUNCTION("GOOGLETRANSLATE(C139, ""it"", ""en"")"),"A. The game is stopped B. The player receives a yellow card C. The game continues D. The player receives a red card")</f>
        <v>A. The game is stopped B. The player receives a yellow card C. The game continues D. The player receives a red card</v>
      </c>
      <c r="I139" s="3" t="str">
        <f>IFERROR(__xludf.DUMMYFUNCTION("GOOGLETRANSLATE(D139, ""it"", ""en"")"),"The game is stopped")</f>
        <v>The game is stopped</v>
      </c>
      <c r="J139" s="2"/>
      <c r="K139" s="2"/>
      <c r="L139" s="2"/>
      <c r="M139" s="2"/>
      <c r="N139" s="2"/>
      <c r="O139" s="2"/>
      <c r="P139" s="2"/>
      <c r="Q139" s="2"/>
    </row>
    <row r="140" ht="22.5" customHeight="1">
      <c r="A140" s="3">
        <v>139.0</v>
      </c>
      <c r="B140" s="3" t="s">
        <v>268</v>
      </c>
      <c r="C140" s="3" t="s">
        <v>122</v>
      </c>
      <c r="D140" s="3" t="s">
        <v>123</v>
      </c>
      <c r="E140" s="2"/>
      <c r="F140" s="3" t="str">
        <f>IFERROR(__xludf.DUMMYFUNCTION("GOOGLETRANSLATE(A140, ""it"", ""en"")"),"139")</f>
        <v>139</v>
      </c>
      <c r="G140" s="3" t="str">
        <f>IFERROR(__xludf.DUMMYFUNCTION("GOOGLETRANSLATE(B140, ""it"", ""en"")"),"What happens if a player fails to control the ball and it goes out of bounds?")</f>
        <v>What happens if a player fails to control the ball and it goes out of bounds?</v>
      </c>
      <c r="H140" s="3" t="str">
        <f>IFERROR(__xludf.DUMMYFUNCTION("GOOGLETRANSLATE(C140, ""it"", ""en"")"),"A. The game continues B. The opposing team wins the ball C. The game is stopped D. The player receives a red card")</f>
        <v>A. The game continues B. The opposing team wins the ball C. The game is stopped D. The player receives a red card</v>
      </c>
      <c r="I140" s="3" t="str">
        <f>IFERROR(__xludf.DUMMYFUNCTION("GOOGLETRANSLATE(D140, ""it"", ""en"")"),"The opposing team wins the ball")</f>
        <v>The opposing team wins the ball</v>
      </c>
      <c r="J140" s="2"/>
      <c r="K140" s="2"/>
      <c r="L140" s="2"/>
      <c r="M140" s="2"/>
      <c r="N140" s="2"/>
      <c r="O140" s="2"/>
      <c r="P140" s="2"/>
      <c r="Q140" s="2"/>
    </row>
    <row r="141" ht="22.5" customHeight="1">
      <c r="A141" s="3">
        <v>140.0</v>
      </c>
      <c r="B141" s="3" t="s">
        <v>269</v>
      </c>
      <c r="C141" s="3" t="s">
        <v>270</v>
      </c>
      <c r="D141" s="3" t="s">
        <v>12</v>
      </c>
      <c r="E141" s="2"/>
      <c r="F141" s="3" t="str">
        <f>IFERROR(__xludf.DUMMYFUNCTION("GOOGLETRANSLATE(A141, ""it"", ""en"")"),"140")</f>
        <v>140</v>
      </c>
      <c r="G141" s="3" t="str">
        <f>IFERROR(__xludf.DUMMYFUNCTION("GOOGLETRANSLATE(B141, ""it"", ""en"")"),"What happens if a player takes a powerful shot but the goalkeeper saves it?")</f>
        <v>What happens if a player takes a powerful shot but the goalkeeper saves it?</v>
      </c>
      <c r="H141" s="3" t="str">
        <f>IFERROR(__xludf.DUMMYFUNCTION("GOOGLETRANSLATE(C141, ""it"", ""en"")"),"A. The game continues B. The goal is disallowed C. The goalkeeper receives a red card D. The game is stopped")</f>
        <v>A. The game continues B. The goal is disallowed C. The goalkeeper receives a red card D. The game is stopped</v>
      </c>
      <c r="I141" s="3" t="str">
        <f>IFERROR(__xludf.DUMMYFUNCTION("GOOGLETRANSLATE(D141, ""it"", ""en"")"),"The game continues")</f>
        <v>The game continues</v>
      </c>
      <c r="J141" s="2"/>
      <c r="K141" s="2"/>
      <c r="L141" s="2"/>
      <c r="M141" s="2"/>
      <c r="N141" s="2"/>
      <c r="O141" s="2"/>
      <c r="P141" s="2"/>
      <c r="Q141" s="2"/>
    </row>
    <row r="142" ht="22.5" customHeight="1">
      <c r="A142" s="3">
        <v>141.0</v>
      </c>
      <c r="B142" s="3" t="s">
        <v>271</v>
      </c>
      <c r="C142" s="3" t="s">
        <v>179</v>
      </c>
      <c r="D142" s="3" t="s">
        <v>111</v>
      </c>
      <c r="E142" s="2"/>
      <c r="F142" s="3" t="str">
        <f>IFERROR(__xludf.DUMMYFUNCTION("GOOGLETRANSLATE(A142, ""it"", ""en"")"),"141")</f>
        <v>141</v>
      </c>
      <c r="G142" s="3" t="str">
        <f>IFERROR(__xludf.DUMMYFUNCTION("GOOGLETRANSLATE(B142, ""it"", ""en"")"),"What happens if a player fouls an opponent outside his penalty area?")</f>
        <v>What happens if a player fouls an opponent outside his penalty area?</v>
      </c>
      <c r="H142" s="3" t="str">
        <f>IFERROR(__xludf.DUMMYFUNCTION("GOOGLETRANSLATE(C142, ""it"", ""en"")"),"A. The game is stopped B. The player receives a yellow card C. The game continues D. The player receives a red card")</f>
        <v>A. The game is stopped B. The player receives a yellow card C. The game continues D. The player receives a red card</v>
      </c>
      <c r="I142" s="3" t="str">
        <f>IFERROR(__xludf.DUMMYFUNCTION("GOOGLETRANSLATE(D142, ""it"", ""en"")"),"The opposing team earns a free kick")</f>
        <v>The opposing team earns a free kick</v>
      </c>
      <c r="J142" s="2"/>
      <c r="K142" s="2"/>
      <c r="L142" s="2"/>
      <c r="M142" s="2"/>
      <c r="N142" s="2"/>
      <c r="O142" s="2"/>
      <c r="P142" s="2"/>
      <c r="Q142" s="2"/>
    </row>
    <row r="143" ht="22.5" customHeight="1">
      <c r="A143" s="3">
        <v>142.0</v>
      </c>
      <c r="B143" s="3" t="s">
        <v>272</v>
      </c>
      <c r="C143" s="3" t="s">
        <v>29</v>
      </c>
      <c r="D143" s="3" t="s">
        <v>18</v>
      </c>
      <c r="E143" s="2"/>
      <c r="F143" s="3" t="str">
        <f>IFERROR(__xludf.DUMMYFUNCTION("GOOGLETRANSLATE(A143, ""it"", ""en"")"),"142")</f>
        <v>142</v>
      </c>
      <c r="G143" s="3" t="str">
        <f>IFERROR(__xludf.DUMMYFUNCTION("GOOGLETRANSLATE(B143, ""it"", ""en"")"),"If a player kicks an opponent without meaning to injure him, what happens?")</f>
        <v>If a player kicks an opponent without meaning to injure him, what happens?</v>
      </c>
      <c r="H143" s="3" t="str">
        <f>IFERROR(__xludf.DUMMYFUNCTION("GOOGLETRANSLATE(C143, ""it"", ""en"")"),"A. The game continues B. The player receives a red card C. The game is stopped D. The player receives a yellow card")</f>
        <v>A. The game continues B. The player receives a red card C. The game is stopped D. The player receives a yellow card</v>
      </c>
      <c r="I143" s="3" t="str">
        <f>IFERROR(__xludf.DUMMYFUNCTION("GOOGLETRANSLATE(D143, ""it"", ""en"")"),"The game is stopped")</f>
        <v>The game is stopped</v>
      </c>
      <c r="J143" s="2"/>
      <c r="K143" s="2"/>
      <c r="L143" s="2"/>
      <c r="M143" s="2"/>
      <c r="N143" s="2"/>
      <c r="O143" s="2"/>
      <c r="P143" s="2"/>
      <c r="Q143" s="2"/>
    </row>
    <row r="144" ht="22.5" customHeight="1">
      <c r="A144" s="3">
        <v>143.0</v>
      </c>
      <c r="B144" s="3" t="s">
        <v>273</v>
      </c>
      <c r="C144" s="3" t="s">
        <v>274</v>
      </c>
      <c r="D144" s="3" t="s">
        <v>275</v>
      </c>
      <c r="E144" s="2"/>
      <c r="F144" s="3" t="str">
        <f>IFERROR(__xludf.DUMMYFUNCTION("GOOGLETRANSLATE(A144, ""it"", ""en"")"),"143")</f>
        <v>143</v>
      </c>
      <c r="G144" s="3" t="str">
        <f>IFERROR(__xludf.DUMMYFUNCTION("GOOGLETRANSLATE(B144, ""it"", ""en"")"),"What happens if a player makes a substitution but the substitution isn't recorded?")</f>
        <v>What happens if a player makes a substitution but the substitution isn't recorded?</v>
      </c>
      <c r="H144" s="3" t="str">
        <f>IFERROR(__xludf.DUMMYFUNCTION("GOOGLETRANSLATE(C144, ""it"", ""en"")"),"A. The game is stopped B. The player remains on the pitch C. The opposing team earns a free kick D. The game continues")</f>
        <v>A. The game is stopped B. The player remains on the pitch C. The opposing team earns a free kick D. The game continues</v>
      </c>
      <c r="I144" s="3" t="str">
        <f>IFERROR(__xludf.DUMMYFUNCTION("GOOGLETRANSLATE(D144, ""it"", ""en"")"),"The player remains on the pitch")</f>
        <v>The player remains on the pitch</v>
      </c>
      <c r="J144" s="2"/>
      <c r="K144" s="2"/>
      <c r="L144" s="2"/>
      <c r="M144" s="2"/>
      <c r="N144" s="2"/>
      <c r="O144" s="2"/>
      <c r="P144" s="2"/>
      <c r="Q144" s="2"/>
    </row>
    <row r="145" ht="22.5" customHeight="1">
      <c r="A145" s="3">
        <v>144.0</v>
      </c>
      <c r="B145" s="3" t="s">
        <v>276</v>
      </c>
      <c r="C145" s="3" t="s">
        <v>277</v>
      </c>
      <c r="D145" s="3" t="s">
        <v>278</v>
      </c>
      <c r="E145" s="2"/>
      <c r="F145" s="3" t="str">
        <f>IFERROR(__xludf.DUMMYFUNCTION("GOOGLETRANSLATE(A145, ""it"", ""en"")"),"144")</f>
        <v>144</v>
      </c>
      <c r="G145" s="3" t="str">
        <f>IFERROR(__xludf.DUMMYFUNCTION("GOOGLETRANSLATE(B145, ""it"", ""en"")"),"What happens if a player is late for the game and arrives after the game has already started?")</f>
        <v>What happens if a player is late for the game and arrives after the game has already started?</v>
      </c>
      <c r="H145" s="3" t="str">
        <f>IFERROR(__xludf.DUMMYFUNCTION("GOOGLETRANSLATE(C145, ""it"", ""en"")"),"A. The game continues B. The player cannot participate C. The game is stopped D. The opposing team earns a free kick")</f>
        <v>A. The game continues B. The player cannot participate C. The game is stopped D. The opposing team earns a free kick</v>
      </c>
      <c r="I145" s="3" t="str">
        <f>IFERROR(__xludf.DUMMYFUNCTION("GOOGLETRANSLATE(D145, ""it"", ""en"")"),"The player cannot participate")</f>
        <v>The player cannot participate</v>
      </c>
      <c r="J145" s="2"/>
      <c r="K145" s="2"/>
      <c r="L145" s="2"/>
      <c r="M145" s="2"/>
      <c r="N145" s="2"/>
      <c r="O145" s="2"/>
      <c r="P145" s="2"/>
      <c r="Q145" s="2"/>
    </row>
    <row r="146" ht="22.5" customHeight="1">
      <c r="A146" s="3">
        <v>145.0</v>
      </c>
      <c r="B146" s="3" t="s">
        <v>279</v>
      </c>
      <c r="C146" s="3" t="s">
        <v>163</v>
      </c>
      <c r="D146" s="3" t="s">
        <v>18</v>
      </c>
      <c r="E146" s="2"/>
      <c r="F146" s="3" t="str">
        <f>IFERROR(__xludf.DUMMYFUNCTION("GOOGLETRANSLATE(A146, ""it"", ""en"")"),"145")</f>
        <v>145</v>
      </c>
      <c r="G146" s="3" t="str">
        <f>IFERROR(__xludf.DUMMYFUNCTION("GOOGLETRANSLATE(B146, ""it"", ""en"")"),"What happens if a player doesn't follow the rules of the game?")</f>
        <v>What happens if a player doesn't follow the rules of the game?</v>
      </c>
      <c r="H146" s="3" t="str">
        <f>IFERROR(__xludf.DUMMYFUNCTION("GOOGLETRANSLATE(C146, ""it"", ""en"")"),"A. The game is stopped B. The player receives a red card C. The game continues D. The player receives a yellow card")</f>
        <v>A. The game is stopped B. The player receives a red card C. The game continues D. The player receives a yellow card</v>
      </c>
      <c r="I146" s="3" t="str">
        <f>IFERROR(__xludf.DUMMYFUNCTION("GOOGLETRANSLATE(D146, ""it"", ""en"")"),"The game is stopped")</f>
        <v>The game is stopped</v>
      </c>
      <c r="J146" s="2"/>
      <c r="K146" s="2"/>
      <c r="L146" s="2"/>
      <c r="M146" s="2"/>
      <c r="N146" s="2"/>
      <c r="O146" s="2"/>
      <c r="P146" s="2"/>
      <c r="Q146" s="2"/>
    </row>
    <row r="147" ht="22.5" customHeight="1">
      <c r="A147" s="3">
        <v>146.0</v>
      </c>
      <c r="B147" s="3" t="s">
        <v>280</v>
      </c>
      <c r="C147" s="3" t="s">
        <v>201</v>
      </c>
      <c r="D147" s="3" t="s">
        <v>202</v>
      </c>
      <c r="E147" s="2"/>
      <c r="F147" s="3" t="str">
        <f>IFERROR(__xludf.DUMMYFUNCTION("GOOGLETRANSLATE(A147, ""it"", ""en"")"),"146")</f>
        <v>146</v>
      </c>
      <c r="G147" s="3" t="str">
        <f>IFERROR(__xludf.DUMMYFUNCTION("GOOGLETRANSLATE(B147, ""it"", ""en"")"),"What happens if a player commits a foul inside the penalty area?")</f>
        <v>What happens if a player commits a foul inside the penalty area?</v>
      </c>
      <c r="H147" s="3" t="str">
        <f>IFERROR(__xludf.DUMMYFUNCTION("GOOGLETRANSLATE(C147, ""it"", ""en"")"),"A. The game is stopped B. The opposing team earns a penalty C. The game continues D. The player receives a red card")</f>
        <v>A. The game is stopped B. The opposing team earns a penalty C. The game continues D. The player receives a red card</v>
      </c>
      <c r="I147" s="3" t="str">
        <f>IFERROR(__xludf.DUMMYFUNCTION("GOOGLETRANSLATE(D147, ""it"", ""en"")"),"The opposing team earns a penalty kick")</f>
        <v>The opposing team earns a penalty kick</v>
      </c>
      <c r="J147" s="2"/>
      <c r="K147" s="2"/>
      <c r="L147" s="2"/>
      <c r="M147" s="2"/>
      <c r="N147" s="2"/>
      <c r="O147" s="2"/>
      <c r="P147" s="2"/>
      <c r="Q147" s="2"/>
    </row>
    <row r="148" ht="22.5" customHeight="1">
      <c r="A148" s="3">
        <v>147.0</v>
      </c>
      <c r="B148" s="3" t="s">
        <v>281</v>
      </c>
      <c r="C148" s="3" t="s">
        <v>207</v>
      </c>
      <c r="D148" s="3" t="s">
        <v>18</v>
      </c>
      <c r="E148" s="2"/>
      <c r="F148" s="3" t="str">
        <f>IFERROR(__xludf.DUMMYFUNCTION("GOOGLETRANSLATE(A148, ""it"", ""en"")"),"147")</f>
        <v>147</v>
      </c>
      <c r="G148" s="3" t="str">
        <f>IFERROR(__xludf.DUMMYFUNCTION("GOOGLETRANSLATE(B148, ""it"", ""en"")"),"What happens if a player is hit by an opponent during an attack?")</f>
        <v>What happens if a player is hit by an opponent during an attack?</v>
      </c>
      <c r="H148" s="3" t="str">
        <f>IFERROR(__xludf.DUMMYFUNCTION("GOOGLETRANSLATE(C148, ""it"", ""en"")"),"A. The game is stopped B. The player receives a red card C. The game continues D. The opposing team earns a free kick")</f>
        <v>A. The game is stopped B. The player receives a red card C. The game continues D. The opposing team earns a free kick</v>
      </c>
      <c r="I148" s="3" t="str">
        <f>IFERROR(__xludf.DUMMYFUNCTION("GOOGLETRANSLATE(D148, ""it"", ""en"")"),"The game is stopped")</f>
        <v>The game is stopped</v>
      </c>
      <c r="J148" s="2"/>
      <c r="K148" s="2"/>
      <c r="L148" s="2"/>
      <c r="M148" s="2"/>
      <c r="N148" s="2"/>
      <c r="O148" s="2"/>
      <c r="P148" s="2"/>
      <c r="Q148" s="2"/>
    </row>
    <row r="149" ht="22.5" customHeight="1">
      <c r="A149" s="3">
        <v>148.0</v>
      </c>
      <c r="B149" s="3" t="s">
        <v>282</v>
      </c>
      <c r="C149" s="3" t="s">
        <v>283</v>
      </c>
      <c r="D149" s="3" t="s">
        <v>12</v>
      </c>
      <c r="E149" s="2"/>
      <c r="F149" s="3" t="str">
        <f>IFERROR(__xludf.DUMMYFUNCTION("GOOGLETRANSLATE(A149, ""it"", ""en"")"),"148")</f>
        <v>148</v>
      </c>
      <c r="G149" s="3" t="str">
        <f>IFERROR(__xludf.DUMMYFUNCTION("GOOGLETRANSLATE(B149, ""it"", ""en"")"),"What happens if a player intentionally touches the ball with his foot during a play?")</f>
        <v>What happens if a player intentionally touches the ball with his foot during a play?</v>
      </c>
      <c r="H149" s="3" t="str">
        <f>IFERROR(__xludf.DUMMYFUNCTION("GOOGLETRANSLATE(C149, ""it"", ""en"")"),"A. The game continues B. The game is stopped C. The opposing team earns a free kick D. The player receives a yellow card")</f>
        <v>A. The game continues B. The game is stopped C. The opposing team earns a free kick D. The player receives a yellow card</v>
      </c>
      <c r="I149" s="3" t="str">
        <f>IFERROR(__xludf.DUMMYFUNCTION("GOOGLETRANSLATE(D149, ""it"", ""en"")"),"The game continues")</f>
        <v>The game continues</v>
      </c>
      <c r="J149" s="2"/>
      <c r="K149" s="2"/>
      <c r="L149" s="2"/>
      <c r="M149" s="2"/>
      <c r="N149" s="2"/>
      <c r="O149" s="2"/>
      <c r="P149" s="2"/>
      <c r="Q149" s="2"/>
    </row>
    <row r="150" ht="22.5" customHeight="1">
      <c r="A150" s="3">
        <v>149.0</v>
      </c>
      <c r="B150" s="3" t="s">
        <v>284</v>
      </c>
      <c r="C150" s="3" t="s">
        <v>163</v>
      </c>
      <c r="D150" s="3" t="s">
        <v>18</v>
      </c>
      <c r="E150" s="2"/>
      <c r="F150" s="3" t="str">
        <f>IFERROR(__xludf.DUMMYFUNCTION("GOOGLETRANSLATE(A150, ""it"", ""en"")"),"149")</f>
        <v>149</v>
      </c>
      <c r="G150" s="3" t="str">
        <f>IFERROR(__xludf.DUMMYFUNCTION("GOOGLETRANSLATE(B150, ""it"", ""en"")"),"What happens if a player jumps and accidentally hits another player?")</f>
        <v>What happens if a player jumps and accidentally hits another player?</v>
      </c>
      <c r="H150" s="3" t="str">
        <f>IFERROR(__xludf.DUMMYFUNCTION("GOOGLETRANSLATE(C150, ""it"", ""en"")"),"A. The game is stopped B. The player receives a red card C. The game continues D. The player receives a yellow card")</f>
        <v>A. The game is stopped B. The player receives a red card C. The game continues D. The player receives a yellow card</v>
      </c>
      <c r="I150" s="3" t="str">
        <f>IFERROR(__xludf.DUMMYFUNCTION("GOOGLETRANSLATE(D150, ""it"", ""en"")"),"The game is stopped")</f>
        <v>The game is stopped</v>
      </c>
      <c r="J150" s="2"/>
      <c r="K150" s="2"/>
      <c r="L150" s="2"/>
      <c r="M150" s="2"/>
      <c r="N150" s="2"/>
      <c r="O150" s="2"/>
      <c r="P150" s="2"/>
      <c r="Q150" s="2"/>
    </row>
    <row r="151" ht="22.5" customHeight="1">
      <c r="A151" s="3">
        <v>150.0</v>
      </c>
      <c r="B151" s="3" t="s">
        <v>285</v>
      </c>
      <c r="C151" s="3" t="s">
        <v>283</v>
      </c>
      <c r="D151" s="3" t="s">
        <v>12</v>
      </c>
      <c r="E151" s="2"/>
      <c r="F151" s="3" t="str">
        <f>IFERROR(__xludf.DUMMYFUNCTION("GOOGLETRANSLATE(A151, ""it"", ""en"")"),"150")</f>
        <v>150</v>
      </c>
      <c r="G151" s="3" t="str">
        <f>IFERROR(__xludf.DUMMYFUNCTION("GOOGLETRANSLATE(B151, ""it"", ""en"")"),"What happens if a player touches the ball with his head during a game?")</f>
        <v>What happens if a player touches the ball with his head during a game?</v>
      </c>
      <c r="H151" s="3" t="str">
        <f>IFERROR(__xludf.DUMMYFUNCTION("GOOGLETRANSLATE(C151, ""it"", ""en"")"),"A. The game continues B. The game is stopped C. The opposing team earns a free kick D. The player receives a yellow card")</f>
        <v>A. The game continues B. The game is stopped C. The opposing team earns a free kick D. The player receives a yellow card</v>
      </c>
      <c r="I151" s="3" t="str">
        <f>IFERROR(__xludf.DUMMYFUNCTION("GOOGLETRANSLATE(D151, ""it"", ""en"")"),"The game continues")</f>
        <v>The game continues</v>
      </c>
      <c r="J151" s="2"/>
      <c r="K151" s="2"/>
      <c r="L151" s="2"/>
      <c r="M151" s="2"/>
      <c r="N151" s="2"/>
      <c r="O151" s="2"/>
      <c r="P151" s="2"/>
      <c r="Q151" s="2"/>
    </row>
    <row r="152" ht="22.5" customHeight="1">
      <c r="A152" s="3">
        <v>151.0</v>
      </c>
      <c r="B152" s="3" t="s">
        <v>286</v>
      </c>
      <c r="C152" s="3" t="s">
        <v>287</v>
      </c>
      <c r="D152" s="3" t="s">
        <v>18</v>
      </c>
      <c r="E152" s="2"/>
      <c r="F152" s="3" t="str">
        <f>IFERROR(__xludf.DUMMYFUNCTION("GOOGLETRANSLATE(A152, ""it"", ""en"")"),"151")</f>
        <v>151</v>
      </c>
      <c r="G152" s="3" t="str">
        <f>IFERROR(__xludf.DUMMYFUNCTION("GOOGLETRANSLATE(B152, ""it"", ""en"")"),"What happens if a player tries to block an opponent with an intentional foul?")</f>
        <v>What happens if a player tries to block an opponent with an intentional foul?</v>
      </c>
      <c r="H152" s="3" t="str">
        <f>IFERROR(__xludf.DUMMYFUNCTION("GOOGLETRANSLATE(C152, ""it"", ""en"")"),"A. The game is stopped B. The player receives a red card C. The opposing team earns a free kick D. The player receives a yellow card")</f>
        <v>A. The game is stopped B. The player receives a red card C. The opposing team earns a free kick D. The player receives a yellow card</v>
      </c>
      <c r="I152" s="3" t="str">
        <f>IFERROR(__xludf.DUMMYFUNCTION("GOOGLETRANSLATE(D152, ""it"", ""en"")"),"The game is stopped")</f>
        <v>The game is stopped</v>
      </c>
      <c r="J152" s="2"/>
      <c r="K152" s="2"/>
      <c r="L152" s="2"/>
      <c r="M152" s="2"/>
      <c r="N152" s="2"/>
      <c r="O152" s="2"/>
      <c r="P152" s="2"/>
      <c r="Q152" s="2"/>
    </row>
    <row r="153" ht="22.5" customHeight="1">
      <c r="A153" s="3">
        <v>152.0</v>
      </c>
      <c r="B153" s="3" t="s">
        <v>288</v>
      </c>
      <c r="C153" s="3" t="s">
        <v>283</v>
      </c>
      <c r="D153" s="3" t="s">
        <v>12</v>
      </c>
      <c r="E153" s="2"/>
      <c r="F153" s="3" t="str">
        <f>IFERROR(__xludf.DUMMYFUNCTION("GOOGLETRANSLATE(A153, ""it"", ""en"")"),"152")</f>
        <v>152</v>
      </c>
      <c r="G153" s="3" t="str">
        <f>IFERROR(__xludf.DUMMYFUNCTION("GOOGLETRANSLATE(B153, ""it"", ""en"")"),"What happens if a player kicks the ball improperly during a play?")</f>
        <v>What happens if a player kicks the ball improperly during a play?</v>
      </c>
      <c r="H153" s="3" t="str">
        <f>IFERROR(__xludf.DUMMYFUNCTION("GOOGLETRANSLATE(C153, ""it"", ""en"")"),"A. The game continues B. The game is stopped C. The opposing team earns a free kick D. The player receives a yellow card")</f>
        <v>A. The game continues B. The game is stopped C. The opposing team earns a free kick D. The player receives a yellow card</v>
      </c>
      <c r="I153" s="3" t="str">
        <f>IFERROR(__xludf.DUMMYFUNCTION("GOOGLETRANSLATE(D153, ""it"", ""en"")"),"The game continues")</f>
        <v>The game continues</v>
      </c>
      <c r="J153" s="2"/>
      <c r="K153" s="2"/>
      <c r="L153" s="2"/>
      <c r="M153" s="2"/>
      <c r="N153" s="2"/>
      <c r="O153" s="2"/>
      <c r="P153" s="2"/>
      <c r="Q153" s="2"/>
    </row>
    <row r="154" ht="22.5" customHeight="1">
      <c r="A154" s="3">
        <v>153.0</v>
      </c>
      <c r="B154" s="3" t="s">
        <v>289</v>
      </c>
      <c r="C154" s="3" t="s">
        <v>290</v>
      </c>
      <c r="D154" s="3" t="s">
        <v>18</v>
      </c>
      <c r="E154" s="2"/>
      <c r="F154" s="3" t="str">
        <f>IFERROR(__xludf.DUMMYFUNCTION("GOOGLETRANSLATE(A154, ""it"", ""en"")"),"153")</f>
        <v>153</v>
      </c>
      <c r="G154" s="3" t="str">
        <f>IFERROR(__xludf.DUMMYFUNCTION("GOOGLETRANSLATE(B154, ""it"", ""en"")"),"What happens if a player commits a foul but the referee doesn't see it?")</f>
        <v>What happens if a player commits a foul but the referee doesn't see it?</v>
      </c>
      <c r="H154" s="3" t="str">
        <f>IFERROR(__xludf.DUMMYFUNCTION("GOOGLETRANSLATE(C154, ""it"", ""en"")"),"A. The game continues B. The player receives a red card C. The game is stopped D. The game continues")</f>
        <v>A. The game continues B. The player receives a red card C. The game is stopped D. The game continues</v>
      </c>
      <c r="I154" s="3" t="str">
        <f>IFERROR(__xludf.DUMMYFUNCTION("GOOGLETRANSLATE(D154, ""it"", ""en"")"),"The game is stopped")</f>
        <v>The game is stopped</v>
      </c>
      <c r="J154" s="2"/>
      <c r="K154" s="2"/>
      <c r="L154" s="2"/>
      <c r="M154" s="2"/>
      <c r="N154" s="2"/>
      <c r="O154" s="2"/>
      <c r="P154" s="2"/>
      <c r="Q154" s="2"/>
    </row>
    <row r="155" ht="22.5" customHeight="1">
      <c r="A155" s="3">
        <v>154.0</v>
      </c>
      <c r="B155" s="3" t="s">
        <v>291</v>
      </c>
      <c r="C155" s="3" t="s">
        <v>292</v>
      </c>
      <c r="D155" s="3" t="s">
        <v>12</v>
      </c>
      <c r="E155" s="2"/>
      <c r="F155" s="3" t="str">
        <f>IFERROR(__xludf.DUMMYFUNCTION("GOOGLETRANSLATE(A155, ""it"", ""en"")"),"154")</f>
        <v>154</v>
      </c>
      <c r="G155" s="3" t="str">
        <f>IFERROR(__xludf.DUMMYFUNCTION("GOOGLETRANSLATE(B155, ""it"", ""en"")"),"What happens if a player tries to mark an opponent while dribbling?")</f>
        <v>What happens if a player tries to mark an opponent while dribbling?</v>
      </c>
      <c r="H155" s="3" t="str">
        <f>IFERROR(__xludf.DUMMYFUNCTION("GOOGLETRANSLATE(C155, ""it"", ""en"")"),"A. The game is stopped B. The game continues C. The player receives a yellow card D. The game is stopped")</f>
        <v>A. The game is stopped B. The game continues C. The player receives a yellow card D. The game is stopped</v>
      </c>
      <c r="I155" s="3" t="str">
        <f>IFERROR(__xludf.DUMMYFUNCTION("GOOGLETRANSLATE(D155, ""it"", ""en"")"),"The game continues")</f>
        <v>The game continues</v>
      </c>
      <c r="J155" s="2"/>
      <c r="K155" s="2"/>
      <c r="L155" s="2"/>
      <c r="M155" s="2"/>
      <c r="N155" s="2"/>
      <c r="O155" s="2"/>
      <c r="P155" s="2"/>
      <c r="Q155" s="2"/>
    </row>
    <row r="156" ht="22.5" customHeight="1">
      <c r="A156" s="3">
        <v>155.0</v>
      </c>
      <c r="B156" s="3" t="s">
        <v>293</v>
      </c>
      <c r="C156" s="3" t="s">
        <v>244</v>
      </c>
      <c r="D156" s="3" t="s">
        <v>18</v>
      </c>
      <c r="E156" s="2"/>
      <c r="F156" s="3" t="str">
        <f>IFERROR(__xludf.DUMMYFUNCTION("GOOGLETRANSLATE(A156, ""it"", ""en"")"),"155")</f>
        <v>155</v>
      </c>
      <c r="G156" s="3" t="str">
        <f>IFERROR(__xludf.DUMMYFUNCTION("GOOGLETRANSLATE(B156, ""it"", ""en"")"),"What happens if a player gets injured during a play?")</f>
        <v>What happens if a player gets injured during a play?</v>
      </c>
      <c r="H156" s="3" t="str">
        <f>IFERROR(__xludf.DUMMYFUNCTION("GOOGLETRANSLATE(C156, ""it"", ""en"")"),"A. The game is stopped B. The player is substituted C. The game continues D. The player receives a red card")</f>
        <v>A. The game is stopped B. The player is substituted C. The game continues D. The player receives a red card</v>
      </c>
      <c r="I156" s="3" t="str">
        <f>IFERROR(__xludf.DUMMYFUNCTION("GOOGLETRANSLATE(D156, ""it"", ""en"")"),"The game is stopped")</f>
        <v>The game is stopped</v>
      </c>
      <c r="J156" s="2"/>
      <c r="K156" s="2"/>
      <c r="L156" s="2"/>
      <c r="M156" s="2"/>
      <c r="N156" s="2"/>
      <c r="O156" s="2"/>
      <c r="P156" s="2"/>
      <c r="Q156" s="2"/>
    </row>
    <row r="157" ht="22.5" customHeight="1">
      <c r="A157" s="3">
        <v>156.0</v>
      </c>
      <c r="B157" s="3" t="s">
        <v>294</v>
      </c>
      <c r="C157" s="3" t="s">
        <v>207</v>
      </c>
      <c r="D157" s="3" t="s">
        <v>18</v>
      </c>
      <c r="E157" s="2"/>
      <c r="F157" s="3" t="str">
        <f>IFERROR(__xludf.DUMMYFUNCTION("GOOGLETRANSLATE(A157, ""it"", ""en"")"),"156")</f>
        <v>156</v>
      </c>
      <c r="G157" s="3" t="str">
        <f>IFERROR(__xludf.DUMMYFUNCTION("GOOGLETRANSLATE(B157, ""it"", ""en"")"),"What happens if a player touches the ball with his hand outside the penalty area?")</f>
        <v>What happens if a player touches the ball with his hand outside the penalty area?</v>
      </c>
      <c r="H157" s="3" t="str">
        <f>IFERROR(__xludf.DUMMYFUNCTION("GOOGLETRANSLATE(C157, ""it"", ""en"")"),"A. The game is stopped B. The player receives a red card C. The game continues D. The opposing team earns a free kick")</f>
        <v>A. The game is stopped B. The player receives a red card C. The game continues D. The opposing team earns a free kick</v>
      </c>
      <c r="I157" s="3" t="str">
        <f>IFERROR(__xludf.DUMMYFUNCTION("GOOGLETRANSLATE(D157, ""it"", ""en"")"),"The game is stopped")</f>
        <v>The game is stopped</v>
      </c>
      <c r="J157" s="2"/>
      <c r="K157" s="2"/>
      <c r="L157" s="2"/>
      <c r="M157" s="2"/>
      <c r="N157" s="2"/>
      <c r="O157" s="2"/>
      <c r="P157" s="2"/>
      <c r="Q157" s="2"/>
    </row>
    <row r="158" ht="22.5" customHeight="1">
      <c r="A158" s="3">
        <v>157.0</v>
      </c>
      <c r="B158" s="3" t="s">
        <v>295</v>
      </c>
      <c r="C158" s="3" t="s">
        <v>296</v>
      </c>
      <c r="D158" s="3" t="s">
        <v>12</v>
      </c>
      <c r="E158" s="2"/>
      <c r="F158" s="3" t="str">
        <f>IFERROR(__xludf.DUMMYFUNCTION("GOOGLETRANSLATE(A158, ""it"", ""en"")"),"157")</f>
        <v>157</v>
      </c>
      <c r="G158" s="3" t="str">
        <f>IFERROR(__xludf.DUMMYFUNCTION("GOOGLETRANSLATE(B158, ""it"", ""en"")"),"What happens if a player falls due to an injury and the referee doesn't stop play?")</f>
        <v>What happens if a player falls due to an injury and the referee doesn't stop play?</v>
      </c>
      <c r="H158" s="3" t="str">
        <f>IFERROR(__xludf.DUMMYFUNCTION("GOOGLETRANSLATE(C158, ""it"", ""en"")"),"A. The game continues B. The game is stopped C. The player is substituted D. The player receives a yellow card")</f>
        <v>A. The game continues B. The game is stopped C. The player is substituted D. The player receives a yellow card</v>
      </c>
      <c r="I158" s="3" t="str">
        <f>IFERROR(__xludf.DUMMYFUNCTION("GOOGLETRANSLATE(D158, ""it"", ""en"")"),"The game continues")</f>
        <v>The game continues</v>
      </c>
      <c r="J158" s="2"/>
      <c r="K158" s="2"/>
      <c r="L158" s="2"/>
      <c r="M158" s="2"/>
      <c r="N158" s="2"/>
      <c r="O158" s="2"/>
      <c r="P158" s="2"/>
      <c r="Q158" s="2"/>
    </row>
    <row r="159" ht="22.5" customHeight="1">
      <c r="A159" s="3">
        <v>158.0</v>
      </c>
      <c r="B159" s="3" t="s">
        <v>297</v>
      </c>
      <c r="C159" s="3" t="s">
        <v>298</v>
      </c>
      <c r="D159" s="3" t="s">
        <v>18</v>
      </c>
      <c r="E159" s="2"/>
      <c r="F159" s="3" t="str">
        <f>IFERROR(__xludf.DUMMYFUNCTION("GOOGLETRANSLATE(A159, ""it"", ""en"")"),"158")</f>
        <v>158</v>
      </c>
      <c r="G159" s="3" t="str">
        <f>IFERROR(__xludf.DUMMYFUNCTION("GOOGLETRANSLATE(B159, ""it"", ""en"")"),"What happens if a player intentionally kicks an opponent?")</f>
        <v>What happens if a player intentionally kicks an opponent?</v>
      </c>
      <c r="H159" s="3" t="str">
        <f>IFERROR(__xludf.DUMMYFUNCTION("GOOGLETRANSLATE(C159, ""it"", ""en"")"),"A. The player receives a red card B. The game is stopped C. The player receives a yellow card D. The game continues")</f>
        <v>A. The player receives a red card B. The game is stopped C. The player receives a yellow card D. The game continues</v>
      </c>
      <c r="I159" s="3" t="str">
        <f>IFERROR(__xludf.DUMMYFUNCTION("GOOGLETRANSLATE(D159, ""it"", ""en"")"),"The game is stopped")</f>
        <v>The game is stopped</v>
      </c>
      <c r="J159" s="2"/>
      <c r="K159" s="2"/>
      <c r="L159" s="2"/>
      <c r="M159" s="2"/>
      <c r="N159" s="2"/>
      <c r="O159" s="2"/>
      <c r="P159" s="2"/>
      <c r="Q159" s="2"/>
    </row>
    <row r="160" ht="22.5" customHeight="1">
      <c r="A160" s="3">
        <v>159.0</v>
      </c>
      <c r="B160" s="3" t="s">
        <v>84</v>
      </c>
      <c r="C160" s="3" t="s">
        <v>299</v>
      </c>
      <c r="D160" s="3" t="s">
        <v>12</v>
      </c>
      <c r="E160" s="2"/>
      <c r="F160" s="3" t="str">
        <f>IFERROR(__xludf.DUMMYFUNCTION("GOOGLETRANSLATE(A160, ""it"", ""en"")"),"159")</f>
        <v>159</v>
      </c>
      <c r="G160" s="3" t="str">
        <f>IFERROR(__xludf.DUMMYFUNCTION("GOOGLETRANSLATE(B160, ""it"", ""en"")"),"What happens if a player receives a red card?")</f>
        <v>What happens if a player receives a red card?</v>
      </c>
      <c r="H160" s="3" t="str">
        <f>IFERROR(__xludf.DUMMYFUNCTION("GOOGLETRANSLATE(C160, ""it"", ""en"")"),"A. The game continues with one player less B. The game is stopped C. The opposing team earns a penalty kick D. The game is stopped")</f>
        <v>A. The game continues with one player less B. The game is stopped C. The opposing team earns a penalty kick D. The game is stopped</v>
      </c>
      <c r="I160" s="3" t="str">
        <f>IFERROR(__xludf.DUMMYFUNCTION("GOOGLETRANSLATE(D160, ""it"", ""en"")"),"The game continues")</f>
        <v>The game continues</v>
      </c>
      <c r="J160" s="2"/>
      <c r="K160" s="2"/>
      <c r="L160" s="2"/>
      <c r="M160" s="2"/>
      <c r="N160" s="2"/>
      <c r="O160" s="2"/>
      <c r="P160" s="2"/>
      <c r="Q160" s="2"/>
    </row>
    <row r="161" ht="22.5" customHeight="1">
      <c r="A161" s="3">
        <v>160.0</v>
      </c>
      <c r="B161" s="3" t="s">
        <v>300</v>
      </c>
      <c r="C161" s="3" t="s">
        <v>110</v>
      </c>
      <c r="D161" s="3" t="s">
        <v>111</v>
      </c>
      <c r="E161" s="2"/>
      <c r="F161" s="3" t="str">
        <f>IFERROR(__xludf.DUMMYFUNCTION("GOOGLETRANSLATE(A161, ""it"", ""en"")"),"160")</f>
        <v>160</v>
      </c>
      <c r="G161" s="3" t="str">
        <f>IFERROR(__xludf.DUMMYFUNCTION("GOOGLETRANSLATE(B161, ""it"", ""en"")"),"What happens if a player fouls to stop a promising attack?")</f>
        <v>What happens if a player fouls to stop a promising attack?</v>
      </c>
      <c r="H161" s="3" t="str">
        <f>IFERROR(__xludf.DUMMYFUNCTION("GOOGLETRANSLATE(C161, ""it"", ""en"")"),"A. The game is stopped B. The player receives a red card C. The opposing team earns a free kick D. The game continues")</f>
        <v>A. The game is stopped B. The player receives a red card C. The opposing team earns a free kick D. The game continues</v>
      </c>
      <c r="I161" s="3" t="str">
        <f>IFERROR(__xludf.DUMMYFUNCTION("GOOGLETRANSLATE(D161, ""it"", ""en"")"),"The opposing team earns a free kick")</f>
        <v>The opposing team earns a free kick</v>
      </c>
      <c r="J161" s="2"/>
      <c r="K161" s="2"/>
      <c r="L161" s="2"/>
      <c r="M161" s="2"/>
      <c r="N161" s="2"/>
      <c r="O161" s="2"/>
      <c r="P161" s="2"/>
      <c r="Q161" s="2"/>
    </row>
    <row r="162" ht="22.5" customHeight="1">
      <c r="A162" s="3">
        <v>161.0</v>
      </c>
      <c r="B162" s="3" t="s">
        <v>301</v>
      </c>
      <c r="C162" s="3" t="s">
        <v>193</v>
      </c>
      <c r="D162" s="3" t="s">
        <v>18</v>
      </c>
      <c r="E162" s="2"/>
      <c r="F162" s="3" t="str">
        <f>IFERROR(__xludf.DUMMYFUNCTION("GOOGLETRANSLATE(A162, ""it"", ""en"")"),"161")</f>
        <v>161</v>
      </c>
      <c r="G162" s="3" t="str">
        <f>IFERROR(__xludf.DUMMYFUNCTION("GOOGLETRANSLATE(B162, ""it"", ""en"")"),"What happens if a player commits a foul during an offensive phase?")</f>
        <v>What happens if a player commits a foul during an offensive phase?</v>
      </c>
      <c r="H162" s="3" t="str">
        <f>IFERROR(__xludf.DUMMYFUNCTION("GOOGLETRANSLATE(C162, ""it"", ""en"")"),"A. The game is stopped B. The player receives a yellow card C. The opposing team earns a free kick D. The game continues")</f>
        <v>A. The game is stopped B. The player receives a yellow card C. The opposing team earns a free kick D. The game continues</v>
      </c>
      <c r="I162" s="3" t="str">
        <f>IFERROR(__xludf.DUMMYFUNCTION("GOOGLETRANSLATE(D162, ""it"", ""en"")"),"The game is stopped")</f>
        <v>The game is stopped</v>
      </c>
      <c r="J162" s="2"/>
      <c r="K162" s="2"/>
      <c r="L162" s="2"/>
      <c r="M162" s="2"/>
      <c r="N162" s="2"/>
      <c r="O162" s="2"/>
      <c r="P162" s="2"/>
      <c r="Q162" s="2"/>
    </row>
    <row r="163" ht="22.5" customHeight="1">
      <c r="A163" s="3">
        <v>162.0</v>
      </c>
      <c r="B163" s="3" t="s">
        <v>302</v>
      </c>
      <c r="C163" s="3" t="s">
        <v>303</v>
      </c>
      <c r="D163" s="3" t="s">
        <v>12</v>
      </c>
      <c r="E163" s="2"/>
      <c r="F163" s="3" t="str">
        <f>IFERROR(__xludf.DUMMYFUNCTION("GOOGLETRANSLATE(A163, ""it"", ""en"")"),"162")</f>
        <v>162</v>
      </c>
      <c r="G163" s="3" t="str">
        <f>IFERROR(__xludf.DUMMYFUNCTION("GOOGLETRANSLATE(B163, ""it"", ""en"")"),"What happens if a player makes a substitution during an attack?")</f>
        <v>What happens if a player makes a substitution during an attack?</v>
      </c>
      <c r="H163" s="3" t="str">
        <f>IFERROR(__xludf.DUMMYFUNCTION("GOOGLETRANSLATE(C163, ""it"", ""en"")"),"A. The game is stopped B. The substituted player cannot return to the field C. The game continues D. The game is stopped")</f>
        <v>A. The game is stopped B. The substituted player cannot return to the field C. The game continues D. The game is stopped</v>
      </c>
      <c r="I163" s="3" t="str">
        <f>IFERROR(__xludf.DUMMYFUNCTION("GOOGLETRANSLATE(D163, ""it"", ""en"")"),"The game continues")</f>
        <v>The game continues</v>
      </c>
      <c r="J163" s="2"/>
      <c r="K163" s="2"/>
      <c r="L163" s="2"/>
      <c r="M163" s="2"/>
      <c r="N163" s="2"/>
      <c r="O163" s="2"/>
      <c r="P163" s="2"/>
      <c r="Q163" s="2"/>
    </row>
    <row r="164" ht="22.5" customHeight="1">
      <c r="A164" s="3">
        <v>163.0</v>
      </c>
      <c r="B164" s="3" t="s">
        <v>304</v>
      </c>
      <c r="C164" s="3" t="s">
        <v>201</v>
      </c>
      <c r="D164" s="3" t="s">
        <v>202</v>
      </c>
      <c r="E164" s="2"/>
      <c r="F164" s="3" t="str">
        <f>IFERROR(__xludf.DUMMYFUNCTION("GOOGLETRANSLATE(A164, ""it"", ""en"")"),"163")</f>
        <v>163</v>
      </c>
      <c r="G164" s="3" t="str">
        <f>IFERROR(__xludf.DUMMYFUNCTION("GOOGLETRANSLATE(B164, ""it"", ""en"")"),"If a player is fouled inside the penalty area, what happens?")</f>
        <v>If a player is fouled inside the penalty area, what happens?</v>
      </c>
      <c r="H164" s="3" t="str">
        <f>IFERROR(__xludf.DUMMYFUNCTION("GOOGLETRANSLATE(C164, ""it"", ""en"")"),"A. The game is stopped B. The opposing team earns a penalty C. The game continues D. The player receives a red card")</f>
        <v>A. The game is stopped B. The opposing team earns a penalty C. The game continues D. The player receives a red card</v>
      </c>
      <c r="I164" s="3" t="str">
        <f>IFERROR(__xludf.DUMMYFUNCTION("GOOGLETRANSLATE(D164, ""it"", ""en"")"),"The opposing team earns a penalty kick")</f>
        <v>The opposing team earns a penalty kick</v>
      </c>
      <c r="J164" s="2"/>
      <c r="K164" s="2"/>
      <c r="L164" s="2"/>
      <c r="M164" s="2"/>
      <c r="N164" s="2"/>
      <c r="O164" s="2"/>
      <c r="P164" s="2"/>
      <c r="Q164" s="2"/>
    </row>
    <row r="165" ht="22.5" customHeight="1">
      <c r="A165" s="3">
        <v>164.0</v>
      </c>
      <c r="B165" s="3" t="s">
        <v>305</v>
      </c>
      <c r="C165" s="3" t="s">
        <v>163</v>
      </c>
      <c r="D165" s="3" t="s">
        <v>18</v>
      </c>
      <c r="E165" s="2"/>
      <c r="F165" s="3" t="str">
        <f>IFERROR(__xludf.DUMMYFUNCTION("GOOGLETRANSLATE(A165, ""it"", ""en"")"),"164")</f>
        <v>164</v>
      </c>
      <c r="G165" s="3" t="str">
        <f>IFERROR(__xludf.DUMMYFUNCTION("GOOGLETRANSLATE(B165, ""it"", ""en"")"),"What happens if a player intentionally touches the ball outside his penalty area?")</f>
        <v>What happens if a player intentionally touches the ball outside his penalty area?</v>
      </c>
      <c r="H165" s="3" t="str">
        <f>IFERROR(__xludf.DUMMYFUNCTION("GOOGLETRANSLATE(C165, ""it"", ""en"")"),"A. The game is stopped B. The player receives a red card C. The game continues D. The player receives a yellow card")</f>
        <v>A. The game is stopped B. The player receives a red card C. The game continues D. The player receives a yellow card</v>
      </c>
      <c r="I165" s="3" t="str">
        <f>IFERROR(__xludf.DUMMYFUNCTION("GOOGLETRANSLATE(D165, ""it"", ""en"")"),"The game is stopped")</f>
        <v>The game is stopped</v>
      </c>
      <c r="J165" s="2"/>
      <c r="K165" s="2"/>
      <c r="L165" s="2"/>
      <c r="M165" s="2"/>
      <c r="N165" s="2"/>
      <c r="O165" s="2"/>
      <c r="P165" s="2"/>
      <c r="Q165" s="2"/>
    </row>
    <row r="166" ht="22.5" customHeight="1">
      <c r="A166" s="3">
        <v>165.0</v>
      </c>
      <c r="B166" s="3" t="s">
        <v>306</v>
      </c>
      <c r="C166" s="3" t="s">
        <v>307</v>
      </c>
      <c r="D166" s="3" t="s">
        <v>123</v>
      </c>
      <c r="E166" s="2"/>
      <c r="F166" s="3" t="str">
        <f>IFERROR(__xludf.DUMMYFUNCTION("GOOGLETRANSLATE(A166, ""it"", ""en"")"),"165")</f>
        <v>165</v>
      </c>
      <c r="G166" s="3" t="str">
        <f>IFERROR(__xludf.DUMMYFUNCTION("GOOGLETRANSLATE(B166, ""it"", ""en"")"),"What happens if a player makes a pass and the ball goes directly out of bounds?")</f>
        <v>What happens if a player makes a pass and the ball goes directly out of bounds?</v>
      </c>
      <c r="H166" s="3" t="str">
        <f>IFERROR(__xludf.DUMMYFUNCTION("GOOGLETRANSLATE(C166, ""it"", ""en"")"),"A. The opposing team wins the ball B. The game continues C. The game is stopped D. The player receives a yellow card")</f>
        <v>A. The opposing team wins the ball B. The game continues C. The game is stopped D. The player receives a yellow card</v>
      </c>
      <c r="I166" s="3" t="str">
        <f>IFERROR(__xludf.DUMMYFUNCTION("GOOGLETRANSLATE(D166, ""it"", ""en"")"),"The opposing team wins the ball")</f>
        <v>The opposing team wins the ball</v>
      </c>
      <c r="J166" s="2"/>
      <c r="K166" s="2"/>
      <c r="L166" s="2"/>
      <c r="M166" s="2"/>
      <c r="N166" s="2"/>
      <c r="O166" s="2"/>
      <c r="P166" s="2"/>
      <c r="Q166" s="2"/>
    </row>
    <row r="167" ht="22.5" customHeight="1">
      <c r="A167" s="3">
        <v>166.0</v>
      </c>
      <c r="B167" s="3" t="s">
        <v>308</v>
      </c>
      <c r="C167" s="3" t="s">
        <v>309</v>
      </c>
      <c r="D167" s="3" t="s">
        <v>12</v>
      </c>
      <c r="E167" s="2"/>
      <c r="F167" s="3" t="str">
        <f>IFERROR(__xludf.DUMMYFUNCTION("GOOGLETRANSLATE(A167, ""it"", ""en"")"),"166")</f>
        <v>166</v>
      </c>
      <c r="G167" s="3" t="str">
        <f>IFERROR(__xludf.DUMMYFUNCTION("GOOGLETRANSLATE(B167, ""it"", ""en"")"),"What happens if a player kicks a ball towards the goal but the goalkeeper saves it?")</f>
        <v>What happens if a player kicks a ball towards the goal but the goalkeeper saves it?</v>
      </c>
      <c r="H167" s="3" t="str">
        <f>IFERROR(__xludf.DUMMYFUNCTION("GOOGLETRANSLATE(C167, ""it"", ""en"")"),"A. The game continues B. The goal is disallowed C. The game is stopped D. The goalkeeper receives a yellow card")</f>
        <v>A. The game continues B. The goal is disallowed C. The game is stopped D. The goalkeeper receives a yellow card</v>
      </c>
      <c r="I167" s="3" t="str">
        <f>IFERROR(__xludf.DUMMYFUNCTION("GOOGLETRANSLATE(D167, ""it"", ""en"")"),"The game continues")</f>
        <v>The game continues</v>
      </c>
      <c r="J167" s="2"/>
      <c r="K167" s="2"/>
      <c r="L167" s="2"/>
      <c r="M167" s="2"/>
      <c r="N167" s="2"/>
      <c r="O167" s="2"/>
      <c r="P167" s="2"/>
      <c r="Q167" s="2"/>
    </row>
    <row r="168" ht="22.5" customHeight="1">
      <c r="A168" s="3">
        <v>167.0</v>
      </c>
      <c r="B168" s="3" t="s">
        <v>310</v>
      </c>
      <c r="C168" s="3" t="s">
        <v>207</v>
      </c>
      <c r="D168" s="3" t="s">
        <v>18</v>
      </c>
      <c r="E168" s="2"/>
      <c r="F168" s="3" t="str">
        <f>IFERROR(__xludf.DUMMYFUNCTION("GOOGLETRANSLATE(A168, ""it"", ""en"")"),"167")</f>
        <v>167</v>
      </c>
      <c r="G168" s="3" t="str">
        <f>IFERROR(__xludf.DUMMYFUNCTION("GOOGLETRANSLATE(B168, ""it"", ""en"")"),"What happens if a player commits a foul in the middle of the field?")</f>
        <v>What happens if a player commits a foul in the middle of the field?</v>
      </c>
      <c r="H168" s="3" t="str">
        <f>IFERROR(__xludf.DUMMYFUNCTION("GOOGLETRANSLATE(C168, ""it"", ""en"")"),"A. The game is stopped B. The player receives a red card C. The game continues D. The opposing team earns a free kick")</f>
        <v>A. The game is stopped B. The player receives a red card C. The game continues D. The opposing team earns a free kick</v>
      </c>
      <c r="I168" s="3" t="str">
        <f>IFERROR(__xludf.DUMMYFUNCTION("GOOGLETRANSLATE(D168, ""it"", ""en"")"),"The game is stopped")</f>
        <v>The game is stopped</v>
      </c>
      <c r="J168" s="2"/>
      <c r="K168" s="2"/>
      <c r="L168" s="2"/>
      <c r="M168" s="2"/>
      <c r="N168" s="2"/>
      <c r="O168" s="2"/>
      <c r="P168" s="2"/>
      <c r="Q168" s="2"/>
    </row>
    <row r="169" ht="22.5" customHeight="1">
      <c r="A169" s="3">
        <v>168.0</v>
      </c>
      <c r="B169" s="3" t="s">
        <v>311</v>
      </c>
      <c r="C169" s="3" t="s">
        <v>312</v>
      </c>
      <c r="D169" s="3" t="s">
        <v>18</v>
      </c>
      <c r="E169" s="2"/>
      <c r="F169" s="3" t="str">
        <f>IFERROR(__xludf.DUMMYFUNCTION("GOOGLETRANSLATE(A169, ""it"", ""en"")"),"168")</f>
        <v>168</v>
      </c>
      <c r="G169" s="3" t="str">
        <f>IFERROR(__xludf.DUMMYFUNCTION("GOOGLETRANSLATE(B169, ""it"", ""en"")"),"What happens if a player is forced to retire due to injury?")</f>
        <v>What happens if a player is forced to retire due to injury?</v>
      </c>
      <c r="H169" s="3" t="str">
        <f>IFERROR(__xludf.DUMMYFUNCTION("GOOGLETRANSLATE(C169, ""it"", ""en"")"),"A. The game is stopped B. The player receives a red card C. The game continues D. The game is stopped")</f>
        <v>A. The game is stopped B. The player receives a red card C. The game continues D. The game is stopped</v>
      </c>
      <c r="I169" s="3" t="str">
        <f>IFERROR(__xludf.DUMMYFUNCTION("GOOGLETRANSLATE(D169, ""it"", ""en"")"),"The game is stopped")</f>
        <v>The game is stopped</v>
      </c>
      <c r="J169" s="2"/>
      <c r="K169" s="2"/>
      <c r="L169" s="2"/>
      <c r="M169" s="2"/>
      <c r="N169" s="2"/>
      <c r="O169" s="2"/>
      <c r="P169" s="2"/>
      <c r="Q169" s="2"/>
    </row>
    <row r="170" ht="22.5" customHeight="1">
      <c r="A170" s="3">
        <v>169.0</v>
      </c>
      <c r="B170" s="3" t="s">
        <v>313</v>
      </c>
      <c r="C170" s="3" t="s">
        <v>314</v>
      </c>
      <c r="D170" s="3" t="s">
        <v>12</v>
      </c>
      <c r="E170" s="2"/>
      <c r="F170" s="3" t="str">
        <f>IFERROR(__xludf.DUMMYFUNCTION("GOOGLETRANSLATE(A170, ""it"", ""en"")"),"169")</f>
        <v>169</v>
      </c>
      <c r="G170" s="3" t="str">
        <f>IFERROR(__xludf.DUMMYFUNCTION("GOOGLETRANSLATE(B170, ""it"", ""en"")"),"What happens if a player commits a foul but the referee doesn't see it?")</f>
        <v>What happens if a player commits a foul but the referee doesn't see it?</v>
      </c>
      <c r="H170" s="3" t="str">
        <f>IFERROR(__xludf.DUMMYFUNCTION("GOOGLETRANSLATE(C170, ""it"", ""en"")"),"A. The game continues B. The player receives a yellow card C. The game is stopped D. The opposing team earns a free kick")</f>
        <v>A. The game continues B. The player receives a yellow card C. The game is stopped D. The opposing team earns a free kick</v>
      </c>
      <c r="I170" s="3" t="str">
        <f>IFERROR(__xludf.DUMMYFUNCTION("GOOGLETRANSLATE(D170, ""it"", ""en"")"),"The game continues")</f>
        <v>The game continues</v>
      </c>
      <c r="J170" s="2"/>
      <c r="K170" s="2"/>
      <c r="L170" s="2"/>
      <c r="M170" s="2"/>
      <c r="N170" s="2"/>
      <c r="O170" s="2"/>
      <c r="P170" s="2"/>
      <c r="Q170" s="2"/>
    </row>
    <row r="171" ht="22.5" customHeight="1">
      <c r="A171" s="3">
        <v>170.0</v>
      </c>
      <c r="B171" s="3" t="s">
        <v>315</v>
      </c>
      <c r="C171" s="3" t="s">
        <v>316</v>
      </c>
      <c r="D171" s="3" t="s">
        <v>18</v>
      </c>
      <c r="E171" s="2"/>
      <c r="F171" s="3" t="str">
        <f>IFERROR(__xludf.DUMMYFUNCTION("GOOGLETRANSLATE(A171, ""it"", ""en"")"),"170")</f>
        <v>170</v>
      </c>
      <c r="G171" s="3" t="str">
        <f>IFERROR(__xludf.DUMMYFUNCTION("GOOGLETRANSLATE(B171, ""it"", ""en"")"),"What happens if a player manages to score a goal but it's disallowed due to a referee error?")</f>
        <v>What happens if a player manages to score a goal but it's disallowed due to a referee error?</v>
      </c>
      <c r="H171" s="3" t="str">
        <f>IFERROR(__xludf.DUMMYFUNCTION("GOOGLETRANSLATE(C171, ""it"", ""en"")"),"A. The game continues B. The goal is validated C. The game is stopped D. The goal is disallowed")</f>
        <v>A. The game continues B. The goal is validated C. The game is stopped D. The goal is disallowed</v>
      </c>
      <c r="I171" s="3" t="str">
        <f>IFERROR(__xludf.DUMMYFUNCTION("GOOGLETRANSLATE(D171, ""it"", ""en"")"),"The game is stopped")</f>
        <v>The game is stopped</v>
      </c>
      <c r="J171" s="2"/>
      <c r="K171" s="2"/>
      <c r="L171" s="2"/>
      <c r="M171" s="2"/>
      <c r="N171" s="2"/>
      <c r="O171" s="2"/>
      <c r="P171" s="2"/>
      <c r="Q171" s="2"/>
    </row>
    <row r="172" ht="22.5" customHeight="1">
      <c r="A172" s="3">
        <v>171.0</v>
      </c>
      <c r="B172" s="3" t="s">
        <v>254</v>
      </c>
      <c r="C172" s="3" t="s">
        <v>317</v>
      </c>
      <c r="D172" s="3" t="s">
        <v>123</v>
      </c>
      <c r="E172" s="2"/>
      <c r="F172" s="3" t="str">
        <f>IFERROR(__xludf.DUMMYFUNCTION("GOOGLETRANSLATE(A172, ""it"", ""en"")"),"171")</f>
        <v>171</v>
      </c>
      <c r="G172" s="3" t="str">
        <f>IFERROR(__xludf.DUMMYFUNCTION("GOOGLETRANSLATE(B172, ""it"", ""en"")"),"What happens if a player kicks the ball out of bounds on purpose?")</f>
        <v>What happens if a player kicks the ball out of bounds on purpose?</v>
      </c>
      <c r="H172" s="3" t="str">
        <f>IFERROR(__xludf.DUMMYFUNCTION("GOOGLETRANSLATE(C172, ""it"", ""en"")"),"A. The opposing team wins the ball B. The game continues C. The game is stopped D. The player receives a red card")</f>
        <v>A. The opposing team wins the ball B. The game continues C. The game is stopped D. The player receives a red card</v>
      </c>
      <c r="I172" s="3" t="str">
        <f>IFERROR(__xludf.DUMMYFUNCTION("GOOGLETRANSLATE(D172, ""it"", ""en"")"),"The opposing team wins the ball")</f>
        <v>The opposing team wins the ball</v>
      </c>
      <c r="J172" s="2"/>
      <c r="K172" s="2"/>
      <c r="L172" s="2"/>
      <c r="M172" s="2"/>
      <c r="N172" s="2"/>
      <c r="O172" s="2"/>
      <c r="P172" s="2"/>
      <c r="Q172" s="2"/>
    </row>
    <row r="173" ht="22.5" customHeight="1">
      <c r="A173" s="3">
        <v>172.0</v>
      </c>
      <c r="B173" s="3" t="s">
        <v>318</v>
      </c>
      <c r="C173" s="3" t="s">
        <v>163</v>
      </c>
      <c r="D173" s="3" t="s">
        <v>18</v>
      </c>
      <c r="E173" s="2"/>
      <c r="F173" s="3" t="str">
        <f>IFERROR(__xludf.DUMMYFUNCTION("GOOGLETRANSLATE(A173, ""it"", ""en"")"),"172")</f>
        <v>172</v>
      </c>
      <c r="G173" s="3" t="str">
        <f>IFERROR(__xludf.DUMMYFUNCTION("GOOGLETRANSLATE(B173, ""it"", ""en"")"),"What happens if a player doesn't follow the rules during a game?")</f>
        <v>What happens if a player doesn't follow the rules during a game?</v>
      </c>
      <c r="H173" s="3" t="str">
        <f>IFERROR(__xludf.DUMMYFUNCTION("GOOGLETRANSLATE(C173, ""it"", ""en"")"),"A. The game is stopped B. The player receives a red card C. The game continues D. The player receives a yellow card")</f>
        <v>A. The game is stopped B. The player receives a red card C. The game continues D. The player receives a yellow card</v>
      </c>
      <c r="I173" s="3" t="str">
        <f>IFERROR(__xludf.DUMMYFUNCTION("GOOGLETRANSLATE(D173, ""it"", ""en"")"),"The game is stopped")</f>
        <v>The game is stopped</v>
      </c>
      <c r="J173" s="2"/>
      <c r="K173" s="2"/>
      <c r="L173" s="2"/>
      <c r="M173" s="2"/>
      <c r="N173" s="2"/>
      <c r="O173" s="2"/>
      <c r="P173" s="2"/>
      <c r="Q173" s="2"/>
    </row>
    <row r="174" ht="22.5" customHeight="1">
      <c r="A174" s="3">
        <v>173.0</v>
      </c>
      <c r="B174" s="3" t="s">
        <v>319</v>
      </c>
      <c r="C174" s="3" t="s">
        <v>201</v>
      </c>
      <c r="D174" s="3" t="s">
        <v>202</v>
      </c>
      <c r="E174" s="2"/>
      <c r="F174" s="3" t="str">
        <f>IFERROR(__xludf.DUMMYFUNCTION("GOOGLETRANSLATE(A174, ""it"", ""en"")"),"173")</f>
        <v>173</v>
      </c>
      <c r="G174" s="3" t="str">
        <f>IFERROR(__xludf.DUMMYFUNCTION("GOOGLETRANSLATE(B174, ""it"", ""en"")"),"What happens if a player commits a foul on the goal line?")</f>
        <v>What happens if a player commits a foul on the goal line?</v>
      </c>
      <c r="H174" s="3" t="str">
        <f>IFERROR(__xludf.DUMMYFUNCTION("GOOGLETRANSLATE(C174, ""it"", ""en"")"),"A. The game is stopped B. The opposing team earns a penalty C. The game continues D. The player receives a red card")</f>
        <v>A. The game is stopped B. The opposing team earns a penalty C. The game continues D. The player receives a red card</v>
      </c>
      <c r="I174" s="3" t="str">
        <f>IFERROR(__xludf.DUMMYFUNCTION("GOOGLETRANSLATE(D174, ""it"", ""en"")"),"The opposing team earns a penalty kick")</f>
        <v>The opposing team earns a penalty kick</v>
      </c>
      <c r="J174" s="2"/>
      <c r="K174" s="2"/>
      <c r="L174" s="2"/>
      <c r="M174" s="2"/>
      <c r="N174" s="2"/>
      <c r="O174" s="2"/>
      <c r="P174" s="2"/>
      <c r="Q174" s="2"/>
    </row>
    <row r="175" ht="22.5" customHeight="1">
      <c r="A175" s="3">
        <v>174.0</v>
      </c>
      <c r="B175" s="3" t="s">
        <v>320</v>
      </c>
      <c r="C175" s="3" t="s">
        <v>321</v>
      </c>
      <c r="D175" s="3" t="s">
        <v>12</v>
      </c>
      <c r="E175" s="2"/>
      <c r="F175" s="3" t="str">
        <f>IFERROR(__xludf.DUMMYFUNCTION("GOOGLETRANSLATE(A175, ""it"", ""en"")"),"174")</f>
        <v>174</v>
      </c>
      <c r="G175" s="3" t="str">
        <f>IFERROR(__xludf.DUMMYFUNCTION("GOOGLETRANSLATE(B175, ""it"", ""en"")"),"What happens if a player is fouled and the referee doesn't see it?")</f>
        <v>What happens if a player is fouled and the referee doesn't see it?</v>
      </c>
      <c r="H175" s="3" t="str">
        <f>IFERROR(__xludf.DUMMYFUNCTION("GOOGLETRANSLATE(C175, ""it"", ""en"")"),"A. The game continues B. The player receives a yellow card C. The game is stopped D. The player is substituted")</f>
        <v>A. The game continues B. The player receives a yellow card C. The game is stopped D. The player is substituted</v>
      </c>
      <c r="I175" s="3" t="str">
        <f>IFERROR(__xludf.DUMMYFUNCTION("GOOGLETRANSLATE(D175, ""it"", ""en"")"),"The game continues")</f>
        <v>The game continues</v>
      </c>
      <c r="J175" s="2"/>
      <c r="K175" s="2"/>
      <c r="L175" s="2"/>
      <c r="M175" s="2"/>
      <c r="N175" s="2"/>
      <c r="O175" s="2"/>
      <c r="P175" s="2"/>
      <c r="Q175" s="2"/>
    </row>
    <row r="176" ht="22.5" customHeight="1">
      <c r="A176" s="3">
        <v>175.0</v>
      </c>
      <c r="B176" s="3" t="s">
        <v>322</v>
      </c>
      <c r="C176" s="3" t="s">
        <v>323</v>
      </c>
      <c r="D176" s="3" t="s">
        <v>18</v>
      </c>
      <c r="E176" s="2"/>
      <c r="F176" s="3" t="str">
        <f>IFERROR(__xludf.DUMMYFUNCTION("GOOGLETRANSLATE(A176, ""it"", ""en"")"),"175")</f>
        <v>175</v>
      </c>
      <c r="G176" s="3" t="str">
        <f>IFERROR(__xludf.DUMMYFUNCTION("GOOGLETRANSLATE(B176, ""it"", ""en"")"),"What happens if a player kicks an opponent during a defensive phase?")</f>
        <v>What happens if a player kicks an opponent during a defensive phase?</v>
      </c>
      <c r="H176" s="3" t="str">
        <f>IFERROR(__xludf.DUMMYFUNCTION("GOOGLETRANSLATE(C176, ""it"", ""en"")"),"A. The player receives a red card B. The game continues C. The game is stopped D. The player receives a yellow card")</f>
        <v>A. The player receives a red card B. The game continues C. The game is stopped D. The player receives a yellow card</v>
      </c>
      <c r="I176" s="3" t="str">
        <f>IFERROR(__xludf.DUMMYFUNCTION("GOOGLETRANSLATE(D176, ""it"", ""en"")"),"The game is stopped")</f>
        <v>The game is stopped</v>
      </c>
      <c r="J176" s="2"/>
      <c r="K176" s="2"/>
      <c r="L176" s="2"/>
      <c r="M176" s="2"/>
      <c r="N176" s="2"/>
      <c r="O176" s="2"/>
      <c r="P176" s="2"/>
      <c r="Q176" s="2"/>
    </row>
    <row r="177" ht="22.5" customHeight="1">
      <c r="A177" s="3">
        <v>176.0</v>
      </c>
      <c r="B177" s="3" t="s">
        <v>38</v>
      </c>
      <c r="C177" s="3" t="s">
        <v>324</v>
      </c>
      <c r="D177" s="3" t="s">
        <v>325</v>
      </c>
      <c r="E177" s="2"/>
      <c r="F177" s="3" t="str">
        <f>IFERROR(__xludf.DUMMYFUNCTION("GOOGLETRANSLATE(A177, ""it"", ""en"")"),"176")</f>
        <v>176</v>
      </c>
      <c r="G177" s="3" t="str">
        <f>IFERROR(__xludf.DUMMYFUNCTION("GOOGLETRANSLATE(B177, ""it"", ""en"")"),"What happens if a player is sent off?")</f>
        <v>What happens if a player is sent off?</v>
      </c>
      <c r="H177" s="3" t="str">
        <f>IFERROR(__xludf.DUMMYFUNCTION("GOOGLETRANSLATE(C177, ""it"", ""en"")"),"A. The team is playing with one player less B. The game is stopped C. The player replaces his position D. The opposing team earns a free kick")</f>
        <v>A. The team is playing with one player less B. The game is stopped C. The player replaces his position D. The opposing team earns a free kick</v>
      </c>
      <c r="I177" s="3" t="str">
        <f>IFERROR(__xludf.DUMMYFUNCTION("GOOGLETRANSLATE(D177, ""it"", ""en"")"),"The team plays with one player less")</f>
        <v>The team plays with one player less</v>
      </c>
      <c r="J177" s="2"/>
      <c r="K177" s="2"/>
      <c r="L177" s="2"/>
      <c r="M177" s="2"/>
      <c r="N177" s="2"/>
      <c r="O177" s="2"/>
      <c r="P177" s="2"/>
      <c r="Q177" s="2"/>
    </row>
    <row r="178" ht="22.5" customHeight="1">
      <c r="A178" s="3">
        <v>177.0</v>
      </c>
      <c r="B178" s="3" t="s">
        <v>326</v>
      </c>
      <c r="C178" s="3" t="s">
        <v>163</v>
      </c>
      <c r="D178" s="3" t="s">
        <v>18</v>
      </c>
      <c r="E178" s="2"/>
      <c r="F178" s="3" t="str">
        <f>IFERROR(__xludf.DUMMYFUNCTION("GOOGLETRANSLATE(A178, ""it"", ""en"")"),"177")</f>
        <v>177</v>
      </c>
      <c r="G178" s="3" t="str">
        <f>IFERROR(__xludf.DUMMYFUNCTION("GOOGLETRANSLATE(B178, ""it"", ""en"")"),"What happens if a player kicks the ball incorrectly during play?")</f>
        <v>What happens if a player kicks the ball incorrectly during play?</v>
      </c>
      <c r="H178" s="3" t="str">
        <f>IFERROR(__xludf.DUMMYFUNCTION("GOOGLETRANSLATE(C178, ""it"", ""en"")"),"A. The game is stopped B. The player receives a red card C. The game continues D. The player receives a yellow card")</f>
        <v>A. The game is stopped B. The player receives a red card C. The game continues D. The player receives a yellow card</v>
      </c>
      <c r="I178" s="3" t="str">
        <f>IFERROR(__xludf.DUMMYFUNCTION("GOOGLETRANSLATE(D178, ""it"", ""en"")"),"The game is stopped")</f>
        <v>The game is stopped</v>
      </c>
      <c r="J178" s="2"/>
      <c r="K178" s="2"/>
      <c r="L178" s="2"/>
      <c r="M178" s="2"/>
      <c r="N178" s="2"/>
      <c r="O178" s="2"/>
      <c r="P178" s="2"/>
      <c r="Q178" s="2"/>
    </row>
    <row r="179" ht="22.5" customHeight="1">
      <c r="A179" s="3">
        <v>178.0</v>
      </c>
      <c r="B179" s="3" t="s">
        <v>327</v>
      </c>
      <c r="C179" s="3" t="s">
        <v>328</v>
      </c>
      <c r="D179" s="3" t="s">
        <v>12</v>
      </c>
      <c r="E179" s="2"/>
      <c r="F179" s="3" t="str">
        <f>IFERROR(__xludf.DUMMYFUNCTION("GOOGLETRANSLATE(A179, ""it"", ""en"")"),"178")</f>
        <v>178</v>
      </c>
      <c r="G179" s="3" t="str">
        <f>IFERROR(__xludf.DUMMYFUNCTION("GOOGLETRANSLATE(B179, ""it"", ""en"")"),"What happens if a player accidentally falls during a defensive phase?")</f>
        <v>What happens if a player accidentally falls during a defensive phase?</v>
      </c>
      <c r="H179" s="3" t="str">
        <f>IFERROR(__xludf.DUMMYFUNCTION("GOOGLETRANSLATE(C179, ""it"", ""en"")"),"A. The game continues B. The game is stopped C. The player receives a red card D. The game is stopped")</f>
        <v>A. The game continues B. The game is stopped C. The player receives a red card D. The game is stopped</v>
      </c>
      <c r="I179" s="3" t="str">
        <f>IFERROR(__xludf.DUMMYFUNCTION("GOOGLETRANSLATE(D179, ""it"", ""en"")"),"The game continues")</f>
        <v>The game continues</v>
      </c>
      <c r="J179" s="2"/>
      <c r="K179" s="2"/>
      <c r="L179" s="2"/>
      <c r="M179" s="2"/>
      <c r="N179" s="2"/>
      <c r="O179" s="2"/>
      <c r="P179" s="2"/>
      <c r="Q179" s="2"/>
    </row>
    <row r="180" ht="22.5" customHeight="1">
      <c r="A180" s="3">
        <v>179.0</v>
      </c>
      <c r="B180" s="3" t="s">
        <v>329</v>
      </c>
      <c r="C180" s="3" t="s">
        <v>165</v>
      </c>
      <c r="D180" s="3" t="s">
        <v>18</v>
      </c>
      <c r="E180" s="2"/>
      <c r="F180" s="3" t="str">
        <f>IFERROR(__xludf.DUMMYFUNCTION("GOOGLETRANSLATE(A180, ""it"", ""en"")"),"179")</f>
        <v>179</v>
      </c>
      <c r="G180" s="3" t="str">
        <f>IFERROR(__xludf.DUMMYFUNCTION("GOOGLETRANSLATE(B180, ""it"", ""en"")"),"What happens if a player fouls while trying to block a pass?")</f>
        <v>What happens if a player fouls while trying to block a pass?</v>
      </c>
      <c r="H180" s="3" t="str">
        <f>IFERROR(__xludf.DUMMYFUNCTION("GOOGLETRANSLATE(C180, ""it"", ""en"")"),"A. The game is stopped B. The opposing team earns a free kick C. The game continues D. The player receives a yellow card")</f>
        <v>A. The game is stopped B. The opposing team earns a free kick C. The game continues D. The player receives a yellow card</v>
      </c>
      <c r="I180" s="3" t="str">
        <f>IFERROR(__xludf.DUMMYFUNCTION("GOOGLETRANSLATE(D180, ""it"", ""en"")"),"The game is stopped")</f>
        <v>The game is stopped</v>
      </c>
      <c r="J180" s="2"/>
      <c r="K180" s="2"/>
      <c r="L180" s="2"/>
      <c r="M180" s="2"/>
      <c r="N180" s="2"/>
      <c r="O180" s="2"/>
      <c r="P180" s="2"/>
      <c r="Q180" s="2"/>
    </row>
    <row r="181" ht="22.5" customHeight="1">
      <c r="A181" s="3">
        <v>180.0</v>
      </c>
      <c r="B181" s="3" t="s">
        <v>330</v>
      </c>
      <c r="C181" s="3" t="s">
        <v>331</v>
      </c>
      <c r="D181" s="3" t="s">
        <v>18</v>
      </c>
      <c r="E181" s="2"/>
      <c r="F181" s="3" t="str">
        <f>IFERROR(__xludf.DUMMYFUNCTION("GOOGLETRANSLATE(A181, ""it"", ""en"")"),"180")</f>
        <v>180</v>
      </c>
      <c r="G181" s="3" t="str">
        <f>IFERROR(__xludf.DUMMYFUNCTION("GOOGLETRANSLATE(B181, ""it"", ""en"")"),"What happens if a player doesn't mean to commit a foul but accidentally does so?")</f>
        <v>What happens if a player doesn't mean to commit a foul but accidentally does so?</v>
      </c>
      <c r="H181" s="3" t="str">
        <f>IFERROR(__xludf.DUMMYFUNCTION("GOOGLETRANSLATE(C181, ""it"", ""en"")"),"A. The game continues B. The game is stopped C. The player receives a red card D. The opposing team earns a free kick")</f>
        <v>A. The game continues B. The game is stopped C. The player receives a red card D. The opposing team earns a free kick</v>
      </c>
      <c r="I181" s="3" t="str">
        <f>IFERROR(__xludf.DUMMYFUNCTION("GOOGLETRANSLATE(D181, ""it"", ""en"")"),"The game is stopped")</f>
        <v>The game is stopped</v>
      </c>
      <c r="J181" s="2"/>
      <c r="K181" s="2"/>
      <c r="L181" s="2"/>
      <c r="M181" s="2"/>
      <c r="N181" s="2"/>
      <c r="O181" s="2"/>
      <c r="P181" s="2"/>
      <c r="Q181" s="2"/>
    </row>
    <row r="182" ht="22.5" customHeight="1">
      <c r="A182" s="3">
        <v>181.0</v>
      </c>
      <c r="B182" s="3" t="s">
        <v>332</v>
      </c>
      <c r="C182" s="3" t="s">
        <v>193</v>
      </c>
      <c r="D182" s="3" t="s">
        <v>18</v>
      </c>
      <c r="E182" s="2"/>
      <c r="F182" s="3" t="str">
        <f>IFERROR(__xludf.DUMMYFUNCTION("GOOGLETRANSLATE(A182, ""it"", ""en"")"),"181")</f>
        <v>181</v>
      </c>
      <c r="G182" s="3" t="str">
        <f>IFERROR(__xludf.DUMMYFUNCTION("GOOGLETRANSLATE(B182, ""it"", ""en"")"),"What happens if a player is flagged for offside during an attacking phase?")</f>
        <v>What happens if a player is flagged for offside during an attacking phase?</v>
      </c>
      <c r="H182" s="3" t="str">
        <f>IFERROR(__xludf.DUMMYFUNCTION("GOOGLETRANSLATE(C182, ""it"", ""en"")"),"A. The game is stopped B. The player receives a yellow card C. The opposing team earns a free kick D. The game continues")</f>
        <v>A. The game is stopped B. The player receives a yellow card C. The opposing team earns a free kick D. The game continues</v>
      </c>
      <c r="I182" s="3" t="str">
        <f>IFERROR(__xludf.DUMMYFUNCTION("GOOGLETRANSLATE(D182, ""it"", ""en"")"),"The game is stopped")</f>
        <v>The game is stopped</v>
      </c>
      <c r="J182" s="2"/>
      <c r="K182" s="2"/>
      <c r="L182" s="2"/>
      <c r="M182" s="2"/>
      <c r="N182" s="2"/>
      <c r="O182" s="2"/>
      <c r="P182" s="2"/>
      <c r="Q182" s="2"/>
    </row>
    <row r="183" ht="22.5" customHeight="1">
      <c r="A183" s="3">
        <v>182.0</v>
      </c>
      <c r="B183" s="3" t="s">
        <v>333</v>
      </c>
      <c r="C183" s="3" t="s">
        <v>334</v>
      </c>
      <c r="D183" s="3" t="s">
        <v>18</v>
      </c>
      <c r="E183" s="2"/>
      <c r="F183" s="3" t="str">
        <f>IFERROR(__xludf.DUMMYFUNCTION("GOOGLETRANSLATE(A183, ""it"", ""en"")"),"182")</f>
        <v>182</v>
      </c>
      <c r="G183" s="3" t="str">
        <f>IFERROR(__xludf.DUMMYFUNCTION("GOOGLETRANSLATE(B183, ""it"", ""en"")"),"What happens if a player doesn't respect the field boundaries during play?")</f>
        <v>What happens if a player doesn't respect the field boundaries during play?</v>
      </c>
      <c r="H183" s="3" t="str">
        <f>IFERROR(__xludf.DUMMYFUNCTION("GOOGLETRANSLATE(C183, ""it"", ""en"")"),"A. The game is stopped B. The opposing team earns a free kick C. The player receives a red card D. The game continues")</f>
        <v>A. The game is stopped B. The opposing team earns a free kick C. The player receives a red card D. The game continues</v>
      </c>
      <c r="I183" s="3" t="str">
        <f>IFERROR(__xludf.DUMMYFUNCTION("GOOGLETRANSLATE(D183, ""it"", ""en"")"),"The game is stopped")</f>
        <v>The game is stopped</v>
      </c>
      <c r="J183" s="2"/>
      <c r="K183" s="2"/>
      <c r="L183" s="2"/>
      <c r="M183" s="2"/>
      <c r="N183" s="2"/>
      <c r="O183" s="2"/>
      <c r="P183" s="2"/>
      <c r="Q183" s="2"/>
    </row>
    <row r="184" ht="22.5" customHeight="1">
      <c r="A184" s="3">
        <v>183.0</v>
      </c>
      <c r="B184" s="3" t="s">
        <v>335</v>
      </c>
      <c r="C184" s="3" t="s">
        <v>336</v>
      </c>
      <c r="D184" s="3" t="s">
        <v>18</v>
      </c>
      <c r="E184" s="2"/>
      <c r="F184" s="3" t="str">
        <f>IFERROR(__xludf.DUMMYFUNCTION("GOOGLETRANSLATE(A184, ""it"", ""en"")"),"183")</f>
        <v>183</v>
      </c>
      <c r="G184" s="3" t="str">
        <f>IFERROR(__xludf.DUMMYFUNCTION("GOOGLETRANSLATE(B184, ""it"", ""en"")"),"What happens if a player fouls an opponent during play?")</f>
        <v>What happens if a player fouls an opponent during play?</v>
      </c>
      <c r="H184" s="3" t="str">
        <f>IFERROR(__xludf.DUMMYFUNCTION("GOOGLETRANSLATE(C184, ""it"", ""en"")"),"A. The player receives a yellow card B. The game is stopped C. The game continues D. The opposing team earns a free kick")</f>
        <v>A. The player receives a yellow card B. The game is stopped C. The game continues D. The opposing team earns a free kick</v>
      </c>
      <c r="I184" s="3" t="str">
        <f>IFERROR(__xludf.DUMMYFUNCTION("GOOGLETRANSLATE(D184, ""it"", ""en"")"),"The game is stopped")</f>
        <v>The game is stopped</v>
      </c>
      <c r="J184" s="2"/>
      <c r="K184" s="2"/>
      <c r="L184" s="2"/>
      <c r="M184" s="2"/>
      <c r="N184" s="2"/>
      <c r="O184" s="2"/>
      <c r="P184" s="2"/>
      <c r="Q184" s="2"/>
    </row>
    <row r="185" ht="22.5" customHeight="1">
      <c r="A185" s="3">
        <v>184.0</v>
      </c>
      <c r="B185" s="3" t="s">
        <v>337</v>
      </c>
      <c r="C185" s="3" t="s">
        <v>201</v>
      </c>
      <c r="D185" s="3" t="s">
        <v>18</v>
      </c>
      <c r="E185" s="2"/>
      <c r="F185" s="3" t="str">
        <f>IFERROR(__xludf.DUMMYFUNCTION("GOOGLETRANSLATE(A185, ""it"", ""en"")"),"184")</f>
        <v>184</v>
      </c>
      <c r="G185" s="3" t="str">
        <f>IFERROR(__xludf.DUMMYFUNCTION("GOOGLETRANSLATE(B185, ""it"", ""en"")"),"What happens if a player commits a foul inside the penalty area?")</f>
        <v>What happens if a player commits a foul inside the penalty area?</v>
      </c>
      <c r="H185" s="3" t="str">
        <f>IFERROR(__xludf.DUMMYFUNCTION("GOOGLETRANSLATE(C185, ""it"", ""en"")"),"A. The game is stopped B. The opposing team earns a penalty C. The game continues D. The player receives a red card")</f>
        <v>A. The game is stopped B. The opposing team earns a penalty C. The game continues D. The player receives a red card</v>
      </c>
      <c r="I185" s="3" t="str">
        <f>IFERROR(__xludf.DUMMYFUNCTION("GOOGLETRANSLATE(D185, ""it"", ""en"")"),"The game is stopped")</f>
        <v>The game is stopped</v>
      </c>
      <c r="J185" s="2"/>
      <c r="K185" s="2"/>
      <c r="L185" s="2"/>
      <c r="M185" s="2"/>
      <c r="N185" s="2"/>
      <c r="O185" s="2"/>
      <c r="P185" s="2"/>
      <c r="Q185" s="2"/>
    </row>
    <row r="186" ht="22.5" customHeight="1">
      <c r="A186" s="3">
        <v>185.0</v>
      </c>
      <c r="B186" s="3" t="s">
        <v>338</v>
      </c>
      <c r="C186" s="3" t="s">
        <v>249</v>
      </c>
      <c r="D186" s="3" t="s">
        <v>18</v>
      </c>
      <c r="E186" s="2"/>
      <c r="F186" s="3" t="str">
        <f>IFERROR(__xludf.DUMMYFUNCTION("GOOGLETRANSLATE(A186, ""it"", ""en"")"),"185")</f>
        <v>185</v>
      </c>
      <c r="G186" s="3" t="str">
        <f>IFERROR(__xludf.DUMMYFUNCTION("GOOGLETRANSLATE(B186, ""it"", ""en"")"),"What happens if a player commits a foul outside the penalty area?")</f>
        <v>What happens if a player commits a foul outside the penalty area?</v>
      </c>
      <c r="H186" s="3" t="str">
        <f>IFERROR(__xludf.DUMMYFUNCTION("GOOGLETRANSLATE(C186, ""it"", ""en"")"),"A. The game is stopped B. The opposing team earns a free kick C. The game continues D. The player receives a red card")</f>
        <v>A. The game is stopped B. The opposing team earns a free kick C. The game continues D. The player receives a red card</v>
      </c>
      <c r="I186" s="3" t="str">
        <f>IFERROR(__xludf.DUMMYFUNCTION("GOOGLETRANSLATE(D186, ""it"", ""en"")"),"The game is stopped")</f>
        <v>The game is stopped</v>
      </c>
      <c r="J186" s="2"/>
      <c r="K186" s="2"/>
      <c r="L186" s="2"/>
      <c r="M186" s="2"/>
      <c r="N186" s="2"/>
      <c r="O186" s="2"/>
      <c r="P186" s="2"/>
      <c r="Q186" s="2"/>
    </row>
    <row r="187" ht="22.5" customHeight="1">
      <c r="A187" s="3">
        <v>186.0</v>
      </c>
      <c r="B187" s="3" t="s">
        <v>339</v>
      </c>
      <c r="C187" s="3" t="s">
        <v>163</v>
      </c>
      <c r="D187" s="3" t="s">
        <v>18</v>
      </c>
      <c r="E187" s="2"/>
      <c r="F187" s="3" t="str">
        <f>IFERROR(__xludf.DUMMYFUNCTION("GOOGLETRANSLATE(A187, ""it"", ""en"")"),"186")</f>
        <v>186</v>
      </c>
      <c r="G187" s="3" t="str">
        <f>IFERROR(__xludf.DUMMYFUNCTION("GOOGLETRANSLATE(B187, ""it"", ""en"")"),"What happens if a player attacks too hard?")</f>
        <v>What happens if a player attacks too hard?</v>
      </c>
      <c r="H187" s="3" t="str">
        <f>IFERROR(__xludf.DUMMYFUNCTION("GOOGLETRANSLATE(C187, ""it"", ""en"")"),"A. The game is stopped B. The player receives a red card C. The game continues D. The player receives a yellow card")</f>
        <v>A. The game is stopped B. The player receives a red card C. The game continues D. The player receives a yellow card</v>
      </c>
      <c r="I187" s="3" t="str">
        <f>IFERROR(__xludf.DUMMYFUNCTION("GOOGLETRANSLATE(D187, ""it"", ""en"")"),"The game is stopped")</f>
        <v>The game is stopped</v>
      </c>
      <c r="J187" s="2"/>
      <c r="K187" s="2"/>
      <c r="L187" s="2"/>
      <c r="M187" s="2"/>
      <c r="N187" s="2"/>
      <c r="O187" s="2"/>
      <c r="P187" s="2"/>
      <c r="Q187" s="2"/>
    </row>
    <row r="188" ht="22.5" customHeight="1">
      <c r="A188" s="3">
        <v>187.0</v>
      </c>
      <c r="B188" s="3" t="s">
        <v>340</v>
      </c>
      <c r="C188" s="3" t="s">
        <v>341</v>
      </c>
      <c r="D188" s="3" t="s">
        <v>12</v>
      </c>
      <c r="E188" s="2"/>
      <c r="F188" s="3" t="str">
        <f>IFERROR(__xludf.DUMMYFUNCTION("GOOGLETRANSLATE(A188, ""it"", ""en"")"),"187")</f>
        <v>187</v>
      </c>
      <c r="G188" s="3" t="str">
        <f>IFERROR(__xludf.DUMMYFUNCTION("GOOGLETRANSLATE(B188, ""it"", ""en"")"),"What happens if a player heads the ball during an offensive play?")</f>
        <v>What happens if a player heads the ball during an offensive play?</v>
      </c>
      <c r="H188" s="3" t="str">
        <f>IFERROR(__xludf.DUMMYFUNCTION("GOOGLETRANSLATE(C188, ""it"", ""en"")"),"A. The game continues B. The game is stopped C. The game continues D. The opposing team earns a free kick")</f>
        <v>A. The game continues B. The game is stopped C. The game continues D. The opposing team earns a free kick</v>
      </c>
      <c r="I188" s="3" t="str">
        <f>IFERROR(__xludf.DUMMYFUNCTION("GOOGLETRANSLATE(D188, ""it"", ""en"")"),"The game continues")</f>
        <v>The game continues</v>
      </c>
      <c r="J188" s="2"/>
      <c r="K188" s="2"/>
      <c r="L188" s="2"/>
      <c r="M188" s="2"/>
      <c r="N188" s="2"/>
      <c r="O188" s="2"/>
      <c r="P188" s="2"/>
      <c r="Q188" s="2"/>
    </row>
    <row r="189" ht="22.5" customHeight="1">
      <c r="A189" s="3">
        <v>188.0</v>
      </c>
      <c r="B189" s="3" t="s">
        <v>342</v>
      </c>
      <c r="C189" s="3" t="s">
        <v>343</v>
      </c>
      <c r="D189" s="3" t="s">
        <v>18</v>
      </c>
      <c r="E189" s="2"/>
      <c r="F189" s="3" t="str">
        <f>IFERROR(__xludf.DUMMYFUNCTION("GOOGLETRANSLATE(A189, ""it"", ""en"")"),"188")</f>
        <v>188</v>
      </c>
      <c r="G189" s="3" t="str">
        <f>IFERROR(__xludf.DUMMYFUNCTION("GOOGLETRANSLATE(B189, ""it"", ""en"")"),"What happens if a player dribbles and loses the ball without contact with an opponent?")</f>
        <v>What happens if a player dribbles and loses the ball without contact with an opponent?</v>
      </c>
      <c r="H189" s="3" t="str">
        <f>IFERROR(__xludf.DUMMYFUNCTION("GOOGLETRANSLATE(C189, ""it"", ""en"")"),"A. The game continues B. The game is stopped C. The player receives a red card D. The game continues")</f>
        <v>A. The game continues B. The game is stopped C. The player receives a red card D. The game continues</v>
      </c>
      <c r="I189" s="3" t="str">
        <f>IFERROR(__xludf.DUMMYFUNCTION("GOOGLETRANSLATE(D189, ""it"", ""en"")"),"The game is stopped")</f>
        <v>The game is stopped</v>
      </c>
      <c r="J189" s="2"/>
      <c r="K189" s="2"/>
      <c r="L189" s="2"/>
      <c r="M189" s="2"/>
      <c r="N189" s="2"/>
      <c r="O189" s="2"/>
      <c r="P189" s="2"/>
      <c r="Q189" s="2"/>
    </row>
    <row r="190" ht="22.5" customHeight="1">
      <c r="A190" s="3">
        <v>189.0</v>
      </c>
      <c r="B190" s="3" t="s">
        <v>344</v>
      </c>
      <c r="C190" s="3" t="s">
        <v>345</v>
      </c>
      <c r="D190" s="3" t="s">
        <v>18</v>
      </c>
      <c r="E190" s="2"/>
      <c r="F190" s="3" t="str">
        <f>IFERROR(__xludf.DUMMYFUNCTION("GOOGLETRANSLATE(A190, ""it"", ""en"")"),"189")</f>
        <v>189</v>
      </c>
      <c r="G190" s="3" t="str">
        <f>IFERROR(__xludf.DUMMYFUNCTION("GOOGLETRANSLATE(B190, ""it"", ""en"")"),"What happens if a player tries to pass but the ball goes out of bounds?")</f>
        <v>What happens if a player tries to pass but the ball goes out of bounds?</v>
      </c>
      <c r="H190" s="3" t="str">
        <f>IFERROR(__xludf.DUMMYFUNCTION("GOOGLETRANSLATE(C190, ""it"", ""en"")"),"A. The opposing team wins the ball B. The game is stopped C. The game continues D. The player receives a red card")</f>
        <v>A. The opposing team wins the ball B. The game is stopped C. The game continues D. The player receives a red card</v>
      </c>
      <c r="I190" s="3" t="str">
        <f>IFERROR(__xludf.DUMMYFUNCTION("GOOGLETRANSLATE(D190, ""it"", ""en"")"),"The game is stopped")</f>
        <v>The game is stopped</v>
      </c>
      <c r="J190" s="2"/>
      <c r="K190" s="2"/>
      <c r="L190" s="2"/>
      <c r="M190" s="2"/>
      <c r="N190" s="2"/>
      <c r="O190" s="2"/>
      <c r="P190" s="2"/>
      <c r="Q190" s="2"/>
    </row>
    <row r="191" ht="22.5" customHeight="1">
      <c r="A191" s="3">
        <v>190.0</v>
      </c>
      <c r="B191" s="3" t="s">
        <v>346</v>
      </c>
      <c r="C191" s="3" t="s">
        <v>155</v>
      </c>
      <c r="D191" s="3" t="s">
        <v>18</v>
      </c>
      <c r="E191" s="2"/>
      <c r="F191" s="3" t="str">
        <f>IFERROR(__xludf.DUMMYFUNCTION("GOOGLETRANSLATE(A191, ""it"", ""en"")"),"190")</f>
        <v>190</v>
      </c>
      <c r="G191" s="3" t="str">
        <f>IFERROR(__xludf.DUMMYFUNCTION("GOOGLETRANSLATE(B191, ""it"", ""en"")"),"What happens if a player loses balance during an action and hits an opponent?")</f>
        <v>What happens if a player loses balance during an action and hits an opponent?</v>
      </c>
      <c r="H191" s="3" t="str">
        <f>IFERROR(__xludf.DUMMYFUNCTION("GOOGLETRANSLATE(C191, ""it"", ""en"")"),"A. The game is stopped B. The player receives a yellow card C. The game continues D. The opposing team earns a free kick")</f>
        <v>A. The game is stopped B. The player receives a yellow card C. The game continues D. The opposing team earns a free kick</v>
      </c>
      <c r="I191" s="3" t="str">
        <f>IFERROR(__xludf.DUMMYFUNCTION("GOOGLETRANSLATE(D191, ""it"", ""en"")"),"The game is stopped")</f>
        <v>The game is stopped</v>
      </c>
      <c r="J191" s="2"/>
      <c r="K191" s="2"/>
      <c r="L191" s="2"/>
      <c r="M191" s="2"/>
      <c r="N191" s="2"/>
      <c r="O191" s="2"/>
      <c r="P191" s="2"/>
      <c r="Q191" s="2"/>
    </row>
    <row r="192" ht="22.5" customHeight="1">
      <c r="A192" s="3">
        <v>191.0</v>
      </c>
      <c r="B192" s="3" t="s">
        <v>347</v>
      </c>
      <c r="C192" s="3" t="s">
        <v>348</v>
      </c>
      <c r="D192" s="3" t="s">
        <v>18</v>
      </c>
      <c r="E192" s="2"/>
      <c r="F192" s="3" t="str">
        <f>IFERROR(__xludf.DUMMYFUNCTION("GOOGLETRANSLATE(A192, ""it"", ""en"")"),"191")</f>
        <v>191</v>
      </c>
      <c r="G192" s="3" t="str">
        <f>IFERROR(__xludf.DUMMYFUNCTION("GOOGLETRANSLATE(B192, ""it"", ""en"")"),"What happens if a player is in a position of advantage but is stopped for a foul?")</f>
        <v>What happens if a player is in a position of advantage but is stopped for a foul?</v>
      </c>
      <c r="H192" s="3" t="str">
        <f>IFERROR(__xludf.DUMMYFUNCTION("GOOGLETRANSLATE(C192, ""it"", ""en"")"),"A. The game is stopped B. The game continues C. The opposing team earns a free kick D. The player receives a red card")</f>
        <v>A. The game is stopped B. The game continues C. The opposing team earns a free kick D. The player receives a red card</v>
      </c>
      <c r="I192" s="3" t="str">
        <f>IFERROR(__xludf.DUMMYFUNCTION("GOOGLETRANSLATE(D192, ""it"", ""en"")"),"The game is stopped")</f>
        <v>The game is stopped</v>
      </c>
      <c r="J192" s="2"/>
      <c r="K192" s="2"/>
      <c r="L192" s="2"/>
      <c r="M192" s="2"/>
      <c r="N192" s="2"/>
      <c r="O192" s="2"/>
      <c r="P192" s="2"/>
      <c r="Q192" s="2"/>
    </row>
    <row r="193" ht="22.5" customHeight="1">
      <c r="A193" s="3">
        <v>192.0</v>
      </c>
      <c r="B193" s="3" t="s">
        <v>234</v>
      </c>
      <c r="C193" s="3" t="s">
        <v>349</v>
      </c>
      <c r="D193" s="3" t="s">
        <v>18</v>
      </c>
      <c r="E193" s="2"/>
      <c r="F193" s="3" t="str">
        <f>IFERROR(__xludf.DUMMYFUNCTION("GOOGLETRANSLATE(A193, ""it"", ""en"")"),"192")</f>
        <v>192</v>
      </c>
      <c r="G193" s="3" t="str">
        <f>IFERROR(__xludf.DUMMYFUNCTION("GOOGLETRANSLATE(B193, ""it"", ""en"")"),"What happens if a player is sent off for a serious foul?")</f>
        <v>What happens if a player is sent off for a serious foul?</v>
      </c>
      <c r="H193" s="3" t="str">
        <f>IFERROR(__xludf.DUMMYFUNCTION("GOOGLETRANSLATE(C193, ""it"", ""en"")"),"A. The team is playing with one player less B. The game continues C. The game is stopped D. The opposing team earns a free kick")</f>
        <v>A. The team is playing with one player less B. The game continues C. The game is stopped D. The opposing team earns a free kick</v>
      </c>
      <c r="I193" s="3" t="str">
        <f>IFERROR(__xludf.DUMMYFUNCTION("GOOGLETRANSLATE(D193, ""it"", ""en"")"),"The game is stopped")</f>
        <v>The game is stopped</v>
      </c>
      <c r="J193" s="2"/>
      <c r="K193" s="2"/>
      <c r="L193" s="2"/>
      <c r="M193" s="2"/>
      <c r="N193" s="2"/>
      <c r="O193" s="2"/>
      <c r="P193" s="2"/>
      <c r="Q193" s="2"/>
    </row>
    <row r="194" ht="22.5" customHeight="1">
      <c r="A194" s="3">
        <v>193.0</v>
      </c>
      <c r="B194" s="3" t="s">
        <v>350</v>
      </c>
      <c r="C194" s="3" t="s">
        <v>163</v>
      </c>
      <c r="D194" s="3" t="s">
        <v>18</v>
      </c>
      <c r="E194" s="2"/>
      <c r="F194" s="3" t="str">
        <f>IFERROR(__xludf.DUMMYFUNCTION("GOOGLETRANSLATE(A194, ""it"", ""en"")"),"193")</f>
        <v>193</v>
      </c>
      <c r="G194" s="3" t="str">
        <f>IFERROR(__xludf.DUMMYFUNCTION("GOOGLETRANSLATE(B194, ""it"", ""en"")"),"What happens if a player intentionally kicks an opponent during a defensive phase?")</f>
        <v>What happens if a player intentionally kicks an opponent during a defensive phase?</v>
      </c>
      <c r="H194" s="3" t="str">
        <f>IFERROR(__xludf.DUMMYFUNCTION("GOOGLETRANSLATE(C194, ""it"", ""en"")"),"A. The game is stopped B. The player receives a red card C. The game continues D. The player receives a yellow card")</f>
        <v>A. The game is stopped B. The player receives a red card C. The game continues D. The player receives a yellow card</v>
      </c>
      <c r="I194" s="3" t="str">
        <f>IFERROR(__xludf.DUMMYFUNCTION("GOOGLETRANSLATE(D194, ""it"", ""en"")"),"The game is stopped")</f>
        <v>The game is stopped</v>
      </c>
      <c r="J194" s="2"/>
      <c r="K194" s="2"/>
      <c r="L194" s="2"/>
      <c r="M194" s="2"/>
      <c r="N194" s="2"/>
      <c r="O194" s="2"/>
      <c r="P194" s="2"/>
      <c r="Q194" s="2"/>
    </row>
    <row r="195" ht="22.5" customHeight="1">
      <c r="A195" s="3">
        <v>194.0</v>
      </c>
      <c r="B195" s="3" t="s">
        <v>351</v>
      </c>
      <c r="C195" s="3" t="s">
        <v>110</v>
      </c>
      <c r="D195" s="3" t="s">
        <v>18</v>
      </c>
      <c r="E195" s="2"/>
      <c r="F195" s="3" t="str">
        <f>IFERROR(__xludf.DUMMYFUNCTION("GOOGLETRANSLATE(A195, ""it"", ""en"")"),"194")</f>
        <v>194</v>
      </c>
      <c r="G195" s="3" t="str">
        <f>IFERROR(__xludf.DUMMYFUNCTION("GOOGLETRANSLATE(B195, ""it"", ""en"")"),"What happens if a player blocks a ball with his hand during a play?")</f>
        <v>What happens if a player blocks a ball with his hand during a play?</v>
      </c>
      <c r="H195" s="3" t="str">
        <f>IFERROR(__xludf.DUMMYFUNCTION("GOOGLETRANSLATE(C195, ""it"", ""en"")"),"A. The game is stopped B. The player receives a red card C. The opposing team earns a free kick D. The game continues")</f>
        <v>A. The game is stopped B. The player receives a red card C. The opposing team earns a free kick D. The game continues</v>
      </c>
      <c r="I195" s="3" t="str">
        <f>IFERROR(__xludf.DUMMYFUNCTION("GOOGLETRANSLATE(D195, ""it"", ""en"")"),"The game is stopped")</f>
        <v>The game is stopped</v>
      </c>
      <c r="J195" s="2"/>
      <c r="K195" s="2"/>
      <c r="L195" s="2"/>
      <c r="M195" s="2"/>
      <c r="N195" s="2"/>
      <c r="O195" s="2"/>
      <c r="P195" s="2"/>
      <c r="Q195" s="2"/>
    </row>
    <row r="196" ht="22.5" customHeight="1">
      <c r="A196" s="3">
        <v>195.0</v>
      </c>
      <c r="B196" s="3" t="s">
        <v>352</v>
      </c>
      <c r="C196" s="3" t="s">
        <v>283</v>
      </c>
      <c r="D196" s="3" t="s">
        <v>18</v>
      </c>
      <c r="E196" s="2"/>
      <c r="F196" s="3" t="str">
        <f>IFERROR(__xludf.DUMMYFUNCTION("GOOGLETRANSLATE(A196, ""it"", ""en"")"),"195")</f>
        <v>195</v>
      </c>
      <c r="G196" s="3" t="str">
        <f>IFERROR(__xludf.DUMMYFUNCTION("GOOGLETRANSLATE(B196, ""it"", ""en"")"),"What happens if a player tries to stop an opponent with a foul without meaning to do so?")</f>
        <v>What happens if a player tries to stop an opponent with a foul without meaning to do so?</v>
      </c>
      <c r="H196" s="3" t="str">
        <f>IFERROR(__xludf.DUMMYFUNCTION("GOOGLETRANSLATE(C196, ""it"", ""en"")"),"A. The game continues B. The game is stopped C. The opposing team earns a free kick D. The player receives a yellow card")</f>
        <v>A. The game continues B. The game is stopped C. The opposing team earns a free kick D. The player receives a yellow card</v>
      </c>
      <c r="I196" s="3" t="str">
        <f>IFERROR(__xludf.DUMMYFUNCTION("GOOGLETRANSLATE(D196, ""it"", ""en"")"),"The game is stopped")</f>
        <v>The game is stopped</v>
      </c>
      <c r="J196" s="2"/>
      <c r="K196" s="2"/>
      <c r="L196" s="2"/>
      <c r="M196" s="2"/>
      <c r="N196" s="2"/>
      <c r="O196" s="2"/>
      <c r="P196" s="2"/>
      <c r="Q196" s="2"/>
    </row>
    <row r="197" ht="22.5" customHeight="1">
      <c r="A197" s="3">
        <v>196.0</v>
      </c>
      <c r="B197" s="3" t="s">
        <v>353</v>
      </c>
      <c r="C197" s="3" t="s">
        <v>354</v>
      </c>
      <c r="D197" s="3" t="s">
        <v>12</v>
      </c>
      <c r="E197" s="2"/>
      <c r="F197" s="3" t="str">
        <f>IFERROR(__xludf.DUMMYFUNCTION("GOOGLETRANSLATE(A197, ""it"", ""en"")"),"196")</f>
        <v>196</v>
      </c>
      <c r="G197" s="3" t="str">
        <f>IFERROR(__xludf.DUMMYFUNCTION("GOOGLETRANSLATE(B197, ""it"", ""en"")"),"If a player commits a foul during an offensive play and the referee doesn't see it, what happens?")</f>
        <v>If a player commits a foul during an offensive play and the referee doesn't see it, what happens?</v>
      </c>
      <c r="H197" s="3" t="str">
        <f>IFERROR(__xludf.DUMMYFUNCTION("GOOGLETRANSLATE(C197, ""it"", ""en"")"),"A. The game continues B. The game is stopped C. The opposing team earns a free kick D. The game is stopped")</f>
        <v>A. The game continues B. The game is stopped C. The opposing team earns a free kick D. The game is stopped</v>
      </c>
      <c r="I197" s="3" t="str">
        <f>IFERROR(__xludf.DUMMYFUNCTION("GOOGLETRANSLATE(D197, ""it"", ""en"")"),"The game continues")</f>
        <v>The game continues</v>
      </c>
      <c r="J197" s="2"/>
      <c r="K197" s="2"/>
      <c r="L197" s="2"/>
      <c r="M197" s="2"/>
      <c r="N197" s="2"/>
      <c r="O197" s="2"/>
      <c r="P197" s="2"/>
      <c r="Q197" s="2"/>
    </row>
    <row r="198" ht="22.5" customHeight="1">
      <c r="A198" s="3">
        <v>197.0</v>
      </c>
      <c r="B198" s="3" t="s">
        <v>355</v>
      </c>
      <c r="C198" s="3" t="s">
        <v>147</v>
      </c>
      <c r="D198" s="3" t="s">
        <v>18</v>
      </c>
      <c r="E198" s="2"/>
      <c r="F198" s="3" t="str">
        <f>IFERROR(__xludf.DUMMYFUNCTION("GOOGLETRANSLATE(A198, ""it"", ""en"")"),"197")</f>
        <v>197</v>
      </c>
      <c r="G198" s="3" t="str">
        <f>IFERROR(__xludf.DUMMYFUNCTION("GOOGLETRANSLATE(B198, ""it"", ""en"")"),"What happens if a player commits a foul during an attack that could cause an injury?")</f>
        <v>What happens if a player commits a foul during an attack that could cause an injury?</v>
      </c>
      <c r="H198" s="3" t="str">
        <f>IFERROR(__xludf.DUMMYFUNCTION("GOOGLETRANSLATE(C198, ""it"", ""en"")"),"A. The game is stopped B. The player receives a red card C. The player receives a yellow card D. The game continues")</f>
        <v>A. The game is stopped B. The player receives a red card C. The player receives a yellow card D. The game continues</v>
      </c>
      <c r="I198" s="3" t="str">
        <f>IFERROR(__xludf.DUMMYFUNCTION("GOOGLETRANSLATE(D198, ""it"", ""en"")"),"The game is stopped")</f>
        <v>The game is stopped</v>
      </c>
      <c r="J198" s="2"/>
      <c r="K198" s="2"/>
      <c r="L198" s="2"/>
      <c r="M198" s="2"/>
      <c r="N198" s="2"/>
      <c r="O198" s="2"/>
      <c r="P198" s="2"/>
      <c r="Q198" s="2"/>
    </row>
    <row r="199" ht="22.5" customHeight="1">
      <c r="A199" s="3">
        <v>198.0</v>
      </c>
      <c r="B199" s="3" t="s">
        <v>356</v>
      </c>
      <c r="C199" s="3" t="s">
        <v>357</v>
      </c>
      <c r="D199" s="3" t="s">
        <v>18</v>
      </c>
      <c r="E199" s="2"/>
      <c r="F199" s="3" t="str">
        <f>IFERROR(__xludf.DUMMYFUNCTION("GOOGLETRANSLATE(A199, ""it"", ""en"")"),"198")</f>
        <v>198</v>
      </c>
      <c r="G199" s="3" t="str">
        <f>IFERROR(__xludf.DUMMYFUNCTION("GOOGLETRANSLATE(B199, ""it"", ""en"")"),"What happens if a player receives a yellow card for a foul?")</f>
        <v>What happens if a player receives a yellow card for a foul?</v>
      </c>
      <c r="H199" s="3" t="str">
        <f>IFERROR(__xludf.DUMMYFUNCTION("GOOGLETRANSLATE(C199, ""it"", ""en"")"),"A. The game continues B. The player receives another red card C. The game is stopped D. The game continues")</f>
        <v>A. The game continues B. The player receives another red card C. The game is stopped D. The game continues</v>
      </c>
      <c r="I199" s="3" t="str">
        <f>IFERROR(__xludf.DUMMYFUNCTION("GOOGLETRANSLATE(D199, ""it"", ""en"")"),"The game is stopped")</f>
        <v>The game is stopped</v>
      </c>
      <c r="J199" s="2"/>
      <c r="K199" s="2"/>
      <c r="L199" s="2"/>
      <c r="M199" s="2"/>
      <c r="N199" s="2"/>
      <c r="O199" s="2"/>
      <c r="P199" s="2"/>
      <c r="Q199" s="2"/>
    </row>
    <row r="200" ht="22.5" customHeight="1">
      <c r="A200" s="3">
        <v>199.0</v>
      </c>
      <c r="B200" s="3" t="s">
        <v>358</v>
      </c>
      <c r="C200" s="3" t="s">
        <v>359</v>
      </c>
      <c r="D200" s="3" t="s">
        <v>12</v>
      </c>
      <c r="E200" s="2"/>
      <c r="F200" s="3" t="str">
        <f>IFERROR(__xludf.DUMMYFUNCTION("GOOGLETRANSLATE(A200, ""it"", ""en"")"),"199")</f>
        <v>199</v>
      </c>
      <c r="G200" s="3" t="str">
        <f>IFERROR(__xludf.DUMMYFUNCTION("GOOGLETRANSLATE(B200, ""it"", ""en"")"),"What happens if a player is subjected to violent contact and the referee doesn't stop play?")</f>
        <v>What happens if a player is subjected to violent contact and the referee doesn't stop play?</v>
      </c>
      <c r="H200" s="3" t="str">
        <f>IFERROR(__xludf.DUMMYFUNCTION("GOOGLETRANSLATE(C200, ""it"", ""en"")"),"A. The game continues B. The player receives a red card C. The game is stopped D. The player is substituted")</f>
        <v>A. The game continues B. The player receives a red card C. The game is stopped D. The player is substituted</v>
      </c>
      <c r="I200" s="3" t="str">
        <f>IFERROR(__xludf.DUMMYFUNCTION("GOOGLETRANSLATE(D200, ""it"", ""en"")"),"The game continues")</f>
        <v>The game continues</v>
      </c>
      <c r="J200" s="2"/>
      <c r="K200" s="2"/>
      <c r="L200" s="2"/>
      <c r="M200" s="2"/>
      <c r="N200" s="2"/>
      <c r="O200" s="2"/>
      <c r="P200" s="2"/>
      <c r="Q200" s="2"/>
    </row>
    <row r="201" ht="22.5" customHeight="1">
      <c r="A201" s="3">
        <v>200.0</v>
      </c>
      <c r="B201" s="3" t="s">
        <v>360</v>
      </c>
      <c r="C201" s="3" t="s">
        <v>361</v>
      </c>
      <c r="D201" s="3" t="s">
        <v>18</v>
      </c>
      <c r="E201" s="2"/>
      <c r="F201" s="3" t="str">
        <f>IFERROR(__xludf.DUMMYFUNCTION("GOOGLETRANSLATE(A201, ""it"", ""en"")"),"200")</f>
        <v>200</v>
      </c>
      <c r="G201" s="3" t="str">
        <f>IFERROR(__xludf.DUMMYFUNCTION("GOOGLETRANSLATE(B201, ""it"", ""en"")"),"What happens if a player commits a foul in the penalty area but the referee doesn't penalize him?")</f>
        <v>What happens if a player commits a foul in the penalty area but the referee doesn't penalize him?</v>
      </c>
      <c r="H201" s="3" t="str">
        <f>IFERROR(__xludf.DUMMYFUNCTION("GOOGLETRANSLATE(C201, ""it"", ""en"")"),"A. The game continues B. The opposing team earns a penalty C. The game is stopped D. The player receives a red card")</f>
        <v>A. The game continues B. The opposing team earns a penalty C. The game is stopped D. The player receives a red card</v>
      </c>
      <c r="I201" s="3" t="str">
        <f>IFERROR(__xludf.DUMMYFUNCTION("GOOGLETRANSLATE(D201, ""it"", ""en"")"),"The game is stopped")</f>
        <v>The game is stopped</v>
      </c>
      <c r="J201" s="2"/>
      <c r="K201" s="2"/>
      <c r="L201" s="2"/>
      <c r="M201" s="2"/>
      <c r="N201" s="2"/>
      <c r="O201" s="2"/>
      <c r="P201" s="2"/>
      <c r="Q201" s="2"/>
    </row>
    <row r="202" ht="22.5" customHeight="1">
      <c r="A202" s="3">
        <v>201.0</v>
      </c>
      <c r="B202" s="3" t="s">
        <v>362</v>
      </c>
      <c r="C202" s="3" t="s">
        <v>363</v>
      </c>
      <c r="D202" s="3" t="s">
        <v>18</v>
      </c>
      <c r="E202" s="2"/>
      <c r="F202" s="3" t="str">
        <f>IFERROR(__xludf.DUMMYFUNCTION("GOOGLETRANSLATE(A202, ""it"", ""en"")"),"201")</f>
        <v>201</v>
      </c>
      <c r="G202" s="3" t="str">
        <f>IFERROR(__xludf.DUMMYFUNCTION("GOOGLETRANSLATE(B202, ""it"", ""en"")"),"What happens if a player makes a pass but the ball goes out of bounds without touching another player?")</f>
        <v>What happens if a player makes a pass but the ball goes out of bounds without touching another player?</v>
      </c>
      <c r="H202" s="3" t="str">
        <f>IFERROR(__xludf.DUMMYFUNCTION("GOOGLETRANSLATE(C202, ""it"", ""en"")"),"A. The opposing team wins the ball B. The game is stopped C. The game continues D. The game is stopped")</f>
        <v>A. The opposing team wins the ball B. The game is stopped C. The game continues D. The game is stopped</v>
      </c>
      <c r="I202" s="3" t="str">
        <f>IFERROR(__xludf.DUMMYFUNCTION("GOOGLETRANSLATE(D202, ""it"", ""en"")"),"The game is stopped")</f>
        <v>The game is stopped</v>
      </c>
      <c r="J202" s="2"/>
      <c r="K202" s="2"/>
      <c r="L202" s="2"/>
      <c r="M202" s="2"/>
      <c r="N202" s="2"/>
      <c r="O202" s="2"/>
      <c r="P202" s="2"/>
      <c r="Q202" s="2"/>
    </row>
    <row r="203" ht="22.5" customHeight="1">
      <c r="A203" s="3">
        <v>202.0</v>
      </c>
      <c r="B203" s="3" t="s">
        <v>364</v>
      </c>
      <c r="C203" s="3" t="s">
        <v>334</v>
      </c>
      <c r="D203" s="3" t="s">
        <v>18</v>
      </c>
      <c r="E203" s="2"/>
      <c r="F203" s="3" t="str">
        <f>IFERROR(__xludf.DUMMYFUNCTION("GOOGLETRANSLATE(A203, ""it"", ""en"")"),"202")</f>
        <v>202</v>
      </c>
      <c r="G203" s="3" t="str">
        <f>IFERROR(__xludf.DUMMYFUNCTION("GOOGLETRANSLATE(B203, ""it"", ""en"")"),"What happens if a player fouls to stop a potentially dangerous attack?")</f>
        <v>What happens if a player fouls to stop a potentially dangerous attack?</v>
      </c>
      <c r="H203" s="3" t="str">
        <f>IFERROR(__xludf.DUMMYFUNCTION("GOOGLETRANSLATE(C203, ""it"", ""en"")"),"A. The game is stopped B. The opposing team earns a free kick C. The player receives a red card D. The game continues")</f>
        <v>A. The game is stopped B. The opposing team earns a free kick C. The player receives a red card D. The game continues</v>
      </c>
      <c r="I203" s="3" t="str">
        <f>IFERROR(__xludf.DUMMYFUNCTION("GOOGLETRANSLATE(D203, ""it"", ""en"")"),"The game is stopped")</f>
        <v>The game is stopped</v>
      </c>
      <c r="J203" s="2"/>
      <c r="K203" s="2"/>
      <c r="L203" s="2"/>
      <c r="M203" s="2"/>
      <c r="N203" s="2"/>
      <c r="O203" s="2"/>
      <c r="P203" s="2"/>
      <c r="Q203" s="2"/>
    </row>
    <row r="204" ht="22.5" customHeight="1">
      <c r="A204" s="3">
        <v>203.0</v>
      </c>
      <c r="B204" s="3" t="s">
        <v>38</v>
      </c>
      <c r="C204" s="3" t="s">
        <v>299</v>
      </c>
      <c r="D204" s="3" t="s">
        <v>365</v>
      </c>
      <c r="E204" s="2"/>
      <c r="F204" s="3" t="str">
        <f>IFERROR(__xludf.DUMMYFUNCTION("GOOGLETRANSLATE(A204, ""it"", ""en"")"),"203")</f>
        <v>203</v>
      </c>
      <c r="G204" s="3" t="str">
        <f>IFERROR(__xludf.DUMMYFUNCTION("GOOGLETRANSLATE(B204, ""it"", ""en"")"),"What happens if a player is sent off?")</f>
        <v>What happens if a player is sent off?</v>
      </c>
      <c r="H204" s="3" t="str">
        <f>IFERROR(__xludf.DUMMYFUNCTION("GOOGLETRANSLATE(C204, ""it"", ""en"")"),"A. The game continues with one player less B. The game is stopped C. The opposing team earns a penalty kick D. The game is stopped")</f>
        <v>A. The game continues with one player less B. The game is stopped C. The opposing team earns a penalty kick D. The game is stopped</v>
      </c>
      <c r="I204" s="3" t="str">
        <f>IFERROR(__xludf.DUMMYFUNCTION("GOOGLETRANSLATE(D204, ""it"", ""en"")"),"The game continues with one player less")</f>
        <v>The game continues with one player less</v>
      </c>
      <c r="J204" s="2"/>
      <c r="K204" s="2"/>
      <c r="L204" s="2"/>
      <c r="M204" s="2"/>
      <c r="N204" s="2"/>
      <c r="O204" s="2"/>
      <c r="P204" s="2"/>
      <c r="Q204" s="2"/>
    </row>
    <row r="205" ht="22.5" customHeight="1">
      <c r="A205" s="3">
        <v>204.0</v>
      </c>
      <c r="B205" s="3" t="s">
        <v>366</v>
      </c>
      <c r="C205" s="3" t="s">
        <v>367</v>
      </c>
      <c r="D205" s="3" t="s">
        <v>18</v>
      </c>
      <c r="E205" s="2"/>
      <c r="F205" s="3" t="str">
        <f>IFERROR(__xludf.DUMMYFUNCTION("GOOGLETRANSLATE(A205, ""it"", ""en"")"),"204")</f>
        <v>204</v>
      </c>
      <c r="G205" s="3" t="str">
        <f>IFERROR(__xludf.DUMMYFUNCTION("GOOGLETRANSLATE(B205, ""it"", ""en"")"),"What happens if a player is substituted during a match?")</f>
        <v>What happens if a player is substituted during a match?</v>
      </c>
      <c r="H205" s="3" t="str">
        <f>IFERROR(__xludf.DUMMYFUNCTION("GOOGLETRANSLATE(C205, ""it"", ""en"")"),"A. The game is stopped B. The player can no longer participate C. The game continues D. The replaced player returns to the field")</f>
        <v>A. The game is stopped B. The player can no longer participate C. The game continues D. The replaced player returns to the field</v>
      </c>
      <c r="I205" s="3" t="str">
        <f>IFERROR(__xludf.DUMMYFUNCTION("GOOGLETRANSLATE(D205, ""it"", ""en"")"),"The game is stopped")</f>
        <v>The game is stopped</v>
      </c>
      <c r="J205" s="2"/>
      <c r="K205" s="2"/>
      <c r="L205" s="2"/>
      <c r="M205" s="2"/>
      <c r="N205" s="2"/>
      <c r="O205" s="2"/>
      <c r="P205" s="2"/>
      <c r="Q205" s="2"/>
    </row>
    <row r="206" ht="22.5" customHeight="1">
      <c r="A206" s="3">
        <v>205.0</v>
      </c>
      <c r="B206" s="3" t="s">
        <v>368</v>
      </c>
      <c r="C206" s="3" t="s">
        <v>369</v>
      </c>
      <c r="D206" s="3" t="s">
        <v>18</v>
      </c>
      <c r="E206" s="2"/>
      <c r="F206" s="3" t="str">
        <f>IFERROR(__xludf.DUMMYFUNCTION("GOOGLETRANSLATE(A206, ""it"", ""en"")"),"205")</f>
        <v>205</v>
      </c>
      <c r="G206" s="3" t="str">
        <f>IFERROR(__xludf.DUMMYFUNCTION("GOOGLETRANSLATE(B206, ""it"", ""en"")"),"What happens if a player fouls during a kick-off?")</f>
        <v>What happens if a player fouls during a kick-off?</v>
      </c>
      <c r="H206" s="3" t="str">
        <f>IFERROR(__xludf.DUMMYFUNCTION("GOOGLETRANSLATE(C206, ""it"", ""en"")"),"A. The game is stopped B. The opposing team earns a free kick C. The game continues D. The game is stopped")</f>
        <v>A. The game is stopped B. The opposing team earns a free kick C. The game continues D. The game is stopped</v>
      </c>
      <c r="I206" s="3" t="str">
        <f>IFERROR(__xludf.DUMMYFUNCTION("GOOGLETRANSLATE(D206, ""it"", ""en"")"),"The game is stopped")</f>
        <v>The game is stopped</v>
      </c>
      <c r="J206" s="2"/>
      <c r="K206" s="2"/>
      <c r="L206" s="2"/>
      <c r="M206" s="2"/>
      <c r="N206" s="2"/>
      <c r="O206" s="2"/>
      <c r="P206" s="2"/>
      <c r="Q206" s="2"/>
    </row>
    <row r="207" ht="22.5" customHeight="1">
      <c r="A207" s="3">
        <v>206.0</v>
      </c>
      <c r="B207" s="3" t="s">
        <v>84</v>
      </c>
      <c r="C207" s="3" t="s">
        <v>370</v>
      </c>
      <c r="D207" s="3" t="s">
        <v>365</v>
      </c>
      <c r="E207" s="2"/>
      <c r="F207" s="3" t="str">
        <f>IFERROR(__xludf.DUMMYFUNCTION("GOOGLETRANSLATE(A207, ""it"", ""en"")"),"206")</f>
        <v>206</v>
      </c>
      <c r="G207" s="3" t="str">
        <f>IFERROR(__xludf.DUMMYFUNCTION("GOOGLETRANSLATE(B207, ""it"", ""en"")"),"What happens if a player receives a red card?")</f>
        <v>What happens if a player receives a red card?</v>
      </c>
      <c r="H207" s="3" t="str">
        <f>IFERROR(__xludf.DUMMYFUNCTION("GOOGLETRANSLATE(C207, ""it"", ""en"")"),"A. The game continues with one player less B. The opposing team earns a penalty kick C. The game is stopped D. The player replaces his position")</f>
        <v>A. The game continues with one player less B. The opposing team earns a penalty kick C. The game is stopped D. The player replaces his position</v>
      </c>
      <c r="I207" s="3" t="str">
        <f>IFERROR(__xludf.DUMMYFUNCTION("GOOGLETRANSLATE(D207, ""it"", ""en"")"),"The game continues with one player less")</f>
        <v>The game continues with one player less</v>
      </c>
      <c r="J207" s="2"/>
      <c r="K207" s="2"/>
      <c r="L207" s="2"/>
      <c r="M207" s="2"/>
      <c r="N207" s="2"/>
      <c r="O207" s="2"/>
      <c r="P207" s="2"/>
      <c r="Q207" s="2"/>
    </row>
    <row r="208" ht="22.5" customHeight="1">
      <c r="A208" s="3">
        <v>207.0</v>
      </c>
      <c r="B208" s="3" t="s">
        <v>371</v>
      </c>
      <c r="C208" s="3" t="s">
        <v>207</v>
      </c>
      <c r="D208" s="3" t="s">
        <v>18</v>
      </c>
      <c r="E208" s="2"/>
      <c r="F208" s="3" t="str">
        <f>IFERROR(__xludf.DUMMYFUNCTION("GOOGLETRANSLATE(A208, ""it"", ""en"")"),"207")</f>
        <v>207</v>
      </c>
      <c r="G208" s="3" t="str">
        <f>IFERROR(__xludf.DUMMYFUNCTION("GOOGLETRANSLATE(B208, ""it"", ""en"")"),"What happens if a player commits a foul with the ball under his arm?")</f>
        <v>What happens if a player commits a foul with the ball under his arm?</v>
      </c>
      <c r="H208" s="3" t="str">
        <f>IFERROR(__xludf.DUMMYFUNCTION("GOOGLETRANSLATE(C208, ""it"", ""en"")"),"A. The game is stopped B. The player receives a red card C. The game continues D. The opposing team earns a free kick")</f>
        <v>A. The game is stopped B. The player receives a red card C. The game continues D. The opposing team earns a free kick</v>
      </c>
      <c r="I208" s="3" t="str">
        <f>IFERROR(__xludf.DUMMYFUNCTION("GOOGLETRANSLATE(D208, ""it"", ""en"")"),"The game is stopped")</f>
        <v>The game is stopped</v>
      </c>
      <c r="J208" s="2"/>
      <c r="K208" s="2"/>
      <c r="L208" s="2"/>
      <c r="M208" s="2"/>
      <c r="N208" s="2"/>
      <c r="O208" s="2"/>
      <c r="P208" s="2"/>
      <c r="Q208" s="2"/>
    </row>
    <row r="209" ht="22.5" customHeight="1">
      <c r="A209" s="3">
        <v>208.0</v>
      </c>
      <c r="B209" s="3" t="s">
        <v>372</v>
      </c>
      <c r="C209" s="3" t="s">
        <v>283</v>
      </c>
      <c r="D209" s="3" t="s">
        <v>18</v>
      </c>
      <c r="E209" s="2"/>
      <c r="F209" s="3" t="str">
        <f>IFERROR(__xludf.DUMMYFUNCTION("GOOGLETRANSLATE(A209, ""it"", ""en"")"),"208")</f>
        <v>208</v>
      </c>
      <c r="G209" s="3" t="str">
        <f>IFERROR(__xludf.DUMMYFUNCTION("GOOGLETRANSLATE(B209, ""it"", ""en"")"),"What happens if a player commits a foul to stop an attack?")</f>
        <v>What happens if a player commits a foul to stop an attack?</v>
      </c>
      <c r="H209" s="3" t="str">
        <f>IFERROR(__xludf.DUMMYFUNCTION("GOOGLETRANSLATE(C209, ""it"", ""en"")"),"A. The game continues B. The game is stopped C. The opposing team earns a free kick D. The player receives a yellow card")</f>
        <v>A. The game continues B. The game is stopped C. The opposing team earns a free kick D. The player receives a yellow card</v>
      </c>
      <c r="I209" s="3" t="str">
        <f>IFERROR(__xludf.DUMMYFUNCTION("GOOGLETRANSLATE(D209, ""it"", ""en"")"),"The game is stopped")</f>
        <v>The game is stopped</v>
      </c>
      <c r="J209" s="2"/>
      <c r="K209" s="2"/>
      <c r="L209" s="2"/>
      <c r="M209" s="2"/>
      <c r="N209" s="2"/>
      <c r="O209" s="2"/>
      <c r="P209" s="2"/>
      <c r="Q209" s="2"/>
    </row>
    <row r="210" ht="22.5" customHeight="1">
      <c r="A210" s="3">
        <v>209.0</v>
      </c>
      <c r="B210" s="3" t="s">
        <v>373</v>
      </c>
      <c r="C210" s="3" t="s">
        <v>334</v>
      </c>
      <c r="D210" s="3" t="s">
        <v>18</v>
      </c>
      <c r="E210" s="2"/>
      <c r="F210" s="3" t="str">
        <f>IFERROR(__xludf.DUMMYFUNCTION("GOOGLETRANSLATE(A210, ""it"", ""en"")"),"209")</f>
        <v>209</v>
      </c>
      <c r="G210" s="3" t="str">
        <f>IFERROR(__xludf.DUMMYFUNCTION("GOOGLETRANSLATE(B210, ""it"", ""en"")"),"What happens if a player fouls an offside opponent?")</f>
        <v>What happens if a player fouls an offside opponent?</v>
      </c>
      <c r="H210" s="3" t="str">
        <f>IFERROR(__xludf.DUMMYFUNCTION("GOOGLETRANSLATE(C210, ""it"", ""en"")"),"A. The game is stopped B. The opposing team earns a free kick C. The player receives a red card D. The game continues")</f>
        <v>A. The game is stopped B. The opposing team earns a free kick C. The player receives a red card D. The game continues</v>
      </c>
      <c r="I210" s="3" t="str">
        <f>IFERROR(__xludf.DUMMYFUNCTION("GOOGLETRANSLATE(D210, ""it"", ""en"")"),"The game is stopped")</f>
        <v>The game is stopped</v>
      </c>
      <c r="J210" s="2"/>
      <c r="K210" s="2"/>
      <c r="L210" s="2"/>
      <c r="M210" s="2"/>
      <c r="N210" s="2"/>
      <c r="O210" s="2"/>
      <c r="P210" s="2"/>
      <c r="Q210" s="2"/>
    </row>
    <row r="211" ht="22.5" customHeight="1">
      <c r="A211" s="3">
        <v>210.0</v>
      </c>
      <c r="B211" s="3" t="s">
        <v>374</v>
      </c>
      <c r="C211" s="3" t="s">
        <v>217</v>
      </c>
      <c r="D211" s="3" t="s">
        <v>18</v>
      </c>
      <c r="E211" s="2"/>
      <c r="F211" s="3" t="str">
        <f>IFERROR(__xludf.DUMMYFUNCTION("GOOGLETRANSLATE(A211, ""it"", ""en"")"),"210")</f>
        <v>210</v>
      </c>
      <c r="G211" s="3" t="str">
        <f>IFERROR(__xludf.DUMMYFUNCTION("GOOGLETRANSLATE(B211, ""it"", ""en"")"),"What happens if a player kicks the ball out of bounds during an attack?")</f>
        <v>What happens if a player kicks the ball out of bounds during an attack?</v>
      </c>
      <c r="H211" s="3" t="str">
        <f>IFERROR(__xludf.DUMMYFUNCTION("GOOGLETRANSLATE(C211, ""it"", ""en"")"),"A. The game is stopped B. The opposing team wins the ball C. The game continues D. The player receives a red card")</f>
        <v>A. The game is stopped B. The opposing team wins the ball C. The game continues D. The player receives a red card</v>
      </c>
      <c r="I211" s="3" t="str">
        <f>IFERROR(__xludf.DUMMYFUNCTION("GOOGLETRANSLATE(D211, ""it"", ""en"")"),"The game is stopped")</f>
        <v>The game is stopped</v>
      </c>
      <c r="J211" s="2"/>
      <c r="K211" s="2"/>
      <c r="L211" s="2"/>
      <c r="M211" s="2"/>
      <c r="N211" s="2"/>
      <c r="O211" s="2"/>
      <c r="P211" s="2"/>
      <c r="Q211" s="2"/>
    </row>
    <row r="212" ht="22.5" customHeight="1">
      <c r="A212" s="3">
        <v>211.0</v>
      </c>
      <c r="B212" s="3" t="s">
        <v>375</v>
      </c>
      <c r="C212" s="3" t="s">
        <v>376</v>
      </c>
      <c r="D212" s="3" t="s">
        <v>12</v>
      </c>
      <c r="E212" s="2"/>
      <c r="F212" s="3" t="str">
        <f>IFERROR(__xludf.DUMMYFUNCTION("GOOGLETRANSLATE(A212, ""it"", ""en"")"),"211")</f>
        <v>211</v>
      </c>
      <c r="G212" s="3" t="str">
        <f>IFERROR(__xludf.DUMMYFUNCTION("GOOGLETRANSLATE(B212, ""it"", ""en"")"),"What happens if a player makes a pass without looking?")</f>
        <v>What happens if a player makes a pass without looking?</v>
      </c>
      <c r="H212" s="3" t="str">
        <f>IFERROR(__xludf.DUMMYFUNCTION("GOOGLETRANSLATE(C212, ""it"", ""en"")"),"A. The game is stopped B. The game continues C. The pass is considered an error D. The opposing team earns a free kick")</f>
        <v>A. The game is stopped B. The game continues C. The pass is considered an error D. The opposing team earns a free kick</v>
      </c>
      <c r="I212" s="3" t="str">
        <f>IFERROR(__xludf.DUMMYFUNCTION("GOOGLETRANSLATE(D212, ""it"", ""en"")"),"The game continues")</f>
        <v>The game continues</v>
      </c>
      <c r="J212" s="2"/>
      <c r="K212" s="2"/>
      <c r="L212" s="2"/>
      <c r="M212" s="2"/>
      <c r="N212" s="2"/>
      <c r="O212" s="2"/>
      <c r="P212" s="2"/>
      <c r="Q212" s="2"/>
    </row>
    <row r="213" ht="22.5" customHeight="1">
      <c r="A213" s="3">
        <v>212.0</v>
      </c>
      <c r="B213" s="3" t="s">
        <v>377</v>
      </c>
      <c r="C213" s="3" t="s">
        <v>378</v>
      </c>
      <c r="D213" s="3" t="s">
        <v>18</v>
      </c>
      <c r="E213" s="2"/>
      <c r="F213" s="3" t="str">
        <f>IFERROR(__xludf.DUMMYFUNCTION("GOOGLETRANSLATE(A213, ""it"", ""en"")"),"212")</f>
        <v>212</v>
      </c>
      <c r="G213" s="3" t="str">
        <f>IFERROR(__xludf.DUMMYFUNCTION("GOOGLETRANSLATE(B213, ""it"", ""en"")"),"What happens if a player loses the ball but doesn't commit a foul?")</f>
        <v>What happens if a player loses the ball but doesn't commit a foul?</v>
      </c>
      <c r="H213" s="3" t="str">
        <f>IFERROR(__xludf.DUMMYFUNCTION("GOOGLETRANSLATE(C213, ""it"", ""en"")"),"A. The game continues B. The game is stopped C. The opposing team wins the ball D. The player receives a red card")</f>
        <v>A. The game continues B. The game is stopped C. The opposing team wins the ball D. The player receives a red card</v>
      </c>
      <c r="I213" s="3" t="str">
        <f>IFERROR(__xludf.DUMMYFUNCTION("GOOGLETRANSLATE(D213, ""it"", ""en"")"),"The game is stopped")</f>
        <v>The game is stopped</v>
      </c>
      <c r="J213" s="2"/>
      <c r="K213" s="2"/>
      <c r="L213" s="2"/>
      <c r="M213" s="2"/>
      <c r="N213" s="2"/>
      <c r="O213" s="2"/>
      <c r="P213" s="2"/>
      <c r="Q213" s="2"/>
    </row>
    <row r="214" ht="22.5" customHeight="1">
      <c r="A214" s="3">
        <v>213.0</v>
      </c>
      <c r="B214" s="3" t="s">
        <v>379</v>
      </c>
      <c r="C214" s="3" t="s">
        <v>334</v>
      </c>
      <c r="D214" s="3" t="s">
        <v>18</v>
      </c>
      <c r="E214" s="2"/>
      <c r="F214" s="3" t="str">
        <f>IFERROR(__xludf.DUMMYFUNCTION("GOOGLETRANSLATE(A214, ""it"", ""en"")"),"213")</f>
        <v>213</v>
      </c>
      <c r="G214" s="3" t="str">
        <f>IFERROR(__xludf.DUMMYFUNCTION("GOOGLETRANSLATE(B214, ""it"", ""en"")"),"If a player fouls an opponent who is trying to score, what happens?")</f>
        <v>If a player fouls an opponent who is trying to score, what happens?</v>
      </c>
      <c r="H214" s="3" t="str">
        <f>IFERROR(__xludf.DUMMYFUNCTION("GOOGLETRANSLATE(C214, ""it"", ""en"")"),"A. The game is stopped B. The opposing team earns a free kick C. The player receives a red card D. The game continues")</f>
        <v>A. The game is stopped B. The opposing team earns a free kick C. The player receives a red card D. The game continues</v>
      </c>
      <c r="I214" s="3" t="str">
        <f>IFERROR(__xludf.DUMMYFUNCTION("GOOGLETRANSLATE(D214, ""it"", ""en"")"),"The game is stopped")</f>
        <v>The game is stopped</v>
      </c>
      <c r="J214" s="2"/>
      <c r="K214" s="2"/>
      <c r="L214" s="2"/>
      <c r="M214" s="2"/>
      <c r="N214" s="2"/>
      <c r="O214" s="2"/>
      <c r="P214" s="2"/>
      <c r="Q214" s="2"/>
    </row>
    <row r="215" ht="22.5" customHeight="1">
      <c r="A215" s="3">
        <v>214.0</v>
      </c>
      <c r="B215" s="3" t="s">
        <v>380</v>
      </c>
      <c r="C215" s="3" t="s">
        <v>381</v>
      </c>
      <c r="D215" s="3" t="s">
        <v>18</v>
      </c>
      <c r="E215" s="2"/>
      <c r="F215" s="3" t="str">
        <f>IFERROR(__xludf.DUMMYFUNCTION("GOOGLETRANSLATE(A215, ""it"", ""en"")"),"214")</f>
        <v>214</v>
      </c>
      <c r="G215" s="3" t="str">
        <f>IFERROR(__xludf.DUMMYFUNCTION("GOOGLETRANSLATE(B215, ""it"", ""en"")"),"What happens if a player shoots at goal but the ball doesn't go in?")</f>
        <v>What happens if a player shoots at goal but the ball doesn't go in?</v>
      </c>
      <c r="H215" s="3" t="str">
        <f>IFERROR(__xludf.DUMMYFUNCTION("GOOGLETRANSLATE(C215, ""it"", ""en"")"),"A. The game continues B. The game is stopped C. The opposing team gains the ball D. The game continues")</f>
        <v>A. The game continues B. The game is stopped C. The opposing team gains the ball D. The game continues</v>
      </c>
      <c r="I215" s="3" t="str">
        <f>IFERROR(__xludf.DUMMYFUNCTION("GOOGLETRANSLATE(D215, ""it"", ""en"")"),"The game is stopped")</f>
        <v>The game is stopped</v>
      </c>
      <c r="J215" s="2"/>
      <c r="K215" s="2"/>
      <c r="L215" s="2"/>
      <c r="M215" s="2"/>
      <c r="N215" s="2"/>
      <c r="O215" s="2"/>
      <c r="P215" s="2"/>
      <c r="Q215" s="2"/>
    </row>
    <row r="216" ht="22.5" customHeight="1">
      <c r="A216" s="3">
        <v>215.0</v>
      </c>
      <c r="B216" s="3" t="s">
        <v>382</v>
      </c>
      <c r="C216" s="3" t="s">
        <v>383</v>
      </c>
      <c r="D216" s="3" t="s">
        <v>18</v>
      </c>
      <c r="E216" s="2"/>
      <c r="F216" s="3" t="str">
        <f>IFERROR(__xludf.DUMMYFUNCTION("GOOGLETRANSLATE(A216, ""it"", ""en"")"),"215")</f>
        <v>215</v>
      </c>
      <c r="G216" s="3" t="str">
        <f>IFERROR(__xludf.DUMMYFUNCTION("GOOGLETRANSLATE(B216, ""it"", ""en"")"),"What happens if a player is sent off for violent behavior?")</f>
        <v>What happens if a player is sent off for violent behavior?</v>
      </c>
      <c r="H216" s="3" t="str">
        <f>IFERROR(__xludf.DUMMYFUNCTION("GOOGLETRANSLATE(C216, ""it"", ""en"")"),"A. The team is playing with one player less B. The game is stopped C. The player receives a yellow card D. The opposing team earns a free kick")</f>
        <v>A. The team is playing with one player less B. The game is stopped C. The player receives a yellow card D. The opposing team earns a free kick</v>
      </c>
      <c r="I216" s="3" t="str">
        <f>IFERROR(__xludf.DUMMYFUNCTION("GOOGLETRANSLATE(D216, ""it"", ""en"")"),"The game is stopped")</f>
        <v>The game is stopped</v>
      </c>
      <c r="J216" s="2"/>
      <c r="K216" s="2"/>
      <c r="L216" s="2"/>
      <c r="M216" s="2"/>
      <c r="N216" s="2"/>
      <c r="O216" s="2"/>
      <c r="P216" s="2"/>
      <c r="Q216" s="2"/>
    </row>
    <row r="217" ht="22.5" customHeight="1">
      <c r="A217" s="3">
        <v>216.0</v>
      </c>
      <c r="B217" s="3" t="s">
        <v>384</v>
      </c>
      <c r="C217" s="3" t="s">
        <v>249</v>
      </c>
      <c r="D217" s="3" t="s">
        <v>18</v>
      </c>
      <c r="E217" s="2"/>
      <c r="F217" s="3" t="str">
        <f>IFERROR(__xludf.DUMMYFUNCTION("GOOGLETRANSLATE(A217, ""it"", ""en"")"),"216")</f>
        <v>216</v>
      </c>
      <c r="G217" s="3" t="str">
        <f>IFERROR(__xludf.DUMMYFUNCTION("GOOGLETRANSLATE(B217, ""it"", ""en"")"),"What happens if a player fouls for blocking a pass?")</f>
        <v>What happens if a player fouls for blocking a pass?</v>
      </c>
      <c r="H217" s="3" t="str">
        <f>IFERROR(__xludf.DUMMYFUNCTION("GOOGLETRANSLATE(C217, ""it"", ""en"")"),"A. The game is stopped B. The opposing team earns a free kick C. The game continues D. The player receives a red card")</f>
        <v>A. The game is stopped B. The opposing team earns a free kick C. The game continues D. The player receives a red card</v>
      </c>
      <c r="I217" s="3" t="str">
        <f>IFERROR(__xludf.DUMMYFUNCTION("GOOGLETRANSLATE(D217, ""it"", ""en"")"),"The game is stopped")</f>
        <v>The game is stopped</v>
      </c>
      <c r="J217" s="2"/>
      <c r="K217" s="2"/>
      <c r="L217" s="2"/>
      <c r="M217" s="2"/>
      <c r="N217" s="2"/>
      <c r="O217" s="2"/>
      <c r="P217" s="2"/>
      <c r="Q217" s="2"/>
    </row>
    <row r="218" ht="22.5" customHeight="1">
      <c r="A218" s="3">
        <v>217.0</v>
      </c>
      <c r="B218" s="3" t="s">
        <v>385</v>
      </c>
      <c r="C218" s="3" t="s">
        <v>193</v>
      </c>
      <c r="D218" s="3" t="s">
        <v>18</v>
      </c>
      <c r="E218" s="2"/>
      <c r="F218" s="3" t="str">
        <f>IFERROR(__xludf.DUMMYFUNCTION("GOOGLETRANSLATE(A218, ""it"", ""en"")"),"217")</f>
        <v>217</v>
      </c>
      <c r="G218" s="3" t="str">
        <f>IFERROR(__xludf.DUMMYFUNCTION("GOOGLETRANSLATE(B218, ""it"", ""en"")"),"What happens if a player touches the ball with his hand during a defensive play?")</f>
        <v>What happens if a player touches the ball with his hand during a defensive play?</v>
      </c>
      <c r="H218" s="3" t="str">
        <f>IFERROR(__xludf.DUMMYFUNCTION("GOOGLETRANSLATE(C218, ""it"", ""en"")"),"A. The game is stopped B. The player receives a yellow card C. The opposing team earns a free kick D. The game continues")</f>
        <v>A. The game is stopped B. The player receives a yellow card C. The opposing team earns a free kick D. The game continues</v>
      </c>
      <c r="I218" s="3" t="str">
        <f>IFERROR(__xludf.DUMMYFUNCTION("GOOGLETRANSLATE(D218, ""it"", ""en"")"),"The game is stopped")</f>
        <v>The game is stopped</v>
      </c>
      <c r="J218" s="2"/>
      <c r="K218" s="2"/>
      <c r="L218" s="2"/>
      <c r="M218" s="2"/>
      <c r="N218" s="2"/>
      <c r="O218" s="2"/>
      <c r="P218" s="2"/>
      <c r="Q218" s="2"/>
    </row>
    <row r="219" ht="22.5" customHeight="1">
      <c r="A219" s="3">
        <v>218.0</v>
      </c>
      <c r="B219" s="3" t="s">
        <v>386</v>
      </c>
      <c r="C219" s="3" t="s">
        <v>387</v>
      </c>
      <c r="D219" s="3" t="s">
        <v>18</v>
      </c>
      <c r="E219" s="2"/>
      <c r="F219" s="3" t="str">
        <f>IFERROR(__xludf.DUMMYFUNCTION("GOOGLETRANSLATE(A219, ""it"", ""en"")"),"218")</f>
        <v>218</v>
      </c>
      <c r="G219" s="3" t="str">
        <f>IFERROR(__xludf.DUMMYFUNCTION("GOOGLETRANSLATE(B219, ""it"", ""en"")"),"What happens if a player kicks the ball out of play during a defensive phase?")</f>
        <v>What happens if a player kicks the ball out of play during a defensive phase?</v>
      </c>
      <c r="H219" s="3" t="str">
        <f>IFERROR(__xludf.DUMMYFUNCTION("GOOGLETRANSLATE(C219, ""it"", ""en"")"),"A. The game continues B. The opposing team earns a free kick C. The game is stopped D. The opposing team wins the ball")</f>
        <v>A. The game continues B. The opposing team earns a free kick C. The game is stopped D. The opposing team wins the ball</v>
      </c>
      <c r="I219" s="3" t="str">
        <f>IFERROR(__xludf.DUMMYFUNCTION("GOOGLETRANSLATE(D219, ""it"", ""en"")"),"The game is stopped")</f>
        <v>The game is stopped</v>
      </c>
      <c r="J219" s="2"/>
      <c r="K219" s="2"/>
      <c r="L219" s="2"/>
      <c r="M219" s="2"/>
      <c r="N219" s="2"/>
      <c r="O219" s="2"/>
      <c r="P219" s="2"/>
      <c r="Q219" s="2"/>
    </row>
    <row r="220" ht="22.5" customHeight="1">
      <c r="A220" s="3">
        <v>219.0</v>
      </c>
      <c r="B220" s="3" t="s">
        <v>388</v>
      </c>
      <c r="C220" s="3" t="s">
        <v>240</v>
      </c>
      <c r="D220" s="3" t="s">
        <v>18</v>
      </c>
      <c r="E220" s="2"/>
      <c r="F220" s="3" t="str">
        <f>IFERROR(__xludf.DUMMYFUNCTION("GOOGLETRANSLATE(A220, ""it"", ""en"")"),"219")</f>
        <v>219</v>
      </c>
      <c r="G220" s="3" t="str">
        <f>IFERROR(__xludf.DUMMYFUNCTION("GOOGLETRANSLATE(B220, ""it"", ""en"")"),"What happens if a player commits a foul while attempting to score a goal?")</f>
        <v>What happens if a player commits a foul while attempting to score a goal?</v>
      </c>
      <c r="H220" s="3" t="str">
        <f>IFERROR(__xludf.DUMMYFUNCTION("GOOGLETRANSLATE(C220, ""it"", ""en"")"),"A. The game is stopped B. The opposing team earns a penalty kick C. The player receives a red card D. The game continues")</f>
        <v>A. The game is stopped B. The opposing team earns a penalty kick C. The player receives a red card D. The game continues</v>
      </c>
      <c r="I220" s="3" t="str">
        <f>IFERROR(__xludf.DUMMYFUNCTION("GOOGLETRANSLATE(D220, ""it"", ""en"")"),"The game is stopped")</f>
        <v>The game is stopped</v>
      </c>
      <c r="J220" s="2"/>
      <c r="K220" s="2"/>
      <c r="L220" s="2"/>
      <c r="M220" s="2"/>
      <c r="N220" s="2"/>
      <c r="O220" s="2"/>
      <c r="P220" s="2"/>
      <c r="Q220" s="2"/>
    </row>
    <row r="221" ht="22.5" customHeight="1">
      <c r="A221" s="3">
        <v>220.0</v>
      </c>
      <c r="B221" s="3" t="s">
        <v>389</v>
      </c>
      <c r="C221" s="3" t="s">
        <v>292</v>
      </c>
      <c r="D221" s="3" t="s">
        <v>12</v>
      </c>
      <c r="E221" s="2"/>
      <c r="F221" s="3" t="str">
        <f>IFERROR(__xludf.DUMMYFUNCTION("GOOGLETRANSLATE(A221, ""it"", ""en"")"),"220")</f>
        <v>220</v>
      </c>
      <c r="G221" s="3" t="str">
        <f>IFERROR(__xludf.DUMMYFUNCTION("GOOGLETRANSLATE(B221, ""it"", ""en"")"),"What happens if a player slips and injures another player without meaning to?")</f>
        <v>What happens if a player slips and injures another player without meaning to?</v>
      </c>
      <c r="H221" s="3" t="str">
        <f>IFERROR(__xludf.DUMMYFUNCTION("GOOGLETRANSLATE(C221, ""it"", ""en"")"),"A. The game is stopped B. The game continues C. The player receives a yellow card D. The game is stopped")</f>
        <v>A. The game is stopped B. The game continues C. The player receives a yellow card D. The game is stopped</v>
      </c>
      <c r="I221" s="3" t="str">
        <f>IFERROR(__xludf.DUMMYFUNCTION("GOOGLETRANSLATE(D221, ""it"", ""en"")"),"The game continues")</f>
        <v>The game continues</v>
      </c>
      <c r="J221" s="2"/>
      <c r="K221" s="2"/>
      <c r="L221" s="2"/>
      <c r="M221" s="2"/>
      <c r="N221" s="2"/>
      <c r="O221" s="2"/>
      <c r="P221" s="2"/>
      <c r="Q221" s="2"/>
    </row>
    <row r="222" ht="22.5" customHeight="1">
      <c r="A222" s="3">
        <v>221.0</v>
      </c>
      <c r="B222" s="3" t="s">
        <v>390</v>
      </c>
      <c r="C222" s="3" t="s">
        <v>103</v>
      </c>
      <c r="D222" s="3" t="s">
        <v>12</v>
      </c>
      <c r="E222" s="2"/>
      <c r="F222" s="3" t="str">
        <f>IFERROR(__xludf.DUMMYFUNCTION("GOOGLETRANSLATE(A222, ""it"", ""en"")"),"221")</f>
        <v>221</v>
      </c>
      <c r="G222" s="3" t="str">
        <f>IFERROR(__xludf.DUMMYFUNCTION("GOOGLETRANSLATE(B222, ""it"", ""en"")"),"What happens if a player commits a foul and the referee doesn't penalize him?")</f>
        <v>What happens if a player commits a foul and the referee doesn't penalize him?</v>
      </c>
      <c r="H222" s="3" t="str">
        <f>IFERROR(__xludf.DUMMYFUNCTION("GOOGLETRANSLATE(C222, ""it"", ""en"")"),"A. The game continues B. The opposing team earns a free kick C. The game is stopped D. The player receives a red card")</f>
        <v>A. The game continues B. The opposing team earns a free kick C. The game is stopped D. The player receives a red card</v>
      </c>
      <c r="I222" s="3" t="str">
        <f>IFERROR(__xludf.DUMMYFUNCTION("GOOGLETRANSLATE(D222, ""it"", ""en"")"),"The game continues")</f>
        <v>The game continues</v>
      </c>
      <c r="J222" s="2"/>
      <c r="K222" s="2"/>
      <c r="L222" s="2"/>
      <c r="M222" s="2"/>
      <c r="N222" s="2"/>
      <c r="O222" s="2"/>
      <c r="P222" s="2"/>
      <c r="Q222" s="2"/>
    </row>
    <row r="223" ht="22.5" customHeight="1">
      <c r="A223" s="3">
        <v>222.0</v>
      </c>
      <c r="B223" s="3" t="s">
        <v>391</v>
      </c>
      <c r="C223" s="3" t="s">
        <v>37</v>
      </c>
      <c r="D223" s="3" t="s">
        <v>18</v>
      </c>
      <c r="E223" s="2"/>
      <c r="F223" s="3" t="str">
        <f>IFERROR(__xludf.DUMMYFUNCTION("GOOGLETRANSLATE(A223, ""it"", ""en"")"),"222")</f>
        <v>222</v>
      </c>
      <c r="G223" s="3" t="str">
        <f>IFERROR(__xludf.DUMMYFUNCTION("GOOGLETRANSLATE(B223, ""it"", ""en"")"),"If a player commits a foul in a defensive phase but the referee doesn't see it, what happens?")</f>
        <v>If a player commits a foul in a defensive phase but the referee doesn't see it, what happens?</v>
      </c>
      <c r="H223" s="3" t="str">
        <f>IFERROR(__xludf.DUMMYFUNCTION("GOOGLETRANSLATE(C223, ""it"", ""en"")"),"A. The game continues B. The player receives a red card C. The game is stopped D. The opposing team earns a free kick")</f>
        <v>A. The game continues B. The player receives a red card C. The game is stopped D. The opposing team earns a free kick</v>
      </c>
      <c r="I223" s="3" t="str">
        <f>IFERROR(__xludf.DUMMYFUNCTION("GOOGLETRANSLATE(D223, ""it"", ""en"")"),"The game is stopped")</f>
        <v>The game is stopped</v>
      </c>
      <c r="J223" s="2"/>
      <c r="K223" s="2"/>
      <c r="L223" s="2"/>
      <c r="M223" s="2"/>
      <c r="N223" s="2"/>
      <c r="O223" s="2"/>
      <c r="P223" s="2"/>
      <c r="Q223" s="2"/>
    </row>
    <row r="224" ht="22.5" customHeight="1">
      <c r="A224" s="3">
        <v>223.0</v>
      </c>
      <c r="B224" s="3" t="s">
        <v>392</v>
      </c>
      <c r="C224" s="3" t="s">
        <v>393</v>
      </c>
      <c r="D224" s="3" t="s">
        <v>18</v>
      </c>
      <c r="E224" s="2"/>
      <c r="F224" s="3" t="str">
        <f>IFERROR(__xludf.DUMMYFUNCTION("GOOGLETRANSLATE(A224, ""it"", ""en"")"),"223")</f>
        <v>223</v>
      </c>
      <c r="G224" s="3" t="str">
        <f>IFERROR(__xludf.DUMMYFUNCTION("GOOGLETRANSLATE(B224, ""it"", ""en"")"),"If a player makes a bad pass and the opponent intercepts the ball, what happens?")</f>
        <v>If a player makes a bad pass and the opponent intercepts the ball, what happens?</v>
      </c>
      <c r="H224" s="3" t="str">
        <f>IFERROR(__xludf.DUMMYFUNCTION("GOOGLETRANSLATE(C224, ""it"", ""en"")"),"A. The game continues B. The opposing team wins the ball C. The game is stopped D. The player receives a yellow card")</f>
        <v>A. The game continues B. The opposing team wins the ball C. The game is stopped D. The player receives a yellow card</v>
      </c>
      <c r="I224" s="3" t="str">
        <f>IFERROR(__xludf.DUMMYFUNCTION("GOOGLETRANSLATE(D224, ""it"", ""en"")"),"The game is stopped")</f>
        <v>The game is stopped</v>
      </c>
      <c r="J224" s="2"/>
      <c r="K224" s="2"/>
      <c r="L224" s="2"/>
      <c r="M224" s="2"/>
      <c r="N224" s="2"/>
      <c r="O224" s="2"/>
      <c r="P224" s="2"/>
      <c r="Q224" s="2"/>
    </row>
    <row r="225" ht="22.5" customHeight="1">
      <c r="A225" s="3">
        <v>224.0</v>
      </c>
      <c r="B225" s="3" t="s">
        <v>394</v>
      </c>
      <c r="C225" s="3" t="s">
        <v>395</v>
      </c>
      <c r="D225" s="3" t="s">
        <v>18</v>
      </c>
      <c r="E225" s="2"/>
      <c r="F225" s="3" t="str">
        <f>IFERROR(__xludf.DUMMYFUNCTION("GOOGLETRANSLATE(A225, ""it"", ""en"")"),"224")</f>
        <v>224</v>
      </c>
      <c r="G225" s="3" t="str">
        <f>IFERROR(__xludf.DUMMYFUNCTION("GOOGLETRANSLATE(B225, ""it"", ""en"")"),"What happens if a player receives a red card for violent behavior?")</f>
        <v>What happens if a player receives a red card for violent behavior?</v>
      </c>
      <c r="H225" s="3" t="str">
        <f>IFERROR(__xludf.DUMMYFUNCTION("GOOGLETRANSLATE(C225, ""it"", ""en"")"),"A. The game is stopped B. The team is playing with one less player C. The game continues D. The player can no longer participate in the game")</f>
        <v>A. The game is stopped B. The team is playing with one less player C. The game continues D. The player can no longer participate in the game</v>
      </c>
      <c r="I225" s="3" t="str">
        <f>IFERROR(__xludf.DUMMYFUNCTION("GOOGLETRANSLATE(D225, ""it"", ""en"")"),"The game is stopped")</f>
        <v>The game is stopped</v>
      </c>
      <c r="J225" s="2"/>
      <c r="K225" s="2"/>
      <c r="L225" s="2"/>
      <c r="M225" s="2"/>
      <c r="N225" s="2"/>
      <c r="O225" s="2"/>
      <c r="P225" s="2"/>
      <c r="Q225" s="2"/>
    </row>
    <row r="226" ht="22.5" customHeight="1">
      <c r="A226" s="3">
        <v>225.0</v>
      </c>
      <c r="B226" s="3" t="s">
        <v>396</v>
      </c>
      <c r="C226" s="3" t="s">
        <v>207</v>
      </c>
      <c r="D226" s="3" t="s">
        <v>18</v>
      </c>
      <c r="E226" s="2"/>
      <c r="F226" s="3" t="str">
        <f>IFERROR(__xludf.DUMMYFUNCTION("GOOGLETRANSLATE(A226, ""it"", ""en"")"),"225")</f>
        <v>225</v>
      </c>
      <c r="G226" s="3" t="str">
        <f>IFERROR(__xludf.DUMMYFUNCTION("GOOGLETRANSLATE(B226, ""it"", ""en"")"),"If a player kicks an opponent in the face during a defensive play, what happens?")</f>
        <v>If a player kicks an opponent in the face during a defensive play, what happens?</v>
      </c>
      <c r="H226" s="3" t="str">
        <f>IFERROR(__xludf.DUMMYFUNCTION("GOOGLETRANSLATE(C226, ""it"", ""en"")"),"A. The game is stopped B. The player receives a red card C. The game continues D. The opposing team earns a free kick")</f>
        <v>A. The game is stopped B. The player receives a red card C. The game continues D. The opposing team earns a free kick</v>
      </c>
      <c r="I226" s="3" t="str">
        <f>IFERROR(__xludf.DUMMYFUNCTION("GOOGLETRANSLATE(D226, ""it"", ""en"")"),"The game is stopped")</f>
        <v>The game is stopped</v>
      </c>
      <c r="J226" s="2"/>
      <c r="K226" s="2"/>
      <c r="L226" s="2"/>
      <c r="M226" s="2"/>
      <c r="N226" s="2"/>
      <c r="O226" s="2"/>
      <c r="P226" s="2"/>
      <c r="Q226" s="2"/>
    </row>
    <row r="227" ht="22.5" customHeight="1">
      <c r="A227" s="3">
        <v>226.0</v>
      </c>
      <c r="B227" s="3" t="s">
        <v>397</v>
      </c>
      <c r="C227" s="3" t="s">
        <v>122</v>
      </c>
      <c r="D227" s="3" t="s">
        <v>12</v>
      </c>
      <c r="E227" s="2"/>
      <c r="F227" s="3" t="str">
        <f>IFERROR(__xludf.DUMMYFUNCTION("GOOGLETRANSLATE(A227, ""it"", ""en"")"),"226")</f>
        <v>226</v>
      </c>
      <c r="G227" s="3" t="str">
        <f>IFERROR(__xludf.DUMMYFUNCTION("GOOGLETRANSLATE(B227, ""it"", ""en"")"),"If a player makes a pass that's too short and the opponent intercepts the ball, what happens?")</f>
        <v>If a player makes a pass that's too short and the opponent intercepts the ball, what happens?</v>
      </c>
      <c r="H227" s="3" t="str">
        <f>IFERROR(__xludf.DUMMYFUNCTION("GOOGLETRANSLATE(C227, ""it"", ""en"")"),"A. The game continues B. The opposing team wins the ball C. The game is stopped D. The player receives a red card")</f>
        <v>A. The game continues B. The opposing team wins the ball C. The game is stopped D. The player receives a red card</v>
      </c>
      <c r="I227" s="3" t="str">
        <f>IFERROR(__xludf.DUMMYFUNCTION("GOOGLETRANSLATE(D227, ""it"", ""en"")"),"The game continues")</f>
        <v>The game continues</v>
      </c>
      <c r="J227" s="2"/>
      <c r="K227" s="2"/>
      <c r="L227" s="2"/>
      <c r="M227" s="2"/>
      <c r="N227" s="2"/>
      <c r="O227" s="2"/>
      <c r="P227" s="2"/>
      <c r="Q227" s="2"/>
    </row>
    <row r="228" ht="22.5" customHeight="1">
      <c r="A228" s="3">
        <v>227.0</v>
      </c>
      <c r="B228" s="3" t="s">
        <v>398</v>
      </c>
      <c r="C228" s="3" t="s">
        <v>334</v>
      </c>
      <c r="D228" s="3" t="s">
        <v>18</v>
      </c>
      <c r="E228" s="2"/>
      <c r="F228" s="3" t="str">
        <f>IFERROR(__xludf.DUMMYFUNCTION("GOOGLETRANSLATE(A228, ""it"", ""en"")"),"227")</f>
        <v>227</v>
      </c>
      <c r="G228" s="3" t="str">
        <f>IFERROR(__xludf.DUMMYFUNCTION("GOOGLETRANSLATE(B228, ""it"", ""en"")"),"What happens if a player commits a foul to stop an opponent's counterattack?")</f>
        <v>What happens if a player commits a foul to stop an opponent's counterattack?</v>
      </c>
      <c r="H228" s="3" t="str">
        <f>IFERROR(__xludf.DUMMYFUNCTION("GOOGLETRANSLATE(C228, ""it"", ""en"")"),"A. The game is stopped B. The opposing team earns a free kick C. The player receives a red card D. The game continues")</f>
        <v>A. The game is stopped B. The opposing team earns a free kick C. The player receives a red card D. The game continues</v>
      </c>
      <c r="I228" s="3" t="str">
        <f>IFERROR(__xludf.DUMMYFUNCTION("GOOGLETRANSLATE(D228, ""it"", ""en"")"),"The game is stopped")</f>
        <v>The game is stopped</v>
      </c>
      <c r="J228" s="2"/>
      <c r="K228" s="2"/>
      <c r="L228" s="2"/>
      <c r="M228" s="2"/>
      <c r="N228" s="2"/>
      <c r="O228" s="2"/>
      <c r="P228" s="2"/>
      <c r="Q228" s="2"/>
    </row>
    <row r="229" ht="22.5" customHeight="1">
      <c r="A229" s="3">
        <v>228.0</v>
      </c>
      <c r="B229" s="3" t="s">
        <v>399</v>
      </c>
      <c r="C229" s="3" t="s">
        <v>400</v>
      </c>
      <c r="D229" s="3" t="s">
        <v>12</v>
      </c>
      <c r="E229" s="2"/>
      <c r="F229" s="3" t="str">
        <f>IFERROR(__xludf.DUMMYFUNCTION("GOOGLETRANSLATE(A229, ""it"", ""en"")"),"228")</f>
        <v>228</v>
      </c>
      <c r="G229" s="3" t="str">
        <f>IFERROR(__xludf.DUMMYFUNCTION("GOOGLETRANSLATE(B229, ""it"", ""en"")"),"What happens if one player makes a perfect pass but the other player can't control it?")</f>
        <v>What happens if one player makes a perfect pass but the other player can't control it?</v>
      </c>
      <c r="H229" s="3" t="str">
        <f>IFERROR(__xludf.DUMMYFUNCTION("GOOGLETRANSLATE(C229, ""it"", ""en"")"),"A. The game continues B. The game is stopped C. The opposing team wins the ball D. The player receives a red card")</f>
        <v>A. The game continues B. The game is stopped C. The opposing team wins the ball D. The player receives a red card</v>
      </c>
      <c r="I229" s="3" t="str">
        <f>IFERROR(__xludf.DUMMYFUNCTION("GOOGLETRANSLATE(D229, ""it"", ""en"")"),"The game continues")</f>
        <v>The game continues</v>
      </c>
      <c r="J229" s="2"/>
      <c r="K229" s="2"/>
      <c r="L229" s="2"/>
      <c r="M229" s="2"/>
      <c r="N229" s="2"/>
      <c r="O229" s="2"/>
      <c r="P229" s="2"/>
      <c r="Q229" s="2"/>
    </row>
    <row r="230" ht="22.5" customHeight="1">
      <c r="A230" s="3">
        <v>229.0</v>
      </c>
      <c r="B230" s="3" t="s">
        <v>401</v>
      </c>
      <c r="C230" s="3" t="s">
        <v>381</v>
      </c>
      <c r="D230" s="3" t="s">
        <v>18</v>
      </c>
      <c r="E230" s="2"/>
      <c r="F230" s="3" t="str">
        <f>IFERROR(__xludf.DUMMYFUNCTION("GOOGLETRANSLATE(A230, ""it"", ""en"")"),"229")</f>
        <v>229</v>
      </c>
      <c r="G230" s="3" t="str">
        <f>IFERROR(__xludf.DUMMYFUNCTION("GOOGLETRANSLATE(B230, ""it"", ""en"")"),"What happens if a player shoots at goal but hits the post?")</f>
        <v>What happens if a player shoots at goal but hits the post?</v>
      </c>
      <c r="H230" s="3" t="str">
        <f>IFERROR(__xludf.DUMMYFUNCTION("GOOGLETRANSLATE(C230, ""it"", ""en"")"),"A. The game continues B. The game is stopped C. The opposing team gains the ball D. The game continues")</f>
        <v>A. The game continues B. The game is stopped C. The opposing team gains the ball D. The game continues</v>
      </c>
      <c r="I230" s="3" t="str">
        <f>IFERROR(__xludf.DUMMYFUNCTION("GOOGLETRANSLATE(D230, ""it"", ""en"")"),"The game is stopped")</f>
        <v>The game is stopped</v>
      </c>
      <c r="J230" s="2"/>
      <c r="K230" s="2"/>
      <c r="L230" s="2"/>
      <c r="M230" s="2"/>
      <c r="N230" s="2"/>
      <c r="O230" s="2"/>
      <c r="P230" s="2"/>
      <c r="Q230" s="2"/>
    </row>
    <row r="231" ht="22.5" customHeight="1">
      <c r="A231" s="3">
        <v>230.0</v>
      </c>
      <c r="B231" s="3" t="s">
        <v>402</v>
      </c>
      <c r="C231" s="3" t="s">
        <v>240</v>
      </c>
      <c r="D231" s="3" t="s">
        <v>18</v>
      </c>
      <c r="E231" s="2"/>
      <c r="F231" s="3" t="str">
        <f>IFERROR(__xludf.DUMMYFUNCTION("GOOGLETRANSLATE(A231, ""it"", ""en"")"),"230")</f>
        <v>230</v>
      </c>
      <c r="G231" s="3" t="str">
        <f>IFERROR(__xludf.DUMMYFUNCTION("GOOGLETRANSLATE(B231, ""it"", ""en"")"),"What happens if a player fouls an opponent in the penalty area?")</f>
        <v>What happens if a player fouls an opponent in the penalty area?</v>
      </c>
      <c r="H231" s="3" t="str">
        <f>IFERROR(__xludf.DUMMYFUNCTION("GOOGLETRANSLATE(C231, ""it"", ""en"")"),"A. The game is stopped B. The opposing team earns a penalty kick C. The player receives a red card D. The game continues")</f>
        <v>A. The game is stopped B. The opposing team earns a penalty kick C. The player receives a red card D. The game continues</v>
      </c>
      <c r="I231" s="3" t="str">
        <f>IFERROR(__xludf.DUMMYFUNCTION("GOOGLETRANSLATE(D231, ""it"", ""en"")"),"The game is stopped")</f>
        <v>The game is stopped</v>
      </c>
      <c r="J231" s="2"/>
      <c r="K231" s="2"/>
      <c r="L231" s="2"/>
      <c r="M231" s="2"/>
      <c r="N231" s="2"/>
      <c r="O231" s="2"/>
      <c r="P231" s="2"/>
      <c r="Q231" s="2"/>
    </row>
    <row r="232" ht="22.5" customHeight="1">
      <c r="A232" s="3">
        <v>231.0</v>
      </c>
      <c r="B232" s="3" t="s">
        <v>403</v>
      </c>
      <c r="C232" s="3" t="s">
        <v>207</v>
      </c>
      <c r="D232" s="3" t="s">
        <v>18</v>
      </c>
      <c r="E232" s="2"/>
      <c r="F232" s="3" t="str">
        <f>IFERROR(__xludf.DUMMYFUNCTION("GOOGLETRANSLATE(A232, ""it"", ""en"")"),"231")</f>
        <v>231</v>
      </c>
      <c r="G232" s="3" t="str">
        <f>IFERROR(__xludf.DUMMYFUNCTION("GOOGLETRANSLATE(B232, ""it"", ""en"")"),"What happens if a player fouls an opponent who is running towards the goal?")</f>
        <v>What happens if a player fouls an opponent who is running towards the goal?</v>
      </c>
      <c r="H232" s="3" t="str">
        <f>IFERROR(__xludf.DUMMYFUNCTION("GOOGLETRANSLATE(C232, ""it"", ""en"")"),"A. The game is stopped B. The player receives a red card C. The game continues D. The opposing team earns a free kick")</f>
        <v>A. The game is stopped B. The player receives a red card C. The game continues D. The opposing team earns a free kick</v>
      </c>
      <c r="I232" s="3" t="str">
        <f>IFERROR(__xludf.DUMMYFUNCTION("GOOGLETRANSLATE(D232, ""it"", ""en"")"),"The game is stopped")</f>
        <v>The game is stopped</v>
      </c>
      <c r="J232" s="2"/>
      <c r="K232" s="2"/>
      <c r="L232" s="2"/>
      <c r="M232" s="2"/>
      <c r="N232" s="2"/>
      <c r="O232" s="2"/>
      <c r="P232" s="2"/>
      <c r="Q232" s="2"/>
    </row>
    <row r="233" ht="22.5" customHeight="1">
      <c r="A233" s="3">
        <v>232.0</v>
      </c>
      <c r="B233" s="3" t="s">
        <v>404</v>
      </c>
      <c r="C233" s="3" t="s">
        <v>405</v>
      </c>
      <c r="D233" s="3" t="s">
        <v>12</v>
      </c>
      <c r="E233" s="2"/>
      <c r="F233" s="3" t="str">
        <f>IFERROR(__xludf.DUMMYFUNCTION("GOOGLETRANSLATE(A233, ""it"", ""en"")"),"232")</f>
        <v>232</v>
      </c>
      <c r="G233" s="3" t="str">
        <f>IFERROR(__xludf.DUMMYFUNCTION("GOOGLETRANSLATE(B233, ""it"", ""en"")"),"What happens if a player makes a pass and the ball doesn't reach its destination?")</f>
        <v>What happens if a player makes a pass and the ball doesn't reach its destination?</v>
      </c>
      <c r="H233" s="3" t="str">
        <f>IFERROR(__xludf.DUMMYFUNCTION("GOOGLETRANSLATE(C233, ""it"", ""en"")"),"A. The game continues B. The game is stopped C. The opposing team wins the ball D. The game is stopped")</f>
        <v>A. The game continues B. The game is stopped C. The opposing team wins the ball D. The game is stopped</v>
      </c>
      <c r="I233" s="3" t="str">
        <f>IFERROR(__xludf.DUMMYFUNCTION("GOOGLETRANSLATE(D233, ""it"", ""en"")"),"The game continues")</f>
        <v>The game continues</v>
      </c>
      <c r="J233" s="2"/>
      <c r="K233" s="2"/>
      <c r="L233" s="2"/>
      <c r="M233" s="2"/>
      <c r="N233" s="2"/>
      <c r="O233" s="2"/>
      <c r="P233" s="2"/>
      <c r="Q233" s="2"/>
    </row>
    <row r="234" ht="22.5" customHeight="1">
      <c r="A234" s="3">
        <v>233.0</v>
      </c>
      <c r="B234" s="3" t="s">
        <v>406</v>
      </c>
      <c r="C234" s="3" t="s">
        <v>407</v>
      </c>
      <c r="D234" s="3" t="s">
        <v>12</v>
      </c>
      <c r="E234" s="2"/>
      <c r="F234" s="3" t="str">
        <f>IFERROR(__xludf.DUMMYFUNCTION("GOOGLETRANSLATE(A234, ""it"", ""en"")"),"233")</f>
        <v>233</v>
      </c>
      <c r="G234" s="3" t="str">
        <f>IFERROR(__xludf.DUMMYFUNCTION("GOOGLETRANSLATE(B234, ""it"", ""en"")"),"What happens if a player kicks the ball out of bounds during a defensive play?")</f>
        <v>What happens if a player kicks the ball out of bounds during a defensive play?</v>
      </c>
      <c r="H234" s="3" t="str">
        <f>IFERROR(__xludf.DUMMYFUNCTION("GOOGLETRANSLATE(C234, ""it"", ""en"")"),"A. The opposing team wins the ball B. The game continues C. The game is stopped D. The game is stopped")</f>
        <v>A. The opposing team wins the ball B. The game continues C. The game is stopped D. The game is stopped</v>
      </c>
      <c r="I234" s="3" t="str">
        <f>IFERROR(__xludf.DUMMYFUNCTION("GOOGLETRANSLATE(D234, ""it"", ""en"")"),"The game continues")</f>
        <v>The game continues</v>
      </c>
      <c r="J234" s="2"/>
      <c r="K234" s="2"/>
      <c r="L234" s="2"/>
      <c r="M234" s="2"/>
      <c r="N234" s="2"/>
      <c r="O234" s="2"/>
      <c r="P234" s="2"/>
      <c r="Q234" s="2"/>
    </row>
    <row r="235" ht="22.5" customHeight="1">
      <c r="A235" s="3">
        <v>234.0</v>
      </c>
      <c r="B235" s="3" t="s">
        <v>408</v>
      </c>
      <c r="C235" s="3" t="s">
        <v>334</v>
      </c>
      <c r="D235" s="3" t="s">
        <v>18</v>
      </c>
      <c r="E235" s="2"/>
      <c r="F235" s="3" t="str">
        <f>IFERROR(__xludf.DUMMYFUNCTION("GOOGLETRANSLATE(A235, ""it"", ""en"")"),"234")</f>
        <v>234</v>
      </c>
      <c r="G235" s="3" t="str">
        <f>IFERROR(__xludf.DUMMYFUNCTION("GOOGLETRANSLATE(B235, ""it"", ""en"")"),"If a player commits a foul to stop a potential scoring attack, what happens?")</f>
        <v>If a player commits a foul to stop a potential scoring attack, what happens?</v>
      </c>
      <c r="H235" s="3" t="str">
        <f>IFERROR(__xludf.DUMMYFUNCTION("GOOGLETRANSLATE(C235, ""it"", ""en"")"),"A. The game is stopped B. The opposing team earns a free kick C. The player receives a red card D. The game continues")</f>
        <v>A. The game is stopped B. The opposing team earns a free kick C. The player receives a red card D. The game continues</v>
      </c>
      <c r="I235" s="3" t="str">
        <f>IFERROR(__xludf.DUMMYFUNCTION("GOOGLETRANSLATE(D235, ""it"", ""en"")"),"The game is stopped")</f>
        <v>The game is stopped</v>
      </c>
      <c r="J235" s="2"/>
      <c r="K235" s="2"/>
      <c r="L235" s="2"/>
      <c r="M235" s="2"/>
      <c r="N235" s="2"/>
      <c r="O235" s="2"/>
      <c r="P235" s="2"/>
      <c r="Q235" s="2"/>
    </row>
    <row r="236" ht="22.5" customHeight="1">
      <c r="A236" s="3">
        <v>235.0</v>
      </c>
      <c r="B236" s="3" t="s">
        <v>390</v>
      </c>
      <c r="C236" s="3" t="s">
        <v>283</v>
      </c>
      <c r="D236" s="3" t="s">
        <v>18</v>
      </c>
      <c r="E236" s="2"/>
      <c r="F236" s="3" t="str">
        <f>IFERROR(__xludf.DUMMYFUNCTION("GOOGLETRANSLATE(A236, ""it"", ""en"")"),"235")</f>
        <v>235</v>
      </c>
      <c r="G236" s="3" t="str">
        <f>IFERROR(__xludf.DUMMYFUNCTION("GOOGLETRANSLATE(B236, ""it"", ""en"")"),"What happens if a player commits a foul and the referee doesn't penalize him?")</f>
        <v>What happens if a player commits a foul and the referee doesn't penalize him?</v>
      </c>
      <c r="H236" s="3" t="str">
        <f>IFERROR(__xludf.DUMMYFUNCTION("GOOGLETRANSLATE(C236, ""it"", ""en"")"),"A. The game continues B. The game is stopped C. The opposing team earns a free kick D. The player receives a yellow card")</f>
        <v>A. The game continues B. The game is stopped C. The opposing team earns a free kick D. The player receives a yellow card</v>
      </c>
      <c r="I236" s="3" t="str">
        <f>IFERROR(__xludf.DUMMYFUNCTION("GOOGLETRANSLATE(D236, ""it"", ""en"")"),"The game is stopped")</f>
        <v>The game is stopped</v>
      </c>
      <c r="J236" s="2"/>
      <c r="K236" s="2"/>
      <c r="L236" s="2"/>
      <c r="M236" s="2"/>
      <c r="N236" s="2"/>
      <c r="O236" s="2"/>
      <c r="P236" s="2"/>
      <c r="Q236" s="2"/>
    </row>
    <row r="237" ht="22.5" customHeight="1">
      <c r="A237" s="3">
        <v>236.0</v>
      </c>
      <c r="B237" s="3" t="s">
        <v>409</v>
      </c>
      <c r="C237" s="3" t="s">
        <v>410</v>
      </c>
      <c r="D237" s="3" t="s">
        <v>12</v>
      </c>
      <c r="E237" s="2"/>
      <c r="F237" s="3" t="str">
        <f>IFERROR(__xludf.DUMMYFUNCTION("GOOGLETRANSLATE(A237, ""it"", ""en"")"),"236")</f>
        <v>236</v>
      </c>
      <c r="G237" s="3" t="str">
        <f>IFERROR(__xludf.DUMMYFUNCTION("GOOGLETRANSLATE(B237, ""it"", ""en"")"),"What happens if a player touches the ball with his foot during play?")</f>
        <v>What happens if a player touches the ball with his foot during play?</v>
      </c>
      <c r="H237" s="3" t="str">
        <f>IFERROR(__xludf.DUMMYFUNCTION("GOOGLETRANSLATE(C237, ""it"", ""en"")"),"A. The game continues B. The game is stopped C. The game is stopped D. The player receives a red card")</f>
        <v>A. The game continues B. The game is stopped C. The game is stopped D. The player receives a red card</v>
      </c>
      <c r="I237" s="3" t="str">
        <f>IFERROR(__xludf.DUMMYFUNCTION("GOOGLETRANSLATE(D237, ""it"", ""en"")"),"The game continues")</f>
        <v>The game continues</v>
      </c>
      <c r="J237" s="2"/>
      <c r="K237" s="2"/>
      <c r="L237" s="2"/>
      <c r="M237" s="2"/>
      <c r="N237" s="2"/>
      <c r="O237" s="2"/>
      <c r="P237" s="2"/>
      <c r="Q237" s="2"/>
    </row>
    <row r="238" ht="22.5" customHeight="1">
      <c r="A238" s="3">
        <v>237.0</v>
      </c>
      <c r="B238" s="3" t="s">
        <v>411</v>
      </c>
      <c r="C238" s="3" t="s">
        <v>334</v>
      </c>
      <c r="D238" s="3" t="s">
        <v>18</v>
      </c>
      <c r="E238" s="2"/>
      <c r="F238" s="3" t="str">
        <f>IFERROR(__xludf.DUMMYFUNCTION("GOOGLETRANSLATE(A238, ""it"", ""en"")"),"237")</f>
        <v>237</v>
      </c>
      <c r="G238" s="3" t="str">
        <f>IFERROR(__xludf.DUMMYFUNCTION("GOOGLETRANSLATE(B238, ""it"", ""en"")"),"What happens if a player fouls an opponent while trying to score a goal?")</f>
        <v>What happens if a player fouls an opponent while trying to score a goal?</v>
      </c>
      <c r="H238" s="3" t="str">
        <f>IFERROR(__xludf.DUMMYFUNCTION("GOOGLETRANSLATE(C238, ""it"", ""en"")"),"A. The game is stopped B. The opposing team earns a free kick C. The player receives a red card D. The game continues")</f>
        <v>A. The game is stopped B. The opposing team earns a free kick C. The player receives a red card D. The game continues</v>
      </c>
      <c r="I238" s="3" t="str">
        <f>IFERROR(__xludf.DUMMYFUNCTION("GOOGLETRANSLATE(D238, ""it"", ""en"")"),"The game is stopped")</f>
        <v>The game is stopped</v>
      </c>
      <c r="J238" s="2"/>
      <c r="K238" s="2"/>
      <c r="L238" s="2"/>
      <c r="M238" s="2"/>
      <c r="N238" s="2"/>
      <c r="O238" s="2"/>
      <c r="P238" s="2"/>
      <c r="Q238" s="2"/>
    </row>
    <row r="239" ht="22.5" customHeight="1">
      <c r="A239" s="3">
        <v>238.0</v>
      </c>
      <c r="B239" s="3" t="s">
        <v>412</v>
      </c>
      <c r="C239" s="3" t="s">
        <v>413</v>
      </c>
      <c r="D239" s="3" t="s">
        <v>12</v>
      </c>
      <c r="E239" s="2"/>
      <c r="F239" s="3" t="str">
        <f>IFERROR(__xludf.DUMMYFUNCTION("GOOGLETRANSLATE(A239, ""it"", ""en"")"),"238")</f>
        <v>238</v>
      </c>
      <c r="G239" s="3" t="str">
        <f>IFERROR(__xludf.DUMMYFUNCTION("GOOGLETRANSLATE(B239, ""it"", ""en"")"),"What happens if a player receives a yellow card for foul play?")</f>
        <v>What happens if a player receives a yellow card for foul play?</v>
      </c>
      <c r="H239" s="3" t="str">
        <f>IFERROR(__xludf.DUMMYFUNCTION("GOOGLETRANSLATE(C239, ""it"", ""en"")"),"A. The game continues B. The player is cautioned C. The player receives a red card D. The game is stopped")</f>
        <v>A. The game continues B. The player is cautioned C. The player receives a red card D. The game is stopped</v>
      </c>
      <c r="I239" s="3" t="str">
        <f>IFERROR(__xludf.DUMMYFUNCTION("GOOGLETRANSLATE(D239, ""it"", ""en"")"),"The game continues")</f>
        <v>The game continues</v>
      </c>
      <c r="J239" s="2"/>
      <c r="K239" s="2"/>
      <c r="L239" s="2"/>
      <c r="M239" s="2"/>
      <c r="N239" s="2"/>
      <c r="O239" s="2"/>
      <c r="P239" s="2"/>
      <c r="Q239" s="2"/>
    </row>
    <row r="240" ht="22.5" customHeight="1">
      <c r="A240" s="3">
        <v>239.0</v>
      </c>
      <c r="B240" s="3" t="s">
        <v>414</v>
      </c>
      <c r="C240" s="3" t="s">
        <v>415</v>
      </c>
      <c r="D240" s="3" t="s">
        <v>416</v>
      </c>
      <c r="E240" s="2"/>
      <c r="F240" s="3" t="str">
        <f>IFERROR(__xludf.DUMMYFUNCTION("GOOGLETRANSLATE(A240, ""it"", ""en"")"),"239")</f>
        <v>239</v>
      </c>
      <c r="G240" s="3" t="str">
        <f>IFERROR(__xludf.DUMMYFUNCTION("GOOGLETRANSLATE(B240, ""it"", ""en"")"),"What happens if a player scores a goal but the ball was previously touched by his hand?")</f>
        <v>What happens if a player scores a goal but the ball was previously touched by his hand?</v>
      </c>
      <c r="H240" s="3" t="str">
        <f>IFERROR(__xludf.DUMMYFUNCTION("GOOGLETRANSLATE(C240, ""it"", ""en"")"),"A. The goal is not validated B. The game continues C. The opposing team wins the ball D. The player receives a red card")</f>
        <v>A. The goal is not validated B. The game continues C. The opposing team wins the ball D. The player receives a red card</v>
      </c>
      <c r="I240" s="3" t="str">
        <f>IFERROR(__xludf.DUMMYFUNCTION("GOOGLETRANSLATE(D240, ""it"", ""en"")"),"The goal is validated")</f>
        <v>The goal is validated</v>
      </c>
      <c r="J240" s="2"/>
      <c r="K240" s="2"/>
      <c r="L240" s="2"/>
      <c r="M240" s="2"/>
      <c r="N240" s="2"/>
      <c r="O240" s="2"/>
      <c r="P240" s="2"/>
      <c r="Q240" s="2"/>
    </row>
    <row r="241" ht="22.5" customHeight="1">
      <c r="A241" s="3">
        <v>240.0</v>
      </c>
      <c r="B241" s="3" t="s">
        <v>417</v>
      </c>
      <c r="C241" s="3" t="s">
        <v>193</v>
      </c>
      <c r="D241" s="3" t="s">
        <v>18</v>
      </c>
      <c r="E241" s="2"/>
      <c r="F241" s="3" t="str">
        <f>IFERROR(__xludf.DUMMYFUNCTION("GOOGLETRANSLATE(A241, ""it"", ""en"")"),"240")</f>
        <v>240</v>
      </c>
      <c r="G241" s="3" t="str">
        <f>IFERROR(__xludf.DUMMYFUNCTION("GOOGLETRANSLATE(B241, ""it"", ""en"")"),"What happens if a player commits a foul during an attacking play?")</f>
        <v>What happens if a player commits a foul during an attacking play?</v>
      </c>
      <c r="H241" s="3" t="str">
        <f>IFERROR(__xludf.DUMMYFUNCTION("GOOGLETRANSLATE(C241, ""it"", ""en"")"),"A. The game is stopped B. The player receives a yellow card C. The opposing team earns a free kick D. The game continues")</f>
        <v>A. The game is stopped B. The player receives a yellow card C. The opposing team earns a free kick D. The game continues</v>
      </c>
      <c r="I241" s="3" t="str">
        <f>IFERROR(__xludf.DUMMYFUNCTION("GOOGLETRANSLATE(D241, ""it"", ""en"")"),"The game is stopped")</f>
        <v>The game is stopped</v>
      </c>
      <c r="J241" s="2"/>
      <c r="K241" s="2"/>
      <c r="L241" s="2"/>
      <c r="M241" s="2"/>
      <c r="N241" s="2"/>
      <c r="O241" s="2"/>
      <c r="P241" s="2"/>
      <c r="Q241" s="2"/>
    </row>
    <row r="242" ht="22.5" customHeight="1">
      <c r="A242" s="3">
        <v>241.0</v>
      </c>
      <c r="B242" s="3" t="s">
        <v>418</v>
      </c>
      <c r="C242" s="3" t="s">
        <v>331</v>
      </c>
      <c r="D242" s="3" t="s">
        <v>18</v>
      </c>
      <c r="E242" s="2"/>
      <c r="F242" s="3" t="str">
        <f>IFERROR(__xludf.DUMMYFUNCTION("GOOGLETRANSLATE(A242, ""it"", ""en"")"),"241")</f>
        <v>241</v>
      </c>
      <c r="G242" s="3" t="str">
        <f>IFERROR(__xludf.DUMMYFUNCTION("GOOGLETRANSLATE(B242, ""it"", ""en"")"),"What happens if a player touches the ball with his head?")</f>
        <v>What happens if a player touches the ball with his head?</v>
      </c>
      <c r="H242" s="3" t="str">
        <f>IFERROR(__xludf.DUMMYFUNCTION("GOOGLETRANSLATE(C242, ""it"", ""en"")"),"A. The game continues B. The game is stopped C. The player receives a red card D. The opposing team earns a free kick")</f>
        <v>A. The game continues B. The game is stopped C. The player receives a red card D. The opposing team earns a free kick</v>
      </c>
      <c r="I242" s="3" t="str">
        <f>IFERROR(__xludf.DUMMYFUNCTION("GOOGLETRANSLATE(D242, ""it"", ""en"")"),"The game is stopped")</f>
        <v>The game is stopped</v>
      </c>
      <c r="J242" s="2"/>
      <c r="K242" s="2"/>
      <c r="L242" s="2"/>
      <c r="M242" s="2"/>
      <c r="N242" s="2"/>
      <c r="O242" s="2"/>
      <c r="P242" s="2"/>
      <c r="Q242" s="2"/>
    </row>
    <row r="243" ht="22.5" customHeight="1">
      <c r="A243" s="3">
        <v>242.0</v>
      </c>
      <c r="B243" s="3" t="s">
        <v>419</v>
      </c>
      <c r="C243" s="3" t="s">
        <v>334</v>
      </c>
      <c r="D243" s="3" t="s">
        <v>18</v>
      </c>
      <c r="E243" s="2"/>
      <c r="F243" s="3" t="str">
        <f>IFERROR(__xludf.DUMMYFUNCTION("GOOGLETRANSLATE(A243, ""it"", ""en"")"),"242")</f>
        <v>242</v>
      </c>
      <c r="G243" s="3" t="str">
        <f>IFERROR(__xludf.DUMMYFUNCTION("GOOGLETRANSLATE(B243, ""it"", ""en"")"),"What happens if a player commits a foul that causes an opponent to exit the game early?")</f>
        <v>What happens if a player commits a foul that causes an opponent to exit the game early?</v>
      </c>
      <c r="H243" s="3" t="str">
        <f>IFERROR(__xludf.DUMMYFUNCTION("GOOGLETRANSLATE(C243, ""it"", ""en"")"),"A. The game is stopped B. The opposing team earns a free kick C. The player receives a red card D. The game continues")</f>
        <v>A. The game is stopped B. The opposing team earns a free kick C. The player receives a red card D. The game continues</v>
      </c>
      <c r="I243" s="3" t="str">
        <f>IFERROR(__xludf.DUMMYFUNCTION("GOOGLETRANSLATE(D243, ""it"", ""en"")"),"The game is stopped")</f>
        <v>The game is stopped</v>
      </c>
      <c r="J243" s="2"/>
      <c r="K243" s="2"/>
      <c r="L243" s="2"/>
      <c r="M243" s="2"/>
      <c r="N243" s="2"/>
      <c r="O243" s="2"/>
      <c r="P243" s="2"/>
      <c r="Q243" s="2"/>
    </row>
    <row r="244" ht="22.5" customHeight="1">
      <c r="A244" s="3">
        <v>243.0</v>
      </c>
      <c r="B244" s="3" t="s">
        <v>420</v>
      </c>
      <c r="C244" s="3" t="s">
        <v>193</v>
      </c>
      <c r="D244" s="3" t="s">
        <v>18</v>
      </c>
      <c r="E244" s="2"/>
      <c r="F244" s="3" t="str">
        <f>IFERROR(__xludf.DUMMYFUNCTION("GOOGLETRANSLATE(A244, ""it"", ""en"")"),"243")</f>
        <v>243</v>
      </c>
      <c r="G244" s="3" t="str">
        <f>IFERROR(__xludf.DUMMYFUNCTION("GOOGLETRANSLATE(B244, ""it"", ""en"")"),"What happens if a player fouls to stop a restart?")</f>
        <v>What happens if a player fouls to stop a restart?</v>
      </c>
      <c r="H244" s="3" t="str">
        <f>IFERROR(__xludf.DUMMYFUNCTION("GOOGLETRANSLATE(C244, ""it"", ""en"")"),"A. The game is stopped B. The player receives a yellow card C. The opposing team earns a free kick D. The game continues")</f>
        <v>A. The game is stopped B. The player receives a yellow card C. The opposing team earns a free kick D. The game continues</v>
      </c>
      <c r="I244" s="3" t="str">
        <f>IFERROR(__xludf.DUMMYFUNCTION("GOOGLETRANSLATE(D244, ""it"", ""en"")"),"The game is stopped")</f>
        <v>The game is stopped</v>
      </c>
      <c r="J244" s="2"/>
      <c r="K244" s="2"/>
      <c r="L244" s="2"/>
      <c r="M244" s="2"/>
      <c r="N244" s="2"/>
      <c r="O244" s="2"/>
      <c r="P244" s="2"/>
      <c r="Q244" s="2"/>
    </row>
    <row r="245" ht="22.5" customHeight="1">
      <c r="A245" s="3">
        <v>244.0</v>
      </c>
      <c r="B245" s="3" t="s">
        <v>421</v>
      </c>
      <c r="C245" s="3" t="s">
        <v>253</v>
      </c>
      <c r="D245" s="3" t="s">
        <v>12</v>
      </c>
      <c r="E245" s="2"/>
      <c r="F245" s="3" t="str">
        <f>IFERROR(__xludf.DUMMYFUNCTION("GOOGLETRANSLATE(A245, ""it"", ""en"")"),"244")</f>
        <v>244</v>
      </c>
      <c r="G245" s="3" t="str">
        <f>IFERROR(__xludf.DUMMYFUNCTION("GOOGLETRANSLATE(B245, ""it"", ""en"")"),"What happens if a player touches the ball with his foot during a defensive move?")</f>
        <v>What happens if a player touches the ball with his foot during a defensive move?</v>
      </c>
      <c r="H245" s="3" t="str">
        <f>IFERROR(__xludf.DUMMYFUNCTION("GOOGLETRANSLATE(C245, ""it"", ""en"")"),"A. The game is stopped B. The game continues C. The opposing team earns a free kick D. The player receives a yellow card")</f>
        <v>A. The game is stopped B. The game continues C. The opposing team earns a free kick D. The player receives a yellow card</v>
      </c>
      <c r="I245" s="3" t="str">
        <f>IFERROR(__xludf.DUMMYFUNCTION("GOOGLETRANSLATE(D245, ""it"", ""en"")"),"The game continues")</f>
        <v>The game continues</v>
      </c>
      <c r="J245" s="2"/>
      <c r="K245" s="2"/>
      <c r="L245" s="2"/>
      <c r="M245" s="2"/>
      <c r="N245" s="2"/>
      <c r="O245" s="2"/>
      <c r="P245" s="2"/>
      <c r="Q245" s="2"/>
    </row>
    <row r="246" ht="22.5" customHeight="1">
      <c r="A246" s="3">
        <v>245.0</v>
      </c>
      <c r="B246" s="3" t="s">
        <v>422</v>
      </c>
      <c r="C246" s="3" t="s">
        <v>415</v>
      </c>
      <c r="D246" s="3" t="s">
        <v>416</v>
      </c>
      <c r="E246" s="2"/>
      <c r="F246" s="3" t="str">
        <f>IFERROR(__xludf.DUMMYFUNCTION("GOOGLETRANSLATE(A246, ""it"", ""en"")"),"245")</f>
        <v>245</v>
      </c>
      <c r="G246" s="3" t="str">
        <f>IFERROR(__xludf.DUMMYFUNCTION("GOOGLETRANSLATE(B246, ""it"", ""en"")"),"What happens if a player scores a goal while offside?")</f>
        <v>What happens if a player scores a goal while offside?</v>
      </c>
      <c r="H246" s="3" t="str">
        <f>IFERROR(__xludf.DUMMYFUNCTION("GOOGLETRANSLATE(C246, ""it"", ""en"")"),"A. The goal is not validated B. The game continues C. The opposing team wins the ball D. The player receives a red card")</f>
        <v>A. The goal is not validated B. The game continues C. The opposing team wins the ball D. The player receives a red card</v>
      </c>
      <c r="I246" s="3" t="str">
        <f>IFERROR(__xludf.DUMMYFUNCTION("GOOGLETRANSLATE(D246, ""it"", ""en"")"),"The goal is validated")</f>
        <v>The goal is validated</v>
      </c>
      <c r="J246" s="2"/>
      <c r="K246" s="2"/>
      <c r="L246" s="2"/>
      <c r="M246" s="2"/>
      <c r="N246" s="2"/>
      <c r="O246" s="2"/>
      <c r="P246" s="2"/>
      <c r="Q246" s="2"/>
    </row>
    <row r="247" ht="22.5" customHeight="1">
      <c r="A247" s="3">
        <v>246.0</v>
      </c>
      <c r="B247" s="3" t="s">
        <v>423</v>
      </c>
      <c r="C247" s="3" t="s">
        <v>424</v>
      </c>
      <c r="D247" s="3" t="s">
        <v>18</v>
      </c>
      <c r="E247" s="2"/>
      <c r="F247" s="3" t="str">
        <f>IFERROR(__xludf.DUMMYFUNCTION("GOOGLETRANSLATE(A247, ""it"", ""en"")"),"246")</f>
        <v>246</v>
      </c>
      <c r="G247" s="3" t="str">
        <f>IFERROR(__xludf.DUMMYFUNCTION("GOOGLETRANSLATE(B247, ""it"", ""en"")"),"What happens if a player shoots at goal but hits another player?")</f>
        <v>What happens if a player shoots at goal but hits another player?</v>
      </c>
      <c r="H247" s="3" t="str">
        <f>IFERROR(__xludf.DUMMYFUNCTION("GOOGLETRANSLATE(C247, ""it"", ""en"")"),"A. The game continues B. The game is stopped C. The opposing team earns a free kick D. The kick is retaken")</f>
        <v>A. The game continues B. The game is stopped C. The opposing team earns a free kick D. The kick is retaken</v>
      </c>
      <c r="I247" s="3" t="str">
        <f>IFERROR(__xludf.DUMMYFUNCTION("GOOGLETRANSLATE(D247, ""it"", ""en"")"),"The game is stopped")</f>
        <v>The game is stopped</v>
      </c>
      <c r="J247" s="2"/>
      <c r="K247" s="2"/>
      <c r="L247" s="2"/>
      <c r="M247" s="2"/>
      <c r="N247" s="2"/>
      <c r="O247" s="2"/>
      <c r="P247" s="2"/>
      <c r="Q247" s="2"/>
    </row>
    <row r="248" ht="22.5" customHeight="1">
      <c r="A248" s="3">
        <v>247.0</v>
      </c>
      <c r="B248" s="3" t="s">
        <v>392</v>
      </c>
      <c r="C248" s="3" t="s">
        <v>122</v>
      </c>
      <c r="D248" s="3" t="s">
        <v>18</v>
      </c>
      <c r="E248" s="2"/>
      <c r="F248" s="3" t="str">
        <f>IFERROR(__xludf.DUMMYFUNCTION("GOOGLETRANSLATE(A248, ""it"", ""en"")"),"247")</f>
        <v>247</v>
      </c>
      <c r="G248" s="3" t="str">
        <f>IFERROR(__xludf.DUMMYFUNCTION("GOOGLETRANSLATE(B248, ""it"", ""en"")"),"If a player makes a bad pass and the opponent intercepts the ball, what happens?")</f>
        <v>If a player makes a bad pass and the opponent intercepts the ball, what happens?</v>
      </c>
      <c r="H248" s="3" t="str">
        <f>IFERROR(__xludf.DUMMYFUNCTION("GOOGLETRANSLATE(C248, ""it"", ""en"")"),"A. The game continues B. The opposing team wins the ball C. The game is stopped D. The player receives a red card")</f>
        <v>A. The game continues B. The opposing team wins the ball C. The game is stopped D. The player receives a red card</v>
      </c>
      <c r="I248" s="3" t="str">
        <f>IFERROR(__xludf.DUMMYFUNCTION("GOOGLETRANSLATE(D248, ""it"", ""en"")"),"The game is stopped")</f>
        <v>The game is stopped</v>
      </c>
      <c r="J248" s="2"/>
      <c r="K248" s="2"/>
      <c r="L248" s="2"/>
      <c r="M248" s="2"/>
      <c r="N248" s="2"/>
      <c r="O248" s="2"/>
      <c r="P248" s="2"/>
      <c r="Q248" s="2"/>
    </row>
    <row r="249" ht="22.5" customHeight="1">
      <c r="A249" s="3">
        <v>248.0</v>
      </c>
      <c r="B249" s="3" t="s">
        <v>425</v>
      </c>
      <c r="C249" s="3" t="s">
        <v>426</v>
      </c>
      <c r="D249" s="3" t="s">
        <v>18</v>
      </c>
      <c r="E249" s="2"/>
      <c r="F249" s="3" t="str">
        <f>IFERROR(__xludf.DUMMYFUNCTION("GOOGLETRANSLATE(A249, ""it"", ""en"")"),"248")</f>
        <v>248</v>
      </c>
      <c r="G249" s="3" t="str">
        <f>IFERROR(__xludf.DUMMYFUNCTION("GOOGLETRANSLATE(B249, ""it"", ""en"")"),"What happens if a player passes too long and the ball goes out of play?")</f>
        <v>What happens if a player passes too long and the ball goes out of play?</v>
      </c>
      <c r="H249" s="3" t="str">
        <f>IFERROR(__xludf.DUMMYFUNCTION("GOOGLETRANSLATE(C249, ""it"", ""en"")"),"A. The game continues B. The opposing team gains the ball C. The game is stopped D. The game continues")</f>
        <v>A. The game continues B. The opposing team gains the ball C. The game is stopped D. The game continues</v>
      </c>
      <c r="I249" s="3" t="str">
        <f>IFERROR(__xludf.DUMMYFUNCTION("GOOGLETRANSLATE(D249, ""it"", ""en"")"),"The game is stopped")</f>
        <v>The game is stopped</v>
      </c>
      <c r="J249" s="2"/>
      <c r="K249" s="2"/>
      <c r="L249" s="2"/>
      <c r="M249" s="2"/>
      <c r="N249" s="2"/>
      <c r="O249" s="2"/>
      <c r="P249" s="2"/>
      <c r="Q249" s="2"/>
    </row>
    <row r="250" ht="22.5" customHeight="1">
      <c r="A250" s="3">
        <v>249.0</v>
      </c>
      <c r="B250" s="3" t="s">
        <v>427</v>
      </c>
      <c r="C250" s="3" t="s">
        <v>428</v>
      </c>
      <c r="D250" s="3" t="s">
        <v>18</v>
      </c>
      <c r="E250" s="2"/>
      <c r="F250" s="3" t="str">
        <f>IFERROR(__xludf.DUMMYFUNCTION("GOOGLETRANSLATE(A250, ""it"", ""en"")"),"249")</f>
        <v>249</v>
      </c>
      <c r="G250" s="3" t="str">
        <f>IFERROR(__xludf.DUMMYFUNCTION("GOOGLETRANSLATE(B250, ""it"", ""en"")"),"What happens if a player gets injured during the game?")</f>
        <v>What happens if a player gets injured during the game?</v>
      </c>
      <c r="H250" s="3" t="str">
        <f>IFERROR(__xludf.DUMMYFUNCTION("GOOGLETRANSLATE(C250, ""it"", ""en"")"),"A. The game is stopped B. The game continues C. The player receives a red card D. The game is suspended")</f>
        <v>A. The game is stopped B. The game continues C. The player receives a red card D. The game is suspended</v>
      </c>
      <c r="I250" s="3" t="str">
        <f>IFERROR(__xludf.DUMMYFUNCTION("GOOGLETRANSLATE(D250, ""it"", ""en"")"),"The game is stopped")</f>
        <v>The game is stopped</v>
      </c>
      <c r="J250" s="2"/>
      <c r="K250" s="2"/>
      <c r="L250" s="2"/>
      <c r="M250" s="2"/>
      <c r="N250" s="2"/>
      <c r="O250" s="2"/>
      <c r="P250" s="2"/>
      <c r="Q250" s="2"/>
    </row>
    <row r="251" ht="22.5" customHeight="1">
      <c r="A251" s="3">
        <v>250.0</v>
      </c>
      <c r="B251" s="3" t="s">
        <v>429</v>
      </c>
      <c r="C251" s="3" t="s">
        <v>354</v>
      </c>
      <c r="D251" s="3" t="s">
        <v>12</v>
      </c>
      <c r="E251" s="2"/>
      <c r="F251" s="3" t="str">
        <f>IFERROR(__xludf.DUMMYFUNCTION("GOOGLETRANSLATE(A251, ""it"", ""en"")"),"250")</f>
        <v>250</v>
      </c>
      <c r="G251" s="3" t="str">
        <f>IFERROR(__xludf.DUMMYFUNCTION("GOOGLETRANSLATE(B251, ""it"", ""en"")"),"What happens if a player touches the ball with his head during a defensive move?")</f>
        <v>What happens if a player touches the ball with his head during a defensive move?</v>
      </c>
      <c r="H251" s="3" t="str">
        <f>IFERROR(__xludf.DUMMYFUNCTION("GOOGLETRANSLATE(C251, ""it"", ""en"")"),"A. The game continues B. The game is stopped C. The opposing team earns a free kick D. The game is stopped")</f>
        <v>A. The game continues B. The game is stopped C. The opposing team earns a free kick D. The game is stopped</v>
      </c>
      <c r="I251" s="3" t="str">
        <f>IFERROR(__xludf.DUMMYFUNCTION("GOOGLETRANSLATE(D251, ""it"", ""en"")"),"The game continues")</f>
        <v>The game continues</v>
      </c>
      <c r="J251" s="2"/>
      <c r="K251" s="2"/>
      <c r="L251" s="2"/>
      <c r="M251" s="2"/>
      <c r="N251" s="2"/>
      <c r="O251" s="2"/>
      <c r="P251" s="2"/>
      <c r="Q251" s="2"/>
    </row>
    <row r="252" ht="22.5" customHeight="1">
      <c r="A252" s="3">
        <v>251.0</v>
      </c>
      <c r="B252" s="3" t="s">
        <v>430</v>
      </c>
      <c r="C252" s="3" t="s">
        <v>431</v>
      </c>
      <c r="D252" s="3" t="s">
        <v>18</v>
      </c>
      <c r="E252" s="2"/>
      <c r="F252" s="3" t="str">
        <f>IFERROR(__xludf.DUMMYFUNCTION("GOOGLETRANSLATE(A252, ""it"", ""en"")"),"251")</f>
        <v>251</v>
      </c>
      <c r="G252" s="3" t="str">
        <f>IFERROR(__xludf.DUMMYFUNCTION("GOOGLETRANSLATE(B252, ""it"", ""en"")"),"What happens if a player commits a foul off the field?")</f>
        <v>What happens if a player commits a foul off the field?</v>
      </c>
      <c r="H252" s="3" t="str">
        <f>IFERROR(__xludf.DUMMYFUNCTION("GOOGLETRANSLATE(C252, ""it"", ""en"")"),"A. The game continues B. The game is stopped C. The opposing team wins the ball D. The player receives a yellow card")</f>
        <v>A. The game continues B. The game is stopped C. The opposing team wins the ball D. The player receives a yellow card</v>
      </c>
      <c r="I252" s="3" t="str">
        <f>IFERROR(__xludf.DUMMYFUNCTION("GOOGLETRANSLATE(D252, ""it"", ""en"")"),"The game is stopped")</f>
        <v>The game is stopped</v>
      </c>
      <c r="J252" s="2"/>
      <c r="K252" s="2"/>
      <c r="L252" s="2"/>
      <c r="M252" s="2"/>
      <c r="N252" s="2"/>
      <c r="O252" s="2"/>
      <c r="P252" s="2"/>
      <c r="Q252" s="2"/>
    </row>
    <row r="253" ht="22.5" customHeight="1">
      <c r="A253" s="3">
        <v>252.0</v>
      </c>
      <c r="B253" s="3" t="s">
        <v>432</v>
      </c>
      <c r="C253" s="3" t="s">
        <v>110</v>
      </c>
      <c r="D253" s="3" t="s">
        <v>18</v>
      </c>
      <c r="E253" s="2"/>
      <c r="F253" s="3" t="str">
        <f>IFERROR(__xludf.DUMMYFUNCTION("GOOGLETRANSLATE(A253, ""it"", ""en"")"),"252")</f>
        <v>252</v>
      </c>
      <c r="G253" s="3" t="str">
        <f>IFERROR(__xludf.DUMMYFUNCTION("GOOGLETRANSLATE(B253, ""it"", ""en"")"),"What happens if a player touches the ball with his hand during play?")</f>
        <v>What happens if a player touches the ball with his hand during play?</v>
      </c>
      <c r="H253" s="3" t="str">
        <f>IFERROR(__xludf.DUMMYFUNCTION("GOOGLETRANSLATE(C253, ""it"", ""en"")"),"A. The game is stopped B. The player receives a red card C. The opposing team earns a free kick D. The game continues")</f>
        <v>A. The game is stopped B. The player receives a red card C. The opposing team earns a free kick D. The game continues</v>
      </c>
      <c r="I253" s="3" t="str">
        <f>IFERROR(__xludf.DUMMYFUNCTION("GOOGLETRANSLATE(D253, ""it"", ""en"")"),"The game is stopped")</f>
        <v>The game is stopped</v>
      </c>
      <c r="J253" s="2"/>
      <c r="K253" s="2"/>
      <c r="L253" s="2"/>
      <c r="M253" s="2"/>
      <c r="N253" s="2"/>
      <c r="O253" s="2"/>
      <c r="P253" s="2"/>
      <c r="Q253" s="2"/>
    </row>
    <row r="254" ht="22.5" customHeight="1">
      <c r="A254" s="3">
        <v>253.0</v>
      </c>
      <c r="B254" s="3" t="s">
        <v>433</v>
      </c>
      <c r="C254" s="3" t="s">
        <v>381</v>
      </c>
      <c r="D254" s="3" t="s">
        <v>18</v>
      </c>
      <c r="E254" s="2"/>
      <c r="F254" s="3" t="str">
        <f>IFERROR(__xludf.DUMMYFUNCTION("GOOGLETRANSLATE(A254, ""it"", ""en"")"),"253")</f>
        <v>253</v>
      </c>
      <c r="G254" s="3" t="str">
        <f>IFERROR(__xludf.DUMMYFUNCTION("GOOGLETRANSLATE(B254, ""it"", ""en"")"),"If a player passes without looking and the opponent intercepts it, what happens?")</f>
        <v>If a player passes without looking and the opponent intercepts it, what happens?</v>
      </c>
      <c r="H254" s="3" t="str">
        <f>IFERROR(__xludf.DUMMYFUNCTION("GOOGLETRANSLATE(C254, ""it"", ""en"")"),"A. The game continues B. The game is stopped C. The opposing team gains the ball D. The game continues")</f>
        <v>A. The game continues B. The game is stopped C. The opposing team gains the ball D. The game continues</v>
      </c>
      <c r="I254" s="3" t="str">
        <f>IFERROR(__xludf.DUMMYFUNCTION("GOOGLETRANSLATE(D254, ""it"", ""en"")"),"The game is stopped")</f>
        <v>The game is stopped</v>
      </c>
      <c r="J254" s="2"/>
      <c r="K254" s="2"/>
      <c r="L254" s="2"/>
      <c r="M254" s="2"/>
      <c r="N254" s="2"/>
      <c r="O254" s="2"/>
      <c r="P254" s="2"/>
      <c r="Q254" s="2"/>
    </row>
    <row r="255" ht="22.5" customHeight="1">
      <c r="A255" s="3">
        <v>254.0</v>
      </c>
      <c r="B255" s="3" t="s">
        <v>434</v>
      </c>
      <c r="C255" s="3" t="s">
        <v>435</v>
      </c>
      <c r="D255" s="3" t="s">
        <v>111</v>
      </c>
      <c r="E255" s="2"/>
      <c r="F255" s="3" t="str">
        <f>IFERROR(__xludf.DUMMYFUNCTION("GOOGLETRANSLATE(A255, ""it"", ""en"")"),"254")</f>
        <v>254</v>
      </c>
      <c r="G255" s="3" t="str">
        <f>IFERROR(__xludf.DUMMYFUNCTION("GOOGLETRANSLATE(B255, ""it"", ""en"")"),"If a player scores a goal but the ball touches the goal line and then goes out, what happens?")</f>
        <v>If a player scores a goal but the ball touches the goal line and then goes out, what happens?</v>
      </c>
      <c r="H255" s="3" t="str">
        <f>IFERROR(__xludf.DUMMYFUNCTION("GOOGLETRANSLATE(C255, ""it"", ""en"")"),"A. The goal is not validated B. The goal is validated C. The game continues D. The game is stopped")</f>
        <v>A. The goal is not validated B. The goal is validated C. The game continues D. The game is stopped</v>
      </c>
      <c r="I255" s="3" t="str">
        <f>IFERROR(__xludf.DUMMYFUNCTION("GOOGLETRANSLATE(D255, ""it"", ""en"")"),"The opposing team earns a free kick")</f>
        <v>The opposing team earns a free kick</v>
      </c>
      <c r="J255" s="2"/>
      <c r="K255" s="2"/>
      <c r="L255" s="2"/>
      <c r="M255" s="2"/>
      <c r="N255" s="2"/>
      <c r="O255" s="2"/>
      <c r="P255" s="2"/>
      <c r="Q255" s="2"/>
    </row>
    <row r="256" ht="22.5" customHeight="1">
      <c r="A256" s="3">
        <v>255.0</v>
      </c>
      <c r="B256" s="3" t="s">
        <v>436</v>
      </c>
      <c r="C256" s="3" t="s">
        <v>437</v>
      </c>
      <c r="D256" s="3" t="s">
        <v>12</v>
      </c>
      <c r="E256" s="2"/>
      <c r="F256" s="3" t="str">
        <f>IFERROR(__xludf.DUMMYFUNCTION("GOOGLETRANSLATE(A256, ""it"", ""en"")"),"255")</f>
        <v>255</v>
      </c>
      <c r="G256" s="3" t="str">
        <f>IFERROR(__xludf.DUMMYFUNCTION("GOOGLETRANSLATE(B256, ""it"", ""en"")"),"What happens if a player is injured but not unconscious?")</f>
        <v>What happens if a player is injured but not unconscious?</v>
      </c>
      <c r="H256" s="3" t="str">
        <f>IFERROR(__xludf.DUMMYFUNCTION("GOOGLETRANSLATE(C256, ""it"", ""en"")"),"A. The game is stopped B. The game continues C. The player receives a red card D. The game is stopped")</f>
        <v>A. The game is stopped B. The game continues C. The player receives a red card D. The game is stopped</v>
      </c>
      <c r="I256" s="3" t="str">
        <f>IFERROR(__xludf.DUMMYFUNCTION("GOOGLETRANSLATE(D256, ""it"", ""en"")"),"The game continues")</f>
        <v>The game continues</v>
      </c>
      <c r="J256" s="2"/>
      <c r="K256" s="2"/>
      <c r="L256" s="2"/>
      <c r="M256" s="2"/>
      <c r="N256" s="2"/>
      <c r="O256" s="2"/>
      <c r="P256" s="2"/>
      <c r="Q256" s="2"/>
    </row>
    <row r="257" ht="22.5" customHeight="1">
      <c r="A257" s="3">
        <v>256.0</v>
      </c>
      <c r="B257" s="3" t="s">
        <v>438</v>
      </c>
      <c r="C257" s="3" t="s">
        <v>439</v>
      </c>
      <c r="D257" s="3" t="s">
        <v>18</v>
      </c>
      <c r="E257" s="2"/>
      <c r="F257" s="3" t="str">
        <f>IFERROR(__xludf.DUMMYFUNCTION("GOOGLETRANSLATE(A257, ""it"", ""en"")"),"256")</f>
        <v>256</v>
      </c>
      <c r="G257" s="3" t="str">
        <f>IFERROR(__xludf.DUMMYFUNCTION("GOOGLETRANSLATE(B257, ""it"", ""en"")"),"What happens if a player fouls an opponent outside the playing area?")</f>
        <v>What happens if a player fouls an opponent outside the playing area?</v>
      </c>
      <c r="H257" s="3" t="str">
        <f>IFERROR(__xludf.DUMMYFUNCTION("GOOGLETRANSLATE(C257, ""it"", ""en"")"),"A. The game continues B. The opposing team earns a free kick C. The game is stopped D. The player receives a yellow card")</f>
        <v>A. The game continues B. The opposing team earns a free kick C. The game is stopped D. The player receives a yellow card</v>
      </c>
      <c r="I257" s="3" t="str">
        <f>IFERROR(__xludf.DUMMYFUNCTION("GOOGLETRANSLATE(D257, ""it"", ""en"")"),"The game is stopped")</f>
        <v>The game is stopped</v>
      </c>
      <c r="J257" s="2"/>
      <c r="K257" s="2"/>
      <c r="L257" s="2"/>
      <c r="M257" s="2"/>
      <c r="N257" s="2"/>
      <c r="O257" s="2"/>
      <c r="P257" s="2"/>
      <c r="Q257" s="2"/>
    </row>
    <row r="258" ht="22.5" customHeight="1">
      <c r="A258" s="3">
        <v>257.0</v>
      </c>
      <c r="B258" s="3" t="s">
        <v>440</v>
      </c>
      <c r="C258" s="3" t="s">
        <v>249</v>
      </c>
      <c r="D258" s="3" t="s">
        <v>18</v>
      </c>
      <c r="E258" s="2"/>
      <c r="F258" s="3" t="str">
        <f>IFERROR(__xludf.DUMMYFUNCTION("GOOGLETRANSLATE(A258, ""it"", ""en"")"),"257")</f>
        <v>257</v>
      </c>
      <c r="G258" s="3" t="str">
        <f>IFERROR(__xludf.DUMMYFUNCTION("GOOGLETRANSLATE(B258, ""it"", ""en"")"),"What happens if a player fouls an opponent who is trying to score?")</f>
        <v>What happens if a player fouls an opponent who is trying to score?</v>
      </c>
      <c r="H258" s="3" t="str">
        <f>IFERROR(__xludf.DUMMYFUNCTION("GOOGLETRANSLATE(C258, ""it"", ""en"")"),"A. The game is stopped B. The opposing team earns a free kick C. The game continues D. The player receives a red card")</f>
        <v>A. The game is stopped B. The opposing team earns a free kick C. The game continues D. The player receives a red card</v>
      </c>
      <c r="I258" s="3" t="str">
        <f>IFERROR(__xludf.DUMMYFUNCTION("GOOGLETRANSLATE(D258, ""it"", ""en"")"),"The game is stopped")</f>
        <v>The game is stopped</v>
      </c>
      <c r="J258" s="2"/>
      <c r="K258" s="2"/>
      <c r="L258" s="2"/>
      <c r="M258" s="2"/>
      <c r="N258" s="2"/>
      <c r="O258" s="2"/>
      <c r="P258" s="2"/>
      <c r="Q258" s="2"/>
    </row>
    <row r="259" ht="22.5" customHeight="1">
      <c r="A259" s="3">
        <v>258.0</v>
      </c>
      <c r="B259" s="3" t="s">
        <v>441</v>
      </c>
      <c r="C259" s="3" t="s">
        <v>442</v>
      </c>
      <c r="D259" s="3" t="s">
        <v>12</v>
      </c>
      <c r="E259" s="2"/>
      <c r="F259" s="3" t="str">
        <f>IFERROR(__xludf.DUMMYFUNCTION("GOOGLETRANSLATE(A259, ""it"", ""en"")"),"258")</f>
        <v>258</v>
      </c>
      <c r="G259" s="3" t="str">
        <f>IFERROR(__xludf.DUMMYFUNCTION("GOOGLETRANSLATE(B259, ""it"", ""en"")"),"What happens if a player kicks the ball out of bounds during a defensive phase?")</f>
        <v>What happens if a player kicks the ball out of bounds during a defensive phase?</v>
      </c>
      <c r="H259" s="3" t="str">
        <f>IFERROR(__xludf.DUMMYFUNCTION("GOOGLETRANSLATE(C259, ""it"", ""en"")"),"A. The opposing team wins the ball B. The game continues C. The game is stopped D. The game is stopped")</f>
        <v>A. The opposing team wins the ball B. The game continues C. The game is stopped D. The game is stopped</v>
      </c>
      <c r="I259" s="3" t="str">
        <f>IFERROR(__xludf.DUMMYFUNCTION("GOOGLETRANSLATE(D259, ""it"", ""en"")"),"The game continues")</f>
        <v>The game continues</v>
      </c>
      <c r="J259" s="2"/>
      <c r="K259" s="2"/>
      <c r="L259" s="2"/>
      <c r="M259" s="2"/>
      <c r="N259" s="2"/>
      <c r="O259" s="2"/>
      <c r="P259" s="2"/>
      <c r="Q259" s="2"/>
    </row>
    <row r="260" ht="22.5" customHeight="1">
      <c r="A260" s="3">
        <v>259.0</v>
      </c>
      <c r="B260" s="3" t="s">
        <v>443</v>
      </c>
      <c r="C260" s="3" t="s">
        <v>122</v>
      </c>
      <c r="D260" s="3" t="s">
        <v>12</v>
      </c>
      <c r="E260" s="2"/>
      <c r="F260" s="3" t="str">
        <f>IFERROR(__xludf.DUMMYFUNCTION("GOOGLETRANSLATE(A260, ""it"", ""en"")"),"259")</f>
        <v>259</v>
      </c>
      <c r="G260" s="3" t="str">
        <f>IFERROR(__xludf.DUMMYFUNCTION("GOOGLETRANSLATE(B260, ""it"", ""en"")"),"If a player makes a pass and the opponent intercepts it, what happens?")</f>
        <v>If a player makes a pass and the opponent intercepts it, what happens?</v>
      </c>
      <c r="H260" s="3" t="str">
        <f>IFERROR(__xludf.DUMMYFUNCTION("GOOGLETRANSLATE(C260, ""it"", ""en"")"),"A. The game continues B. The opposing team wins the ball C. The game is stopped D. The player receives a red card")</f>
        <v>A. The game continues B. The opposing team wins the ball C. The game is stopped D. The player receives a red card</v>
      </c>
      <c r="I260" s="3" t="str">
        <f>IFERROR(__xludf.DUMMYFUNCTION("GOOGLETRANSLATE(D260, ""it"", ""en"")"),"The game continues")</f>
        <v>The game continues</v>
      </c>
      <c r="J260" s="2"/>
      <c r="K260" s="2"/>
      <c r="L260" s="2"/>
      <c r="M260" s="2"/>
      <c r="N260" s="2"/>
      <c r="O260" s="2"/>
      <c r="P260" s="2"/>
      <c r="Q260" s="2"/>
    </row>
    <row r="261" ht="22.5" customHeight="1">
      <c r="A261" s="3">
        <v>260.0</v>
      </c>
      <c r="B261" s="3" t="s">
        <v>444</v>
      </c>
      <c r="C261" s="3" t="s">
        <v>445</v>
      </c>
      <c r="D261" s="3" t="s">
        <v>12</v>
      </c>
      <c r="E261" s="2"/>
      <c r="F261" s="3" t="str">
        <f>IFERROR(__xludf.DUMMYFUNCTION("GOOGLETRANSLATE(A261, ""it"", ""en"")"),"260")</f>
        <v>260</v>
      </c>
      <c r="G261" s="3" t="str">
        <f>IFERROR(__xludf.DUMMYFUNCTION("GOOGLETRANSLATE(B261, ""it"", ""en"")"),"What happens if a player makes a pass that's too short and the other player can't catch it?")</f>
        <v>What happens if a player makes a pass that's too short and the other player can't catch it?</v>
      </c>
      <c r="H261" s="3" t="str">
        <f>IFERROR(__xludf.DUMMYFUNCTION("GOOGLETRANSLATE(C261, ""it"", ""en"")"),"A. The game continues B. The game is stopped C. The opposing team gains the ball D. The game is stopped")</f>
        <v>A. The game continues B. The game is stopped C. The opposing team gains the ball D. The game is stopped</v>
      </c>
      <c r="I261" s="3" t="str">
        <f>IFERROR(__xludf.DUMMYFUNCTION("GOOGLETRANSLATE(D261, ""it"", ""en"")"),"The game continues")</f>
        <v>The game continues</v>
      </c>
      <c r="J261" s="2"/>
      <c r="K261" s="2"/>
      <c r="L261" s="2"/>
      <c r="M261" s="2"/>
      <c r="N261" s="2"/>
      <c r="O261" s="2"/>
      <c r="P261" s="2"/>
      <c r="Q261" s="2"/>
    </row>
    <row r="262" ht="22.5" customHeight="1">
      <c r="A262" s="3">
        <v>261.0</v>
      </c>
      <c r="B262" s="3" t="s">
        <v>446</v>
      </c>
      <c r="C262" s="3" t="s">
        <v>445</v>
      </c>
      <c r="D262" s="3" t="s">
        <v>12</v>
      </c>
      <c r="E262" s="2"/>
      <c r="F262" s="3" t="str">
        <f>IFERROR(__xludf.DUMMYFUNCTION("GOOGLETRANSLATE(A262, ""it"", ""en"")"),"261")</f>
        <v>261</v>
      </c>
      <c r="G262" s="3" t="str">
        <f>IFERROR(__xludf.DUMMYFUNCTION("GOOGLETRANSLATE(B262, ""it"", ""en"")"),"If one player makes a perfect pass but the other player can't control it, what happens?")</f>
        <v>If one player makes a perfect pass but the other player can't control it, what happens?</v>
      </c>
      <c r="H262" s="3" t="str">
        <f>IFERROR(__xludf.DUMMYFUNCTION("GOOGLETRANSLATE(C262, ""it"", ""en"")"),"A. The game continues B. The game is stopped C. The opposing team gains the ball D. The game is stopped")</f>
        <v>A. The game continues B. The game is stopped C. The opposing team gains the ball D. The game is stopped</v>
      </c>
      <c r="I262" s="3" t="str">
        <f>IFERROR(__xludf.DUMMYFUNCTION("GOOGLETRANSLATE(D262, ""it"", ""en"")"),"The game continues")</f>
        <v>The game continues</v>
      </c>
      <c r="J262" s="2"/>
      <c r="K262" s="2"/>
      <c r="L262" s="2"/>
      <c r="M262" s="2"/>
      <c r="N262" s="2"/>
      <c r="O262" s="2"/>
      <c r="P262" s="2"/>
      <c r="Q262" s="2"/>
    </row>
    <row r="263" ht="22.5" customHeight="1">
      <c r="A263" s="3">
        <v>262.0</v>
      </c>
      <c r="B263" s="3" t="s">
        <v>447</v>
      </c>
      <c r="C263" s="3" t="s">
        <v>448</v>
      </c>
      <c r="D263" s="3" t="s">
        <v>18</v>
      </c>
      <c r="E263" s="2"/>
      <c r="F263" s="3" t="str">
        <f>IFERROR(__xludf.DUMMYFUNCTION("GOOGLETRANSLATE(A263, ""it"", ""en"")"),"262")</f>
        <v>262</v>
      </c>
      <c r="G263" s="3" t="str">
        <f>IFERROR(__xludf.DUMMYFUNCTION("GOOGLETRANSLATE(B263, ""it"", ""en"")"),"What happens if a player heads the ball?")</f>
        <v>What happens if a player heads the ball?</v>
      </c>
      <c r="H263" s="3" t="str">
        <f>IFERROR(__xludf.DUMMYFUNCTION("GOOGLETRANSLATE(C263, ""it"", ""en"")"),"A. The game continues B. The game is stopped C. The opposing team earns a free kick D. The game continues")</f>
        <v>A. The game continues B. The game is stopped C. The opposing team earns a free kick D. The game continues</v>
      </c>
      <c r="I263" s="3" t="str">
        <f>IFERROR(__xludf.DUMMYFUNCTION("GOOGLETRANSLATE(D263, ""it"", ""en"")"),"The game is stopped")</f>
        <v>The game is stopped</v>
      </c>
      <c r="J263" s="2"/>
      <c r="K263" s="2"/>
      <c r="L263" s="2"/>
      <c r="M263" s="2"/>
      <c r="N263" s="2"/>
      <c r="O263" s="2"/>
      <c r="P263" s="2"/>
      <c r="Q263" s="2"/>
    </row>
    <row r="264" ht="22.5" customHeight="1">
      <c r="A264" s="3">
        <v>263.0</v>
      </c>
      <c r="B264" s="3" t="s">
        <v>449</v>
      </c>
      <c r="C264" s="3" t="s">
        <v>442</v>
      </c>
      <c r="D264" s="3" t="s">
        <v>12</v>
      </c>
      <c r="E264" s="2"/>
      <c r="F264" s="3" t="str">
        <f>IFERROR(__xludf.DUMMYFUNCTION("GOOGLETRANSLATE(A264, ""it"", ""en"")"),"263")</f>
        <v>263</v>
      </c>
      <c r="G264" s="3" t="str">
        <f>IFERROR(__xludf.DUMMYFUNCTION("GOOGLETRANSLATE(B264, ""it"", ""en"")"),"What happens if a player kicks the ball out of bounds during an attacking move?")</f>
        <v>What happens if a player kicks the ball out of bounds during an attacking move?</v>
      </c>
      <c r="H264" s="3" t="str">
        <f>IFERROR(__xludf.DUMMYFUNCTION("GOOGLETRANSLATE(C264, ""it"", ""en"")"),"A. The opposing team wins the ball B. The game continues C. The game is stopped D. The game is stopped")</f>
        <v>A. The opposing team wins the ball B. The game continues C. The game is stopped D. The game is stopped</v>
      </c>
      <c r="I264" s="3" t="str">
        <f>IFERROR(__xludf.DUMMYFUNCTION("GOOGLETRANSLATE(D264, ""it"", ""en"")"),"The game continues")</f>
        <v>The game continues</v>
      </c>
      <c r="J264" s="2"/>
      <c r="K264" s="2"/>
      <c r="L264" s="2"/>
      <c r="M264" s="2"/>
      <c r="N264" s="2"/>
      <c r="O264" s="2"/>
      <c r="P264" s="2"/>
      <c r="Q264" s="2"/>
    </row>
    <row r="265" ht="22.5" customHeight="1">
      <c r="A265" s="3">
        <v>264.0</v>
      </c>
      <c r="B265" s="3" t="s">
        <v>450</v>
      </c>
      <c r="C265" s="3" t="s">
        <v>451</v>
      </c>
      <c r="D265" s="3" t="s">
        <v>18</v>
      </c>
      <c r="E265" s="2"/>
      <c r="F265" s="3" t="str">
        <f>IFERROR(__xludf.DUMMYFUNCTION("GOOGLETRANSLATE(A265, ""it"", ""en"")"),"264")</f>
        <v>264</v>
      </c>
      <c r="G265" s="3" t="str">
        <f>IFERROR(__xludf.DUMMYFUNCTION("GOOGLETRANSLATE(B265, ""it"", ""en"")"),"What happens if a player makes a pass while offside?")</f>
        <v>What happens if a player makes a pass while offside?</v>
      </c>
      <c r="H265" s="3" t="str">
        <f>IFERROR(__xludf.DUMMYFUNCTION("GOOGLETRANSLATE(C265, ""it"", ""en"")"),"A. The game continues B. The pass is not valid C. The opposing team gains the ball D. The game is stopped")</f>
        <v>A. The game continues B. The pass is not valid C. The opposing team gains the ball D. The game is stopped</v>
      </c>
      <c r="I265" s="3" t="str">
        <f>IFERROR(__xludf.DUMMYFUNCTION("GOOGLETRANSLATE(D265, ""it"", ""en"")"),"The game is stopped")</f>
        <v>The game is stopped</v>
      </c>
      <c r="J265" s="2"/>
      <c r="K265" s="2"/>
      <c r="L265" s="2"/>
      <c r="M265" s="2"/>
      <c r="N265" s="2"/>
      <c r="O265" s="2"/>
      <c r="P265" s="2"/>
      <c r="Q265" s="2"/>
    </row>
    <row r="266" ht="22.5" customHeight="1">
      <c r="A266" s="3">
        <v>265.0</v>
      </c>
      <c r="B266" s="3" t="s">
        <v>452</v>
      </c>
      <c r="C266" s="3" t="s">
        <v>110</v>
      </c>
      <c r="D266" s="3" t="s">
        <v>18</v>
      </c>
      <c r="E266" s="2"/>
      <c r="F266" s="3" t="str">
        <f>IFERROR(__xludf.DUMMYFUNCTION("GOOGLETRANSLATE(A266, ""it"", ""en"")"),"265")</f>
        <v>265</v>
      </c>
      <c r="G266" s="3" t="str">
        <f>IFERROR(__xludf.DUMMYFUNCTION("GOOGLETRANSLATE(B266, ""it"", ""en"")"),"If a player commits a foul to stop an attack that is about to score, what happens?")</f>
        <v>If a player commits a foul to stop an attack that is about to score, what happens?</v>
      </c>
      <c r="H266" s="3" t="str">
        <f>IFERROR(__xludf.DUMMYFUNCTION("GOOGLETRANSLATE(C266, ""it"", ""en"")"),"A. The game is stopped B. The player receives a red card C. The opposing team earns a free kick D. The game continues")</f>
        <v>A. The game is stopped B. The player receives a red card C. The opposing team earns a free kick D. The game continues</v>
      </c>
      <c r="I266" s="3" t="str">
        <f>IFERROR(__xludf.DUMMYFUNCTION("GOOGLETRANSLATE(D266, ""it"", ""en"")"),"The game is stopped")</f>
        <v>The game is stopped</v>
      </c>
      <c r="J266" s="2"/>
      <c r="K266" s="2"/>
      <c r="L266" s="2"/>
      <c r="M266" s="2"/>
      <c r="N266" s="2"/>
      <c r="O266" s="2"/>
      <c r="P266" s="2"/>
      <c r="Q266" s="2"/>
    </row>
    <row r="267" ht="22.5" customHeight="1">
      <c r="A267" s="3">
        <v>266.0</v>
      </c>
      <c r="B267" s="3" t="s">
        <v>453</v>
      </c>
      <c r="C267" s="3" t="s">
        <v>139</v>
      </c>
      <c r="D267" s="3" t="s">
        <v>18</v>
      </c>
      <c r="E267" s="2"/>
      <c r="F267" s="3" t="str">
        <f>IFERROR(__xludf.DUMMYFUNCTION("GOOGLETRANSLATE(A267, ""it"", ""en"")"),"266")</f>
        <v>266</v>
      </c>
      <c r="G267" s="3" t="str">
        <f>IFERROR(__xludf.DUMMYFUNCTION("GOOGLETRANSLATE(B267, ""it"", ""en"")"),"What happens if a player commits a foul during a quick restart?")</f>
        <v>What happens if a player commits a foul during a quick restart?</v>
      </c>
      <c r="H267" s="3" t="str">
        <f>IFERROR(__xludf.DUMMYFUNCTION("GOOGLETRANSLATE(C267, ""it"", ""en"")"),"A. The opposing team earns a free kick B. The game is stopped C. The player receives a yellow card D. The game continues")</f>
        <v>A. The opposing team earns a free kick B. The game is stopped C. The player receives a yellow card D. The game continues</v>
      </c>
      <c r="I267" s="3" t="str">
        <f>IFERROR(__xludf.DUMMYFUNCTION("GOOGLETRANSLATE(D267, ""it"", ""en"")"),"The game is stopped")</f>
        <v>The game is stopped</v>
      </c>
      <c r="J267" s="2"/>
      <c r="K267" s="2"/>
      <c r="L267" s="2"/>
      <c r="M267" s="2"/>
      <c r="N267" s="2"/>
      <c r="O267" s="2"/>
      <c r="P267" s="2"/>
      <c r="Q267" s="2"/>
    </row>
    <row r="268" ht="22.5" customHeight="1">
      <c r="A268" s="3">
        <v>267.0</v>
      </c>
      <c r="B268" s="3" t="s">
        <v>454</v>
      </c>
      <c r="C268" s="3" t="s">
        <v>122</v>
      </c>
      <c r="D268" s="3" t="s">
        <v>12</v>
      </c>
      <c r="E268" s="2"/>
      <c r="F268" s="3" t="str">
        <f>IFERROR(__xludf.DUMMYFUNCTION("GOOGLETRANSLATE(A268, ""it"", ""en"")"),"267")</f>
        <v>267</v>
      </c>
      <c r="G268" s="3" t="str">
        <f>IFERROR(__xludf.DUMMYFUNCTION("GOOGLETRANSLATE(B268, ""it"", ""en"")"),"If a player makes a forward pass and another player intercepts it, what happens?")</f>
        <v>If a player makes a forward pass and another player intercepts it, what happens?</v>
      </c>
      <c r="H268" s="3" t="str">
        <f>IFERROR(__xludf.DUMMYFUNCTION("GOOGLETRANSLATE(C268, ""it"", ""en"")"),"A. The game continues B. The opposing team wins the ball C. The game is stopped D. The player receives a red card")</f>
        <v>A. The game continues B. The opposing team wins the ball C. The game is stopped D. The player receives a red card</v>
      </c>
      <c r="I268" s="3" t="str">
        <f>IFERROR(__xludf.DUMMYFUNCTION("GOOGLETRANSLATE(D268, ""it"", ""en"")"),"The game continues")</f>
        <v>The game continues</v>
      </c>
      <c r="J268" s="2"/>
      <c r="K268" s="2"/>
      <c r="L268" s="2"/>
      <c r="M268" s="2"/>
      <c r="N268" s="2"/>
      <c r="O268" s="2"/>
      <c r="P268" s="2"/>
      <c r="Q268" s="2"/>
    </row>
    <row r="269" ht="22.5" customHeight="1">
      <c r="A269" s="3">
        <v>268.0</v>
      </c>
      <c r="B269" s="3" t="s">
        <v>455</v>
      </c>
      <c r="C269" s="3" t="s">
        <v>456</v>
      </c>
      <c r="D269" s="3" t="s">
        <v>18</v>
      </c>
      <c r="E269" s="2"/>
      <c r="F269" s="3" t="str">
        <f>IFERROR(__xludf.DUMMYFUNCTION("GOOGLETRANSLATE(A269, ""it"", ""en"")"),"268")</f>
        <v>268</v>
      </c>
      <c r="G269" s="3" t="str">
        <f>IFERROR(__xludf.DUMMYFUNCTION("GOOGLETRANSLATE(B269, ""it"", ""en"")"),"What happens if a player is cautioned during play?")</f>
        <v>What happens if a player is cautioned during play?</v>
      </c>
      <c r="H269" s="3" t="str">
        <f>IFERROR(__xludf.DUMMYFUNCTION("GOOGLETRANSLATE(C269, ""it"", ""en"")"),"A. The game continues B. The player is cautioned C. The game is stopped D. The opposing team earns a free kick")</f>
        <v>A. The game continues B. The player is cautioned C. The game is stopped D. The opposing team earns a free kick</v>
      </c>
      <c r="I269" s="3" t="str">
        <f>IFERROR(__xludf.DUMMYFUNCTION("GOOGLETRANSLATE(D269, ""it"", ""en"")"),"The game is stopped")</f>
        <v>The game is stopped</v>
      </c>
      <c r="J269" s="2"/>
      <c r="K269" s="2"/>
      <c r="L269" s="2"/>
      <c r="M269" s="2"/>
      <c r="N269" s="2"/>
      <c r="O269" s="2"/>
      <c r="P269" s="2"/>
      <c r="Q269" s="2"/>
    </row>
    <row r="270" ht="22.5" customHeight="1">
      <c r="A270" s="3">
        <v>269.0</v>
      </c>
      <c r="B270" s="3" t="s">
        <v>457</v>
      </c>
      <c r="C270" s="3" t="s">
        <v>345</v>
      </c>
      <c r="D270" s="3" t="s">
        <v>18</v>
      </c>
      <c r="E270" s="2"/>
      <c r="F270" s="3" t="str">
        <f>IFERROR(__xludf.DUMMYFUNCTION("GOOGLETRANSLATE(A270, ""it"", ""en"")"),"269")</f>
        <v>269</v>
      </c>
      <c r="G270" s="3" t="str">
        <f>IFERROR(__xludf.DUMMYFUNCTION("GOOGLETRANSLATE(B270, ""it"", ""en"")"),"What happens if a player has the ball but is pushed out of bounds?")</f>
        <v>What happens if a player has the ball but is pushed out of bounds?</v>
      </c>
      <c r="H270" s="3" t="str">
        <f>IFERROR(__xludf.DUMMYFUNCTION("GOOGLETRANSLATE(C270, ""it"", ""en"")"),"A. The opposing team wins the ball B. The game is stopped C. The game continues D. The player receives a red card")</f>
        <v>A. The opposing team wins the ball B. The game is stopped C. The game continues D. The player receives a red card</v>
      </c>
      <c r="I270" s="3" t="str">
        <f>IFERROR(__xludf.DUMMYFUNCTION("GOOGLETRANSLATE(D270, ""it"", ""en"")"),"The game is stopped")</f>
        <v>The game is stopped</v>
      </c>
      <c r="J270" s="2"/>
      <c r="K270" s="2"/>
      <c r="L270" s="2"/>
      <c r="M270" s="2"/>
      <c r="N270" s="2"/>
      <c r="O270" s="2"/>
      <c r="P270" s="2"/>
      <c r="Q270" s="2"/>
    </row>
    <row r="271" ht="22.5" customHeight="1">
      <c r="A271" s="3">
        <v>270.0</v>
      </c>
      <c r="B271" s="3" t="s">
        <v>458</v>
      </c>
      <c r="C271" s="3" t="s">
        <v>459</v>
      </c>
      <c r="D271" s="3" t="s">
        <v>18</v>
      </c>
      <c r="E271" s="2"/>
      <c r="F271" s="3" t="str">
        <f>IFERROR(__xludf.DUMMYFUNCTION("GOOGLETRANSLATE(A271, ""it"", ""en"")"),"270")</f>
        <v>270</v>
      </c>
      <c r="G271" s="3" t="str">
        <f>IFERROR(__xludf.DUMMYFUNCTION("GOOGLETRANSLATE(B271, ""it"", ""en"")"),"What happens if a player kicks a ball that hits the post but doesn't go into the goal?")</f>
        <v>What happens if a player kicks a ball that hits the post but doesn't go into the goal?</v>
      </c>
      <c r="H271" s="3" t="str">
        <f>IFERROR(__xludf.DUMMYFUNCTION("GOOGLETRANSLATE(C271, ""it"", ""en"")"),"A. The game continues B. The game is stopped C. The game restarts with the goalkeeper D. The opposing team wins the ball")</f>
        <v>A. The game continues B. The game is stopped C. The game restarts with the goalkeeper D. The opposing team wins the ball</v>
      </c>
      <c r="I271" s="3" t="str">
        <f>IFERROR(__xludf.DUMMYFUNCTION("GOOGLETRANSLATE(D271, ""it"", ""en"")"),"The game is stopped")</f>
        <v>The game is stopped</v>
      </c>
      <c r="J271" s="2"/>
      <c r="K271" s="2"/>
      <c r="L271" s="2"/>
      <c r="M271" s="2"/>
      <c r="N271" s="2"/>
      <c r="O271" s="2"/>
      <c r="P271" s="2"/>
      <c r="Q271" s="2"/>
    </row>
    <row r="272" ht="22.5" customHeight="1">
      <c r="A272" s="3">
        <v>271.0</v>
      </c>
      <c r="B272" s="3" t="s">
        <v>460</v>
      </c>
      <c r="C272" s="3" t="s">
        <v>461</v>
      </c>
      <c r="D272" s="3" t="s">
        <v>18</v>
      </c>
      <c r="E272" s="2"/>
      <c r="F272" s="3" t="str">
        <f>IFERROR(__xludf.DUMMYFUNCTION("GOOGLETRANSLATE(A272, ""it"", ""en"")"),"271")</f>
        <v>271</v>
      </c>
      <c r="G272" s="3" t="str">
        <f>IFERROR(__xludf.DUMMYFUNCTION("GOOGLETRANSLATE(B272, ""it"", ""en"")"),"What happens if a player scores a goal with a header?")</f>
        <v>What happens if a player scores a goal with a header?</v>
      </c>
      <c r="H272" s="3" t="str">
        <f>IFERROR(__xludf.DUMMYFUNCTION("GOOGLETRANSLATE(C272, ""it"", ""en"")"),"A. The goal is validated B. The goal is not validated C. The game continues D. The goal is disallowed")</f>
        <v>A. The goal is validated B. The goal is not validated C. The game continues D. The goal is disallowed</v>
      </c>
      <c r="I272" s="3" t="str">
        <f>IFERROR(__xludf.DUMMYFUNCTION("GOOGLETRANSLATE(D272, ""it"", ""en"")"),"The game is stopped")</f>
        <v>The game is stopped</v>
      </c>
      <c r="J272" s="2"/>
      <c r="K272" s="2"/>
      <c r="L272" s="2"/>
      <c r="M272" s="2"/>
      <c r="N272" s="2"/>
      <c r="O272" s="2"/>
      <c r="P272" s="2"/>
      <c r="Q272" s="2"/>
    </row>
    <row r="273" ht="22.5" customHeight="1">
      <c r="A273" s="3">
        <v>272.0</v>
      </c>
      <c r="B273" s="3" t="s">
        <v>462</v>
      </c>
      <c r="C273" s="3" t="s">
        <v>331</v>
      </c>
      <c r="D273" s="3" t="s">
        <v>18</v>
      </c>
      <c r="E273" s="2"/>
      <c r="F273" s="3" t="str">
        <f>IFERROR(__xludf.DUMMYFUNCTION("GOOGLETRANSLATE(A273, ""it"", ""en"")"),"272")</f>
        <v>272</v>
      </c>
      <c r="G273" s="3" t="str">
        <f>IFERROR(__xludf.DUMMYFUNCTION("GOOGLETRANSLATE(B273, ""it"", ""en"")"),"What happens if a player touches the ball with his foot while sliding?")</f>
        <v>What happens if a player touches the ball with his foot while sliding?</v>
      </c>
      <c r="H273" s="3" t="str">
        <f>IFERROR(__xludf.DUMMYFUNCTION("GOOGLETRANSLATE(C273, ""it"", ""en"")"),"A. The game continues B. The game is stopped C. The player receives a red card D. The opposing team earns a free kick")</f>
        <v>A. The game continues B. The game is stopped C. The player receives a red card D. The opposing team earns a free kick</v>
      </c>
      <c r="I273" s="3" t="str">
        <f>IFERROR(__xludf.DUMMYFUNCTION("GOOGLETRANSLATE(D273, ""it"", ""en"")"),"The game is stopped")</f>
        <v>The game is stopped</v>
      </c>
      <c r="J273" s="2"/>
      <c r="K273" s="2"/>
      <c r="L273" s="2"/>
      <c r="M273" s="2"/>
      <c r="N273" s="2"/>
      <c r="O273" s="2"/>
      <c r="P273" s="2"/>
      <c r="Q273" s="2"/>
    </row>
    <row r="274" ht="22.5" customHeight="1">
      <c r="A274" s="3">
        <v>273.0</v>
      </c>
      <c r="B274" s="3" t="s">
        <v>463</v>
      </c>
      <c r="C274" s="3" t="s">
        <v>464</v>
      </c>
      <c r="D274" s="3" t="s">
        <v>123</v>
      </c>
      <c r="E274" s="2"/>
      <c r="F274" s="3" t="str">
        <f>IFERROR(__xludf.DUMMYFUNCTION("GOOGLETRANSLATE(A274, ""it"", ""en"")"),"273")</f>
        <v>273</v>
      </c>
      <c r="G274" s="3" t="str">
        <f>IFERROR(__xludf.DUMMYFUNCTION("GOOGLETRANSLATE(B274, ""it"", ""en"")"),"What happens if a player kicks the ball out of bounds during a defensive play?")</f>
        <v>What happens if a player kicks the ball out of bounds during a defensive play?</v>
      </c>
      <c r="H274" s="3" t="str">
        <f>IFERROR(__xludf.DUMMYFUNCTION("GOOGLETRANSLATE(C274, ""it"", ""en"")"),"A. The opposing team earns a corner kick B. The game continues C. The game is stopped D. The game continues")</f>
        <v>A. The opposing team earns a corner kick B. The game continues C. The game is stopped D. The game continues</v>
      </c>
      <c r="I274" s="3" t="str">
        <f>IFERROR(__xludf.DUMMYFUNCTION("GOOGLETRANSLATE(D274, ""it"", ""en"")"),"The opposing team wins the ball")</f>
        <v>The opposing team wins the ball</v>
      </c>
      <c r="J274" s="2"/>
      <c r="K274" s="2"/>
      <c r="L274" s="2"/>
      <c r="M274" s="2"/>
      <c r="N274" s="2"/>
      <c r="O274" s="2"/>
      <c r="P274" s="2"/>
      <c r="Q274" s="2"/>
    </row>
    <row r="275" ht="22.5" customHeight="1">
      <c r="A275" s="3">
        <v>274.0</v>
      </c>
      <c r="B275" s="3" t="s">
        <v>465</v>
      </c>
      <c r="C275" s="3" t="s">
        <v>193</v>
      </c>
      <c r="D275" s="3" t="s">
        <v>18</v>
      </c>
      <c r="E275" s="2"/>
      <c r="F275" s="3" t="str">
        <f>IFERROR(__xludf.DUMMYFUNCTION("GOOGLETRANSLATE(A275, ""it"", ""en"")"),"274")</f>
        <v>274</v>
      </c>
      <c r="G275" s="3" t="str">
        <f>IFERROR(__xludf.DUMMYFUNCTION("GOOGLETRANSLATE(B275, ""it"", ""en"")"),"What happens if a player picks up the ball with his hand during a defensive phase?")</f>
        <v>What happens if a player picks up the ball with his hand during a defensive phase?</v>
      </c>
      <c r="H275" s="3" t="str">
        <f>IFERROR(__xludf.DUMMYFUNCTION("GOOGLETRANSLATE(C275, ""it"", ""en"")"),"A. The game is stopped B. The player receives a yellow card C. The opposing team earns a free kick D. The game continues")</f>
        <v>A. The game is stopped B. The player receives a yellow card C. The opposing team earns a free kick D. The game continues</v>
      </c>
      <c r="I275" s="3" t="str">
        <f>IFERROR(__xludf.DUMMYFUNCTION("GOOGLETRANSLATE(D275, ""it"", ""en"")"),"The game is stopped")</f>
        <v>The game is stopped</v>
      </c>
      <c r="J275" s="2"/>
      <c r="K275" s="2"/>
      <c r="L275" s="2"/>
      <c r="M275" s="2"/>
      <c r="N275" s="2"/>
      <c r="O275" s="2"/>
      <c r="P275" s="2"/>
      <c r="Q275" s="2"/>
    </row>
    <row r="276" ht="22.5" customHeight="1">
      <c r="A276" s="3">
        <v>275.0</v>
      </c>
      <c r="B276" s="3" t="s">
        <v>466</v>
      </c>
      <c r="C276" s="3" t="s">
        <v>103</v>
      </c>
      <c r="D276" s="3" t="s">
        <v>18</v>
      </c>
      <c r="E276" s="2"/>
      <c r="F276" s="3" t="str">
        <f>IFERROR(__xludf.DUMMYFUNCTION("GOOGLETRANSLATE(A276, ""it"", ""en"")"),"275")</f>
        <v>275</v>
      </c>
      <c r="G276" s="3" t="str">
        <f>IFERROR(__xludf.DUMMYFUNCTION("GOOGLETRANSLATE(B276, ""it"", ""en"")"),"What happens if a player commits a foul and is sent off?")</f>
        <v>What happens if a player commits a foul and is sent off?</v>
      </c>
      <c r="H276" s="3" t="str">
        <f>IFERROR(__xludf.DUMMYFUNCTION("GOOGLETRANSLATE(C276, ""it"", ""en"")"),"A. The game continues B. The opposing team earns a free kick C. The game is stopped D. The player receives a red card")</f>
        <v>A. The game continues B. The opposing team earns a free kick C. The game is stopped D. The player receives a red card</v>
      </c>
      <c r="I276" s="3" t="str">
        <f>IFERROR(__xludf.DUMMYFUNCTION("GOOGLETRANSLATE(D276, ""it"", ""en"")"),"The game is stopped")</f>
        <v>The game is stopped</v>
      </c>
      <c r="J276" s="2"/>
      <c r="K276" s="2"/>
      <c r="L276" s="2"/>
      <c r="M276" s="2"/>
      <c r="N276" s="2"/>
      <c r="O276" s="2"/>
      <c r="P276" s="2"/>
      <c r="Q276" s="2"/>
    </row>
    <row r="277" ht="22.5" customHeight="1">
      <c r="A277" s="3">
        <v>276.0</v>
      </c>
      <c r="B277" s="3" t="s">
        <v>467</v>
      </c>
      <c r="C277" s="3" t="s">
        <v>468</v>
      </c>
      <c r="D277" s="3" t="s">
        <v>12</v>
      </c>
      <c r="E277" s="2"/>
      <c r="F277" s="3" t="str">
        <f>IFERROR(__xludf.DUMMYFUNCTION("GOOGLETRANSLATE(A277, ""it"", ""en"")"),"276")</f>
        <v>276</v>
      </c>
      <c r="G277" s="3" t="str">
        <f>IFERROR(__xludf.DUMMYFUNCTION("GOOGLETRANSLATE(B277, ""it"", ""en"")"),"What happens if a player passes to a teammate who is out of position?")</f>
        <v>What happens if a player passes to a teammate who is out of position?</v>
      </c>
      <c r="H277" s="3" t="str">
        <f>IFERROR(__xludf.DUMMYFUNCTION("GOOGLETRANSLATE(C277, ""it"", ""en"")"),"A. The game is stopped B. The pass is disallowed C. The game continues D. The opposing team gains the ball")</f>
        <v>A. The game is stopped B. The pass is disallowed C. The game continues D. The opposing team gains the ball</v>
      </c>
      <c r="I277" s="3" t="str">
        <f>IFERROR(__xludf.DUMMYFUNCTION("GOOGLETRANSLATE(D277, ""it"", ""en"")"),"The game continues")</f>
        <v>The game continues</v>
      </c>
      <c r="J277" s="2"/>
      <c r="K277" s="2"/>
      <c r="L277" s="2"/>
      <c r="M277" s="2"/>
      <c r="N277" s="2"/>
      <c r="O277" s="2"/>
      <c r="P277" s="2"/>
      <c r="Q277" s="2"/>
    </row>
    <row r="278" ht="22.5" customHeight="1">
      <c r="A278" s="3">
        <v>277.0</v>
      </c>
      <c r="B278" s="3" t="s">
        <v>469</v>
      </c>
      <c r="C278" s="3" t="s">
        <v>470</v>
      </c>
      <c r="D278" s="3" t="s">
        <v>471</v>
      </c>
      <c r="E278" s="2"/>
      <c r="F278" s="3" t="str">
        <f>IFERROR(__xludf.DUMMYFUNCTION("GOOGLETRANSLATE(A278, ""it"", ""en"")"),"277")</f>
        <v>277</v>
      </c>
      <c r="G278" s="3" t="str">
        <f>IFERROR(__xludf.DUMMYFUNCTION("GOOGLETRANSLATE(B278, ""it"", ""en"")"),"If a player takes a free kick directly at goal and scores, what happens?")</f>
        <v>If a player takes a free kick directly at goal and scores, what happens?</v>
      </c>
      <c r="H278" s="3" t="str">
        <f>IFERROR(__xludf.DUMMYFUNCTION("GOOGLETRANSLATE(C278, ""it"", ""en"")"),"A. The goal is validated B. The goal is not validated C. The game is stopped D. The opposing team earns a free kick")</f>
        <v>A. The goal is validated B. The goal is not validated C. The game is stopped D. The opposing team earns a free kick</v>
      </c>
      <c r="I278" s="3" t="str">
        <f>IFERROR(__xludf.DUMMYFUNCTION("GOOGLETRANSLATE(D278, ""it"", ""en"")"),"The goal is disallowed")</f>
        <v>The goal is disallowed</v>
      </c>
      <c r="J278" s="2"/>
      <c r="K278" s="2"/>
      <c r="L278" s="2"/>
      <c r="M278" s="2"/>
      <c r="N278" s="2"/>
      <c r="O278" s="2"/>
      <c r="P278" s="2"/>
      <c r="Q278" s="2"/>
    </row>
    <row r="279" ht="22.5" customHeight="1">
      <c r="A279" s="3">
        <v>278.0</v>
      </c>
      <c r="B279" s="3" t="s">
        <v>472</v>
      </c>
      <c r="C279" s="3" t="s">
        <v>290</v>
      </c>
      <c r="D279" s="3" t="s">
        <v>111</v>
      </c>
      <c r="E279" s="2"/>
      <c r="F279" s="3" t="str">
        <f>IFERROR(__xludf.DUMMYFUNCTION("GOOGLETRANSLATE(A279, ""it"", ""en"")"),"278")</f>
        <v>278</v>
      </c>
      <c r="G279" s="3" t="str">
        <f>IFERROR(__xludf.DUMMYFUNCTION("GOOGLETRANSLATE(B279, ""it"", ""en"")"),"What happens if a player is cautioned for unsporting behavior?")</f>
        <v>What happens if a player is cautioned for unsporting behavior?</v>
      </c>
      <c r="H279" s="3" t="str">
        <f>IFERROR(__xludf.DUMMYFUNCTION("GOOGLETRANSLATE(C279, ""it"", ""en"")"),"A. The game continues B. The player receives a red card C. The game is stopped D. The game continues")</f>
        <v>A. The game continues B. The player receives a red card C. The game is stopped D. The game continues</v>
      </c>
      <c r="I279" s="3" t="str">
        <f>IFERROR(__xludf.DUMMYFUNCTION("GOOGLETRANSLATE(D279, ""it"", ""en"")"),"The opposing team earns a free kick")</f>
        <v>The opposing team earns a free kick</v>
      </c>
      <c r="J279" s="2"/>
      <c r="K279" s="2"/>
      <c r="L279" s="2"/>
      <c r="M279" s="2"/>
      <c r="N279" s="2"/>
      <c r="O279" s="2"/>
      <c r="P279" s="2"/>
      <c r="Q279" s="2"/>
    </row>
    <row r="280" ht="22.5" customHeight="1">
      <c r="A280" s="3">
        <v>279.0</v>
      </c>
      <c r="B280" s="3" t="s">
        <v>162</v>
      </c>
      <c r="C280" s="3" t="s">
        <v>110</v>
      </c>
      <c r="D280" s="3" t="s">
        <v>18</v>
      </c>
      <c r="E280" s="2"/>
      <c r="F280" s="3" t="str">
        <f>IFERROR(__xludf.DUMMYFUNCTION("GOOGLETRANSLATE(A280, ""it"", ""en"")"),"279")</f>
        <v>279</v>
      </c>
      <c r="G280" s="3" t="str">
        <f>IFERROR(__xludf.DUMMYFUNCTION("GOOGLETRANSLATE(B280, ""it"", ""en"")"),"What happens if a player fouls an opponent from behind?")</f>
        <v>What happens if a player fouls an opponent from behind?</v>
      </c>
      <c r="H280" s="3" t="str">
        <f>IFERROR(__xludf.DUMMYFUNCTION("GOOGLETRANSLATE(C280, ""it"", ""en"")"),"A. The game is stopped B. The player receives a red card C. The opposing team earns a free kick D. The game continues")</f>
        <v>A. The game is stopped B. The player receives a red card C. The opposing team earns a free kick D. The game continues</v>
      </c>
      <c r="I280" s="3" t="str">
        <f>IFERROR(__xludf.DUMMYFUNCTION("GOOGLETRANSLATE(D280, ""it"", ""en"")"),"The game is stopped")</f>
        <v>The game is stopped</v>
      </c>
      <c r="J280" s="2"/>
      <c r="K280" s="2"/>
      <c r="L280" s="2"/>
      <c r="M280" s="2"/>
      <c r="N280" s="2"/>
      <c r="O280" s="2"/>
      <c r="P280" s="2"/>
      <c r="Q280" s="2"/>
    </row>
    <row r="281" ht="22.5" customHeight="1">
      <c r="A281" s="3">
        <v>280.0</v>
      </c>
      <c r="B281" s="3" t="s">
        <v>473</v>
      </c>
      <c r="C281" s="3" t="s">
        <v>474</v>
      </c>
      <c r="D281" s="3" t="s">
        <v>18</v>
      </c>
      <c r="E281" s="2"/>
      <c r="F281" s="3" t="str">
        <f>IFERROR(__xludf.DUMMYFUNCTION("GOOGLETRANSLATE(A281, ""it"", ""en"")"),"280")</f>
        <v>280</v>
      </c>
      <c r="G281" s="3" t="str">
        <f>IFERROR(__xludf.DUMMYFUNCTION("GOOGLETRANSLATE(B281, ""it"", ""en"")"),"What happens if a player kicks a ball over the goal line?")</f>
        <v>What happens if a player kicks a ball over the goal line?</v>
      </c>
      <c r="H281" s="3" t="str">
        <f>IFERROR(__xludf.DUMMYFUNCTION("GOOGLETRANSLATE(C281, ""it"", ""en"")"),"A. The opposing team earns a corner kick B. The game is stopped C. The opposing team wins the ball D. The game continues")</f>
        <v>A. The opposing team earns a corner kick B. The game is stopped C. The opposing team wins the ball D. The game continues</v>
      </c>
      <c r="I281" s="3" t="str">
        <f>IFERROR(__xludf.DUMMYFUNCTION("GOOGLETRANSLATE(D281, ""it"", ""en"")"),"The game is stopped")</f>
        <v>The game is stopped</v>
      </c>
      <c r="J281" s="2"/>
      <c r="K281" s="2"/>
      <c r="L281" s="2"/>
      <c r="M281" s="2"/>
      <c r="N281" s="2"/>
      <c r="O281" s="2"/>
      <c r="P281" s="2"/>
      <c r="Q281" s="2"/>
    </row>
    <row r="282" ht="22.5" customHeight="1">
      <c r="A282" s="3">
        <v>281.0</v>
      </c>
      <c r="B282" s="3" t="s">
        <v>475</v>
      </c>
      <c r="C282" s="3" t="s">
        <v>476</v>
      </c>
      <c r="D282" s="3" t="s">
        <v>18</v>
      </c>
      <c r="E282" s="2"/>
      <c r="F282" s="3" t="str">
        <f>IFERROR(__xludf.DUMMYFUNCTION("GOOGLETRANSLATE(A282, ""it"", ""en"")"),"281")</f>
        <v>281</v>
      </c>
      <c r="G282" s="3" t="str">
        <f>IFERROR(__xludf.DUMMYFUNCTION("GOOGLETRANSLATE(B282, ""it"", ""en"")"),"What happens if a player is in an offside position when the pass is made?")</f>
        <v>What happens if a player is in an offside position when the pass is made?</v>
      </c>
      <c r="H282" s="3" t="str">
        <f>IFERROR(__xludf.DUMMYFUNCTION("GOOGLETRANSLATE(C282, ""it"", ""en"")"),"A. The game is stopped B. The player receives a yellow card C. The opposing team wins the ball D. The game continues")</f>
        <v>A. The game is stopped B. The player receives a yellow card C. The opposing team wins the ball D. The game continues</v>
      </c>
      <c r="I282" s="3" t="str">
        <f>IFERROR(__xludf.DUMMYFUNCTION("GOOGLETRANSLATE(D282, ""it"", ""en"")"),"The game is stopped")</f>
        <v>The game is stopped</v>
      </c>
      <c r="J282" s="2"/>
      <c r="K282" s="2"/>
      <c r="L282" s="2"/>
      <c r="M282" s="2"/>
      <c r="N282" s="2"/>
      <c r="O282" s="2"/>
      <c r="P282" s="2"/>
      <c r="Q282" s="2"/>
    </row>
    <row r="283" ht="22.5" customHeight="1">
      <c r="A283" s="3">
        <v>282.0</v>
      </c>
      <c r="B283" s="3" t="s">
        <v>477</v>
      </c>
      <c r="C283" s="3" t="s">
        <v>155</v>
      </c>
      <c r="D283" s="3" t="s">
        <v>18</v>
      </c>
      <c r="E283" s="2"/>
      <c r="F283" s="3" t="str">
        <f>IFERROR(__xludf.DUMMYFUNCTION("GOOGLETRANSLATE(A283, ""it"", ""en"")"),"282")</f>
        <v>282</v>
      </c>
      <c r="G283" s="3" t="str">
        <f>IFERROR(__xludf.DUMMYFUNCTION("GOOGLETRANSLATE(B283, ""it"", ""en"")"),"What happens if a player throws the ball out of bounds after the referee blows his whistle?")</f>
        <v>What happens if a player throws the ball out of bounds after the referee blows his whistle?</v>
      </c>
      <c r="H283" s="3" t="str">
        <f>IFERROR(__xludf.DUMMYFUNCTION("GOOGLETRANSLATE(C283, ""it"", ""en"")"),"A. The game is stopped B. The player receives a yellow card C. The game continues D. The opposing team earns a free kick")</f>
        <v>A. The game is stopped B. The player receives a yellow card C. The game continues D. The opposing team earns a free kick</v>
      </c>
      <c r="I283" s="3" t="str">
        <f>IFERROR(__xludf.DUMMYFUNCTION("GOOGLETRANSLATE(D283, ""it"", ""en"")"),"The game is stopped")</f>
        <v>The game is stopped</v>
      </c>
      <c r="J283" s="2"/>
      <c r="K283" s="2"/>
      <c r="L283" s="2"/>
      <c r="M283" s="2"/>
      <c r="N283" s="2"/>
      <c r="O283" s="2"/>
      <c r="P283" s="2"/>
      <c r="Q283" s="2"/>
    </row>
    <row r="284" ht="22.5" customHeight="1">
      <c r="A284" s="3">
        <v>283.0</v>
      </c>
      <c r="B284" s="3" t="s">
        <v>478</v>
      </c>
      <c r="C284" s="3" t="s">
        <v>479</v>
      </c>
      <c r="D284" s="3" t="s">
        <v>18</v>
      </c>
      <c r="E284" s="2"/>
      <c r="F284" s="3" t="str">
        <f>IFERROR(__xludf.DUMMYFUNCTION("GOOGLETRANSLATE(A284, ""it"", ""en"")"),"283")</f>
        <v>283</v>
      </c>
      <c r="G284" s="3" t="str">
        <f>IFERROR(__xludf.DUMMYFUNCTION("GOOGLETRANSLATE(B284, ""it"", ""en"")"),"What happens if a player fouls an opponent during a game?")</f>
        <v>What happens if a player fouls an opponent during a game?</v>
      </c>
      <c r="H284" s="3" t="str">
        <f>IFERROR(__xludf.DUMMYFUNCTION("GOOGLETRANSLATE(C284, ""it"", ""en"")"),"A. The game is stopped B. The opposing team earns a free kick C. The player receives a yellow card D. The game continues")</f>
        <v>A. The game is stopped B. The opposing team earns a free kick C. The player receives a yellow card D. The game continues</v>
      </c>
      <c r="I284" s="3" t="str">
        <f>IFERROR(__xludf.DUMMYFUNCTION("GOOGLETRANSLATE(D284, ""it"", ""en"")"),"The game is stopped")</f>
        <v>The game is stopped</v>
      </c>
      <c r="J284" s="2"/>
      <c r="K284" s="2"/>
      <c r="L284" s="2"/>
      <c r="M284" s="2"/>
      <c r="N284" s="2"/>
      <c r="O284" s="2"/>
      <c r="P284" s="2"/>
      <c r="Q284" s="2"/>
    </row>
    <row r="285" ht="22.5" customHeight="1">
      <c r="A285" s="3">
        <v>284.0</v>
      </c>
      <c r="B285" s="3" t="s">
        <v>480</v>
      </c>
      <c r="C285" s="3" t="s">
        <v>217</v>
      </c>
      <c r="D285" s="3" t="s">
        <v>12</v>
      </c>
      <c r="E285" s="2"/>
      <c r="F285" s="3" t="str">
        <f>IFERROR(__xludf.DUMMYFUNCTION("GOOGLETRANSLATE(A285, ""it"", ""en"")"),"284")</f>
        <v>284</v>
      </c>
      <c r="G285" s="3" t="str">
        <f>IFERROR(__xludf.DUMMYFUNCTION("GOOGLETRANSLATE(B285, ""it"", ""en"")"),"What happens if a player passes to a teammate but the ball goes out of bounds?")</f>
        <v>What happens if a player passes to a teammate but the ball goes out of bounds?</v>
      </c>
      <c r="H285" s="3" t="str">
        <f>IFERROR(__xludf.DUMMYFUNCTION("GOOGLETRANSLATE(C285, ""it"", ""en"")"),"A. The game is stopped B. The opposing team wins the ball C. The game continues D. The player receives a red card")</f>
        <v>A. The game is stopped B. The opposing team wins the ball C. The game continues D. The player receives a red card</v>
      </c>
      <c r="I285" s="3" t="str">
        <f>IFERROR(__xludf.DUMMYFUNCTION("GOOGLETRANSLATE(D285, ""it"", ""en"")"),"The game continues")</f>
        <v>The game continues</v>
      </c>
      <c r="J285" s="2"/>
      <c r="K285" s="2"/>
      <c r="L285" s="2"/>
      <c r="M285" s="2"/>
      <c r="N285" s="2"/>
      <c r="O285" s="2"/>
      <c r="P285" s="2"/>
      <c r="Q285" s="2"/>
    </row>
    <row r="286" ht="22.5" customHeight="1">
      <c r="A286" s="3">
        <v>285.0</v>
      </c>
      <c r="B286" s="3" t="s">
        <v>481</v>
      </c>
      <c r="C286" s="3" t="s">
        <v>482</v>
      </c>
      <c r="D286" s="3" t="s">
        <v>12</v>
      </c>
      <c r="E286" s="2"/>
      <c r="F286" s="3" t="str">
        <f>IFERROR(__xludf.DUMMYFUNCTION("GOOGLETRANSLATE(A286, ""it"", ""en"")"),"285")</f>
        <v>285</v>
      </c>
      <c r="G286" s="3" t="str">
        <f>IFERROR(__xludf.DUMMYFUNCTION("GOOGLETRANSLATE(B286, ""it"", ""en"")"),"If a player chases an opponent who has the ball and tackles him without committing a foul, what happens?")</f>
        <v>If a player chases an opponent who has the ball and tackles him without committing a foul, what happens?</v>
      </c>
      <c r="H286" s="3" t="str">
        <f>IFERROR(__xludf.DUMMYFUNCTION("GOOGLETRANSLATE(C286, ""it"", ""en"")"),"A. The game continues B. The player receives a red card C. The opposing team wins the ball D. The game is stopped")</f>
        <v>A. The game continues B. The player receives a red card C. The opposing team wins the ball D. The game is stopped</v>
      </c>
      <c r="I286" s="3" t="str">
        <f>IFERROR(__xludf.DUMMYFUNCTION("GOOGLETRANSLATE(D286, ""it"", ""en"")"),"The game continues")</f>
        <v>The game continues</v>
      </c>
      <c r="J286" s="2"/>
      <c r="K286" s="2"/>
      <c r="L286" s="2"/>
      <c r="M286" s="2"/>
      <c r="N286" s="2"/>
      <c r="O286" s="2"/>
      <c r="P286" s="2"/>
      <c r="Q286" s="2"/>
    </row>
    <row r="287" ht="22.5" customHeight="1">
      <c r="A287" s="3">
        <v>286.0</v>
      </c>
      <c r="B287" s="3" t="s">
        <v>483</v>
      </c>
      <c r="C287" s="3" t="s">
        <v>110</v>
      </c>
      <c r="D287" s="3" t="s">
        <v>18</v>
      </c>
      <c r="E287" s="2"/>
      <c r="F287" s="3" t="str">
        <f>IFERROR(__xludf.DUMMYFUNCTION("GOOGLETRANSLATE(A287, ""it"", ""en"")"),"286")</f>
        <v>286</v>
      </c>
      <c r="G287" s="3" t="str">
        <f>IFERROR(__xludf.DUMMYFUNCTION("GOOGLETRANSLATE(B287, ""it"", ""en"")"),"What happens if a player makes a pass and the opponent intercepts it illegally?")</f>
        <v>What happens if a player makes a pass and the opponent intercepts it illegally?</v>
      </c>
      <c r="H287" s="3" t="str">
        <f>IFERROR(__xludf.DUMMYFUNCTION("GOOGLETRANSLATE(C287, ""it"", ""en"")"),"A. The game is stopped B. The player receives a red card C. The opposing team earns a free kick D. The game continues")</f>
        <v>A. The game is stopped B. The player receives a red card C. The opposing team earns a free kick D. The game continues</v>
      </c>
      <c r="I287" s="3" t="str">
        <f>IFERROR(__xludf.DUMMYFUNCTION("GOOGLETRANSLATE(D287, ""it"", ""en"")"),"The game is stopped")</f>
        <v>The game is stopped</v>
      </c>
      <c r="J287" s="2"/>
      <c r="K287" s="2"/>
      <c r="L287" s="2"/>
      <c r="M287" s="2"/>
      <c r="N287" s="2"/>
      <c r="O287" s="2"/>
      <c r="P287" s="2"/>
      <c r="Q287" s="2"/>
    </row>
    <row r="288" ht="22.5" customHeight="1">
      <c r="A288" s="3">
        <v>287.0</v>
      </c>
      <c r="B288" s="3" t="s">
        <v>438</v>
      </c>
      <c r="C288" s="3" t="s">
        <v>110</v>
      </c>
      <c r="D288" s="3" t="s">
        <v>18</v>
      </c>
      <c r="E288" s="2"/>
      <c r="F288" s="3" t="str">
        <f>IFERROR(__xludf.DUMMYFUNCTION("GOOGLETRANSLATE(A288, ""it"", ""en"")"),"287")</f>
        <v>287</v>
      </c>
      <c r="G288" s="3" t="str">
        <f>IFERROR(__xludf.DUMMYFUNCTION("GOOGLETRANSLATE(B288, ""it"", ""en"")"),"What happens if a player fouls an opponent outside the playing area?")</f>
        <v>What happens if a player fouls an opponent outside the playing area?</v>
      </c>
      <c r="H288" s="3" t="str">
        <f>IFERROR(__xludf.DUMMYFUNCTION("GOOGLETRANSLATE(C288, ""it"", ""en"")"),"A. The game is stopped B. The player receives a red card C. The opposing team earns a free kick D. The game continues")</f>
        <v>A. The game is stopped B. The player receives a red card C. The opposing team earns a free kick D. The game continues</v>
      </c>
      <c r="I288" s="3" t="str">
        <f>IFERROR(__xludf.DUMMYFUNCTION("GOOGLETRANSLATE(D288, ""it"", ""en"")"),"The game is stopped")</f>
        <v>The game is stopped</v>
      </c>
      <c r="J288" s="2"/>
      <c r="K288" s="2"/>
      <c r="L288" s="2"/>
      <c r="M288" s="2"/>
      <c r="N288" s="2"/>
      <c r="O288" s="2"/>
      <c r="P288" s="2"/>
      <c r="Q288" s="2"/>
    </row>
    <row r="289" ht="22.5" customHeight="1">
      <c r="A289" s="3">
        <v>288.0</v>
      </c>
      <c r="B289" s="3" t="s">
        <v>484</v>
      </c>
      <c r="C289" s="3" t="s">
        <v>363</v>
      </c>
      <c r="D289" s="3" t="s">
        <v>12</v>
      </c>
      <c r="E289" s="2"/>
      <c r="F289" s="3" t="str">
        <f>IFERROR(__xludf.DUMMYFUNCTION("GOOGLETRANSLATE(A289, ""it"", ""en"")"),"288")</f>
        <v>288</v>
      </c>
      <c r="G289" s="3" t="str">
        <f>IFERROR(__xludf.DUMMYFUNCTION("GOOGLETRANSLATE(B289, ""it"", ""en"")"),"What happens if a player makes a pass and the ball goes out of bounds?")</f>
        <v>What happens if a player makes a pass and the ball goes out of bounds?</v>
      </c>
      <c r="H289" s="3" t="str">
        <f>IFERROR(__xludf.DUMMYFUNCTION("GOOGLETRANSLATE(C289, ""it"", ""en"")"),"A. The opposing team wins the ball B. The game is stopped C. The game continues D. The game is stopped")</f>
        <v>A. The opposing team wins the ball B. The game is stopped C. The game continues D. The game is stopped</v>
      </c>
      <c r="I289" s="3" t="str">
        <f>IFERROR(__xludf.DUMMYFUNCTION("GOOGLETRANSLATE(D289, ""it"", ""en"")"),"The game continues")</f>
        <v>The game continues</v>
      </c>
      <c r="J289" s="2"/>
      <c r="K289" s="2"/>
      <c r="L289" s="2"/>
      <c r="M289" s="2"/>
      <c r="N289" s="2"/>
      <c r="O289" s="2"/>
      <c r="P289" s="2"/>
      <c r="Q289" s="2"/>
    </row>
    <row r="290" ht="22.5" customHeight="1">
      <c r="A290" s="3">
        <v>289.0</v>
      </c>
      <c r="B290" s="3" t="s">
        <v>485</v>
      </c>
      <c r="C290" s="3" t="s">
        <v>334</v>
      </c>
      <c r="D290" s="3" t="s">
        <v>18</v>
      </c>
      <c r="E290" s="2"/>
      <c r="F290" s="3" t="str">
        <f>IFERROR(__xludf.DUMMYFUNCTION("GOOGLETRANSLATE(A290, ""it"", ""en"")"),"289")</f>
        <v>289</v>
      </c>
      <c r="G290" s="3" t="str">
        <f>IFERROR(__xludf.DUMMYFUNCTION("GOOGLETRANSLATE(B290, ""it"", ""en"")"),"If a player fouls an opponent during an attack, what happens?")</f>
        <v>If a player fouls an opponent during an attack, what happens?</v>
      </c>
      <c r="H290" s="3" t="str">
        <f>IFERROR(__xludf.DUMMYFUNCTION("GOOGLETRANSLATE(C290, ""it"", ""en"")"),"A. The game is stopped B. The opposing team earns a free kick C. The player receives a red card D. The game continues")</f>
        <v>A. The game is stopped B. The opposing team earns a free kick C. The player receives a red card D. The game continues</v>
      </c>
      <c r="I290" s="3" t="str">
        <f>IFERROR(__xludf.DUMMYFUNCTION("GOOGLETRANSLATE(D290, ""it"", ""en"")"),"The game is stopped")</f>
        <v>The game is stopped</v>
      </c>
      <c r="J290" s="2"/>
      <c r="K290" s="2"/>
      <c r="L290" s="2"/>
      <c r="M290" s="2"/>
      <c r="N290" s="2"/>
      <c r="O290" s="2"/>
      <c r="P290" s="2"/>
      <c r="Q290" s="2"/>
    </row>
    <row r="291" ht="22.5" customHeight="1">
      <c r="A291" s="3">
        <v>290.0</v>
      </c>
      <c r="B291" s="3" t="s">
        <v>486</v>
      </c>
      <c r="C291" s="3" t="s">
        <v>426</v>
      </c>
      <c r="D291" s="3" t="s">
        <v>27</v>
      </c>
      <c r="E291" s="2"/>
      <c r="F291" s="3" t="str">
        <f>IFERROR(__xludf.DUMMYFUNCTION("GOOGLETRANSLATE(A291, ""it"", ""en"")"),"290")</f>
        <v>290</v>
      </c>
      <c r="G291" s="3" t="str">
        <f>IFERROR(__xludf.DUMMYFUNCTION("GOOGLETRANSLATE(B291, ""it"", ""en"")"),"If a player plays a long pass and a teammate catches it, what happens?")</f>
        <v>If a player plays a long pass and a teammate catches it, what happens?</v>
      </c>
      <c r="H291" s="3" t="str">
        <f>IFERROR(__xludf.DUMMYFUNCTION("GOOGLETRANSLATE(C291, ""it"", ""en"")"),"A. The game continues B. The opposing team gains the ball C. The game is stopped D. The game continues")</f>
        <v>A. The game continues B. The opposing team gains the ball C. The game is stopped D. The game continues</v>
      </c>
      <c r="I291" s="3" t="str">
        <f>IFERROR(__xludf.DUMMYFUNCTION("GOOGLETRANSLATE(D291, ""it"", ""en"")"),"The player receives a yellow card")</f>
        <v>The player receives a yellow card</v>
      </c>
      <c r="J291" s="2"/>
      <c r="K291" s="2"/>
      <c r="L291" s="2"/>
      <c r="M291" s="2"/>
      <c r="N291" s="2"/>
      <c r="O291" s="2"/>
      <c r="P291" s="2"/>
      <c r="Q291" s="2"/>
    </row>
    <row r="292" ht="22.5" customHeight="1">
      <c r="A292" s="3">
        <v>291.0</v>
      </c>
      <c r="B292" s="3" t="s">
        <v>487</v>
      </c>
      <c r="C292" s="3" t="s">
        <v>488</v>
      </c>
      <c r="D292" s="3" t="s">
        <v>18</v>
      </c>
      <c r="E292" s="2"/>
      <c r="F292" s="3" t="str">
        <f>IFERROR(__xludf.DUMMYFUNCTION("GOOGLETRANSLATE(A292, ""it"", ""en"")"),"291")</f>
        <v>291</v>
      </c>
      <c r="G292" s="3" t="str">
        <f>IFERROR(__xludf.DUMMYFUNCTION("GOOGLETRANSLATE(B292, ""it"", ""en"")"),"What happens if a player gets seriously injured during a game?")</f>
        <v>What happens if a player gets seriously injured during a game?</v>
      </c>
      <c r="H292" s="3" t="str">
        <f>IFERROR(__xludf.DUMMYFUNCTION("GOOGLETRANSLATE(C292, ""it"", ""en"")"),"A. The game is stopped B. The player receives a red card C. The game continues D. The player is substituted")</f>
        <v>A. The game is stopped B. The player receives a red card C. The game continues D. The player is substituted</v>
      </c>
      <c r="I292" s="3" t="str">
        <f>IFERROR(__xludf.DUMMYFUNCTION("GOOGLETRANSLATE(D292, ""it"", ""en"")"),"The game is stopped")</f>
        <v>The game is stopped</v>
      </c>
      <c r="J292" s="2"/>
      <c r="K292" s="2"/>
      <c r="L292" s="2"/>
      <c r="M292" s="2"/>
      <c r="N292" s="2"/>
      <c r="O292" s="2"/>
      <c r="P292" s="2"/>
      <c r="Q292" s="2"/>
    </row>
    <row r="293" ht="22.5" customHeight="1">
      <c r="A293" s="3">
        <v>292.0</v>
      </c>
      <c r="B293" s="3" t="s">
        <v>489</v>
      </c>
      <c r="C293" s="3" t="s">
        <v>354</v>
      </c>
      <c r="D293" s="3" t="s">
        <v>12</v>
      </c>
      <c r="E293" s="2"/>
      <c r="F293" s="3" t="str">
        <f>IFERROR(__xludf.DUMMYFUNCTION("GOOGLETRANSLATE(A293, ""it"", ""en"")"),"292")</f>
        <v>292</v>
      </c>
      <c r="G293" s="3" t="str">
        <f>IFERROR(__xludf.DUMMYFUNCTION("GOOGLETRANSLATE(B293, ""it"", ""en"")"),"What happens if a player makes a direct pass to the goalkeeper?")</f>
        <v>What happens if a player makes a direct pass to the goalkeeper?</v>
      </c>
      <c r="H293" s="3" t="str">
        <f>IFERROR(__xludf.DUMMYFUNCTION("GOOGLETRANSLATE(C293, ""it"", ""en"")"),"A. The game continues B. The game is stopped C. The opposing team earns a free kick D. The game is stopped")</f>
        <v>A. The game continues B. The game is stopped C. The opposing team earns a free kick D. The game is stopped</v>
      </c>
      <c r="I293" s="3" t="str">
        <f>IFERROR(__xludf.DUMMYFUNCTION("GOOGLETRANSLATE(D293, ""it"", ""en"")"),"The game continues")</f>
        <v>The game continues</v>
      </c>
      <c r="J293" s="2"/>
      <c r="K293" s="2"/>
      <c r="L293" s="2"/>
      <c r="M293" s="2"/>
      <c r="N293" s="2"/>
      <c r="O293" s="2"/>
      <c r="P293" s="2"/>
      <c r="Q293" s="2"/>
    </row>
    <row r="294" ht="22.5" customHeight="1">
      <c r="A294" s="3">
        <v>293.0</v>
      </c>
      <c r="B294" s="3" t="s">
        <v>490</v>
      </c>
      <c r="C294" s="3" t="s">
        <v>491</v>
      </c>
      <c r="D294" s="3" t="s">
        <v>12</v>
      </c>
      <c r="E294" s="2"/>
      <c r="F294" s="3" t="str">
        <f>IFERROR(__xludf.DUMMYFUNCTION("GOOGLETRANSLATE(A294, ""it"", ""en"")"),"293")</f>
        <v>293</v>
      </c>
      <c r="G294" s="3" t="str">
        <f>IFERROR(__xludf.DUMMYFUNCTION("GOOGLETRANSLATE(B294, ""it"", ""en"")"),"What happens if a player scores a goal after a pass from outside?")</f>
        <v>What happens if a player scores a goal after a pass from outside?</v>
      </c>
      <c r="H294" s="3" t="str">
        <f>IFERROR(__xludf.DUMMYFUNCTION("GOOGLETRANSLATE(C294, ""it"", ""en"")"),"A. The goal is not validated B. The goal is validated C. The opposing team wins the ball D. The game is stopped")</f>
        <v>A. The goal is not validated B. The goal is validated C. The opposing team wins the ball D. The game is stopped</v>
      </c>
      <c r="I294" s="3" t="str">
        <f>IFERROR(__xludf.DUMMYFUNCTION("GOOGLETRANSLATE(D294, ""it"", ""en"")"),"The game continues")</f>
        <v>The game continues</v>
      </c>
      <c r="J294" s="2"/>
      <c r="K294" s="2"/>
      <c r="L294" s="2"/>
      <c r="M294" s="2"/>
      <c r="N294" s="2"/>
      <c r="O294" s="2"/>
      <c r="P294" s="2"/>
      <c r="Q294" s="2"/>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0</v>
      </c>
      <c r="G1" s="1" t="s">
        <v>4</v>
      </c>
      <c r="H1" s="1" t="s">
        <v>5</v>
      </c>
      <c r="I1" s="1" t="s">
        <v>6</v>
      </c>
      <c r="J1" s="2"/>
      <c r="K1" s="2"/>
      <c r="L1" s="2"/>
      <c r="M1" s="2"/>
      <c r="N1" s="2"/>
      <c r="O1" s="2"/>
      <c r="P1" s="2"/>
      <c r="Q1" s="2"/>
      <c r="R1" s="2"/>
      <c r="S1" s="2"/>
      <c r="T1" s="2"/>
      <c r="U1" s="2"/>
      <c r="V1" s="2"/>
    </row>
    <row r="2" ht="22.5" customHeight="1">
      <c r="A2" s="3">
        <v>1.0</v>
      </c>
      <c r="B2" s="3" t="s">
        <v>492</v>
      </c>
      <c r="C2" s="3" t="s">
        <v>493</v>
      </c>
      <c r="D2" s="3" t="s">
        <v>494</v>
      </c>
      <c r="E2" s="2"/>
      <c r="F2" s="3" t="str">
        <f>IFERROR(__xludf.DUMMYFUNCTION("GOOGLETRANSLATE(A2, ""it"", ""en"")"),"1")</f>
        <v>1</v>
      </c>
      <c r="G2" s="3" t="str">
        <f>IFERROR(__xludf.DUMMYFUNCTION("GOOGLETRANSLATE(B2, ""it"", ""en"")"),"One player's cheese hits an opponent's cheese. What happens?")</f>
        <v>One player's cheese hits an opponent's cheese. What happens?</v>
      </c>
      <c r="H2" s="3" t="str">
        <f>IFERROR(__xludf.DUMMYFUNCTION("GOOGLETRANSLATE(C2, ""it"", ""en"")"),"A. The shot is cancelled B. The shot is valid C. Both cheeses are repeated D. A point is awarded to the opponent")</f>
        <v>A. The shot is cancelled B. The shot is valid C. Both cheeses are repeated D. A point is awarded to the opponent</v>
      </c>
      <c r="I2" s="3" t="str">
        <f>IFERROR(__xludf.DUMMYFUNCTION("GOOGLETRANSLATE(D2, ""it"", ""en"")"),"The shot is valid")</f>
        <v>The shot is valid</v>
      </c>
      <c r="J2" s="2"/>
      <c r="K2" s="2"/>
      <c r="L2" s="2"/>
      <c r="M2" s="2"/>
      <c r="N2" s="2"/>
      <c r="O2" s="2"/>
      <c r="P2" s="2"/>
      <c r="Q2" s="2"/>
      <c r="R2" s="2"/>
      <c r="S2" s="2"/>
      <c r="T2" s="2"/>
      <c r="U2" s="2"/>
      <c r="V2" s="2"/>
    </row>
    <row r="3" ht="22.5" customHeight="1">
      <c r="A3" s="3">
        <v>2.0</v>
      </c>
      <c r="B3" s="3" t="s">
        <v>495</v>
      </c>
      <c r="C3" s="3" t="s">
        <v>496</v>
      </c>
      <c r="D3" s="3" t="s">
        <v>497</v>
      </c>
      <c r="E3" s="2"/>
      <c r="F3" s="3" t="str">
        <f>IFERROR(__xludf.DUMMYFUNCTION("GOOGLETRANSLATE(A3, ""it"", ""en"")"),"2")</f>
        <v>2</v>
      </c>
      <c r="G3" s="3" t="str">
        <f>IFERROR(__xludf.DUMMYFUNCTION("GOOGLETRANSLATE(B3, ""it"", ""en"")"),"What is the maximum weight allowed for cheese in an official ruzzola match?")</f>
        <v>What is the maximum weight allowed for cheese in an official ruzzola match?</v>
      </c>
      <c r="H3" s="3" t="str">
        <f>IFERROR(__xludf.DUMMYFUNCTION("GOOGLETRANSLATE(C3, ""it"", ""en"")"),"A. 1 kg B. 2 kg C. 5 kg D. 10 kg")</f>
        <v>A. 1 kg B. 2 kg C. 5 kg D. 10 kg</v>
      </c>
      <c r="I3" s="3" t="str">
        <f>IFERROR(__xludf.DUMMYFUNCTION("GOOGLETRANSLATE(D3, ""it"", ""en"")"),"5 kg")</f>
        <v>5 kg</v>
      </c>
      <c r="J3" s="2"/>
      <c r="K3" s="2"/>
      <c r="L3" s="2"/>
      <c r="M3" s="2"/>
      <c r="N3" s="2"/>
      <c r="O3" s="2"/>
      <c r="P3" s="2"/>
      <c r="Q3" s="2"/>
      <c r="R3" s="2"/>
      <c r="S3" s="2"/>
      <c r="T3" s="2"/>
      <c r="U3" s="2"/>
      <c r="V3" s="2"/>
    </row>
    <row r="4" ht="22.5" customHeight="1">
      <c r="A4" s="3">
        <v>3.0</v>
      </c>
      <c r="B4" s="3" t="s">
        <v>498</v>
      </c>
      <c r="C4" s="3" t="s">
        <v>499</v>
      </c>
      <c r="D4" s="3" t="s">
        <v>500</v>
      </c>
      <c r="E4" s="2"/>
      <c r="F4" s="3" t="str">
        <f>IFERROR(__xludf.DUMMYFUNCTION("GOOGLETRANSLATE(A4, ""it"", ""en"")"),"3")</f>
        <v>3</v>
      </c>
      <c r="G4" s="3" t="str">
        <f>IFERROR(__xludf.DUMMYFUNCTION("GOOGLETRANSLATE(B4, ""it"", ""en"")"),"The cheese band breaks during the roll. What's happening?")</f>
        <v>The cheese band breaks during the roll. What's happening?</v>
      </c>
      <c r="H4" s="3" t="str">
        <f>IFERROR(__xludf.DUMMYFUNCTION("GOOGLETRANSLATE(C4, ""it"", ""en"")"),"A. The shot is valid B. The shot is retaken C. The shot is cancelled D. The player loses his turn")</f>
        <v>A. The shot is valid B. The shot is retaken C. The shot is cancelled D. The player loses his turn</v>
      </c>
      <c r="I4" s="3" t="str">
        <f>IFERROR(__xludf.DUMMYFUNCTION("GOOGLETRANSLATE(D4, ""it"", ""en"")"),"The shot is repeated")</f>
        <v>The shot is repeated</v>
      </c>
      <c r="J4" s="2"/>
      <c r="K4" s="2"/>
      <c r="L4" s="2"/>
      <c r="M4" s="2"/>
      <c r="N4" s="2"/>
      <c r="O4" s="2"/>
      <c r="P4" s="2"/>
      <c r="Q4" s="2"/>
      <c r="R4" s="2"/>
      <c r="S4" s="2"/>
      <c r="T4" s="2"/>
      <c r="U4" s="2"/>
      <c r="V4" s="2"/>
    </row>
    <row r="5" ht="22.5" customHeight="1">
      <c r="A5" s="3">
        <v>4.0</v>
      </c>
      <c r="B5" s="3" t="s">
        <v>501</v>
      </c>
      <c r="C5" s="3" t="s">
        <v>502</v>
      </c>
      <c r="D5" s="3" t="s">
        <v>503</v>
      </c>
      <c r="E5" s="2"/>
      <c r="F5" s="3" t="str">
        <f>IFERROR(__xludf.DUMMYFUNCTION("GOOGLETRANSLATE(A5, ""it"", ""en"")"),"4")</f>
        <v>4</v>
      </c>
      <c r="G5" s="3" t="str">
        <f>IFERROR(__xludf.DUMMYFUNCTION("GOOGLETRANSLATE(B5, ""it"", ""en"")"),"How is the winner determined in a game of Ruzzola?")</f>
        <v>How is the winner determined in a game of Ruzzola?</v>
      </c>
      <c r="H5" s="3" t="str">
        <f>IFERROR(__xludf.DUMMYFUNCTION("GOOGLETRANSLATE(C5, ""it"", ""en"")"),"A. Who gets to the end first B. Who scores the most points C. Who throws the cheese the furthest D. Who has the heaviest cheese")</f>
        <v>A. Who gets to the end first B. Who scores the most points C. Who throws the cheese the furthest D. Who has the heaviest cheese</v>
      </c>
      <c r="I5" s="3" t="str">
        <f>IFERROR(__xludf.DUMMYFUNCTION("GOOGLETRANSLATE(D5, ""it"", ""en"")"),"Whoever gets to the end first")</f>
        <v>Whoever gets to the end first</v>
      </c>
      <c r="J5" s="2"/>
      <c r="K5" s="2"/>
      <c r="L5" s="2"/>
      <c r="M5" s="2"/>
      <c r="N5" s="2"/>
      <c r="O5" s="2"/>
      <c r="P5" s="2"/>
      <c r="Q5" s="2"/>
      <c r="R5" s="2"/>
      <c r="S5" s="2"/>
      <c r="T5" s="2"/>
      <c r="U5" s="2"/>
      <c r="V5" s="2"/>
    </row>
    <row r="6" ht="22.5" customHeight="1">
      <c r="A6" s="3">
        <v>5.0</v>
      </c>
      <c r="B6" s="3" t="s">
        <v>504</v>
      </c>
      <c r="C6" s="3" t="s">
        <v>505</v>
      </c>
      <c r="D6" s="3" t="s">
        <v>506</v>
      </c>
      <c r="E6" s="2"/>
      <c r="F6" s="3" t="str">
        <f>IFERROR(__xludf.DUMMYFUNCTION("GOOGLETRANSLATE(A6, ""it"", ""en"")"),"5")</f>
        <v>5</v>
      </c>
      <c r="G6" s="3" t="str">
        <f>IFERROR(__xludf.DUMMYFUNCTION("GOOGLETRANSLATE(B6, ""it"", ""en"")"),"A player uses a non-regulation cheese. What happens?")</f>
        <v>A player uses a non-regulation cheese. What happens?</v>
      </c>
      <c r="H6" s="3" t="str">
        <f>IFERROR(__xludf.DUMMYFUNCTION("GOOGLETRANSLATE(C6, ""it"", ""en"")"),"A. The player is disqualified B. The player loses a turn C. The shot is valid D. The judge awards a penalty")</f>
        <v>A. The player is disqualified B. The player loses a turn C. The shot is valid D. The judge awards a penalty</v>
      </c>
      <c r="I6" s="3" t="str">
        <f>IFERROR(__xludf.DUMMYFUNCTION("GOOGLETRANSLATE(D6, ""it"", ""en"")"),"The player is disqualified")</f>
        <v>The player is disqualified</v>
      </c>
      <c r="J6" s="2"/>
      <c r="K6" s="2"/>
      <c r="L6" s="2"/>
      <c r="M6" s="2"/>
      <c r="N6" s="2"/>
      <c r="O6" s="2"/>
      <c r="P6" s="2"/>
      <c r="Q6" s="2"/>
      <c r="R6" s="2"/>
      <c r="S6" s="2"/>
      <c r="T6" s="2"/>
      <c r="U6" s="2"/>
      <c r="V6" s="2"/>
    </row>
    <row r="7" ht="22.5" customHeight="1">
      <c r="A7" s="3">
        <v>6.0</v>
      </c>
      <c r="B7" s="3" t="s">
        <v>507</v>
      </c>
      <c r="C7" s="3" t="s">
        <v>508</v>
      </c>
      <c r="D7" s="3" t="s">
        <v>494</v>
      </c>
      <c r="E7" s="2"/>
      <c r="F7" s="3" t="str">
        <f>IFERROR(__xludf.DUMMYFUNCTION("GOOGLETRANSLATE(A7, ""it"", ""en"")"),"6")</f>
        <v>6</v>
      </c>
      <c r="G7" s="3" t="str">
        <f>IFERROR(__xludf.DUMMYFUNCTION("GOOGLETRANSLATE(B7, ""it"", ""en"")"),"A player's cheese lands in a hole. What happens?")</f>
        <v>A player's cheese lands in a hole. What happens?</v>
      </c>
      <c r="H7" s="3" t="str">
        <f>IFERROR(__xludf.DUMMYFUNCTION("GOOGLETRANSLATE(C7, ""it"", ""en"")"),"A. The shot is valid B. The shot is cancelled C. The cheese is repeated D. The distance is measured")</f>
        <v>A. The shot is valid B. The shot is cancelled C. The cheese is repeated D. The distance is measured</v>
      </c>
      <c r="I7" s="3" t="str">
        <f>IFERROR(__xludf.DUMMYFUNCTION("GOOGLETRANSLATE(D7, ""it"", ""en"")"),"The shot is valid")</f>
        <v>The shot is valid</v>
      </c>
      <c r="J7" s="2"/>
      <c r="K7" s="2"/>
      <c r="L7" s="2"/>
      <c r="M7" s="2"/>
      <c r="N7" s="2"/>
      <c r="O7" s="2"/>
      <c r="P7" s="2"/>
      <c r="Q7" s="2"/>
      <c r="R7" s="2"/>
      <c r="S7" s="2"/>
      <c r="T7" s="2"/>
      <c r="U7" s="2"/>
      <c r="V7" s="2"/>
    </row>
    <row r="8" ht="22.5" customHeight="1">
      <c r="A8" s="3">
        <v>7.0</v>
      </c>
      <c r="B8" s="3" t="s">
        <v>509</v>
      </c>
      <c r="C8" s="3" t="s">
        <v>510</v>
      </c>
      <c r="D8" s="3" t="s">
        <v>511</v>
      </c>
      <c r="E8" s="2"/>
      <c r="F8" s="3" t="str">
        <f>IFERROR(__xludf.DUMMYFUNCTION("GOOGLETRANSLATE(A8, ""it"", ""en"")"),"7")</f>
        <v>7</v>
      </c>
      <c r="G8" s="3" t="str">
        <f>IFERROR(__xludf.DUMMYFUNCTION("GOOGLETRANSLATE(B8, ""it"", ""en"")"),"A player changes the tape during a game without warning. What happens?")</f>
        <v>A player changes the tape during a game without warning. What happens?</v>
      </c>
      <c r="H8" s="3" t="str">
        <f>IFERROR(__xludf.DUMMYFUNCTION("GOOGLETRANSLATE(C8, ""it"", ""en"")"),"A. The judge issues a penalty B. The player is disqualified C. The shot is valid D. Nothing happens")</f>
        <v>A. The judge issues a penalty B. The player is disqualified C. The shot is valid D. Nothing happens</v>
      </c>
      <c r="I8" s="3" t="str">
        <f>IFERROR(__xludf.DUMMYFUNCTION("GOOGLETRANSLATE(D8, ""it"", ""en"")"),"The judge awards a penalty")</f>
        <v>The judge awards a penalty</v>
      </c>
      <c r="J8" s="2"/>
      <c r="K8" s="2"/>
      <c r="L8" s="2"/>
      <c r="M8" s="2"/>
      <c r="N8" s="2"/>
      <c r="O8" s="2"/>
      <c r="P8" s="2"/>
      <c r="Q8" s="2"/>
      <c r="R8" s="2"/>
      <c r="S8" s="2"/>
      <c r="T8" s="2"/>
      <c r="U8" s="2"/>
      <c r="V8" s="2"/>
    </row>
    <row r="9" ht="22.5" customHeight="1">
      <c r="A9" s="3">
        <v>8.0</v>
      </c>
      <c r="B9" s="3" t="s">
        <v>512</v>
      </c>
      <c r="C9" s="3" t="s">
        <v>513</v>
      </c>
      <c r="D9" s="3" t="s">
        <v>514</v>
      </c>
      <c r="E9" s="2"/>
      <c r="F9" s="3" t="str">
        <f>IFERROR(__xludf.DUMMYFUNCTION("GOOGLETRANSLATE(A9, ""it"", ""en"")"),"8")</f>
        <v>8</v>
      </c>
      <c r="G9" s="3" t="str">
        <f>IFERROR(__xludf.DUMMYFUNCTION("GOOGLETRANSLATE(B9, ""it"", ""en"")"),"What is the maximum length of tape used in a tumble?")</f>
        <v>What is the maximum length of tape used in a tumble?</v>
      </c>
      <c r="H9" s="3" t="str">
        <f>IFERROR(__xludf.DUMMYFUNCTION("GOOGLETRANSLATE(C9, ""it"", ""en"")"),"A. 1 meter B. 2 meters C. 5 meters D. 10 meters")</f>
        <v>A. 1 meter B. 2 meters C. 5 meters D. 10 meters</v>
      </c>
      <c r="I9" s="3" t="str">
        <f>IFERROR(__xludf.DUMMYFUNCTION("GOOGLETRANSLATE(D9, ""it"", ""en"")"),"2 meters")</f>
        <v>2 meters</v>
      </c>
      <c r="J9" s="2"/>
      <c r="K9" s="2"/>
      <c r="L9" s="2"/>
      <c r="M9" s="2"/>
      <c r="N9" s="2"/>
      <c r="O9" s="2"/>
      <c r="P9" s="2"/>
      <c r="Q9" s="2"/>
      <c r="R9" s="2"/>
      <c r="S9" s="2"/>
      <c r="T9" s="2"/>
      <c r="U9" s="2"/>
      <c r="V9" s="2"/>
    </row>
    <row r="10" ht="22.5" customHeight="1">
      <c r="A10" s="3">
        <v>9.0</v>
      </c>
      <c r="B10" s="3" t="s">
        <v>515</v>
      </c>
      <c r="C10" s="3" t="s">
        <v>516</v>
      </c>
      <c r="D10" s="3" t="s">
        <v>517</v>
      </c>
      <c r="E10" s="2"/>
      <c r="F10" s="3" t="str">
        <f>IFERROR(__xludf.DUMMYFUNCTION("GOOGLETRANSLATE(A10, ""it"", ""en"")"),"9")</f>
        <v>9</v>
      </c>
      <c r="G10" s="3" t="str">
        <f>IFERROR(__xludf.DUMMYFUNCTION("GOOGLETRANSLATE(B10, ""it"", ""en"")"),"A player shoots, but the cheese doesn't move. What happens?")</f>
        <v>A player shoots, but the cheese doesn't move. What happens?</v>
      </c>
      <c r="H10" s="3" t="str">
        <f>IFERROR(__xludf.DUMMYFUNCTION("GOOGLETRANSLATE(C10, ""it"", ""en"")"),"A. The shot is valid B. The shot is cancelled C. The player loses his turn D. The shot is retaken")</f>
        <v>A. The shot is valid B. The shot is cancelled C. The player loses his turn D. The shot is retaken</v>
      </c>
      <c r="I10" s="3" t="str">
        <f>IFERROR(__xludf.DUMMYFUNCTION("GOOGLETRANSLATE(D10, ""it"", ""en"")"),"The shot is disallowed")</f>
        <v>The shot is disallowed</v>
      </c>
      <c r="J10" s="2"/>
      <c r="K10" s="2"/>
      <c r="L10" s="2"/>
      <c r="M10" s="2"/>
      <c r="N10" s="2"/>
      <c r="O10" s="2"/>
      <c r="P10" s="2"/>
      <c r="Q10" s="2"/>
      <c r="R10" s="2"/>
      <c r="S10" s="2"/>
      <c r="T10" s="2"/>
      <c r="U10" s="2"/>
      <c r="V10" s="2"/>
    </row>
    <row r="11" ht="22.5" customHeight="1">
      <c r="A11" s="3">
        <v>10.0</v>
      </c>
      <c r="B11" s="3" t="s">
        <v>518</v>
      </c>
      <c r="C11" s="3" t="s">
        <v>519</v>
      </c>
      <c r="D11" s="3" t="s">
        <v>520</v>
      </c>
      <c r="E11" s="2"/>
      <c r="F11" s="3" t="str">
        <f>IFERROR(__xludf.DUMMYFUNCTION("GOOGLETRANSLATE(A11, ""it"", ""en"")"),"10")</f>
        <v>10</v>
      </c>
      <c r="G11" s="3" t="str">
        <f>IFERROR(__xludf.DUMMYFUNCTION("GOOGLETRANSLATE(B11, ""it"", ""en"")"),"A player's cheese lands under a stationary vehicle. What happens?")</f>
        <v>A player's cheese lands under a stationary vehicle. What happens?</v>
      </c>
      <c r="H11" s="3" t="str">
        <f>IFERROR(__xludf.DUMMYFUNCTION("GOOGLETRANSLATE(C11, ""it"", ""en"")"),"A. The shot is valid B. The shot is repeated C. The judge awards a point D. The cheese is recovered and the shot is repeated")</f>
        <v>A. The shot is valid B. The shot is repeated C. The judge awards a point D. The cheese is recovered and the shot is repeated</v>
      </c>
      <c r="I11" s="3" t="str">
        <f>IFERROR(__xludf.DUMMYFUNCTION("GOOGLETRANSLATE(D11, ""it"", ""en"")"),"The cheese is recovered and the shot is repeated")</f>
        <v>The cheese is recovered and the shot is repeated</v>
      </c>
      <c r="J11" s="2"/>
      <c r="K11" s="2"/>
      <c r="L11" s="2"/>
      <c r="M11" s="2"/>
      <c r="N11" s="2"/>
      <c r="O11" s="2"/>
      <c r="P11" s="2"/>
      <c r="Q11" s="2"/>
      <c r="R11" s="2"/>
      <c r="S11" s="2"/>
      <c r="T11" s="2"/>
      <c r="U11" s="2"/>
      <c r="V11" s="2"/>
    </row>
    <row r="12" ht="22.5" customHeight="1">
      <c r="A12" s="3">
        <v>11.0</v>
      </c>
      <c r="B12" s="3" t="s">
        <v>521</v>
      </c>
      <c r="C12" s="3" t="s">
        <v>522</v>
      </c>
      <c r="D12" s="3" t="s">
        <v>523</v>
      </c>
      <c r="E12" s="2"/>
      <c r="F12" s="3" t="str">
        <f>IFERROR(__xludf.DUMMYFUNCTION("GOOGLETRANSLATE(A12, ""it"", ""en"")"),"11")</f>
        <v>11</v>
      </c>
      <c r="G12" s="3" t="str">
        <f>IFERROR(__xludf.DUMMYFUNCTION("GOOGLETRANSLATE(B12, ""it"", ""en"")"),"What is the minimum age to participate in an official ruzzola game?")</f>
        <v>What is the minimum age to participate in an official ruzzola game?</v>
      </c>
      <c r="H12" s="3" t="str">
        <f>IFERROR(__xludf.DUMMYFUNCTION("GOOGLETRANSLATE(C12, ""it"", ""en"")"),"A. 10 years B. 12 years C. 14 years D. 16 years")</f>
        <v>A. 10 years B. 12 years C. 14 years D. 16 years</v>
      </c>
      <c r="I12" s="3" t="str">
        <f>IFERROR(__xludf.DUMMYFUNCTION("GOOGLETRANSLATE(D12, ""it"", ""en"")"),"14 years old")</f>
        <v>14 years old</v>
      </c>
      <c r="J12" s="2"/>
      <c r="K12" s="2"/>
      <c r="L12" s="2"/>
      <c r="M12" s="2"/>
      <c r="N12" s="2"/>
      <c r="O12" s="2"/>
      <c r="P12" s="2"/>
      <c r="Q12" s="2"/>
      <c r="R12" s="2"/>
      <c r="S12" s="2"/>
      <c r="T12" s="2"/>
      <c r="U12" s="2"/>
      <c r="V12" s="2"/>
    </row>
    <row r="13" ht="22.5" customHeight="1">
      <c r="A13" s="3">
        <v>12.0</v>
      </c>
      <c r="B13" s="3" t="s">
        <v>524</v>
      </c>
      <c r="C13" s="3" t="s">
        <v>525</v>
      </c>
      <c r="D13" s="3" t="s">
        <v>494</v>
      </c>
      <c r="E13" s="2"/>
      <c r="F13" s="3" t="str">
        <f>IFERROR(__xludf.DUMMYFUNCTION("GOOGLETRANSLATE(A13, ""it"", ""en"")"),"12")</f>
        <v>12</v>
      </c>
      <c r="G13" s="3" t="str">
        <f>IFERROR(__xludf.DUMMYFUNCTION("GOOGLETRANSLATE(B13, ""it"", ""en"")"),"The cheese hits a tree while being thrown. What happens?")</f>
        <v>The cheese hits a tree while being thrown. What happens?</v>
      </c>
      <c r="H13" s="3" t="str">
        <f>IFERROR(__xludf.DUMMYFUNCTION("GOOGLETRANSLATE(C13, ""it"", ""en"")"),"A. The shot is valid B. The shot is cancelled C. The cheese is repeated D. The judge awards a penalty")</f>
        <v>A. The shot is valid B. The shot is cancelled C. The cheese is repeated D. The judge awards a penalty</v>
      </c>
      <c r="I13" s="3" t="str">
        <f>IFERROR(__xludf.DUMMYFUNCTION("GOOGLETRANSLATE(D13, ""it"", ""en"")"),"The shot is valid")</f>
        <v>The shot is valid</v>
      </c>
      <c r="J13" s="2"/>
      <c r="K13" s="2"/>
      <c r="L13" s="2"/>
      <c r="M13" s="2"/>
      <c r="N13" s="2"/>
      <c r="O13" s="2"/>
      <c r="P13" s="2"/>
      <c r="Q13" s="2"/>
      <c r="R13" s="2"/>
      <c r="S13" s="2"/>
      <c r="T13" s="2"/>
      <c r="U13" s="2"/>
      <c r="V13" s="2"/>
    </row>
    <row r="14" ht="22.5" customHeight="1">
      <c r="A14" s="3">
        <v>13.0</v>
      </c>
      <c r="B14" s="3" t="s">
        <v>526</v>
      </c>
      <c r="C14" s="3" t="s">
        <v>527</v>
      </c>
      <c r="D14" s="3" t="s">
        <v>528</v>
      </c>
      <c r="E14" s="2"/>
      <c r="F14" s="3" t="str">
        <f>IFERROR(__xludf.DUMMYFUNCTION("GOOGLETRANSLATE(A14, ""it"", ""en"")"),"13")</f>
        <v>13</v>
      </c>
      <c r="G14" s="3" t="str">
        <f>IFERROR(__xludf.DUMMYFUNCTION("GOOGLETRANSLATE(B14, ""it"", ""en"")"),"How wide should the official road be for Ruzzola?")</f>
        <v>How wide should the official road be for Ruzzola?</v>
      </c>
      <c r="H14" s="3" t="str">
        <f>IFERROR(__xludf.DUMMYFUNCTION("GOOGLETRANSLATE(C14, ""it"", ""en"")"),"A. 1 meter B. 2 meters C. 3 meters D. 4 meters")</f>
        <v>A. 1 meter B. 2 meters C. 3 meters D. 4 meters</v>
      </c>
      <c r="I14" s="3" t="str">
        <f>IFERROR(__xludf.DUMMYFUNCTION("GOOGLETRANSLATE(D14, ""it"", ""en"")"),"10 foot")</f>
        <v>10 foot</v>
      </c>
      <c r="J14" s="2"/>
      <c r="K14" s="2"/>
      <c r="L14" s="2"/>
      <c r="M14" s="2"/>
      <c r="N14" s="2"/>
      <c r="O14" s="2"/>
      <c r="P14" s="2"/>
      <c r="Q14" s="2"/>
      <c r="R14" s="2"/>
      <c r="S14" s="2"/>
      <c r="T14" s="2"/>
      <c r="U14" s="2"/>
      <c r="V14" s="2"/>
    </row>
    <row r="15" ht="22.5" customHeight="1">
      <c r="A15" s="3">
        <v>14.0</v>
      </c>
      <c r="B15" s="3" t="s">
        <v>529</v>
      </c>
      <c r="C15" s="3" t="s">
        <v>530</v>
      </c>
      <c r="D15" s="3" t="s">
        <v>517</v>
      </c>
      <c r="E15" s="2"/>
      <c r="F15" s="3" t="str">
        <f>IFERROR(__xludf.DUMMYFUNCTION("GOOGLETRANSLATE(A15, ""it"", ""en"")"),"14")</f>
        <v>14</v>
      </c>
      <c r="G15" s="3" t="str">
        <f>IFERROR(__xludf.DUMMYFUNCTION("GOOGLETRANSLATE(B15, ""it"", ""en"")"),"The cheese is thrown during the wrong turn. What happens?")</f>
        <v>The cheese is thrown during the wrong turn. What happens?</v>
      </c>
      <c r="H15" s="3" t="str">
        <f>IFERROR(__xludf.DUMMYFUNCTION("GOOGLETRANSLATE(C15, ""it"", ""en"")"),"A. The shot is valid B. The shot is cancelled C. The cheese is repeated D. The judge awards a penalty")</f>
        <v>A. The shot is valid B. The shot is cancelled C. The cheese is repeated D. The judge awards a penalty</v>
      </c>
      <c r="I15" s="3" t="str">
        <f>IFERROR(__xludf.DUMMYFUNCTION("GOOGLETRANSLATE(D15, ""it"", ""en"")"),"The shot is disallowed")</f>
        <v>The shot is disallowed</v>
      </c>
      <c r="J15" s="2"/>
      <c r="K15" s="2"/>
      <c r="L15" s="2"/>
      <c r="M15" s="2"/>
      <c r="N15" s="2"/>
      <c r="O15" s="2"/>
      <c r="P15" s="2"/>
      <c r="Q15" s="2"/>
      <c r="R15" s="2"/>
      <c r="S15" s="2"/>
      <c r="T15" s="2"/>
      <c r="U15" s="2"/>
      <c r="V15" s="2"/>
    </row>
    <row r="16" ht="22.5" customHeight="1">
      <c r="A16" s="3">
        <v>15.0</v>
      </c>
      <c r="B16" s="3" t="s">
        <v>531</v>
      </c>
      <c r="C16" s="3" t="s">
        <v>532</v>
      </c>
      <c r="D16" s="3" t="s">
        <v>506</v>
      </c>
      <c r="E16" s="2"/>
      <c r="F16" s="3" t="str">
        <f>IFERROR(__xludf.DUMMYFUNCTION("GOOGLETRANSLATE(A16, ""it"", ""en"")"),"15")</f>
        <v>15</v>
      </c>
      <c r="G16" s="3" t="str">
        <f>IFERROR(__xludf.DUMMYFUNCTION("GOOGLETRANSLATE(B16, ""it"", ""en"")"),"What happens if a player uses a different cheese during the game?")</f>
        <v>What happens if a player uses a different cheese during the game?</v>
      </c>
      <c r="H16" s="3" t="str">
        <f>IFERROR(__xludf.DUMMYFUNCTION("GOOGLETRANSLATE(C16, ""it"", ""en"")"),"A. The player is disqualified B. The judge awards a penalty C. The cheese is replaced D. The shot is valid")</f>
        <v>A. The player is disqualified B. The judge awards a penalty C. The cheese is replaced D. The shot is valid</v>
      </c>
      <c r="I16" s="3" t="str">
        <f>IFERROR(__xludf.DUMMYFUNCTION("GOOGLETRANSLATE(D16, ""it"", ""en"")"),"The player is disqualified")</f>
        <v>The player is disqualified</v>
      </c>
      <c r="J16" s="2"/>
      <c r="K16" s="2"/>
      <c r="L16" s="2"/>
      <c r="M16" s="2"/>
      <c r="N16" s="2"/>
      <c r="O16" s="2"/>
      <c r="P16" s="2"/>
      <c r="Q16" s="2"/>
      <c r="R16" s="2"/>
      <c r="S16" s="2"/>
      <c r="T16" s="2"/>
      <c r="U16" s="2"/>
      <c r="V16" s="2"/>
    </row>
    <row r="17" ht="22.5" customHeight="1">
      <c r="A17" s="3">
        <v>16.0</v>
      </c>
      <c r="B17" s="3" t="s">
        <v>533</v>
      </c>
      <c r="C17" s="3" t="s">
        <v>534</v>
      </c>
      <c r="D17" s="3">
        <v>20.0</v>
      </c>
      <c r="E17" s="2"/>
      <c r="F17" s="3" t="str">
        <f>IFERROR(__xludf.DUMMYFUNCTION("GOOGLETRANSLATE(A17, ""it"", ""en"")"),"16")</f>
        <v>16</v>
      </c>
      <c r="G17" s="3" t="str">
        <f>IFERROR(__xludf.DUMMYFUNCTION("GOOGLETRANSLATE(B17, ""it"", ""en"")"),"What is the maximum number of throws allowed in an official game of ruzzola?")</f>
        <v>What is the maximum number of throws allowed in an official game of ruzzola?</v>
      </c>
      <c r="H17" s="3" t="str">
        <f>IFERROR(__xludf.DUMMYFUNCTION("GOOGLETRANSLATE(C17, ""it"", ""en"")"),"A. 10 B. 15 C. 20 D. 30")</f>
        <v>A. 10 B. 15 C. 20 D. 30</v>
      </c>
      <c r="I17" s="3" t="str">
        <f>IFERROR(__xludf.DUMMYFUNCTION("GOOGLETRANSLATE(D17, ""it"", ""en"")"),"20")</f>
        <v>20</v>
      </c>
      <c r="J17" s="2"/>
      <c r="K17" s="2"/>
      <c r="L17" s="2"/>
      <c r="M17" s="2"/>
      <c r="N17" s="2"/>
      <c r="O17" s="2"/>
      <c r="P17" s="2"/>
      <c r="Q17" s="2"/>
      <c r="R17" s="2"/>
      <c r="S17" s="2"/>
      <c r="T17" s="2"/>
      <c r="U17" s="2"/>
      <c r="V17" s="2"/>
    </row>
    <row r="18" ht="22.5" customHeight="1">
      <c r="A18" s="3">
        <v>17.0</v>
      </c>
      <c r="B18" s="3" t="s">
        <v>535</v>
      </c>
      <c r="C18" s="3" t="s">
        <v>536</v>
      </c>
      <c r="D18" s="3" t="s">
        <v>506</v>
      </c>
      <c r="E18" s="2"/>
      <c r="F18" s="3" t="str">
        <f>IFERROR(__xludf.DUMMYFUNCTION("GOOGLETRANSLATE(A18, ""it"", ""en"")"),"17")</f>
        <v>17</v>
      </c>
      <c r="G18" s="3" t="str">
        <f>IFERROR(__xludf.DUMMYFUNCTION("GOOGLETRANSLATE(B18, ""it"", ""en"")"),"A player uses tape made of non-regulation materials. What happens?")</f>
        <v>A player uses tape made of non-regulation materials. What happens?</v>
      </c>
      <c r="H18" s="3" t="str">
        <f>IFERROR(__xludf.DUMMYFUNCTION("GOOGLETRANSLATE(C18, ""it"", ""en"")"),"A. The player is disqualified B. The shot is valid C. The judge awards a penalty D. The tape is replaced")</f>
        <v>A. The player is disqualified B. The shot is valid C. The judge awards a penalty D. The tape is replaced</v>
      </c>
      <c r="I18" s="3" t="str">
        <f>IFERROR(__xludf.DUMMYFUNCTION("GOOGLETRANSLATE(D18, ""it"", ""en"")"),"The player is disqualified")</f>
        <v>The player is disqualified</v>
      </c>
      <c r="J18" s="2"/>
      <c r="K18" s="2"/>
      <c r="L18" s="2"/>
      <c r="M18" s="2"/>
      <c r="N18" s="2"/>
      <c r="O18" s="2"/>
      <c r="P18" s="2"/>
      <c r="Q18" s="2"/>
      <c r="R18" s="2"/>
      <c r="S18" s="2"/>
      <c r="T18" s="2"/>
      <c r="U18" s="2"/>
      <c r="V18" s="2"/>
    </row>
    <row r="19" ht="22.5" customHeight="1">
      <c r="A19" s="3">
        <v>18.0</v>
      </c>
      <c r="B19" s="3" t="s">
        <v>537</v>
      </c>
      <c r="C19" s="3" t="s">
        <v>538</v>
      </c>
      <c r="D19" s="3" t="s">
        <v>494</v>
      </c>
      <c r="E19" s="2"/>
      <c r="F19" s="3" t="str">
        <f>IFERROR(__xludf.DUMMYFUNCTION("GOOGLETRANSLATE(A19, ""it"", ""en"")"),"18")</f>
        <v>18</v>
      </c>
      <c r="G19" s="3" t="str">
        <f>IFERROR(__xludf.DUMMYFUNCTION("GOOGLETRANSLATE(B19, ""it"", ""en"")"),"What happens if the cheese lands exactly on top of another bowl?")</f>
        <v>What happens if the cheese lands exactly on top of another bowl?</v>
      </c>
      <c r="H19" s="3" t="str">
        <f>IFERROR(__xludf.DUMMYFUNCTION("GOOGLETRANSLATE(C19, ""it"", ""en"")"),"A. The shot is valid B. The shot is cancelled C. The exact distance is measured D. The judge awards a point")</f>
        <v>A. The shot is valid B. The shot is cancelled C. The exact distance is measured D. The judge awards a point</v>
      </c>
      <c r="I19" s="3" t="str">
        <f>IFERROR(__xludf.DUMMYFUNCTION("GOOGLETRANSLATE(D19, ""it"", ""en"")"),"The shot is valid")</f>
        <v>The shot is valid</v>
      </c>
      <c r="J19" s="2"/>
      <c r="K19" s="2"/>
      <c r="L19" s="2"/>
      <c r="M19" s="2"/>
      <c r="N19" s="2"/>
      <c r="O19" s="2"/>
      <c r="P19" s="2"/>
      <c r="Q19" s="2"/>
      <c r="R19" s="2"/>
      <c r="S19" s="2"/>
      <c r="T19" s="2"/>
      <c r="U19" s="2"/>
      <c r="V19" s="2"/>
    </row>
    <row r="20" ht="22.5" customHeight="1">
      <c r="A20" s="3">
        <v>19.0</v>
      </c>
      <c r="B20" s="3" t="s">
        <v>539</v>
      </c>
      <c r="C20" s="3" t="s">
        <v>540</v>
      </c>
      <c r="D20" s="3" t="s">
        <v>541</v>
      </c>
      <c r="E20" s="2"/>
      <c r="F20" s="3" t="str">
        <f>IFERROR(__xludf.DUMMYFUNCTION("GOOGLETRANSLATE(A20, ""it"", ""en"")"),"19")</f>
        <v>19</v>
      </c>
      <c r="G20" s="3" t="str">
        <f>IFERROR(__xludf.DUMMYFUNCTION("GOOGLETRANSLATE(B20, ""it"", ""en"")"),"A player asks the umpire to stop the game due to bad weather. What happens?")</f>
        <v>A player asks the umpire to stop the game due to bad weather. What happens?</v>
      </c>
      <c r="H20" s="3" t="str">
        <f>IFERROR(__xludf.DUMMYFUNCTION("GOOGLETRANSLATE(C20, ""it"", ""en"")"),"A. The game is suspended B. The game continues C. The judge awards a point to the opponent D. There is a 10 minute wait")</f>
        <v>A. The game is suspended B. The game continues C. The judge awards a point to the opponent D. There is a 10 minute wait</v>
      </c>
      <c r="I20" s="3" t="str">
        <f>IFERROR(__xludf.DUMMYFUNCTION("GOOGLETRANSLATE(D20, ""it"", ""en"")"),"The match is suspended")</f>
        <v>The match is suspended</v>
      </c>
      <c r="J20" s="2"/>
      <c r="K20" s="2"/>
      <c r="L20" s="2"/>
      <c r="M20" s="2"/>
      <c r="N20" s="2"/>
      <c r="O20" s="2"/>
      <c r="P20" s="2"/>
      <c r="Q20" s="2"/>
      <c r="R20" s="2"/>
      <c r="S20" s="2"/>
      <c r="T20" s="2"/>
      <c r="U20" s="2"/>
      <c r="V20" s="2"/>
    </row>
    <row r="21" ht="22.5" customHeight="1">
      <c r="A21" s="3">
        <v>20.0</v>
      </c>
      <c r="B21" s="3" t="s">
        <v>542</v>
      </c>
      <c r="C21" s="3" t="s">
        <v>543</v>
      </c>
      <c r="D21" s="3" t="s">
        <v>544</v>
      </c>
      <c r="E21" s="2"/>
      <c r="F21" s="3" t="str">
        <f>IFERROR(__xludf.DUMMYFUNCTION("GOOGLETRANSLATE(A21, ""it"", ""en"")"),"20")</f>
        <v>20</v>
      </c>
      <c r="G21" s="3" t="str">
        <f>IFERROR(__xludf.DUMMYFUNCTION("GOOGLETRANSLATE(B21, ""it"", ""en"")"),"What is the maximum diameter allowed for ruzzola cheese?")</f>
        <v>What is the maximum diameter allowed for ruzzola cheese?</v>
      </c>
      <c r="H21" s="3" t="str">
        <f>IFERROR(__xludf.DUMMYFUNCTION("GOOGLETRANSLATE(C21, ""it"", ""en"")"),"A. 10 cm B. 15 cm C. 20 cm D. 25 cm")</f>
        <v>A. 10 cm B. 15 cm C. 20 cm D. 25 cm</v>
      </c>
      <c r="I21" s="3" t="str">
        <f>IFERROR(__xludf.DUMMYFUNCTION("GOOGLETRANSLATE(D21, ""it"", ""en"")"),"20 cm")</f>
        <v>20 cm</v>
      </c>
      <c r="J21" s="2"/>
      <c r="K21" s="2"/>
      <c r="L21" s="2"/>
      <c r="M21" s="2"/>
      <c r="N21" s="2"/>
      <c r="O21" s="2"/>
      <c r="P21" s="2"/>
      <c r="Q21" s="2"/>
      <c r="R21" s="2"/>
      <c r="S21" s="2"/>
      <c r="T21" s="2"/>
      <c r="U21" s="2"/>
      <c r="V21" s="2"/>
    </row>
    <row r="22" ht="22.5" customHeight="1">
      <c r="A22" s="3">
        <v>21.0</v>
      </c>
      <c r="B22" s="3" t="s">
        <v>545</v>
      </c>
      <c r="C22" s="3" t="s">
        <v>546</v>
      </c>
      <c r="D22" s="3" t="s">
        <v>517</v>
      </c>
      <c r="E22" s="2"/>
      <c r="F22" s="3" t="str">
        <f>IFERROR(__xludf.DUMMYFUNCTION("GOOGLETRANSLATE(A22, ""it"", ""en"")"),"21")</f>
        <v>21</v>
      </c>
      <c r="G22" s="3" t="str">
        <f>IFERROR(__xludf.DUMMYFUNCTION("GOOGLETRANSLATE(B22, ""it"", ""en"")"),"A player throws the cheese without wrapping it completely with tape. What happens?")</f>
        <v>A player throws the cheese without wrapping it completely with tape. What happens?</v>
      </c>
      <c r="H22" s="3" t="str">
        <f>IFERROR(__xludf.DUMMYFUNCTION("GOOGLETRANSLATE(C22, ""it"", ""en"")"),"A. The shot is valid B. The shot is cancelled C. The judge awards a penalty D. The shot is retaken")</f>
        <v>A. The shot is valid B. The shot is cancelled C. The judge awards a penalty D. The shot is retaken</v>
      </c>
      <c r="I22" s="3" t="str">
        <f>IFERROR(__xludf.DUMMYFUNCTION("GOOGLETRANSLATE(D22, ""it"", ""en"")"),"The shot is disallowed")</f>
        <v>The shot is disallowed</v>
      </c>
      <c r="J22" s="2"/>
      <c r="K22" s="2"/>
      <c r="L22" s="2"/>
      <c r="M22" s="2"/>
      <c r="N22" s="2"/>
      <c r="O22" s="2"/>
      <c r="P22" s="2"/>
      <c r="Q22" s="2"/>
      <c r="R22" s="2"/>
      <c r="S22" s="2"/>
      <c r="T22" s="2"/>
      <c r="U22" s="2"/>
      <c r="V22" s="2"/>
    </row>
    <row r="23" ht="22.5" customHeight="1">
      <c r="A23" s="3">
        <v>22.0</v>
      </c>
      <c r="B23" s="3" t="s">
        <v>547</v>
      </c>
      <c r="C23" s="3" t="s">
        <v>548</v>
      </c>
      <c r="D23" s="3" t="s">
        <v>549</v>
      </c>
      <c r="E23" s="2"/>
      <c r="F23" s="3" t="str">
        <f>IFERROR(__xludf.DUMMYFUNCTION("GOOGLETRANSLATE(A23, ""it"", ""en"")"),"22")</f>
        <v>22</v>
      </c>
      <c r="G23" s="3" t="str">
        <f>IFERROR(__xludf.DUMMYFUNCTION("GOOGLETRANSLATE(B23, ""it"", ""en"")"),"The thrown cheese falls into a river beside the road. What happens?")</f>
        <v>The thrown cheese falls into a river beside the road. What happens?</v>
      </c>
      <c r="H23" s="3" t="str">
        <f>IFERROR(__xludf.DUMMYFUNCTION("GOOGLETRANSLATE(C23, ""it"", ""en"")"),"A. The shot is valid B. The shot is repeated C. The cheese is recovered and repeated D. The player loses his turn")</f>
        <v>A. The shot is valid B. The shot is repeated C. The cheese is recovered and repeated D. The player loses his turn</v>
      </c>
      <c r="I23" s="3" t="str">
        <f>IFERROR(__xludf.DUMMYFUNCTION("GOOGLETRANSLATE(D23, ""it"", ""en"")"),"The player loses the turn")</f>
        <v>The player loses the turn</v>
      </c>
      <c r="J23" s="2"/>
      <c r="K23" s="2"/>
      <c r="L23" s="2"/>
      <c r="M23" s="2"/>
      <c r="N23" s="2"/>
      <c r="O23" s="2"/>
      <c r="P23" s="2"/>
      <c r="Q23" s="2"/>
      <c r="R23" s="2"/>
      <c r="S23" s="2"/>
      <c r="T23" s="2"/>
      <c r="U23" s="2"/>
      <c r="V23" s="2"/>
    </row>
    <row r="24" ht="22.5" customHeight="1">
      <c r="A24" s="3">
        <v>23.0</v>
      </c>
      <c r="B24" s="3" t="s">
        <v>550</v>
      </c>
      <c r="C24" s="3" t="s">
        <v>551</v>
      </c>
      <c r="D24" s="3" t="s">
        <v>517</v>
      </c>
      <c r="E24" s="2"/>
      <c r="F24" s="3" t="str">
        <f>IFERROR(__xludf.DUMMYFUNCTION("GOOGLETRANSLATE(A24, ""it"", ""en"")"),"23")</f>
        <v>23</v>
      </c>
      <c r="G24" s="3" t="str">
        <f>IFERROR(__xludf.DUMMYFUNCTION("GOOGLETRANSLATE(B24, ""it"", ""en"")"),"A referee signals that a player has crossed the throwing line. What happens?")</f>
        <v>A referee signals that a player has crossed the throwing line. What happens?</v>
      </c>
      <c r="H24" s="3" t="str">
        <f>IFERROR(__xludf.DUMMYFUNCTION("GOOGLETRANSLATE(C24, ""it"", ""en"")"),"A. The shot is disallowed B. The shot is valid C. The player receives a warning D. The player loses his turn")</f>
        <v>A. The shot is disallowed B. The shot is valid C. The player receives a warning D. The player loses his turn</v>
      </c>
      <c r="I24" s="3" t="str">
        <f>IFERROR(__xludf.DUMMYFUNCTION("GOOGLETRANSLATE(D24, ""it"", ""en"")"),"The shot is disallowed")</f>
        <v>The shot is disallowed</v>
      </c>
      <c r="J24" s="2"/>
      <c r="K24" s="2"/>
      <c r="L24" s="2"/>
      <c r="M24" s="2"/>
      <c r="N24" s="2"/>
      <c r="O24" s="2"/>
      <c r="P24" s="2"/>
      <c r="Q24" s="2"/>
      <c r="R24" s="2"/>
      <c r="S24" s="2"/>
      <c r="T24" s="2"/>
      <c r="U24" s="2"/>
      <c r="V24" s="2"/>
    </row>
    <row r="25" ht="22.5" customHeight="1">
      <c r="A25" s="3">
        <v>24.0</v>
      </c>
      <c r="B25" s="3" t="s">
        <v>552</v>
      </c>
      <c r="C25" s="3" t="s">
        <v>553</v>
      </c>
      <c r="D25" s="3" t="s">
        <v>549</v>
      </c>
      <c r="E25" s="2"/>
      <c r="F25" s="3" t="str">
        <f>IFERROR(__xludf.DUMMYFUNCTION("GOOGLETRANSLATE(A25, ""it"", ""en"")"),"24")</f>
        <v>24</v>
      </c>
      <c r="G25" s="3" t="str">
        <f>IFERROR(__xludf.DUMMYFUNCTION("GOOGLETRANSLATE(B25, ""it"", ""en"")"),"What happens if a player refuses to throw?")</f>
        <v>What happens if a player refuses to throw?</v>
      </c>
      <c r="H25" s="3" t="str">
        <f>IFERROR(__xludf.DUMMYFUNCTION("GOOGLETRANSLATE(C25, ""it"", ""en"")"),"A. The player loses the turn B. The shot is retaken C. The judge awards a penalty D. The player is disqualified")</f>
        <v>A. The player loses the turn B. The shot is retaken C. The judge awards a penalty D. The player is disqualified</v>
      </c>
      <c r="I25" s="3" t="str">
        <f>IFERROR(__xludf.DUMMYFUNCTION("GOOGLETRANSLATE(D25, ""it"", ""en"")"),"The player loses the turn")</f>
        <v>The player loses the turn</v>
      </c>
      <c r="J25" s="2"/>
      <c r="K25" s="2"/>
      <c r="L25" s="2"/>
      <c r="M25" s="2"/>
      <c r="N25" s="2"/>
      <c r="O25" s="2"/>
      <c r="P25" s="2"/>
      <c r="Q25" s="2"/>
      <c r="R25" s="2"/>
      <c r="S25" s="2"/>
      <c r="T25" s="2"/>
      <c r="U25" s="2"/>
      <c r="V25" s="2"/>
    </row>
    <row r="26" ht="22.5" customHeight="1">
      <c r="A26" s="3">
        <v>25.0</v>
      </c>
      <c r="B26" s="3" t="s">
        <v>554</v>
      </c>
      <c r="C26" s="3" t="s">
        <v>555</v>
      </c>
      <c r="D26" s="3" t="s">
        <v>9</v>
      </c>
      <c r="E26" s="2"/>
      <c r="F26" s="3" t="str">
        <f>IFERROR(__xludf.DUMMYFUNCTION("GOOGLETRANSLATE(A26, ""it"", ""en"")"),"25")</f>
        <v>25</v>
      </c>
      <c r="G26" s="3" t="str">
        <f>IFERROR(__xludf.DUMMYFUNCTION("GOOGLETRANSLATE(B26, ""it"", ""en"")"),"A player deliberately throws cheese at an opponent. What happens?")</f>
        <v>A player deliberately throws cheese at an opponent. What happens?</v>
      </c>
      <c r="H26" s="3" t="str">
        <f>IFERROR(__xludf.DUMMYFUNCTION("GOOGLETRANSLATE(C26, ""it"", ""en"")"),"A. The player is ejected B. The throw is valid C. The judge awards a penalty D. The throw is retaken")</f>
        <v>A. The player is ejected B. The throw is valid C. The judge awards a penalty D. The throw is retaken</v>
      </c>
      <c r="I26" s="3" t="str">
        <f>IFERROR(__xludf.DUMMYFUNCTION("GOOGLETRANSLATE(D26, ""it"", ""en"")"),"The player is sent off")</f>
        <v>The player is sent off</v>
      </c>
      <c r="J26" s="2"/>
      <c r="K26" s="2"/>
      <c r="L26" s="2"/>
      <c r="M26" s="2"/>
      <c r="N26" s="2"/>
      <c r="O26" s="2"/>
      <c r="P26" s="2"/>
      <c r="Q26" s="2"/>
      <c r="R26" s="2"/>
      <c r="S26" s="2"/>
      <c r="T26" s="2"/>
      <c r="U26" s="2"/>
      <c r="V26" s="2"/>
    </row>
    <row r="27" ht="22.5" customHeight="1">
      <c r="A27" s="3">
        <v>26.0</v>
      </c>
      <c r="B27" s="3" t="s">
        <v>556</v>
      </c>
      <c r="C27" s="3" t="s">
        <v>557</v>
      </c>
      <c r="D27" s="3" t="s">
        <v>558</v>
      </c>
      <c r="E27" s="2"/>
      <c r="F27" s="3" t="str">
        <f>IFERROR(__xludf.DUMMYFUNCTION("GOOGLETRANSLATE(A27, ""it"", ""en"")"),"26")</f>
        <v>26</v>
      </c>
      <c r="G27" s="3" t="str">
        <f>IFERROR(__xludf.DUMMYFUNCTION("GOOGLETRANSLATE(B27, ""it"", ""en"")"),"What is the minimum regulatory weight for ruzzola cheese?")</f>
        <v>What is the minimum regulatory weight for ruzzola cheese?</v>
      </c>
      <c r="H27" s="3" t="str">
        <f>IFERROR(__xludf.DUMMYFUNCTION("GOOGLETRANSLATE(C27, ""it"", ""en"")"),"A. 500 grams B. 1 kg C. 2 kg D. 3 kg")</f>
        <v>A. 500 grams B. 1 kg C. 2 kg D. 3 kg</v>
      </c>
      <c r="I27" s="3" t="str">
        <f>IFERROR(__xludf.DUMMYFUNCTION("GOOGLETRANSLATE(D27, ""it"", ""en"")"),"1 kg")</f>
        <v>1 kg</v>
      </c>
      <c r="J27" s="2"/>
      <c r="K27" s="2"/>
      <c r="L27" s="2"/>
      <c r="M27" s="2"/>
      <c r="N27" s="2"/>
      <c r="O27" s="2"/>
      <c r="P27" s="2"/>
      <c r="Q27" s="2"/>
      <c r="R27" s="2"/>
      <c r="S27" s="2"/>
      <c r="T27" s="2"/>
      <c r="U27" s="2"/>
      <c r="V27" s="2"/>
    </row>
    <row r="28" ht="22.5" customHeight="1">
      <c r="A28" s="3">
        <v>27.0</v>
      </c>
      <c r="B28" s="3" t="s">
        <v>559</v>
      </c>
      <c r="C28" s="3" t="s">
        <v>560</v>
      </c>
      <c r="D28" s="3" t="s">
        <v>561</v>
      </c>
      <c r="E28" s="2"/>
      <c r="F28" s="3" t="str">
        <f>IFERROR(__xludf.DUMMYFUNCTION("GOOGLETRANSLATE(A28, ""it"", ""en"")"),"27")</f>
        <v>27</v>
      </c>
      <c r="G28" s="3" t="str">
        <f>IFERROR(__xludf.DUMMYFUNCTION("GOOGLETRANSLATE(B28, ""it"", ""en"")"),"A player stops mid-throw to check the wind. What happens?")</f>
        <v>A player stops mid-throw to check the wind. What happens?</v>
      </c>
      <c r="H28" s="3" t="str">
        <f>IFERROR(__xludf.DUMMYFUNCTION("GOOGLETRANSLATE(C28, ""it"", ""en"")"),"A. The throw is cancelled B. The player loses his turn C. The throw can be made D. The judge issues a penalty")</f>
        <v>A. The throw is cancelled B. The player loses his turn C. The throw can be made D. The judge issues a penalty</v>
      </c>
      <c r="I28" s="3" t="str">
        <f>IFERROR(__xludf.DUMMYFUNCTION("GOOGLETRANSLATE(D28, ""it"", ""en"")"),"The launch can be done")</f>
        <v>The launch can be done</v>
      </c>
      <c r="J28" s="2"/>
      <c r="K28" s="2"/>
      <c r="L28" s="2"/>
      <c r="M28" s="2"/>
      <c r="N28" s="2"/>
      <c r="O28" s="2"/>
      <c r="P28" s="2"/>
      <c r="Q28" s="2"/>
      <c r="R28" s="2"/>
      <c r="S28" s="2"/>
      <c r="T28" s="2"/>
      <c r="U28" s="2"/>
      <c r="V28" s="2"/>
    </row>
    <row r="29" ht="22.5" customHeight="1">
      <c r="A29" s="3">
        <v>28.0</v>
      </c>
      <c r="B29" s="3" t="s">
        <v>562</v>
      </c>
      <c r="C29" s="3" t="s">
        <v>563</v>
      </c>
      <c r="D29" s="3" t="s">
        <v>494</v>
      </c>
      <c r="E29" s="2"/>
      <c r="F29" s="3" t="str">
        <f>IFERROR(__xludf.DUMMYFUNCTION("GOOGLETRANSLATE(A29, ""it"", ""en"")"),"28")</f>
        <v>28</v>
      </c>
      <c r="G29" s="3" t="str">
        <f>IFERROR(__xludf.DUMMYFUNCTION("GOOGLETRANSLATE(B29, ""it"", ""en"")"),"A player's cheese touches the marker. What happens?")</f>
        <v>A player's cheese touches the marker. What happens?</v>
      </c>
      <c r="H29" s="3" t="str">
        <f>IFERROR(__xludf.DUMMYFUNCTION("GOOGLETRANSLATE(C29, ""it"", ""en"")"),"A. The shot is valid B. The jack is removed C. The judge awards a penalty D. The shot is repeated")</f>
        <v>A. The shot is valid B. The jack is removed C. The judge awards a penalty D. The shot is repeated</v>
      </c>
      <c r="I29" s="3" t="str">
        <f>IFERROR(__xludf.DUMMYFUNCTION("GOOGLETRANSLATE(D29, ""it"", ""en"")"),"The shot is valid")</f>
        <v>The shot is valid</v>
      </c>
      <c r="J29" s="2"/>
      <c r="K29" s="2"/>
      <c r="L29" s="2"/>
      <c r="M29" s="2"/>
      <c r="N29" s="2"/>
      <c r="O29" s="2"/>
      <c r="P29" s="2"/>
      <c r="Q29" s="2"/>
      <c r="R29" s="2"/>
      <c r="S29" s="2"/>
      <c r="T29" s="2"/>
      <c r="U29" s="2"/>
      <c r="V29" s="2"/>
    </row>
    <row r="30" ht="22.5" customHeight="1">
      <c r="A30" s="3">
        <v>29.0</v>
      </c>
      <c r="B30" s="3" t="s">
        <v>564</v>
      </c>
      <c r="C30" s="3" t="s">
        <v>565</v>
      </c>
      <c r="D30" s="3" t="s">
        <v>494</v>
      </c>
      <c r="E30" s="2"/>
      <c r="F30" s="3" t="str">
        <f>IFERROR(__xludf.DUMMYFUNCTION("GOOGLETRANSLATE(A30, ""it"", ""en"")"),"29")</f>
        <v>29</v>
      </c>
      <c r="G30" s="3" t="str">
        <f>IFERROR(__xludf.DUMMYFUNCTION("GOOGLETRANSLATE(B30, ""it"", ""en"")"),"A player uses damaged tape while shooting. What happens?")</f>
        <v>A player uses damaged tape while shooting. What happens?</v>
      </c>
      <c r="H30" s="3" t="str">
        <f>IFERROR(__xludf.DUMMYFUNCTION("GOOGLETRANSLATE(C30, ""it"", ""en"")"),"A. The shot is valid B. The shot is retaken C. The judge awards a penalty D. The ribbon is replaced")</f>
        <v>A. The shot is valid B. The shot is retaken C. The judge awards a penalty D. The ribbon is replaced</v>
      </c>
      <c r="I30" s="3" t="str">
        <f>IFERROR(__xludf.DUMMYFUNCTION("GOOGLETRANSLATE(D30, ""it"", ""en"")"),"The shot is valid")</f>
        <v>The shot is valid</v>
      </c>
      <c r="J30" s="2"/>
      <c r="K30" s="2"/>
      <c r="L30" s="2"/>
      <c r="M30" s="2"/>
      <c r="N30" s="2"/>
      <c r="O30" s="2"/>
      <c r="P30" s="2"/>
      <c r="Q30" s="2"/>
      <c r="R30" s="2"/>
      <c r="S30" s="2"/>
      <c r="T30" s="2"/>
      <c r="U30" s="2"/>
      <c r="V30" s="2"/>
    </row>
    <row r="31" ht="22.5" customHeight="1">
      <c r="A31" s="3">
        <v>30.0</v>
      </c>
      <c r="B31" s="3" t="s">
        <v>566</v>
      </c>
      <c r="C31" s="3" t="s">
        <v>567</v>
      </c>
      <c r="D31" s="3" t="s">
        <v>514</v>
      </c>
      <c r="E31" s="2"/>
      <c r="F31" s="3" t="str">
        <f>IFERROR(__xludf.DUMMYFUNCTION("GOOGLETRANSLATE(A31, ""it"", ""en"")"),"30")</f>
        <v>30</v>
      </c>
      <c r="G31" s="3" t="str">
        <f>IFERROR(__xludf.DUMMYFUNCTION("GOOGLETRANSLATE(B31, ""it"", ""en"")"),"What is the minimum regulatory distance for a valid shot?")</f>
        <v>What is the minimum regulatory distance for a valid shot?</v>
      </c>
      <c r="H31" s="3" t="str">
        <f>IFERROR(__xludf.DUMMYFUNCTION("GOOGLETRANSLATE(C31, ""it"", ""en"")"),"A. 1 meter B. 2 meters C. 3 meters D. 5 meters")</f>
        <v>A. 1 meter B. 2 meters C. 3 meters D. 5 meters</v>
      </c>
      <c r="I31" s="3" t="str">
        <f>IFERROR(__xludf.DUMMYFUNCTION("GOOGLETRANSLATE(D31, ""it"", ""en"")"),"2 meters")</f>
        <v>2 meters</v>
      </c>
      <c r="J31" s="2"/>
      <c r="K31" s="2"/>
      <c r="L31" s="2"/>
      <c r="M31" s="2"/>
      <c r="N31" s="2"/>
      <c r="O31" s="2"/>
      <c r="P31" s="2"/>
      <c r="Q31" s="2"/>
      <c r="R31" s="2"/>
      <c r="S31" s="2"/>
      <c r="T31" s="2"/>
      <c r="U31" s="2"/>
      <c r="V31" s="2"/>
    </row>
    <row r="32" ht="22.5" customHeight="1">
      <c r="A32" s="3">
        <v>31.0</v>
      </c>
      <c r="B32" s="3" t="s">
        <v>568</v>
      </c>
      <c r="C32" s="3" t="s">
        <v>569</v>
      </c>
      <c r="D32" s="3" t="s">
        <v>500</v>
      </c>
      <c r="E32" s="2"/>
      <c r="F32" s="3" t="str">
        <f>IFERROR(__xludf.DUMMYFUNCTION("GOOGLETRANSLATE(A32, ""it"", ""en"")"),"31")</f>
        <v>31</v>
      </c>
      <c r="G32" s="3" t="str">
        <f>IFERROR(__xludf.DUMMYFUNCTION("GOOGLETRANSLATE(B32, ""it"", ""en"")"),"The cheese breaks into pieces during the throw. What happens?")</f>
        <v>The cheese breaks into pieces during the throw. What happens?</v>
      </c>
      <c r="H32" s="3" t="str">
        <f>IFERROR(__xludf.DUMMYFUNCTION("GOOGLETRANSLATE(C32, ""it"", ""en"")"),"A. The shot is valid B. The judge decides C. The shot is repeated D. The cheese is replaced")</f>
        <v>A. The shot is valid B. The judge decides C. The shot is repeated D. The cheese is replaced</v>
      </c>
      <c r="I32" s="3" t="str">
        <f>IFERROR(__xludf.DUMMYFUNCTION("GOOGLETRANSLATE(D32, ""it"", ""en"")"),"The shot is repeated")</f>
        <v>The shot is repeated</v>
      </c>
      <c r="J32" s="2"/>
      <c r="K32" s="2"/>
      <c r="L32" s="2"/>
      <c r="M32" s="2"/>
      <c r="N32" s="2"/>
      <c r="O32" s="2"/>
      <c r="P32" s="2"/>
      <c r="Q32" s="2"/>
      <c r="R32" s="2"/>
      <c r="S32" s="2"/>
      <c r="T32" s="2"/>
      <c r="U32" s="2"/>
      <c r="V32" s="2"/>
    </row>
    <row r="33" ht="22.5" customHeight="1">
      <c r="A33" s="3">
        <v>32.0</v>
      </c>
      <c r="B33" s="3" t="s">
        <v>570</v>
      </c>
      <c r="C33" s="3" t="s">
        <v>571</v>
      </c>
      <c r="D33" s="3" t="s">
        <v>572</v>
      </c>
      <c r="E33" s="2"/>
      <c r="F33" s="3" t="str">
        <f>IFERROR(__xludf.DUMMYFUNCTION("GOOGLETRANSLATE(A33, ""it"", ""en"")"),"32")</f>
        <v>32</v>
      </c>
      <c r="G33" s="3" t="str">
        <f>IFERROR(__xludf.DUMMYFUNCTION("GOOGLETRANSLATE(B33, ""it"", ""en"")"),"A player protests the referee's decision. What happens?")</f>
        <v>A player protests the referee's decision. What happens?</v>
      </c>
      <c r="H33" s="3" t="str">
        <f>IFERROR(__xludf.DUMMYFUNCTION("GOOGLETRANSLATE(C33, ""it"", ""en"")"),"A. The judge disallows the shot B. The player is disqualified C. The judge issues a penalty D. The decision remains unchanged")</f>
        <v>A. The judge disallows the shot B. The player is disqualified C. The judge issues a penalty D. The decision remains unchanged</v>
      </c>
      <c r="I33" s="3" t="str">
        <f>IFERROR(__xludf.DUMMYFUNCTION("GOOGLETRANSLATE(D33, ""it"", ""en"")"),"The decision does not change")</f>
        <v>The decision does not change</v>
      </c>
      <c r="J33" s="2"/>
      <c r="K33" s="2"/>
      <c r="L33" s="2"/>
      <c r="M33" s="2"/>
      <c r="N33" s="2"/>
      <c r="O33" s="2"/>
      <c r="P33" s="2"/>
      <c r="Q33" s="2"/>
      <c r="R33" s="2"/>
      <c r="S33" s="2"/>
      <c r="T33" s="2"/>
      <c r="U33" s="2"/>
      <c r="V33" s="2"/>
    </row>
    <row r="34" ht="22.5" customHeight="1">
      <c r="A34" s="3">
        <v>33.0</v>
      </c>
      <c r="B34" s="3" t="s">
        <v>573</v>
      </c>
      <c r="C34" s="3" t="s">
        <v>574</v>
      </c>
      <c r="D34" s="3" t="s">
        <v>575</v>
      </c>
      <c r="E34" s="2"/>
      <c r="F34" s="3" t="str">
        <f>IFERROR(__xludf.DUMMYFUNCTION("GOOGLETRANSLATE(A34, ""it"", ""en"")"),"33")</f>
        <v>33</v>
      </c>
      <c r="G34" s="3" t="str">
        <f>IFERROR(__xludf.DUMMYFUNCTION("GOOGLETRANSLATE(B34, ""it"", ""en"")"),"What is the maximum length allowed for an official turf road?")</f>
        <v>What is the maximum length allowed for an official turf road?</v>
      </c>
      <c r="H34" s="3" t="str">
        <f>IFERROR(__xludf.DUMMYFUNCTION("GOOGLETRANSLATE(C34, ""it"", ""en"")"),"A. 50 meters B. 100 meters C. 150 meters D. 200 meters")</f>
        <v>A. 50 meters B. 100 meters C. 150 meters D. 200 meters</v>
      </c>
      <c r="I34" s="3" t="str">
        <f>IFERROR(__xludf.DUMMYFUNCTION("GOOGLETRANSLATE(D34, ""it"", ""en"")"),"100 meters")</f>
        <v>100 meters</v>
      </c>
      <c r="J34" s="2"/>
      <c r="K34" s="2"/>
      <c r="L34" s="2"/>
      <c r="M34" s="2"/>
      <c r="N34" s="2"/>
      <c r="O34" s="2"/>
      <c r="P34" s="2"/>
      <c r="Q34" s="2"/>
      <c r="R34" s="2"/>
      <c r="S34" s="2"/>
      <c r="T34" s="2"/>
      <c r="U34" s="2"/>
      <c r="V34" s="2"/>
    </row>
    <row r="35" ht="22.5" customHeight="1">
      <c r="A35" s="3">
        <v>34.0</v>
      </c>
      <c r="B35" s="3" t="s">
        <v>576</v>
      </c>
      <c r="C35" s="3" t="s">
        <v>577</v>
      </c>
      <c r="D35" s="3" t="s">
        <v>500</v>
      </c>
      <c r="E35" s="2"/>
      <c r="F35" s="3" t="str">
        <f>IFERROR(__xludf.DUMMYFUNCTION("GOOGLETRANSLATE(A35, ""it"", ""en"")"),"34")</f>
        <v>34</v>
      </c>
      <c r="G35" s="3" t="str">
        <f>IFERROR(__xludf.DUMMYFUNCTION("GOOGLETRANSLATE(B35, ""it"", ""en"")"),"The cheese crosses the finish line but hits a person. What happens?")</f>
        <v>The cheese crosses the finish line but hits a person. What happens?</v>
      </c>
      <c r="H35" s="3" t="str">
        <f>IFERROR(__xludf.DUMMYFUNCTION("GOOGLETRANSLATE(C35, ""it"", ""en"")"),"A. The shot is valid B. The judge awards a penalty C. The shot is retaken D. The game is suspended")</f>
        <v>A. The shot is valid B. The judge awards a penalty C. The shot is retaken D. The game is suspended</v>
      </c>
      <c r="I35" s="3" t="str">
        <f>IFERROR(__xludf.DUMMYFUNCTION("GOOGLETRANSLATE(D35, ""it"", ""en"")"),"The shot is repeated")</f>
        <v>The shot is repeated</v>
      </c>
      <c r="J35" s="2"/>
      <c r="K35" s="2"/>
      <c r="L35" s="2"/>
      <c r="M35" s="2"/>
      <c r="N35" s="2"/>
      <c r="O35" s="2"/>
      <c r="P35" s="2"/>
      <c r="Q35" s="2"/>
      <c r="R35" s="2"/>
      <c r="S35" s="2"/>
      <c r="T35" s="2"/>
      <c r="U35" s="2"/>
      <c r="V35" s="2"/>
    </row>
    <row r="36" ht="22.5" customHeight="1">
      <c r="A36" s="3">
        <v>35.0</v>
      </c>
      <c r="B36" s="3" t="s">
        <v>578</v>
      </c>
      <c r="C36" s="3" t="s">
        <v>579</v>
      </c>
      <c r="D36" s="3" t="s">
        <v>500</v>
      </c>
      <c r="E36" s="2"/>
      <c r="F36" s="3" t="str">
        <f>IFERROR(__xludf.DUMMYFUNCTION("GOOGLETRANSLATE(A36, ""it"", ""en"")"),"35")</f>
        <v>35</v>
      </c>
      <c r="G36" s="3" t="str">
        <f>IFERROR(__xludf.DUMMYFUNCTION("GOOGLETRANSLATE(B36, ""it"", ""en"")"),"A player forgets to use the shooting tape. What happens?")</f>
        <v>A player forgets to use the shooting tape. What happens?</v>
      </c>
      <c r="H36" s="3" t="str">
        <f>IFERROR(__xludf.DUMMYFUNCTION("GOOGLETRANSLATE(C36, ""it"", ""en"")"),"A. The shot is valid B. The judge awards a penalty C. The shot is retaken D. The player loses his turn")</f>
        <v>A. The shot is valid B. The judge awards a penalty C. The shot is retaken D. The player loses his turn</v>
      </c>
      <c r="I36" s="3" t="str">
        <f>IFERROR(__xludf.DUMMYFUNCTION("GOOGLETRANSLATE(D36, ""it"", ""en"")"),"The shot is repeated")</f>
        <v>The shot is repeated</v>
      </c>
      <c r="J36" s="2"/>
      <c r="K36" s="2"/>
      <c r="L36" s="2"/>
      <c r="M36" s="2"/>
      <c r="N36" s="2"/>
      <c r="O36" s="2"/>
      <c r="P36" s="2"/>
      <c r="Q36" s="2"/>
      <c r="R36" s="2"/>
      <c r="S36" s="2"/>
      <c r="T36" s="2"/>
      <c r="U36" s="2"/>
      <c r="V36" s="2"/>
    </row>
    <row r="37" ht="22.5" customHeight="1">
      <c r="A37" s="3">
        <v>36.0</v>
      </c>
      <c r="B37" s="3" t="s">
        <v>580</v>
      </c>
      <c r="C37" s="3" t="s">
        <v>581</v>
      </c>
      <c r="D37" s="3" t="s">
        <v>582</v>
      </c>
      <c r="E37" s="2"/>
      <c r="F37" s="3" t="str">
        <f>IFERROR(__xludf.DUMMYFUNCTION("GOOGLETRANSLATE(A37, ""it"", ""en"")"),"36")</f>
        <v>36</v>
      </c>
      <c r="G37" s="3" t="str">
        <f>IFERROR(__xludf.DUMMYFUNCTION("GOOGLETRANSLATE(B37, ""it"", ""en"")"),"What happens if two cheeses arrive exactly the same distance away?")</f>
        <v>What happens if two cheeses arrive exactly the same distance away?</v>
      </c>
      <c r="H37" s="3" t="str">
        <f>IFERROR(__xludf.DUMMYFUNCTION("GOOGLETRANSLATE(C37, ""it"", ""en"")"),"A. Measure again B. A point is awarded to both C. The shot is repeated D. The judge decides")</f>
        <v>A. Measure again B. A point is awarded to both C. The shot is repeated D. The judge decides</v>
      </c>
      <c r="I37" s="3" t="str">
        <f>IFERROR(__xludf.DUMMYFUNCTION("GOOGLETRANSLATE(D37, ""it"", ""en"")"),"The shot is repeated")</f>
        <v>The shot is repeated</v>
      </c>
      <c r="J37" s="2"/>
      <c r="K37" s="2"/>
      <c r="L37" s="2"/>
      <c r="M37" s="2"/>
      <c r="N37" s="2"/>
      <c r="O37" s="2"/>
      <c r="P37" s="2"/>
      <c r="Q37" s="2"/>
      <c r="R37" s="2"/>
      <c r="S37" s="2"/>
      <c r="T37" s="2"/>
      <c r="U37" s="2"/>
      <c r="V37" s="2"/>
    </row>
    <row r="38" ht="22.5" customHeight="1">
      <c r="A38" s="3">
        <v>37.0</v>
      </c>
      <c r="B38" s="3" t="s">
        <v>583</v>
      </c>
      <c r="C38" s="3" t="s">
        <v>584</v>
      </c>
      <c r="D38" s="3" t="s">
        <v>494</v>
      </c>
      <c r="E38" s="2"/>
      <c r="F38" s="3" t="str">
        <f>IFERROR(__xludf.DUMMYFUNCTION("GOOGLETRANSLATE(A38, ""it"", ""en"")"),"37")</f>
        <v>37</v>
      </c>
      <c r="G38" s="3" t="str">
        <f>IFERROR(__xludf.DUMMYFUNCTION("GOOGLETRANSLATE(B38, ""it"", ""en"")"),"The wind blows the cheese off the road. What happens?")</f>
        <v>The wind blows the cheese off the road. What happens?</v>
      </c>
      <c r="H38" s="3" t="str">
        <f>IFERROR(__xludf.DUMMYFUNCTION("GOOGLETRANSLATE(C38, ""it"", ""en"")"),"A. The shot is valid B. The shot is retaken C. The judge awards a point D. The player loses the turn")</f>
        <v>A. The shot is valid B. The shot is retaken C. The judge awards a point D. The player loses the turn</v>
      </c>
      <c r="I38" s="3" t="str">
        <f>IFERROR(__xludf.DUMMYFUNCTION("GOOGLETRANSLATE(D38, ""it"", ""en"")"),"The shot is valid")</f>
        <v>The shot is valid</v>
      </c>
      <c r="J38" s="2"/>
      <c r="K38" s="2"/>
      <c r="L38" s="2"/>
      <c r="M38" s="2"/>
      <c r="N38" s="2"/>
      <c r="O38" s="2"/>
      <c r="P38" s="2"/>
      <c r="Q38" s="2"/>
      <c r="R38" s="2"/>
      <c r="S38" s="2"/>
      <c r="T38" s="2"/>
      <c r="U38" s="2"/>
      <c r="V38" s="2"/>
    </row>
    <row r="39" ht="22.5" customHeight="1">
      <c r="A39" s="3">
        <v>38.0</v>
      </c>
      <c r="B39" s="3" t="s">
        <v>585</v>
      </c>
      <c r="C39" s="3" t="s">
        <v>586</v>
      </c>
      <c r="D39" s="3" t="s">
        <v>494</v>
      </c>
      <c r="E39" s="2"/>
      <c r="F39" s="3" t="str">
        <f>IFERROR(__xludf.DUMMYFUNCTION("GOOGLETRANSLATE(A39, ""it"", ""en"")"),"38")</f>
        <v>38</v>
      </c>
      <c r="G39" s="3" t="str">
        <f>IFERROR(__xludf.DUMMYFUNCTION("GOOGLETRANSLATE(B39, ""it"", ""en"")"),"A player uses a cheese painted a different color. What happens?")</f>
        <v>A player uses a cheese painted a different color. What happens?</v>
      </c>
      <c r="H39" s="3" t="str">
        <f>IFERROR(__xludf.DUMMYFUNCTION("GOOGLETRANSLATE(C39, ""it"", ""en"")"),"A. The shot is valid B. The cheese is replaced C. The judge awards a penalty D. The player is disqualified")</f>
        <v>A. The shot is valid B. The cheese is replaced C. The judge awards a penalty D. The player is disqualified</v>
      </c>
      <c r="I39" s="3" t="str">
        <f>IFERROR(__xludf.DUMMYFUNCTION("GOOGLETRANSLATE(D39, ""it"", ""en"")"),"The shot is valid")</f>
        <v>The shot is valid</v>
      </c>
      <c r="J39" s="2"/>
      <c r="K39" s="2"/>
      <c r="L39" s="2"/>
      <c r="M39" s="2"/>
      <c r="N39" s="2"/>
      <c r="O39" s="2"/>
      <c r="P39" s="2"/>
      <c r="Q39" s="2"/>
      <c r="R39" s="2"/>
      <c r="S39" s="2"/>
      <c r="T39" s="2"/>
      <c r="U39" s="2"/>
      <c r="V39" s="2"/>
    </row>
    <row r="40" ht="22.5" customHeight="1">
      <c r="A40" s="3">
        <v>39.0</v>
      </c>
      <c r="B40" s="3" t="s">
        <v>587</v>
      </c>
      <c r="C40" s="3" t="s">
        <v>588</v>
      </c>
      <c r="D40" s="3">
        <v>4.0</v>
      </c>
      <c r="E40" s="2"/>
      <c r="F40" s="3" t="str">
        <f>IFERROR(__xludf.DUMMYFUNCTION("GOOGLETRANSLATE(A40, ""it"", ""en"")"),"39")</f>
        <v>39</v>
      </c>
      <c r="G40" s="3" t="str">
        <f>IFERROR(__xludf.DUMMYFUNCTION("GOOGLETRANSLATE(B40, ""it"", ""en"")"),"What is the maximum number of players per team in an official ruzzola game?")</f>
        <v>What is the maximum number of players per team in an official ruzzola game?</v>
      </c>
      <c r="H40" s="3" t="str">
        <f>IFERROR(__xludf.DUMMYFUNCTION("GOOGLETRANSLATE(C40, ""it"", ""en"")"),"A. 2 B. 4 C. 6 D. 8")</f>
        <v>A. 2 B. 4 C. 6 D. 8</v>
      </c>
      <c r="I40" s="3" t="str">
        <f>IFERROR(__xludf.DUMMYFUNCTION("GOOGLETRANSLATE(D40, ""it"", ""en"")"),"4")</f>
        <v>4</v>
      </c>
      <c r="J40" s="2"/>
      <c r="K40" s="2"/>
      <c r="L40" s="2"/>
      <c r="M40" s="2"/>
      <c r="N40" s="2"/>
      <c r="O40" s="2"/>
      <c r="P40" s="2"/>
      <c r="Q40" s="2"/>
      <c r="R40" s="2"/>
      <c r="S40" s="2"/>
      <c r="T40" s="2"/>
      <c r="U40" s="2"/>
      <c r="V40" s="2"/>
    </row>
    <row r="41" ht="22.5" customHeight="1">
      <c r="A41" s="3">
        <v>40.0</v>
      </c>
      <c r="B41" s="3" t="s">
        <v>589</v>
      </c>
      <c r="C41" s="3" t="s">
        <v>590</v>
      </c>
      <c r="D41" s="3" t="s">
        <v>506</v>
      </c>
      <c r="E41" s="2"/>
      <c r="F41" s="3" t="str">
        <f>IFERROR(__xludf.DUMMYFUNCTION("GOOGLETRANSLATE(A41, ""it"", ""en"")"),"40")</f>
        <v>40</v>
      </c>
      <c r="G41" s="3" t="str">
        <f>IFERROR(__xludf.DUMMYFUNCTION("GOOGLETRANSLATE(B41, ""it"", ""en"")"),"What happens if a player doesn't show up for the game on time?")</f>
        <v>What happens if a player doesn't show up for the game on time?</v>
      </c>
      <c r="H41" s="3" t="str">
        <f>IFERROR(__xludf.DUMMYFUNCTION("GOOGLETRANSLATE(C41, ""it"", ""en"")"),"A. The game is postponed B. The player is disqualified C. The judge issues a penalty D. The round is skipped")</f>
        <v>A. The game is postponed B. The player is disqualified C. The judge issues a penalty D. The round is skipped</v>
      </c>
      <c r="I41" s="3" t="str">
        <f>IFERROR(__xludf.DUMMYFUNCTION("GOOGLETRANSLATE(D41, ""it"", ""en"")"),"The player is disqualified")</f>
        <v>The player is disqualified</v>
      </c>
      <c r="J41" s="2"/>
      <c r="K41" s="2"/>
      <c r="L41" s="2"/>
      <c r="M41" s="2"/>
      <c r="N41" s="2"/>
      <c r="O41" s="2"/>
      <c r="P41" s="2"/>
      <c r="Q41" s="2"/>
      <c r="R41" s="2"/>
      <c r="S41" s="2"/>
      <c r="T41" s="2"/>
      <c r="U41" s="2"/>
      <c r="V41" s="2"/>
    </row>
    <row r="42" ht="22.5" customHeight="1">
      <c r="A42" s="3">
        <v>41.0</v>
      </c>
      <c r="B42" s="3" t="s">
        <v>591</v>
      </c>
      <c r="C42" s="3" t="s">
        <v>592</v>
      </c>
      <c r="D42" s="3" t="s">
        <v>506</v>
      </c>
      <c r="E42" s="2"/>
      <c r="F42" s="3" t="str">
        <f>IFERROR(__xludf.DUMMYFUNCTION("GOOGLETRANSLATE(A42, ""it"", ""en"")"),"41")</f>
        <v>41</v>
      </c>
      <c r="G42" s="3" t="str">
        <f>IFERROR(__xludf.DUMMYFUNCTION("GOOGLETRANSLATE(B42, ""it"", ""en"")"),"A player intentionally hits an opponent's cheese. What happens?")</f>
        <v>A player intentionally hits an opponent's cheese. What happens?</v>
      </c>
      <c r="H42" s="3" t="str">
        <f>IFERROR(__xludf.DUMMYFUNCTION("GOOGLETRANSLATE(C42, ""it"", ""en"")"),"A. The shot is valid B. The judge awards a penalty C. The player is disqualified D. The shot is retaken")</f>
        <v>A. The shot is valid B. The judge awards a penalty C. The player is disqualified D. The shot is retaken</v>
      </c>
      <c r="I42" s="3" t="str">
        <f>IFERROR(__xludf.DUMMYFUNCTION("GOOGLETRANSLATE(D42, ""it"", ""en"")"),"The player is disqualified")</f>
        <v>The player is disqualified</v>
      </c>
      <c r="J42" s="2"/>
      <c r="K42" s="2"/>
      <c r="L42" s="2"/>
      <c r="M42" s="2"/>
      <c r="N42" s="2"/>
      <c r="O42" s="2"/>
      <c r="P42" s="2"/>
      <c r="Q42" s="2"/>
      <c r="R42" s="2"/>
      <c r="S42" s="2"/>
      <c r="T42" s="2"/>
      <c r="U42" s="2"/>
      <c r="V42" s="2"/>
    </row>
    <row r="43" ht="22.5" customHeight="1">
      <c r="A43" s="3">
        <v>42.0</v>
      </c>
      <c r="B43" s="3" t="s">
        <v>593</v>
      </c>
      <c r="C43" s="3" t="s">
        <v>594</v>
      </c>
      <c r="D43" s="3" t="s">
        <v>595</v>
      </c>
      <c r="E43" s="2"/>
      <c r="F43" s="3" t="str">
        <f>IFERROR(__xludf.DUMMYFUNCTION("GOOGLETRANSLATE(A43, ""it"", ""en"")"),"42")</f>
        <v>42</v>
      </c>
      <c r="G43" s="3" t="str">
        <f>IFERROR(__xludf.DUMMYFUNCTION("GOOGLETRANSLATE(B43, ""it"", ""en"")"),"What is the preferred material for official ruzzola roads?")</f>
        <v>What is the preferred material for official ruzzola roads?</v>
      </c>
      <c r="H43" s="3" t="str">
        <f>IFERROR(__xludf.DUMMYFUNCTION("GOOGLETRANSLATE(C43, ""it"", ""en"")"),"A. Asphalt B. Dirt C. Grass D. Stone")</f>
        <v>A. Asphalt B. Dirt C. Grass D. Stone</v>
      </c>
      <c r="I43" s="3" t="str">
        <f>IFERROR(__xludf.DUMMYFUNCTION("GOOGLETRANSLATE(D43, ""it"", ""en"")"),"Dirt road")</f>
        <v>Dirt road</v>
      </c>
      <c r="J43" s="2"/>
      <c r="K43" s="2"/>
      <c r="L43" s="2"/>
      <c r="M43" s="2"/>
      <c r="N43" s="2"/>
      <c r="O43" s="2"/>
      <c r="P43" s="2"/>
      <c r="Q43" s="2"/>
      <c r="R43" s="2"/>
      <c r="S43" s="2"/>
      <c r="T43" s="2"/>
      <c r="U43" s="2"/>
      <c r="V43" s="2"/>
    </row>
    <row r="44" ht="22.5" customHeight="1">
      <c r="A44" s="3">
        <v>43.0</v>
      </c>
      <c r="B44" s="3" t="s">
        <v>596</v>
      </c>
      <c r="C44" s="3" t="s">
        <v>597</v>
      </c>
      <c r="D44" s="3" t="s">
        <v>598</v>
      </c>
      <c r="E44" s="2"/>
      <c r="F44" s="3" t="str">
        <f>IFERROR(__xludf.DUMMYFUNCTION("GOOGLETRANSLATE(A44, ""it"", ""en"")"),"43")</f>
        <v>43</v>
      </c>
      <c r="G44" s="3" t="str">
        <f>IFERROR(__xludf.DUMMYFUNCTION("GOOGLETRANSLATE(B44, ""it"", ""en"")"),"A judge determines that the cheese isn't uniform. What happens?")</f>
        <v>A judge determines that the cheese isn't uniform. What happens?</v>
      </c>
      <c r="H44" s="3" t="str">
        <f>IFERROR(__xludf.DUMMYFUNCTION("GOOGLETRANSLATE(C44, ""it"", ""en"")"),"A. The cheese is replaced B. The judge awards a penalty C. The shot is valid D. The game is suspended")</f>
        <v>A. The cheese is replaced B. The judge awards a penalty C. The shot is valid D. The game is suspended</v>
      </c>
      <c r="I44" s="3" t="str">
        <f>IFERROR(__xludf.DUMMYFUNCTION("GOOGLETRANSLATE(D44, ""it"", ""en"")"),"The cheese is replaced")</f>
        <v>The cheese is replaced</v>
      </c>
      <c r="J44" s="2"/>
      <c r="K44" s="2"/>
      <c r="L44" s="2"/>
      <c r="M44" s="2"/>
      <c r="N44" s="2"/>
      <c r="O44" s="2"/>
      <c r="P44" s="2"/>
      <c r="Q44" s="2"/>
      <c r="R44" s="2"/>
      <c r="S44" s="2"/>
      <c r="T44" s="2"/>
      <c r="U44" s="2"/>
      <c r="V44" s="2"/>
    </row>
    <row r="45" ht="22.5" customHeight="1">
      <c r="A45" s="3">
        <v>44.0</v>
      </c>
      <c r="B45" s="3" t="s">
        <v>599</v>
      </c>
      <c r="C45" s="3" t="s">
        <v>527</v>
      </c>
      <c r="D45" s="3" t="s">
        <v>514</v>
      </c>
      <c r="E45" s="2"/>
      <c r="F45" s="3" t="str">
        <f>IFERROR(__xludf.DUMMYFUNCTION("GOOGLETRANSLATE(A45, ""it"", ""en"")"),"44")</f>
        <v>44</v>
      </c>
      <c r="G45" s="3" t="str">
        <f>IFERROR(__xludf.DUMMYFUNCTION("GOOGLETRANSLATE(B45, ""it"", ""en"")"),"What is the minimum regulatory width for a dirt road?")</f>
        <v>What is the minimum regulatory width for a dirt road?</v>
      </c>
      <c r="H45" s="3" t="str">
        <f>IFERROR(__xludf.DUMMYFUNCTION("GOOGLETRANSLATE(C45, ""it"", ""en"")"),"A. 1 meter B. 2 meters C. 3 meters D. 4 meters")</f>
        <v>A. 1 meter B. 2 meters C. 3 meters D. 4 meters</v>
      </c>
      <c r="I45" s="3" t="str">
        <f>IFERROR(__xludf.DUMMYFUNCTION("GOOGLETRANSLATE(D45, ""it"", ""en"")"),"2 meters")</f>
        <v>2 meters</v>
      </c>
      <c r="J45" s="2"/>
      <c r="K45" s="2"/>
      <c r="L45" s="2"/>
      <c r="M45" s="2"/>
      <c r="N45" s="2"/>
      <c r="O45" s="2"/>
      <c r="P45" s="2"/>
      <c r="Q45" s="2"/>
      <c r="R45" s="2"/>
      <c r="S45" s="2"/>
      <c r="T45" s="2"/>
      <c r="U45" s="2"/>
      <c r="V45" s="2"/>
    </row>
    <row r="46" ht="22.5" customHeight="1">
      <c r="A46" s="3">
        <v>45.0</v>
      </c>
      <c r="B46" s="3" t="s">
        <v>600</v>
      </c>
      <c r="C46" s="3" t="s">
        <v>601</v>
      </c>
      <c r="D46" s="3" t="s">
        <v>500</v>
      </c>
      <c r="E46" s="2"/>
      <c r="F46" s="3" t="str">
        <f>IFERROR(__xludf.DUMMYFUNCTION("GOOGLETRANSLATE(A46, ""it"", ""en"")"),"45")</f>
        <v>45</v>
      </c>
      <c r="G46" s="3" t="str">
        <f>IFERROR(__xludf.DUMMYFUNCTION("GOOGLETRANSLATE(B46, ""it"", ""en"")"),"What happens if a cheese touches an animal while being thrown?")</f>
        <v>What happens if a cheese touches an animal while being thrown?</v>
      </c>
      <c r="H46" s="3" t="str">
        <f>IFERROR(__xludf.DUMMYFUNCTION("GOOGLETRANSLATE(C46, ""it"", ""en"")"),"A. The shot is valid B. The shot is retaken C. The judge issues a penalty D. The player loses the turn")</f>
        <v>A. The shot is valid B. The shot is retaken C. The judge issues a penalty D. The player loses the turn</v>
      </c>
      <c r="I46" s="3" t="str">
        <f>IFERROR(__xludf.DUMMYFUNCTION("GOOGLETRANSLATE(D46, ""it"", ""en"")"),"The shot is repeated")</f>
        <v>The shot is repeated</v>
      </c>
      <c r="J46" s="2"/>
      <c r="K46" s="2"/>
      <c r="L46" s="2"/>
      <c r="M46" s="2"/>
      <c r="N46" s="2"/>
      <c r="O46" s="2"/>
      <c r="P46" s="2"/>
      <c r="Q46" s="2"/>
      <c r="R46" s="2"/>
      <c r="S46" s="2"/>
      <c r="T46" s="2"/>
      <c r="U46" s="2"/>
      <c r="V46" s="2"/>
    </row>
    <row r="47" ht="22.5" customHeight="1">
      <c r="A47" s="3">
        <v>46.0</v>
      </c>
      <c r="B47" s="3" t="s">
        <v>602</v>
      </c>
      <c r="C47" s="3" t="s">
        <v>603</v>
      </c>
      <c r="D47" s="3" t="s">
        <v>604</v>
      </c>
      <c r="E47" s="2"/>
      <c r="F47" s="3" t="str">
        <f>IFERROR(__xludf.DUMMYFUNCTION("GOOGLETRANSLATE(A47, ""it"", ""en"")"),"46")</f>
        <v>46</v>
      </c>
      <c r="G47" s="3" t="str">
        <f>IFERROR(__xludf.DUMMYFUNCTION("GOOGLETRANSLATE(B47, ""it"", ""en"")"),"The player must stop for a passing vehicle. What happens?")</f>
        <v>The player must stop for a passing vehicle. What happens?</v>
      </c>
      <c r="H47" s="3" t="str">
        <f>IFERROR(__xludf.DUMMYFUNCTION("GOOGLETRANSLATE(C47, ""it"", ""en"")"),"A. The shot is cancelled B. The player can re-throw C. The judge suspends the shot D. The game is interrupted")</f>
        <v>A. The shot is cancelled B. The player can re-throw C. The judge suspends the shot D. The game is interrupted</v>
      </c>
      <c r="I47" s="3" t="str">
        <f>IFERROR(__xludf.DUMMYFUNCTION("GOOGLETRANSLATE(D47, ""it"", ""en"")"),"The player can raise")</f>
        <v>The player can raise</v>
      </c>
      <c r="J47" s="2"/>
      <c r="K47" s="2"/>
      <c r="L47" s="2"/>
      <c r="M47" s="2"/>
      <c r="N47" s="2"/>
      <c r="O47" s="2"/>
      <c r="P47" s="2"/>
      <c r="Q47" s="2"/>
      <c r="R47" s="2"/>
      <c r="S47" s="2"/>
      <c r="T47" s="2"/>
      <c r="U47" s="2"/>
      <c r="V47" s="2"/>
    </row>
    <row r="48" ht="22.5" customHeight="1">
      <c r="A48" s="3">
        <v>47.0</v>
      </c>
      <c r="B48" s="3" t="s">
        <v>605</v>
      </c>
      <c r="C48" s="3" t="s">
        <v>606</v>
      </c>
      <c r="D48" s="3" t="s">
        <v>500</v>
      </c>
      <c r="E48" s="2"/>
      <c r="F48" s="3" t="str">
        <f>IFERROR(__xludf.DUMMYFUNCTION("GOOGLETRANSLATE(A48, ""it"", ""en"")"),"47")</f>
        <v>47</v>
      </c>
      <c r="G48" s="3" t="str">
        <f>IFERROR(__xludf.DUMMYFUNCTION("GOOGLETRANSLATE(B48, ""it"", ""en"")"),"What happens if a player's cheese falls down a hill?")</f>
        <v>What happens if a player's cheese falls down a hill?</v>
      </c>
      <c r="H48" s="3" t="str">
        <f>IFERROR(__xludf.DUMMYFUNCTION("GOOGLETRANSLATE(C48, ""it"", ""en"")"),"A. The shot is valid B. The shot is retaken C. The player loses the turn D. The judge awards a point")</f>
        <v>A. The shot is valid B. The shot is retaken C. The player loses the turn D. The judge awards a point</v>
      </c>
      <c r="I48" s="3" t="str">
        <f>IFERROR(__xludf.DUMMYFUNCTION("GOOGLETRANSLATE(D48, ""it"", ""en"")"),"The shot is repeated")</f>
        <v>The shot is repeated</v>
      </c>
      <c r="J48" s="2"/>
      <c r="K48" s="2"/>
      <c r="L48" s="2"/>
      <c r="M48" s="2"/>
      <c r="N48" s="2"/>
      <c r="O48" s="2"/>
      <c r="P48" s="2"/>
      <c r="Q48" s="2"/>
      <c r="R48" s="2"/>
      <c r="S48" s="2"/>
      <c r="T48" s="2"/>
      <c r="U48" s="2"/>
      <c r="V48" s="2"/>
    </row>
    <row r="49" ht="22.5" customHeight="1">
      <c r="A49" s="3">
        <v>48.0</v>
      </c>
      <c r="B49" s="3" t="s">
        <v>607</v>
      </c>
      <c r="C49" s="3" t="s">
        <v>608</v>
      </c>
      <c r="D49" s="3" t="s">
        <v>494</v>
      </c>
      <c r="E49" s="2"/>
      <c r="F49" s="3" t="str">
        <f>IFERROR(__xludf.DUMMYFUNCTION("GOOGLETRANSLATE(A49, ""it"", ""en"")"),"48")</f>
        <v>48</v>
      </c>
      <c r="G49" s="3" t="str">
        <f>IFERROR(__xludf.DUMMYFUNCTION("GOOGLETRANSLATE(B49, ""it"", ""en"")"),"The cheese stops at the side of the road. What happens?")</f>
        <v>The cheese stops at the side of the road. What happens?</v>
      </c>
      <c r="H49" s="3" t="str">
        <f>IFERROR(__xludf.DUMMYFUNCTION("GOOGLETRANSLATE(C49, ""it"", ""en"")"),"A. The shot is valid B. The shot is retaken C. The player loses his turn D. The judge decides")</f>
        <v>A. The shot is valid B. The shot is retaken C. The player loses his turn D. The judge decides</v>
      </c>
      <c r="I49" s="3" t="str">
        <f>IFERROR(__xludf.DUMMYFUNCTION("GOOGLETRANSLATE(D49, ""it"", ""en"")"),"The shot is valid")</f>
        <v>The shot is valid</v>
      </c>
      <c r="J49" s="2"/>
      <c r="K49" s="2"/>
      <c r="L49" s="2"/>
      <c r="M49" s="2"/>
      <c r="N49" s="2"/>
      <c r="O49" s="2"/>
      <c r="P49" s="2"/>
      <c r="Q49" s="2"/>
      <c r="R49" s="2"/>
      <c r="S49" s="2"/>
      <c r="T49" s="2"/>
      <c r="U49" s="2"/>
      <c r="V49" s="2"/>
    </row>
    <row r="50" ht="22.5" customHeight="1">
      <c r="A50" s="3">
        <v>49.0</v>
      </c>
      <c r="B50" s="3" t="s">
        <v>609</v>
      </c>
      <c r="C50" s="3" t="s">
        <v>610</v>
      </c>
      <c r="D50" s="3" t="s">
        <v>506</v>
      </c>
      <c r="E50" s="2"/>
      <c r="F50" s="3" t="str">
        <f>IFERROR(__xludf.DUMMYFUNCTION("GOOGLETRANSLATE(A50, ""it"", ""en"")"),"49")</f>
        <v>49</v>
      </c>
      <c r="G50" s="3" t="str">
        <f>IFERROR(__xludf.DUMMYFUNCTION("GOOGLETRANSLATE(B50, ""it"", ""en"")"),"A player changes his cheese during the game without informing the referee. What happens?")</f>
        <v>A player changes his cheese during the game without informing the referee. What happens?</v>
      </c>
      <c r="H50" s="3" t="str">
        <f>IFERROR(__xludf.DUMMYFUNCTION("GOOGLETRANSLATE(C50, ""it"", ""en"")"),"A. The player is disqualified B. The judge awards a penalty C. The shot is valid D. The shot is retaken")</f>
        <v>A. The player is disqualified B. The judge awards a penalty C. The shot is valid D. The shot is retaken</v>
      </c>
      <c r="I50" s="3" t="str">
        <f>IFERROR(__xludf.DUMMYFUNCTION("GOOGLETRANSLATE(D50, ""it"", ""en"")"),"The player is disqualified")</f>
        <v>The player is disqualified</v>
      </c>
      <c r="J50" s="2"/>
      <c r="K50" s="2"/>
      <c r="L50" s="2"/>
      <c r="M50" s="2"/>
      <c r="N50" s="2"/>
      <c r="O50" s="2"/>
      <c r="P50" s="2"/>
      <c r="Q50" s="2"/>
      <c r="R50" s="2"/>
      <c r="S50" s="2"/>
      <c r="T50" s="2"/>
      <c r="U50" s="2"/>
      <c r="V50" s="2"/>
    </row>
    <row r="51" ht="22.5" customHeight="1">
      <c r="A51" s="3">
        <v>50.0</v>
      </c>
      <c r="B51" s="3" t="s">
        <v>611</v>
      </c>
      <c r="C51" s="3" t="s">
        <v>601</v>
      </c>
      <c r="D51" s="3" t="s">
        <v>494</v>
      </c>
      <c r="E51" s="2"/>
      <c r="F51" s="3" t="str">
        <f>IFERROR(__xludf.DUMMYFUNCTION("GOOGLETRANSLATE(A51, ""it"", ""en"")"),"50")</f>
        <v>50</v>
      </c>
      <c r="G51" s="3" t="str">
        <f>IFERROR(__xludf.DUMMYFUNCTION("GOOGLETRANSLATE(B51, ""it"", ""en"")"),"The cheese is accidentally thrown against a pole along the road. What happens?")</f>
        <v>The cheese is accidentally thrown against a pole along the road. What happens?</v>
      </c>
      <c r="H51" s="3" t="str">
        <f>IFERROR(__xludf.DUMMYFUNCTION("GOOGLETRANSLATE(C51, ""it"", ""en"")"),"A. The shot is valid B. The shot is retaken C. The judge issues a penalty D. The player loses the turn")</f>
        <v>A. The shot is valid B. The shot is retaken C. The judge issues a penalty D. The player loses the turn</v>
      </c>
      <c r="I51" s="3" t="str">
        <f>IFERROR(__xludf.DUMMYFUNCTION("GOOGLETRANSLATE(D51, ""it"", ""en"")"),"The shot is valid")</f>
        <v>The shot is valid</v>
      </c>
      <c r="J51" s="2"/>
      <c r="K51" s="2"/>
      <c r="L51" s="2"/>
      <c r="M51" s="2"/>
      <c r="N51" s="2"/>
      <c r="O51" s="2"/>
      <c r="P51" s="2"/>
      <c r="Q51" s="2"/>
      <c r="R51" s="2"/>
      <c r="S51" s="2"/>
      <c r="T51" s="2"/>
      <c r="U51" s="2"/>
      <c r="V51" s="2"/>
    </row>
    <row r="52" ht="22.5" customHeight="1">
      <c r="A52" s="3">
        <v>51.0</v>
      </c>
      <c r="B52" s="3" t="s">
        <v>612</v>
      </c>
      <c r="C52" s="3" t="s">
        <v>613</v>
      </c>
      <c r="D52" s="3" t="s">
        <v>511</v>
      </c>
      <c r="E52" s="2"/>
      <c r="F52" s="3" t="str">
        <f>IFERROR(__xludf.DUMMYFUNCTION("GOOGLETRANSLATE(A52, ""it"", ""en"")"),"51")</f>
        <v>51</v>
      </c>
      <c r="G52" s="3" t="str">
        <f>IFERROR(__xludf.DUMMYFUNCTION("GOOGLETRANSLATE(B52, ""it"", ""en"")"),"A player uses tape that's longer than allowed. What's happening?")</f>
        <v>A player uses tape that's longer than allowed. What's happening?</v>
      </c>
      <c r="H52" s="3" t="str">
        <f>IFERROR(__xludf.DUMMYFUNCTION("GOOGLETRANSLATE(C52, ""it"", ""en"")"),"A. The shot is valid B. The judge awards a penalty C. The shot is retaken D. The player is disqualified")</f>
        <v>A. The shot is valid B. The judge awards a penalty C. The shot is retaken D. The player is disqualified</v>
      </c>
      <c r="I52" s="3" t="str">
        <f>IFERROR(__xludf.DUMMYFUNCTION("GOOGLETRANSLATE(D52, ""it"", ""en"")"),"The judge awards a penalty")</f>
        <v>The judge awards a penalty</v>
      </c>
      <c r="J52" s="2"/>
      <c r="K52" s="2"/>
      <c r="L52" s="2"/>
      <c r="M52" s="2"/>
      <c r="N52" s="2"/>
      <c r="O52" s="2"/>
      <c r="P52" s="2"/>
      <c r="Q52" s="2"/>
      <c r="R52" s="2"/>
      <c r="S52" s="2"/>
      <c r="T52" s="2"/>
      <c r="U52" s="2"/>
      <c r="V52" s="2"/>
    </row>
    <row r="53" ht="22.5" customHeight="1">
      <c r="A53" s="3">
        <v>52.0</v>
      </c>
      <c r="B53" s="3" t="s">
        <v>614</v>
      </c>
      <c r="C53" s="3" t="s">
        <v>615</v>
      </c>
      <c r="D53" s="3" t="s">
        <v>616</v>
      </c>
      <c r="E53" s="2"/>
      <c r="F53" s="3" t="str">
        <f>IFERROR(__xludf.DUMMYFUNCTION("GOOGLETRANSLATE(A53, ""it"", ""en"")"),"52")</f>
        <v>52</v>
      </c>
      <c r="G53" s="3" t="str">
        <f>IFERROR(__xludf.DUMMYFUNCTION("GOOGLETRANSLATE(B53, ""it"", ""en"")"),"What happens if a cheese stops exactly at the finish line?")</f>
        <v>What happens if a cheese stops exactly at the finish line?</v>
      </c>
      <c r="H53" s="3" t="str">
        <f>IFERROR(__xludf.DUMMYFUNCTION("GOOGLETRANSLATE(C53, ""it"", ""en"")"),"A. The point is awarded B. The shot is retaken C. The judge awards a penalty D. The cheese is considered out of play")</f>
        <v>A. The point is awarded B. The shot is retaken C. The judge awards a penalty D. The cheese is considered out of play</v>
      </c>
      <c r="I53" s="3" t="str">
        <f>IFERROR(__xludf.DUMMYFUNCTION("GOOGLETRANSLATE(D53, ""it"", ""en"")"),"The point is awarded")</f>
        <v>The point is awarded</v>
      </c>
      <c r="J53" s="2"/>
      <c r="K53" s="2"/>
      <c r="L53" s="2"/>
      <c r="M53" s="2"/>
      <c r="N53" s="2"/>
      <c r="O53" s="2"/>
      <c r="P53" s="2"/>
      <c r="Q53" s="2"/>
      <c r="R53" s="2"/>
      <c r="S53" s="2"/>
      <c r="T53" s="2"/>
      <c r="U53" s="2"/>
      <c r="V53" s="2"/>
    </row>
    <row r="54" ht="22.5" customHeight="1">
      <c r="A54" s="3">
        <v>53.0</v>
      </c>
      <c r="B54" s="3" t="s">
        <v>617</v>
      </c>
      <c r="C54" s="3" t="s">
        <v>618</v>
      </c>
      <c r="D54" s="3" t="s">
        <v>619</v>
      </c>
      <c r="E54" s="2"/>
      <c r="F54" s="3" t="str">
        <f>IFERROR(__xludf.DUMMYFUNCTION("GOOGLETRANSLATE(A54, ""it"", ""en"")"),"53")</f>
        <v>53</v>
      </c>
      <c r="G54" s="3" t="str">
        <f>IFERROR(__xludf.DUMMYFUNCTION("GOOGLETRANSLATE(B54, ""it"", ""en"")"),"A player asks for a break to check his cheese. What happens?")</f>
        <v>A player asks for a break to check his cheese. What happens?</v>
      </c>
      <c r="H54" s="3" t="str">
        <f>IFERROR(__xludf.DUMMYFUNCTION("GOOGLETRANSLATE(C54, ""it"", ""en"")"),"A. The break is granted B. The judge refuses C. The turn is skipped D. The judge awards a penalty")</f>
        <v>A. The break is granted B. The judge refuses C. The turn is skipped D. The judge awards a penalty</v>
      </c>
      <c r="I54" s="3" t="str">
        <f>IFERROR(__xludf.DUMMYFUNCTION("GOOGLETRANSLATE(D54, ""it"", ""en"")"),"The break is granted")</f>
        <v>The break is granted</v>
      </c>
      <c r="J54" s="2"/>
      <c r="K54" s="2"/>
      <c r="L54" s="2"/>
      <c r="M54" s="2"/>
      <c r="N54" s="2"/>
      <c r="O54" s="2"/>
      <c r="P54" s="2"/>
      <c r="Q54" s="2"/>
      <c r="R54" s="2"/>
      <c r="S54" s="2"/>
      <c r="T54" s="2"/>
      <c r="U54" s="2"/>
      <c r="V54" s="2"/>
    </row>
    <row r="55" ht="22.5" customHeight="1">
      <c r="A55" s="3">
        <v>54.0</v>
      </c>
      <c r="B55" s="3" t="s">
        <v>620</v>
      </c>
      <c r="C55" s="3" t="s">
        <v>621</v>
      </c>
      <c r="D55" s="3" t="s">
        <v>500</v>
      </c>
      <c r="E55" s="2"/>
      <c r="F55" s="3" t="str">
        <f>IFERROR(__xludf.DUMMYFUNCTION("GOOGLETRANSLATE(A55, ""it"", ""en"")"),"54")</f>
        <v>54</v>
      </c>
      <c r="G55" s="3" t="str">
        <f>IFERROR(__xludf.DUMMYFUNCTION("GOOGLETRANSLATE(B55, ""it"", ""en"")"),"A player's cheese splits into two pieces during the throw. What happens?")</f>
        <v>A player's cheese splits into two pieces during the throw. What happens?</v>
      </c>
      <c r="H55" s="3" t="str">
        <f>IFERROR(__xludf.DUMMYFUNCTION("GOOGLETRANSLATE(C55, ""it"", ""en"")"),"A. The shot is valid B. The judge awards a point C. The shot is retaken D. The player loses his turn")</f>
        <v>A. The shot is valid B. The judge awards a point C. The shot is retaken D. The player loses his turn</v>
      </c>
      <c r="I55" s="3" t="str">
        <f>IFERROR(__xludf.DUMMYFUNCTION("GOOGLETRANSLATE(D55, ""it"", ""en"")"),"The shot is repeated")</f>
        <v>The shot is repeated</v>
      </c>
      <c r="J55" s="2"/>
      <c r="K55" s="2"/>
      <c r="L55" s="2"/>
      <c r="M55" s="2"/>
      <c r="N55" s="2"/>
      <c r="O55" s="2"/>
      <c r="P55" s="2"/>
      <c r="Q55" s="2"/>
      <c r="R55" s="2"/>
      <c r="S55" s="2"/>
      <c r="T55" s="2"/>
      <c r="U55" s="2"/>
      <c r="V55" s="2"/>
    </row>
    <row r="56" ht="22.5" customHeight="1">
      <c r="A56" s="3">
        <v>55.0</v>
      </c>
      <c r="B56" s="3" t="s">
        <v>622</v>
      </c>
      <c r="C56" s="3" t="s">
        <v>623</v>
      </c>
      <c r="D56" s="3" t="s">
        <v>624</v>
      </c>
      <c r="E56" s="2"/>
      <c r="F56" s="3" t="str">
        <f>IFERROR(__xludf.DUMMYFUNCTION("GOOGLETRANSLATE(A56, ""it"", ""en"")"),"55")</f>
        <v>55</v>
      </c>
      <c r="G56" s="3" t="str">
        <f>IFERROR(__xludf.DUMMYFUNCTION("GOOGLETRANSLATE(B56, ""it"", ""en"")"),"A judge decides that the cheese doesn't meet regulatory specifications. What happens?")</f>
        <v>A judge decides that the cheese doesn't meet regulatory specifications. What happens?</v>
      </c>
      <c r="H56" s="3" t="str">
        <f>IFERROR(__xludf.DUMMYFUNCTION("GOOGLETRANSLATE(C56, ""it"", ""en"")"),"A. The player must replace him B. The shot is valid C. The player loses the turn D. The judge awards a penalty")</f>
        <v>A. The player must replace him B. The shot is valid C. The player loses the turn D. The judge awards a penalty</v>
      </c>
      <c r="I56" s="3" t="str">
        <f>IFERROR(__xludf.DUMMYFUNCTION("GOOGLETRANSLATE(D56, ""it"", ""en"")"),"The player must replace him")</f>
        <v>The player must replace him</v>
      </c>
      <c r="J56" s="2"/>
      <c r="K56" s="2"/>
      <c r="L56" s="2"/>
      <c r="M56" s="2"/>
      <c r="N56" s="2"/>
      <c r="O56" s="2"/>
      <c r="P56" s="2"/>
      <c r="Q56" s="2"/>
      <c r="R56" s="2"/>
      <c r="S56" s="2"/>
      <c r="T56" s="2"/>
      <c r="U56" s="2"/>
      <c r="V56" s="2"/>
    </row>
    <row r="57" ht="22.5" customHeight="1">
      <c r="A57" s="3">
        <v>56.0</v>
      </c>
      <c r="B57" s="3" t="s">
        <v>625</v>
      </c>
      <c r="C57" s="3" t="s">
        <v>626</v>
      </c>
      <c r="D57" s="3" t="s">
        <v>627</v>
      </c>
      <c r="E57" s="2"/>
      <c r="F57" s="3" t="str">
        <f>IFERROR(__xludf.DUMMYFUNCTION("GOOGLETRANSLATE(A57, ""it"", ""en"")"),"56")</f>
        <v>56</v>
      </c>
      <c r="G57" s="3" t="str">
        <f>IFERROR(__xludf.DUMMYFUNCTION("GOOGLETRANSLATE(B57, ""it"", ""en"")"),"What happens if a player changes tape between shots?")</f>
        <v>What happens if a player changes tape between shots?</v>
      </c>
      <c r="H57" s="3" t="str">
        <f>IFERROR(__xludf.DUMMYFUNCTION("GOOGLETRANSLATE(C57, ""it"", ""en"")"),"A. The judge issues a penalty B. The player is disqualified C. The shot is valid D. The judge reviews and approves")</f>
        <v>A. The judge issues a penalty B. The player is disqualified C. The shot is valid D. The judge reviews and approves</v>
      </c>
      <c r="I57" s="3" t="str">
        <f>IFERROR(__xludf.DUMMYFUNCTION("GOOGLETRANSLATE(D57, ""it"", ""en"")"),"The judge verifies and approves")</f>
        <v>The judge verifies and approves</v>
      </c>
      <c r="J57" s="2"/>
      <c r="K57" s="2"/>
      <c r="L57" s="2"/>
      <c r="M57" s="2"/>
      <c r="N57" s="2"/>
      <c r="O57" s="2"/>
      <c r="P57" s="2"/>
      <c r="Q57" s="2"/>
      <c r="R57" s="2"/>
      <c r="S57" s="2"/>
      <c r="T57" s="2"/>
      <c r="U57" s="2"/>
      <c r="V57" s="2"/>
    </row>
    <row r="58" ht="22.5" customHeight="1">
      <c r="A58" s="3">
        <v>57.0</v>
      </c>
      <c r="B58" s="3" t="s">
        <v>628</v>
      </c>
      <c r="C58" s="3" t="s">
        <v>629</v>
      </c>
      <c r="D58" s="3" t="s">
        <v>630</v>
      </c>
      <c r="E58" s="2"/>
      <c r="F58" s="3" t="str">
        <f>IFERROR(__xludf.DUMMYFUNCTION("GOOGLETRANSLATE(A58, ""it"", ""en"")"),"57")</f>
        <v>57</v>
      </c>
      <c r="G58" s="3" t="str">
        <f>IFERROR(__xludf.DUMMYFUNCTION("GOOGLETRANSLATE(B58, ""it"", ""en"")"),"What is the maximum distance allowed for a valid shot?")</f>
        <v>What is the maximum distance allowed for a valid shot?</v>
      </c>
      <c r="H58" s="3" t="str">
        <f>IFERROR(__xludf.DUMMYFUNCTION("GOOGLETRANSLATE(C58, ""it"", ""en"")"),"A. 50 meters B. 70 meters C. 100 meters D. 150 meters")</f>
        <v>A. 50 meters B. 70 meters C. 100 meters D. 150 meters</v>
      </c>
      <c r="I58" s="3" t="str">
        <f>IFERROR(__xludf.DUMMYFUNCTION("GOOGLETRANSLATE(D58, ""it"", ""en"")"),"70 meters")</f>
        <v>70 meters</v>
      </c>
      <c r="J58" s="2"/>
      <c r="K58" s="2"/>
      <c r="L58" s="2"/>
      <c r="M58" s="2"/>
      <c r="N58" s="2"/>
      <c r="O58" s="2"/>
      <c r="P58" s="2"/>
      <c r="Q58" s="2"/>
      <c r="R58" s="2"/>
      <c r="S58" s="2"/>
      <c r="T58" s="2"/>
      <c r="U58" s="2"/>
      <c r="V58" s="2"/>
    </row>
    <row r="59" ht="22.5" customHeight="1">
      <c r="A59" s="3">
        <v>58.0</v>
      </c>
      <c r="B59" s="3" t="s">
        <v>631</v>
      </c>
      <c r="C59" s="3" t="s">
        <v>632</v>
      </c>
      <c r="D59" s="3" t="s">
        <v>494</v>
      </c>
      <c r="E59" s="2"/>
      <c r="F59" s="3" t="str">
        <f>IFERROR(__xludf.DUMMYFUNCTION("GOOGLETRANSLATE(A59, ""it"", ""en"")"),"58")</f>
        <v>58</v>
      </c>
      <c r="G59" s="3" t="str">
        <f>IFERROR(__xludf.DUMMYFUNCTION("GOOGLETRANSLATE(B59, ""it"", ""en"")"),"A player's cheese hits an object along the path and stops. What happens?")</f>
        <v>A player's cheese hits an object along the path and stops. What happens?</v>
      </c>
      <c r="H59" s="3" t="str">
        <f>IFERROR(__xludf.DUMMYFUNCTION("GOOGLETRANSLATE(C59, ""it"", ""en"")"),"A. The shot is valid B. The shot is retaken C. The player loses his turn D. The judge issues a penalty")</f>
        <v>A. The shot is valid B. The shot is retaken C. The player loses his turn D. The judge issues a penalty</v>
      </c>
      <c r="I59" s="3" t="str">
        <f>IFERROR(__xludf.DUMMYFUNCTION("GOOGLETRANSLATE(D59, ""it"", ""en"")"),"The shot is valid")</f>
        <v>The shot is valid</v>
      </c>
      <c r="J59" s="2"/>
      <c r="K59" s="2"/>
      <c r="L59" s="2"/>
      <c r="M59" s="2"/>
      <c r="N59" s="2"/>
      <c r="O59" s="2"/>
      <c r="P59" s="2"/>
      <c r="Q59" s="2"/>
      <c r="R59" s="2"/>
      <c r="S59" s="2"/>
      <c r="T59" s="2"/>
      <c r="U59" s="2"/>
      <c r="V59" s="2"/>
    </row>
    <row r="60" ht="22.5" customHeight="1">
      <c r="A60" s="3">
        <v>59.0</v>
      </c>
      <c r="B60" s="3" t="s">
        <v>633</v>
      </c>
      <c r="C60" s="3" t="s">
        <v>634</v>
      </c>
      <c r="D60" s="3" t="s">
        <v>549</v>
      </c>
      <c r="E60" s="2"/>
      <c r="F60" s="3" t="str">
        <f>IFERROR(__xludf.DUMMYFUNCTION("GOOGLETRANSLATE(A60, ""it"", ""en"")"),"59")</f>
        <v>59</v>
      </c>
      <c r="G60" s="3" t="str">
        <f>IFERROR(__xludf.DUMMYFUNCTION("GOOGLETRANSLATE(B60, ""it"", ""en"")"),"A player accidentally throws the cheese backward. What happens?")</f>
        <v>A player accidentally throws the cheese backward. What happens?</v>
      </c>
      <c r="H60" s="3" t="str">
        <f>IFERROR(__xludf.DUMMYFUNCTION("GOOGLETRANSLATE(C60, ""it"", ""en"")"),"A. The shot is cancelled B. The player loses the turn C. The judge issues a penalty D. The shot is retaken")</f>
        <v>A. The shot is cancelled B. The player loses the turn C. The judge issues a penalty D. The shot is retaken</v>
      </c>
      <c r="I60" s="3" t="str">
        <f>IFERROR(__xludf.DUMMYFUNCTION("GOOGLETRANSLATE(D60, ""it"", ""en"")"),"The player loses the turn")</f>
        <v>The player loses the turn</v>
      </c>
      <c r="J60" s="2"/>
      <c r="K60" s="2"/>
      <c r="L60" s="2"/>
      <c r="M60" s="2"/>
      <c r="N60" s="2"/>
      <c r="O60" s="2"/>
      <c r="P60" s="2"/>
      <c r="Q60" s="2"/>
      <c r="R60" s="2"/>
      <c r="S60" s="2"/>
      <c r="T60" s="2"/>
      <c r="U60" s="2"/>
      <c r="V60" s="2"/>
    </row>
    <row r="61" ht="22.5" customHeight="1">
      <c r="A61" s="3">
        <v>60.0</v>
      </c>
      <c r="B61" s="3" t="s">
        <v>635</v>
      </c>
      <c r="C61" s="3" t="s">
        <v>636</v>
      </c>
      <c r="D61" s="3" t="s">
        <v>9</v>
      </c>
      <c r="E61" s="2"/>
      <c r="F61" s="3" t="str">
        <f>IFERROR(__xludf.DUMMYFUNCTION("GOOGLETRANSLATE(A61, ""it"", ""en"")"),"60")</f>
        <v>60</v>
      </c>
      <c r="G61" s="3" t="str">
        <f>IFERROR(__xludf.DUMMYFUNCTION("GOOGLETRANSLATE(B61, ""it"", ""en"")"),"What happens if a player intentionally breaks an opponent's cheese?")</f>
        <v>What happens if a player intentionally breaks an opponent's cheese?</v>
      </c>
      <c r="H61" s="3" t="str">
        <f>IFERROR(__xludf.DUMMYFUNCTION("GOOGLETRANSLATE(C61, ""it"", ""en"")"),"A. The player is ejected B. The referee awards a penalty C. The shot is retaken D. The opponent receives a new cheese")</f>
        <v>A. The player is ejected B. The referee awards a penalty C. The shot is retaken D. The opponent receives a new cheese</v>
      </c>
      <c r="I61" s="3" t="str">
        <f>IFERROR(__xludf.DUMMYFUNCTION("GOOGLETRANSLATE(D61, ""it"", ""en"")"),"The player is sent off")</f>
        <v>The player is sent off</v>
      </c>
      <c r="J61" s="2"/>
      <c r="K61" s="2"/>
      <c r="L61" s="2"/>
      <c r="M61" s="2"/>
      <c r="N61" s="2"/>
      <c r="O61" s="2"/>
      <c r="P61" s="2"/>
      <c r="Q61" s="2"/>
      <c r="R61" s="2"/>
      <c r="S61" s="2"/>
      <c r="T61" s="2"/>
      <c r="U61" s="2"/>
      <c r="V61" s="2"/>
    </row>
    <row r="62" ht="22.5" customHeight="1">
      <c r="A62" s="3">
        <v>61.0</v>
      </c>
      <c r="B62" s="3" t="s">
        <v>637</v>
      </c>
      <c r="C62" s="3" t="s">
        <v>638</v>
      </c>
      <c r="D62" s="3" t="s">
        <v>494</v>
      </c>
      <c r="E62" s="2"/>
      <c r="F62" s="3" t="str">
        <f>IFERROR(__xludf.DUMMYFUNCTION("GOOGLETRANSLATE(A62, ""it"", ""en"")"),"61")</f>
        <v>61</v>
      </c>
      <c r="G62" s="3" t="str">
        <f>IFERROR(__xludf.DUMMYFUNCTION("GOOGLETRANSLATE(B62, ""it"", ""en"")"),"The cheese crosses the finish line but ends up in a ditch. What happens?")</f>
        <v>The cheese crosses the finish line but ends up in a ditch. What happens?</v>
      </c>
      <c r="H62" s="3" t="str">
        <f>IFERROR(__xludf.DUMMYFUNCTION("GOOGLETRANSLATE(C62, ""it"", ""en"")"),"A. The shot is valid B. The shot is retaken C. The judge awards a penalty D. The point is not awarded")</f>
        <v>A. The shot is valid B. The shot is retaken C. The judge awards a penalty D. The point is not awarded</v>
      </c>
      <c r="I62" s="3" t="str">
        <f>IFERROR(__xludf.DUMMYFUNCTION("GOOGLETRANSLATE(D62, ""it"", ""en"")"),"The shot is valid")</f>
        <v>The shot is valid</v>
      </c>
      <c r="J62" s="2"/>
      <c r="K62" s="2"/>
      <c r="L62" s="2"/>
      <c r="M62" s="2"/>
      <c r="N62" s="2"/>
      <c r="O62" s="2"/>
      <c r="P62" s="2"/>
      <c r="Q62" s="2"/>
      <c r="R62" s="2"/>
      <c r="S62" s="2"/>
      <c r="T62" s="2"/>
      <c r="U62" s="2"/>
      <c r="V62" s="2"/>
    </row>
    <row r="63" ht="22.5" customHeight="1">
      <c r="A63" s="3">
        <v>62.0</v>
      </c>
      <c r="B63" s="3" t="s">
        <v>639</v>
      </c>
      <c r="C63" s="3" t="s">
        <v>640</v>
      </c>
      <c r="D63" s="3" t="s">
        <v>598</v>
      </c>
      <c r="E63" s="2"/>
      <c r="F63" s="3" t="str">
        <f>IFERROR(__xludf.DUMMYFUNCTION("GOOGLETRANSLATE(A63, ""it"", ""en"")"),"62")</f>
        <v>62</v>
      </c>
      <c r="G63" s="3" t="str">
        <f>IFERROR(__xludf.DUMMYFUNCTION("GOOGLETRANSLATE(B63, ""it"", ""en"")"),"A player uses a cheese that's larger than allowed. What happens?")</f>
        <v>A player uses a cheese that's larger than allowed. What happens?</v>
      </c>
      <c r="H63" s="3" t="str">
        <f>IFERROR(__xludf.DUMMYFUNCTION("GOOGLETRANSLATE(C63, ""it"", ""en"")"),"A. The shot is valid B. The judge awards a penalty C. The player loses his turn D. The cheese is replaced")</f>
        <v>A. The shot is valid B. The judge awards a penalty C. The player loses his turn D. The cheese is replaced</v>
      </c>
      <c r="I63" s="3" t="str">
        <f>IFERROR(__xludf.DUMMYFUNCTION("GOOGLETRANSLATE(D63, ""it"", ""en"")"),"The cheese is replaced")</f>
        <v>The cheese is replaced</v>
      </c>
      <c r="J63" s="2"/>
      <c r="K63" s="2"/>
      <c r="L63" s="2"/>
      <c r="M63" s="2"/>
      <c r="N63" s="2"/>
      <c r="O63" s="2"/>
      <c r="P63" s="2"/>
      <c r="Q63" s="2"/>
      <c r="R63" s="2"/>
      <c r="S63" s="2"/>
      <c r="T63" s="2"/>
      <c r="U63" s="2"/>
      <c r="V63" s="2"/>
    </row>
    <row r="64" ht="22.5" customHeight="1">
      <c r="A64" s="3">
        <v>63.0</v>
      </c>
      <c r="B64" s="3" t="s">
        <v>641</v>
      </c>
      <c r="C64" s="3" t="s">
        <v>642</v>
      </c>
      <c r="D64" s="3" t="s">
        <v>511</v>
      </c>
      <c r="E64" s="2"/>
      <c r="F64" s="3" t="str">
        <f>IFERROR(__xludf.DUMMYFUNCTION("GOOGLETRANSLATE(A64, ""it"", ""en"")"),"63")</f>
        <v>63</v>
      </c>
      <c r="G64" s="3" t="str">
        <f>IFERROR(__xludf.DUMMYFUNCTION("GOOGLETRANSLATE(B64, ""it"", ""en"")"),"The judge notices that a player has used another player's tape. What happens?")</f>
        <v>The judge notices that a player has used another player's tape. What happens?</v>
      </c>
      <c r="H64" s="3" t="str">
        <f>IFERROR(__xludf.DUMMYFUNCTION("GOOGLETRANSLATE(C64, ""it"", ""en"")"),"A. The shot is valid B. The judge issues a penalty C. The judge suspends the shot D. The player is disqualified")</f>
        <v>A. The shot is valid B. The judge issues a penalty C. The judge suspends the shot D. The player is disqualified</v>
      </c>
      <c r="I64" s="3" t="str">
        <f>IFERROR(__xludf.DUMMYFUNCTION("GOOGLETRANSLATE(D64, ""it"", ""en"")"),"The judge awards a penalty")</f>
        <v>The judge awards a penalty</v>
      </c>
      <c r="J64" s="2"/>
      <c r="K64" s="2"/>
      <c r="L64" s="2"/>
      <c r="M64" s="2"/>
      <c r="N64" s="2"/>
      <c r="O64" s="2"/>
      <c r="P64" s="2"/>
      <c r="Q64" s="2"/>
      <c r="R64" s="2"/>
      <c r="S64" s="2"/>
      <c r="T64" s="2"/>
      <c r="U64" s="2"/>
      <c r="V64" s="2"/>
    </row>
    <row r="65" ht="22.5" customHeight="1">
      <c r="A65" s="3">
        <v>64.0</v>
      </c>
      <c r="B65" s="3" t="s">
        <v>643</v>
      </c>
      <c r="C65" s="3" t="s">
        <v>601</v>
      </c>
      <c r="D65" s="3" t="s">
        <v>549</v>
      </c>
      <c r="E65" s="2"/>
      <c r="F65" s="3" t="str">
        <f>IFERROR(__xludf.DUMMYFUNCTION("GOOGLETRANSLATE(A65, ""it"", ""en"")"),"64")</f>
        <v>64</v>
      </c>
      <c r="G65" s="3" t="str">
        <f>IFERROR(__xludf.DUMMYFUNCTION("GOOGLETRANSLATE(B65, ""it"", ""en"")"),"A player touches the cheese after throwing it. What happens?")</f>
        <v>A player touches the cheese after throwing it. What happens?</v>
      </c>
      <c r="H65" s="3" t="str">
        <f>IFERROR(__xludf.DUMMYFUNCTION("GOOGLETRANSLATE(C65, ""it"", ""en"")"),"A. The shot is valid B. The shot is retaken C. The judge issues a penalty D. The player loses the turn")</f>
        <v>A. The shot is valid B. The shot is retaken C. The judge issues a penalty D. The player loses the turn</v>
      </c>
      <c r="I65" s="3" t="str">
        <f>IFERROR(__xludf.DUMMYFUNCTION("GOOGLETRANSLATE(D65, ""it"", ""en"")"),"The player loses the turn")</f>
        <v>The player loses the turn</v>
      </c>
      <c r="J65" s="2"/>
      <c r="K65" s="2"/>
      <c r="L65" s="2"/>
      <c r="M65" s="2"/>
      <c r="N65" s="2"/>
      <c r="O65" s="2"/>
      <c r="P65" s="2"/>
      <c r="Q65" s="2"/>
      <c r="R65" s="2"/>
      <c r="S65" s="2"/>
      <c r="T65" s="2"/>
      <c r="U65" s="2"/>
      <c r="V65" s="2"/>
    </row>
    <row r="66" ht="22.5" customHeight="1">
      <c r="A66" s="3">
        <v>65.0</v>
      </c>
      <c r="B66" s="3" t="s">
        <v>644</v>
      </c>
      <c r="C66" s="3" t="s">
        <v>645</v>
      </c>
      <c r="D66" s="3" t="s">
        <v>646</v>
      </c>
      <c r="E66" s="2"/>
      <c r="F66" s="3" t="str">
        <f>IFERROR(__xludf.DUMMYFUNCTION("GOOGLETRANSLATE(A66, ""it"", ""en"")"),"65")</f>
        <v>65</v>
      </c>
      <c r="G66" s="3" t="str">
        <f>IFERROR(__xludf.DUMMYFUNCTION("GOOGLETRANSLATE(B66, ""it"", ""en"")"),"The cheese stops short of the finish line. What happens?")</f>
        <v>The cheese stops short of the finish line. What happens?</v>
      </c>
      <c r="H66" s="3" t="str">
        <f>IFERROR(__xludf.DUMMYFUNCTION("GOOGLETRANSLATE(C66, ""it"", ""en"")"),"A. The shot is valid B. The point is not awarded C. The shot is retaken D. The judge awards a penalty")</f>
        <v>A. The shot is valid B. The point is not awarded C. The shot is retaken D. The judge awards a penalty</v>
      </c>
      <c r="I66" s="3" t="str">
        <f>IFERROR(__xludf.DUMMYFUNCTION("GOOGLETRANSLATE(D66, ""it"", ""en"")"),"The point is not awarded")</f>
        <v>The point is not awarded</v>
      </c>
      <c r="J66" s="2"/>
      <c r="K66" s="2"/>
      <c r="L66" s="2"/>
      <c r="M66" s="2"/>
      <c r="N66" s="2"/>
      <c r="O66" s="2"/>
      <c r="P66" s="2"/>
      <c r="Q66" s="2"/>
      <c r="R66" s="2"/>
      <c r="S66" s="2"/>
      <c r="T66" s="2"/>
      <c r="U66" s="2"/>
      <c r="V66" s="2"/>
    </row>
    <row r="67" ht="22.5" customHeight="1">
      <c r="A67" s="3">
        <v>66.0</v>
      </c>
      <c r="B67" s="3" t="s">
        <v>647</v>
      </c>
      <c r="C67" s="3" t="s">
        <v>648</v>
      </c>
      <c r="D67" s="3" t="s">
        <v>649</v>
      </c>
      <c r="E67" s="2"/>
      <c r="F67" s="3" t="str">
        <f>IFERROR(__xludf.DUMMYFUNCTION("GOOGLETRANSLATE(A67, ""it"", ""en"")"),"66")</f>
        <v>66</v>
      </c>
      <c r="G67" s="3" t="str">
        <f>IFERROR(__xludf.DUMMYFUNCTION("GOOGLETRANSLATE(B67, ""it"", ""en"")"),"What happens if a judge is absent at the time of a shot?")</f>
        <v>What happens if a judge is absent at the time of a shot?</v>
      </c>
      <c r="H67" s="3" t="str">
        <f>IFERROR(__xludf.DUMMYFUNCTION("GOOGLETRANSLATE(C67, ""it"", ""en"")"),"A. The game is suspended B. The shot is postponed C. Another judge takes his place D. The player loses his turn")</f>
        <v>A. The game is suspended B. The shot is postponed C. Another judge takes his place D. The player loses his turn</v>
      </c>
      <c r="I67" s="3" t="str">
        <f>IFERROR(__xludf.DUMMYFUNCTION("GOOGLETRANSLATE(D67, ""it"", ""en"")"),"Another judge takes his place")</f>
        <v>Another judge takes his place</v>
      </c>
      <c r="J67" s="2"/>
      <c r="K67" s="2"/>
      <c r="L67" s="2"/>
      <c r="M67" s="2"/>
      <c r="N67" s="2"/>
      <c r="O67" s="2"/>
      <c r="P67" s="2"/>
      <c r="Q67" s="2"/>
      <c r="R67" s="2"/>
      <c r="S67" s="2"/>
      <c r="T67" s="2"/>
      <c r="U67" s="2"/>
      <c r="V67" s="2"/>
    </row>
    <row r="68" ht="22.5" customHeight="1">
      <c r="A68" s="3">
        <v>67.0</v>
      </c>
      <c r="B68" s="3" t="s">
        <v>650</v>
      </c>
      <c r="C68" s="3" t="s">
        <v>579</v>
      </c>
      <c r="D68" s="3" t="s">
        <v>500</v>
      </c>
      <c r="E68" s="2"/>
      <c r="F68" s="3" t="str">
        <f>IFERROR(__xludf.DUMMYFUNCTION("GOOGLETRANSLATE(A68, ""it"", ""en"")"),"67")</f>
        <v>67</v>
      </c>
      <c r="G68" s="3" t="str">
        <f>IFERROR(__xludf.DUMMYFUNCTION("GOOGLETRANSLATE(B68, ""it"", ""en"")"),"A player throws the cheese before the referee gives the green light. What happens?")</f>
        <v>A player throws the cheese before the referee gives the green light. What happens?</v>
      </c>
      <c r="H68" s="3" t="str">
        <f>IFERROR(__xludf.DUMMYFUNCTION("GOOGLETRANSLATE(C68, ""it"", ""en"")"),"A. The shot is valid B. The judge awards a penalty C. The shot is retaken D. The player loses his turn")</f>
        <v>A. The shot is valid B. The judge awards a penalty C. The shot is retaken D. The player loses his turn</v>
      </c>
      <c r="I68" s="3" t="str">
        <f>IFERROR(__xludf.DUMMYFUNCTION("GOOGLETRANSLATE(D68, ""it"", ""en"")"),"The shot is repeated")</f>
        <v>The shot is repeated</v>
      </c>
      <c r="J68" s="2"/>
      <c r="K68" s="2"/>
      <c r="L68" s="2"/>
      <c r="M68" s="2"/>
      <c r="N68" s="2"/>
      <c r="O68" s="2"/>
      <c r="P68" s="2"/>
      <c r="Q68" s="2"/>
      <c r="R68" s="2"/>
      <c r="S68" s="2"/>
      <c r="T68" s="2"/>
      <c r="U68" s="2"/>
      <c r="V68" s="2"/>
    </row>
    <row r="69" ht="22.5" customHeight="1">
      <c r="A69" s="3">
        <v>68.0</v>
      </c>
      <c r="B69" s="3" t="s">
        <v>651</v>
      </c>
      <c r="C69" s="3" t="s">
        <v>652</v>
      </c>
      <c r="D69" s="3" t="s">
        <v>653</v>
      </c>
      <c r="E69" s="2"/>
      <c r="F69" s="3" t="str">
        <f>IFERROR(__xludf.DUMMYFUNCTION("GOOGLETRANSLATE(A69, ""it"", ""en"")"),"68")</f>
        <v>68</v>
      </c>
      <c r="G69" s="3" t="str">
        <f>IFERROR(__xludf.DUMMYFUNCTION("GOOGLETRANSLATE(B69, ""it"", ""en"")"),"What is the penalty for a player who does not follow safety rules?")</f>
        <v>What is the penalty for a player who does not follow safety rules?</v>
      </c>
      <c r="H69" s="3" t="str">
        <f>IFERROR(__xludf.DUMMYFUNCTION("GOOGLETRANSLATE(C69, ""it"", ""en"")"),"A. Warning B. Expulsion C. Loss of the turn D. The shot is disallowed")</f>
        <v>A. Warning B. Expulsion C. Loss of the turn D. The shot is disallowed</v>
      </c>
      <c r="I69" s="3" t="str">
        <f>IFERROR(__xludf.DUMMYFUNCTION("GOOGLETRANSLATE(D69, ""it"", ""en"")"),"Loss of turn")</f>
        <v>Loss of turn</v>
      </c>
      <c r="J69" s="2"/>
      <c r="K69" s="2"/>
      <c r="L69" s="2"/>
      <c r="M69" s="2"/>
      <c r="N69" s="2"/>
      <c r="O69" s="2"/>
      <c r="P69" s="2"/>
      <c r="Q69" s="2"/>
      <c r="R69" s="2"/>
      <c r="S69" s="2"/>
      <c r="T69" s="2"/>
      <c r="U69" s="2"/>
      <c r="V69" s="2"/>
    </row>
    <row r="70" ht="22.5" customHeight="1">
      <c r="A70" s="3">
        <v>69.0</v>
      </c>
      <c r="B70" s="3" t="s">
        <v>654</v>
      </c>
      <c r="C70" s="3" t="s">
        <v>655</v>
      </c>
      <c r="D70" s="3" t="s">
        <v>511</v>
      </c>
      <c r="E70" s="2"/>
      <c r="F70" s="3" t="str">
        <f>IFERROR(__xludf.DUMMYFUNCTION("GOOGLETRANSLATE(A70, ""it"", ""en"")"),"69")</f>
        <v>69</v>
      </c>
      <c r="G70" s="3" t="str">
        <f>IFERROR(__xludf.DUMMYFUNCTION("GOOGLETRANSLATE(B70, ""it"", ""en"")"),"A player tries to distract an opponent during a shot. What happens?")</f>
        <v>A player tries to distract an opponent during a shot. What happens?</v>
      </c>
      <c r="H70" s="3" t="str">
        <f>IFERROR(__xludf.DUMMYFUNCTION("GOOGLETRANSLATE(C70, ""it"", ""en"")"),"A. The referee awards a penalty B. The player is ejected C. The opponent's shot is valid D. The game is suspended")</f>
        <v>A. The referee awards a penalty B. The player is ejected C. The opponent's shot is valid D. The game is suspended</v>
      </c>
      <c r="I70" s="3" t="str">
        <f>IFERROR(__xludf.DUMMYFUNCTION("GOOGLETRANSLATE(D70, ""it"", ""en"")"),"The judge awards a penalty")</f>
        <v>The judge awards a penalty</v>
      </c>
      <c r="J70" s="2"/>
      <c r="K70" s="2"/>
      <c r="L70" s="2"/>
      <c r="M70" s="2"/>
      <c r="N70" s="2"/>
      <c r="O70" s="2"/>
      <c r="P70" s="2"/>
      <c r="Q70" s="2"/>
      <c r="R70" s="2"/>
      <c r="S70" s="2"/>
      <c r="T70" s="2"/>
      <c r="U70" s="2"/>
      <c r="V70" s="2"/>
    </row>
    <row r="71" ht="22.5" customHeight="1">
      <c r="A71" s="3">
        <v>70.0</v>
      </c>
      <c r="B71" s="3" t="s">
        <v>656</v>
      </c>
      <c r="C71" s="3" t="s">
        <v>579</v>
      </c>
      <c r="D71" s="3" t="s">
        <v>494</v>
      </c>
      <c r="E71" s="2"/>
      <c r="F71" s="3" t="str">
        <f>IFERROR(__xludf.DUMMYFUNCTION("GOOGLETRANSLATE(A71, ""it"", ""en"")"),"70")</f>
        <v>70</v>
      </c>
      <c r="G71" s="3" t="str">
        <f>IFERROR(__xludf.DUMMYFUNCTION("GOOGLETRANSLATE(B71, ""it"", ""en"")"),"The cheese is thrown over a structure and crosses the finish line. What happens?")</f>
        <v>The cheese is thrown over a structure and crosses the finish line. What happens?</v>
      </c>
      <c r="H71" s="3" t="str">
        <f>IFERROR(__xludf.DUMMYFUNCTION("GOOGLETRANSLATE(C71, ""it"", ""en"")"),"A. The shot is valid B. The judge awards a penalty C. The shot is retaken D. The player loses his turn")</f>
        <v>A. The shot is valid B. The judge awards a penalty C. The shot is retaken D. The player loses his turn</v>
      </c>
      <c r="I71" s="3" t="str">
        <f>IFERROR(__xludf.DUMMYFUNCTION("GOOGLETRANSLATE(D71, ""it"", ""en"")"),"The shot is valid")</f>
        <v>The shot is valid</v>
      </c>
      <c r="J71" s="2"/>
      <c r="K71" s="2"/>
      <c r="L71" s="2"/>
      <c r="M71" s="2"/>
      <c r="N71" s="2"/>
      <c r="O71" s="2"/>
      <c r="P71" s="2"/>
      <c r="Q71" s="2"/>
      <c r="R71" s="2"/>
      <c r="S71" s="2"/>
      <c r="T71" s="2"/>
      <c r="U71" s="2"/>
      <c r="V71" s="2"/>
    </row>
    <row r="72" ht="22.5" customHeight="1">
      <c r="A72" s="3">
        <v>71.0</v>
      </c>
      <c r="B72" s="3" t="s">
        <v>657</v>
      </c>
      <c r="C72" s="3" t="s">
        <v>658</v>
      </c>
      <c r="D72" s="3" t="s">
        <v>572</v>
      </c>
      <c r="E72" s="2"/>
      <c r="F72" s="3" t="str">
        <f>IFERROR(__xludf.DUMMYFUNCTION("GOOGLETRANSLATE(A72, ""it"", ""en"")"),"71")</f>
        <v>71</v>
      </c>
      <c r="G72" s="3" t="str">
        <f>IFERROR(__xludf.DUMMYFUNCTION("GOOGLETRANSLATE(B72, ""it"", ""en"")"),"A player protests the final result. What happens?")</f>
        <v>A player protests the final result. What happens?</v>
      </c>
      <c r="H72" s="3" t="str">
        <f>IFERROR(__xludf.DUMMYFUNCTION("GOOGLETRANSLATE(C72, ""it"", ""en"")"),"A. The decision does not change B. The game is replayed C. The judge awards a penalty D. The protest is upheld")</f>
        <v>A. The decision does not change B. The game is replayed C. The judge awards a penalty D. The protest is upheld</v>
      </c>
      <c r="I72" s="3" t="str">
        <f>IFERROR(__xludf.DUMMYFUNCTION("GOOGLETRANSLATE(D72, ""it"", ""en"")"),"The decision does not change")</f>
        <v>The decision does not change</v>
      </c>
      <c r="J72" s="2"/>
      <c r="K72" s="2"/>
      <c r="L72" s="2"/>
      <c r="M72" s="2"/>
      <c r="N72" s="2"/>
      <c r="O72" s="2"/>
      <c r="P72" s="2"/>
      <c r="Q72" s="2"/>
      <c r="R72" s="2"/>
      <c r="S72" s="2"/>
      <c r="T72" s="2"/>
      <c r="U72" s="2"/>
      <c r="V72" s="2"/>
    </row>
    <row r="73" ht="22.5" customHeight="1">
      <c r="A73" s="3">
        <v>72.0</v>
      </c>
      <c r="B73" s="3" t="s">
        <v>659</v>
      </c>
      <c r="C73" s="3" t="s">
        <v>660</v>
      </c>
      <c r="D73" s="3" t="s">
        <v>494</v>
      </c>
      <c r="E73" s="2"/>
      <c r="F73" s="3" t="str">
        <f>IFERROR(__xludf.DUMMYFUNCTION("GOOGLETRANSLATE(A73, ""it"", ""en"")"),"72")</f>
        <v>72</v>
      </c>
      <c r="G73" s="3" t="str">
        <f>IFERROR(__xludf.DUMMYFUNCTION("GOOGLETRANSLATE(B73, ""it"", ""en"")"),"The cheese hits a wall and bounces back. What happens?")</f>
        <v>The cheese hits a wall and bounces back. What happens?</v>
      </c>
      <c r="H73" s="3" t="str">
        <f>IFERROR(__xludf.DUMMYFUNCTION("GOOGLETRANSLATE(C73, ""it"", ""en"")"),"A. The shot is valid B. The shot is cancelled C. The shot is retaken D. The judge awards a point")</f>
        <v>A. The shot is valid B. The shot is cancelled C. The shot is retaken D. The judge awards a point</v>
      </c>
      <c r="I73" s="3" t="str">
        <f>IFERROR(__xludf.DUMMYFUNCTION("GOOGLETRANSLATE(D73, ""it"", ""en"")"),"The shot is valid")</f>
        <v>The shot is valid</v>
      </c>
      <c r="J73" s="2"/>
      <c r="K73" s="2"/>
      <c r="L73" s="2"/>
      <c r="M73" s="2"/>
      <c r="N73" s="2"/>
      <c r="O73" s="2"/>
      <c r="P73" s="2"/>
      <c r="Q73" s="2"/>
      <c r="R73" s="2"/>
      <c r="S73" s="2"/>
      <c r="T73" s="2"/>
      <c r="U73" s="2"/>
      <c r="V73" s="2"/>
    </row>
    <row r="74" ht="22.5" customHeight="1">
      <c r="A74" s="3">
        <v>73.0</v>
      </c>
      <c r="B74" s="3" t="s">
        <v>661</v>
      </c>
      <c r="C74" s="3" t="s">
        <v>662</v>
      </c>
      <c r="D74" s="3" t="s">
        <v>604</v>
      </c>
      <c r="E74" s="2"/>
      <c r="F74" s="3" t="str">
        <f>IFERROR(__xludf.DUMMYFUNCTION("GOOGLETRANSLATE(A74, ""it"", ""en"")"),"73")</f>
        <v>73</v>
      </c>
      <c r="G74" s="3" t="str">
        <f>IFERROR(__xludf.DUMMYFUNCTION("GOOGLETRANSLATE(B74, ""it"", ""en"")"),"A player drops the cheese before throwing it. What happens?")</f>
        <v>A player drops the cheese before throwing it. What happens?</v>
      </c>
      <c r="H74" s="3" t="str">
        <f>IFERROR(__xludf.DUMMYFUNCTION("GOOGLETRANSLATE(C74, ""it"", ""en"")"),"A. The roll is valid B. The player can raise C. The roll is cancelled D. The player loses his turn")</f>
        <v>A. The roll is valid B. The player can raise C. The roll is cancelled D. The player loses his turn</v>
      </c>
      <c r="I74" s="3" t="str">
        <f>IFERROR(__xludf.DUMMYFUNCTION("GOOGLETRANSLATE(D74, ""it"", ""en"")"),"The player can raise")</f>
        <v>The player can raise</v>
      </c>
      <c r="J74" s="2"/>
      <c r="K74" s="2"/>
      <c r="L74" s="2"/>
      <c r="M74" s="2"/>
      <c r="N74" s="2"/>
      <c r="O74" s="2"/>
      <c r="P74" s="2"/>
      <c r="Q74" s="2"/>
      <c r="R74" s="2"/>
      <c r="S74" s="2"/>
      <c r="T74" s="2"/>
      <c r="U74" s="2"/>
      <c r="V74" s="2"/>
    </row>
    <row r="75" ht="22.5" customHeight="1">
      <c r="A75" s="3">
        <v>74.0</v>
      </c>
      <c r="B75" s="3" t="s">
        <v>663</v>
      </c>
      <c r="C75" s="3" t="s">
        <v>664</v>
      </c>
      <c r="D75" s="3" t="s">
        <v>665</v>
      </c>
      <c r="E75" s="2"/>
      <c r="F75" s="3" t="str">
        <f>IFERROR(__xludf.DUMMYFUNCTION("GOOGLETRANSLATE(A75, ""it"", ""en"")"),"74")</f>
        <v>74</v>
      </c>
      <c r="G75" s="3" t="str">
        <f>IFERROR(__xludf.DUMMYFUNCTION("GOOGLETRANSLATE(B75, ""it"", ""en"")"),"What is the rule if a player misses his turn?")</f>
        <v>What is the rule if a player misses his turn?</v>
      </c>
      <c r="H75" s="3" t="str">
        <f>IFERROR(__xludf.DUMMYFUNCTION("GOOGLETRANSLATE(C75, ""it"", ""en"")"),"A. The judge awards a penalty B. The player is ejected C. The turn is lost D. The turn is made up at the end")</f>
        <v>A. The judge awards a penalty B. The player is ejected C. The turn is lost D. The turn is made up at the end</v>
      </c>
      <c r="I75" s="3" t="str">
        <f>IFERROR(__xludf.DUMMYFUNCTION("GOOGLETRANSLATE(D75, ""it"", ""en"")"),"The turn is lost")</f>
        <v>The turn is lost</v>
      </c>
      <c r="J75" s="2"/>
      <c r="K75" s="2"/>
      <c r="L75" s="2"/>
      <c r="M75" s="2"/>
      <c r="N75" s="2"/>
      <c r="O75" s="2"/>
      <c r="P75" s="2"/>
      <c r="Q75" s="2"/>
      <c r="R75" s="2"/>
      <c r="S75" s="2"/>
      <c r="T75" s="2"/>
      <c r="U75" s="2"/>
      <c r="V75" s="2"/>
    </row>
    <row r="76" ht="22.5" customHeight="1">
      <c r="A76" s="3">
        <v>75.0</v>
      </c>
      <c r="B76" s="3" t="s">
        <v>666</v>
      </c>
      <c r="C76" s="3" t="s">
        <v>632</v>
      </c>
      <c r="D76" s="3" t="s">
        <v>494</v>
      </c>
      <c r="E76" s="2"/>
      <c r="F76" s="3" t="str">
        <f>IFERROR(__xludf.DUMMYFUNCTION("GOOGLETRANSLATE(A76, ""it"", ""en"")"),"75")</f>
        <v>75</v>
      </c>
      <c r="G76" s="3" t="str">
        <f>IFERROR(__xludf.DUMMYFUNCTION("GOOGLETRANSLATE(B76, ""it"", ""en"")"),"What happens if a cheese touches a tree and changes direction?")</f>
        <v>What happens if a cheese touches a tree and changes direction?</v>
      </c>
      <c r="H76" s="3" t="str">
        <f>IFERROR(__xludf.DUMMYFUNCTION("GOOGLETRANSLATE(C76, ""it"", ""en"")"),"A. The shot is valid B. The shot is retaken C. The player loses his turn D. The judge issues a penalty")</f>
        <v>A. The shot is valid B. The shot is retaken C. The player loses his turn D. The judge issues a penalty</v>
      </c>
      <c r="I76" s="3" t="str">
        <f>IFERROR(__xludf.DUMMYFUNCTION("GOOGLETRANSLATE(D76, ""it"", ""en"")"),"The shot is valid")</f>
        <v>The shot is valid</v>
      </c>
      <c r="J76" s="2"/>
      <c r="K76" s="2"/>
      <c r="L76" s="2"/>
      <c r="M76" s="2"/>
      <c r="N76" s="2"/>
      <c r="O76" s="2"/>
      <c r="P76" s="2"/>
      <c r="Q76" s="2"/>
      <c r="R76" s="2"/>
      <c r="S76" s="2"/>
      <c r="T76" s="2"/>
      <c r="U76" s="2"/>
      <c r="V76" s="2"/>
    </row>
    <row r="77" ht="22.5" customHeight="1">
      <c r="A77" s="3">
        <v>76.0</v>
      </c>
      <c r="B77" s="3" t="s">
        <v>667</v>
      </c>
      <c r="C77" s="3" t="s">
        <v>668</v>
      </c>
      <c r="D77" s="3" t="s">
        <v>669</v>
      </c>
      <c r="E77" s="2"/>
      <c r="F77" s="3" t="str">
        <f>IFERROR(__xludf.DUMMYFUNCTION("GOOGLETRANSLATE(A77, ""it"", ""en"")"),"76")</f>
        <v>76</v>
      </c>
      <c r="G77" s="3" t="str">
        <f>IFERROR(__xludf.DUMMYFUNCTION("GOOGLETRANSLATE(B77, ""it"", ""en"")"),"A player's cheese damages private property. What happens?")</f>
        <v>A player's cheese damages private property. What happens?</v>
      </c>
      <c r="H77" s="3" t="str">
        <f>IFERROR(__xludf.DUMMYFUNCTION("GOOGLETRANSLATE(C77, ""it"", ""en"")"),"A. The shot is valid B. The player must compensate C. The shot is cancelled D. The judge awards a penalty")</f>
        <v>A. The shot is valid B. The player must compensate C. The shot is cancelled D. The judge awards a penalty</v>
      </c>
      <c r="I77" s="3" t="str">
        <f>IFERROR(__xludf.DUMMYFUNCTION("GOOGLETRANSLATE(D77, ""it"", ""en"")"),"The player must compensate")</f>
        <v>The player must compensate</v>
      </c>
      <c r="J77" s="2"/>
      <c r="K77" s="2"/>
      <c r="L77" s="2"/>
      <c r="M77" s="2"/>
      <c r="N77" s="2"/>
      <c r="O77" s="2"/>
      <c r="P77" s="2"/>
      <c r="Q77" s="2"/>
      <c r="R77" s="2"/>
      <c r="S77" s="2"/>
      <c r="T77" s="2"/>
      <c r="U77" s="2"/>
      <c r="V77" s="2"/>
    </row>
    <row r="78" ht="22.5" customHeight="1">
      <c r="A78" s="3">
        <v>77.0</v>
      </c>
      <c r="B78" s="3" t="s">
        <v>670</v>
      </c>
      <c r="C78" s="3" t="s">
        <v>671</v>
      </c>
      <c r="D78" s="3" t="s">
        <v>511</v>
      </c>
      <c r="E78" s="2"/>
      <c r="F78" s="3" t="str">
        <f>IFERROR(__xludf.DUMMYFUNCTION("GOOGLETRANSLATE(A78, ""it"", ""en"")"),"77")</f>
        <v>77</v>
      </c>
      <c r="G78" s="3" t="str">
        <f>IFERROR(__xludf.DUMMYFUNCTION("GOOGLETRANSLATE(B78, ""it"", ""en"")"),"A player insists on using a non-compliant cheese. What happens?")</f>
        <v>A player insists on using a non-compliant cheese. What happens?</v>
      </c>
      <c r="H78" s="3" t="str">
        <f>IFERROR(__xludf.DUMMYFUNCTION("GOOGLETRANSLATE(C78, ""it"", ""en"")"),"A. The player is ejected B. The referee issues a penalty C. The shot is valid D. The game is suspended")</f>
        <v>A. The player is ejected B. The referee issues a penalty C. The shot is valid D. The game is suspended</v>
      </c>
      <c r="I78" s="3" t="str">
        <f>IFERROR(__xludf.DUMMYFUNCTION("GOOGLETRANSLATE(D78, ""it"", ""en"")"),"The judge awards a penalty")</f>
        <v>The judge awards a penalty</v>
      </c>
      <c r="J78" s="2"/>
      <c r="K78" s="2"/>
      <c r="L78" s="2"/>
      <c r="M78" s="2"/>
      <c r="N78" s="2"/>
      <c r="O78" s="2"/>
      <c r="P78" s="2"/>
      <c r="Q78" s="2"/>
      <c r="R78" s="2"/>
      <c r="S78" s="2"/>
      <c r="T78" s="2"/>
      <c r="U78" s="2"/>
      <c r="V78" s="2"/>
    </row>
    <row r="79" ht="22.5" customHeight="1">
      <c r="A79" s="3">
        <v>78.0</v>
      </c>
      <c r="B79" s="3" t="s">
        <v>672</v>
      </c>
      <c r="C79" s="3" t="s">
        <v>584</v>
      </c>
      <c r="D79" s="3" t="s">
        <v>494</v>
      </c>
      <c r="E79" s="2"/>
      <c r="F79" s="3" t="str">
        <f>IFERROR(__xludf.DUMMYFUNCTION("GOOGLETRANSLATE(A79, ""it"", ""en"")"),"78")</f>
        <v>78</v>
      </c>
      <c r="G79" s="3" t="str">
        <f>IFERROR(__xludf.DUMMYFUNCTION("GOOGLETRANSLATE(B79, ""it"", ""en"")"),"A thrown cheese reaches the finish line but hits a decorative object. What happens?")</f>
        <v>A thrown cheese reaches the finish line but hits a decorative object. What happens?</v>
      </c>
      <c r="H79" s="3" t="str">
        <f>IFERROR(__xludf.DUMMYFUNCTION("GOOGLETRANSLATE(C79, ""it"", ""en"")"),"A. The shot is valid B. The shot is retaken C. The judge awards a point D. The player loses the turn")</f>
        <v>A. The shot is valid B. The shot is retaken C. The judge awards a point D. The player loses the turn</v>
      </c>
      <c r="I79" s="3" t="str">
        <f>IFERROR(__xludf.DUMMYFUNCTION("GOOGLETRANSLATE(D79, ""it"", ""en"")"),"The shot is valid")</f>
        <v>The shot is valid</v>
      </c>
      <c r="J79" s="2"/>
      <c r="K79" s="2"/>
      <c r="L79" s="2"/>
      <c r="M79" s="2"/>
      <c r="N79" s="2"/>
      <c r="O79" s="2"/>
      <c r="P79" s="2"/>
      <c r="Q79" s="2"/>
      <c r="R79" s="2"/>
      <c r="S79" s="2"/>
      <c r="T79" s="2"/>
      <c r="U79" s="2"/>
      <c r="V79" s="2"/>
    </row>
    <row r="80" ht="22.5" customHeight="1">
      <c r="A80" s="3">
        <v>79.0</v>
      </c>
      <c r="B80" s="3" t="s">
        <v>673</v>
      </c>
      <c r="C80" s="3" t="s">
        <v>674</v>
      </c>
      <c r="D80" s="3" t="s">
        <v>511</v>
      </c>
      <c r="E80" s="2"/>
      <c r="F80" s="3" t="str">
        <f>IFERROR(__xludf.DUMMYFUNCTION("GOOGLETRANSLATE(A80, ""it"", ""en"")"),"79")</f>
        <v>79</v>
      </c>
      <c r="G80" s="3" t="str">
        <f>IFERROR(__xludf.DUMMYFUNCTION("GOOGLETRANSLATE(B80, ""it"", ""en"")"),"A player throws cheese and accidentally hits another player. What happens?")</f>
        <v>A player throws cheese and accidentally hits another player. What happens?</v>
      </c>
      <c r="H80" s="3" t="str">
        <f>IFERROR(__xludf.DUMMYFUNCTION("GOOGLETRANSLATE(C80, ""it"", ""en"")"),"A. The shot is disallowed B. The referee awards a penalty C. The player is ejected D. The game is suspended")</f>
        <v>A. The shot is disallowed B. The referee awards a penalty C. The player is ejected D. The game is suspended</v>
      </c>
      <c r="I80" s="3" t="str">
        <f>IFERROR(__xludf.DUMMYFUNCTION("GOOGLETRANSLATE(D80, ""it"", ""en"")"),"The judge awards a penalty")</f>
        <v>The judge awards a penalty</v>
      </c>
      <c r="J80" s="2"/>
      <c r="K80" s="2"/>
      <c r="L80" s="2"/>
      <c r="M80" s="2"/>
      <c r="N80" s="2"/>
      <c r="O80" s="2"/>
      <c r="P80" s="2"/>
      <c r="Q80" s="2"/>
      <c r="R80" s="2"/>
      <c r="S80" s="2"/>
      <c r="T80" s="2"/>
      <c r="U80" s="2"/>
      <c r="V80" s="2"/>
    </row>
    <row r="81" ht="22.5" customHeight="1">
      <c r="A81" s="3">
        <v>80.0</v>
      </c>
      <c r="B81" s="3" t="s">
        <v>675</v>
      </c>
      <c r="C81" s="3" t="s">
        <v>676</v>
      </c>
      <c r="D81" s="3" t="s">
        <v>500</v>
      </c>
      <c r="E81" s="2"/>
      <c r="F81" s="3" t="str">
        <f>IFERROR(__xludf.DUMMYFUNCTION("GOOGLETRANSLATE(A81, ""it"", ""en"")"),"80")</f>
        <v>80</v>
      </c>
      <c r="G81" s="3" t="str">
        <f>IFERROR(__xludf.DUMMYFUNCTION("GOOGLETRANSLATE(B81, ""it"", ""en"")"),"What happens if the cheese ends up in a river along the way?")</f>
        <v>What happens if the cheese ends up in a river along the way?</v>
      </c>
      <c r="H81" s="3" t="str">
        <f>IFERROR(__xludf.DUMMYFUNCTION("GOOGLETRANSLATE(C81, ""it"", ""en"")"),"A. The shot is valid B. The shot is repeated C. The player loses his turn D. The cheese is recovered and thrown again")</f>
        <v>A. The shot is valid B. The shot is repeated C. The player loses his turn D. The cheese is recovered and thrown again</v>
      </c>
      <c r="I81" s="3" t="str">
        <f>IFERROR(__xludf.DUMMYFUNCTION("GOOGLETRANSLATE(D81, ""it"", ""en"")"),"The shot is repeated")</f>
        <v>The shot is repeated</v>
      </c>
      <c r="J81" s="2"/>
      <c r="K81" s="2"/>
      <c r="L81" s="2"/>
      <c r="M81" s="2"/>
      <c r="N81" s="2"/>
      <c r="O81" s="2"/>
      <c r="P81" s="2"/>
      <c r="Q81" s="2"/>
      <c r="R81" s="2"/>
      <c r="S81" s="2"/>
      <c r="T81" s="2"/>
      <c r="U81" s="2"/>
      <c r="V81" s="2"/>
    </row>
    <row r="82" ht="22.5" customHeight="1">
      <c r="A82" s="3">
        <v>81.0</v>
      </c>
      <c r="B82" s="3" t="s">
        <v>677</v>
      </c>
      <c r="C82" s="3" t="s">
        <v>678</v>
      </c>
      <c r="D82" s="3" t="s">
        <v>679</v>
      </c>
      <c r="E82" s="2"/>
      <c r="F82" s="3" t="str">
        <f>IFERROR(__xludf.DUMMYFUNCTION("GOOGLETRANSLATE(A82, ""it"", ""en"")"),"81")</f>
        <v>81</v>
      </c>
      <c r="G82" s="3" t="str">
        <f>IFERROR(__xludf.DUMMYFUNCTION("GOOGLETRANSLATE(B82, ""it"", ""en"")"),"A referee finds a player's tape defective. What happens?")</f>
        <v>A referee finds a player's tape defective. What happens?</v>
      </c>
      <c r="H82" s="3" t="str">
        <f>IFERROR(__xludf.DUMMYFUNCTION("GOOGLETRANSLATE(C82, ""it"", ""en"")"),"A. The tape is replaced B. The player loses the turn C. The shot is valid D. The judge awards a penalty")</f>
        <v>A. The tape is replaced B. The player loses the turn C. The shot is valid D. The judge awards a penalty</v>
      </c>
      <c r="I82" s="3" t="str">
        <f>IFERROR(__xludf.DUMMYFUNCTION("GOOGLETRANSLATE(D82, ""it"", ""en"")"),"The tape is replaced")</f>
        <v>The tape is replaced</v>
      </c>
      <c r="J82" s="2"/>
      <c r="K82" s="2"/>
      <c r="L82" s="2"/>
      <c r="M82" s="2"/>
      <c r="N82" s="2"/>
      <c r="O82" s="2"/>
      <c r="P82" s="2"/>
      <c r="Q82" s="2"/>
      <c r="R82" s="2"/>
      <c r="S82" s="2"/>
      <c r="T82" s="2"/>
      <c r="U82" s="2"/>
      <c r="V82" s="2"/>
    </row>
    <row r="83" ht="22.5" customHeight="1">
      <c r="A83" s="3">
        <v>82.0</v>
      </c>
      <c r="B83" s="3" t="s">
        <v>680</v>
      </c>
      <c r="C83" s="3" t="s">
        <v>681</v>
      </c>
      <c r="D83" s="3" t="s">
        <v>494</v>
      </c>
      <c r="E83" s="2"/>
      <c r="F83" s="3" t="str">
        <f>IFERROR(__xludf.DUMMYFUNCTION("GOOGLETRANSLATE(A83, ""it"", ""en"")"),"82")</f>
        <v>82</v>
      </c>
      <c r="G83" s="3" t="str">
        <f>IFERROR(__xludf.DUMMYFUNCTION("GOOGLETRANSLATE(B83, ""it"", ""en"")"),"The cheese hits an animal along the way. What happens?")</f>
        <v>The cheese hits an animal along the way. What happens?</v>
      </c>
      <c r="H83" s="3" t="str">
        <f>IFERROR(__xludf.DUMMYFUNCTION("GOOGLETRANSLATE(C83, ""it"", ""en"")"),"A. The shot is valid B. The shot is cancelled C. The player must compensate D. The judge awards a penalty")</f>
        <v>A. The shot is valid B. The shot is cancelled C. The player must compensate D. The judge awards a penalty</v>
      </c>
      <c r="I83" s="3" t="str">
        <f>IFERROR(__xludf.DUMMYFUNCTION("GOOGLETRANSLATE(D83, ""it"", ""en"")"),"The shot is valid")</f>
        <v>The shot is valid</v>
      </c>
      <c r="J83" s="2"/>
      <c r="K83" s="2"/>
      <c r="L83" s="2"/>
      <c r="M83" s="2"/>
      <c r="N83" s="2"/>
      <c r="O83" s="2"/>
      <c r="P83" s="2"/>
      <c r="Q83" s="2"/>
      <c r="R83" s="2"/>
      <c r="S83" s="2"/>
      <c r="T83" s="2"/>
      <c r="U83" s="2"/>
      <c r="V83" s="2"/>
    </row>
    <row r="84" ht="22.5" customHeight="1">
      <c r="A84" s="3">
        <v>83.0</v>
      </c>
      <c r="B84" s="3" t="s">
        <v>682</v>
      </c>
      <c r="C84" s="3" t="s">
        <v>683</v>
      </c>
      <c r="D84" s="3" t="s">
        <v>684</v>
      </c>
      <c r="E84" s="2"/>
      <c r="F84" s="3" t="str">
        <f>IFERROR(__xludf.DUMMYFUNCTION("GOOGLETRANSLATE(A84, ""it"", ""en"")"),"83")</f>
        <v>83</v>
      </c>
      <c r="G84" s="3" t="str">
        <f>IFERROR(__xludf.DUMMYFUNCTION("GOOGLETRANSLATE(B84, ""it"", ""en"")"),"What happens if a player doesn't show up for their shot?")</f>
        <v>What happens if a player doesn't show up for their shot?</v>
      </c>
      <c r="H84" s="3" t="str">
        <f>IFERROR(__xludf.DUMMYFUNCTION("GOOGLETRANSLATE(C84, ""it"", ""en"")"),"A. The round is skipped B. The player is disqualified C. The round is made up at the end D. The judge awards a penalty")</f>
        <v>A. The round is skipped B. The player is disqualified C. The round is made up at the end D. The judge awards a penalty</v>
      </c>
      <c r="I84" s="3" t="str">
        <f>IFERROR(__xludf.DUMMYFUNCTION("GOOGLETRANSLATE(D84, ""it"", ""en"")"),"The turn is skipped")</f>
        <v>The turn is skipped</v>
      </c>
      <c r="J84" s="2"/>
      <c r="K84" s="2"/>
      <c r="L84" s="2"/>
      <c r="M84" s="2"/>
      <c r="N84" s="2"/>
      <c r="O84" s="2"/>
      <c r="P84" s="2"/>
      <c r="Q84" s="2"/>
      <c r="R84" s="2"/>
      <c r="S84" s="2"/>
      <c r="T84" s="2"/>
      <c r="U84" s="2"/>
      <c r="V84" s="2"/>
    </row>
    <row r="85" ht="22.5" customHeight="1">
      <c r="A85" s="3">
        <v>84.0</v>
      </c>
      <c r="B85" s="3" t="s">
        <v>685</v>
      </c>
      <c r="C85" s="3" t="s">
        <v>686</v>
      </c>
      <c r="D85" s="3" t="s">
        <v>687</v>
      </c>
      <c r="E85" s="2"/>
      <c r="F85" s="3" t="str">
        <f>IFERROR(__xludf.DUMMYFUNCTION("GOOGLETRANSLATE(A85, ""it"", ""en"")"),"84")</f>
        <v>84</v>
      </c>
      <c r="G85" s="3" t="str">
        <f>IFERROR(__xludf.DUMMYFUNCTION("GOOGLETRANSLATE(B85, ""it"", ""en"")"),"A player asks to use a special cheese for personal reasons. What happens?")</f>
        <v>A player asks to use a special cheese for personal reasons. What happens?</v>
      </c>
      <c r="H85" s="3" t="str">
        <f>IFERROR(__xludf.DUMMYFUNCTION("GOOGLETRANSLATE(C85, ""it"", ""en"")"),"A. The request is refused B. The judge grants the use C. The player is disqualified D. The shot is valid")</f>
        <v>A. The request is refused B. The judge grants the use C. The player is disqualified D. The shot is valid</v>
      </c>
      <c r="I85" s="3" t="str">
        <f>IFERROR(__xludf.DUMMYFUNCTION("GOOGLETRANSLATE(D85, ""it"", ""en"")"),"The request is rejected")</f>
        <v>The request is rejected</v>
      </c>
      <c r="J85" s="2"/>
      <c r="K85" s="2"/>
      <c r="L85" s="2"/>
      <c r="M85" s="2"/>
      <c r="N85" s="2"/>
      <c r="O85" s="2"/>
      <c r="P85" s="2"/>
      <c r="Q85" s="2"/>
      <c r="R85" s="2"/>
      <c r="S85" s="2"/>
      <c r="T85" s="2"/>
      <c r="U85" s="2"/>
      <c r="V85" s="2"/>
    </row>
    <row r="86" ht="22.5" customHeight="1">
      <c r="A86" s="3">
        <v>85.0</v>
      </c>
      <c r="B86" s="3" t="s">
        <v>688</v>
      </c>
      <c r="C86" s="3" t="s">
        <v>689</v>
      </c>
      <c r="D86" s="3" t="s">
        <v>616</v>
      </c>
      <c r="E86" s="2"/>
      <c r="F86" s="3" t="str">
        <f>IFERROR(__xludf.DUMMYFUNCTION("GOOGLETRANSLATE(A86, ""it"", ""en"")"),"85")</f>
        <v>85</v>
      </c>
      <c r="G86" s="3" t="str">
        <f>IFERROR(__xludf.DUMMYFUNCTION("GOOGLETRANSLATE(B86, ""it"", ""en"")"),"The cheese crosses the finish line but doesn't stop. What happens?")</f>
        <v>The cheese crosses the finish line but doesn't stop. What happens?</v>
      </c>
      <c r="H86" s="3" t="str">
        <f>IFERROR(__xludf.DUMMYFUNCTION("GOOGLETRANSLATE(C86, ""it"", ""en"")"),"A. The shot is valid B. The point is awarded C. The shot is retaken D. The judge awards a penalty")</f>
        <v>A. The shot is valid B. The point is awarded C. The shot is retaken D. The judge awards a penalty</v>
      </c>
      <c r="I86" s="3" t="str">
        <f>IFERROR(__xludf.DUMMYFUNCTION("GOOGLETRANSLATE(D86, ""it"", ""en"")"),"The point is awarded")</f>
        <v>The point is awarded</v>
      </c>
      <c r="J86" s="2"/>
      <c r="K86" s="2"/>
      <c r="L86" s="2"/>
      <c r="M86" s="2"/>
      <c r="N86" s="2"/>
      <c r="O86" s="2"/>
      <c r="P86" s="2"/>
      <c r="Q86" s="2"/>
      <c r="R86" s="2"/>
      <c r="S86" s="2"/>
      <c r="T86" s="2"/>
      <c r="U86" s="2"/>
      <c r="V86" s="2"/>
    </row>
    <row r="87" ht="22.5" customHeight="1">
      <c r="A87" s="3">
        <v>86.0</v>
      </c>
      <c r="B87" s="3" t="s">
        <v>690</v>
      </c>
      <c r="C87" s="3" t="s">
        <v>691</v>
      </c>
      <c r="D87" s="3" t="s">
        <v>517</v>
      </c>
      <c r="E87" s="2"/>
      <c r="F87" s="3" t="str">
        <f>IFERROR(__xludf.DUMMYFUNCTION("GOOGLETRANSLATE(A87, ""it"", ""en"")"),"86")</f>
        <v>86</v>
      </c>
      <c r="G87" s="3" t="str">
        <f>IFERROR(__xludf.DUMMYFUNCTION("GOOGLETRANSLATE(B87, ""it"", ""en"")"),"What happens if a player's cheese breaks into more than three pieces?")</f>
        <v>What happens if a player's cheese breaks into more than three pieces?</v>
      </c>
      <c r="H87" s="3" t="str">
        <f>IFERROR(__xludf.DUMMYFUNCTION("GOOGLETRANSLATE(C87, ""it"", ""en"")"),"A. The shot is valid B. The judge awards a penalty C. The shot is cancelled D. The shot is retaken")</f>
        <v>A. The shot is valid B. The judge awards a penalty C. The shot is cancelled D. The shot is retaken</v>
      </c>
      <c r="I87" s="3" t="str">
        <f>IFERROR(__xludf.DUMMYFUNCTION("GOOGLETRANSLATE(D87, ""it"", ""en"")"),"The shot is disallowed")</f>
        <v>The shot is disallowed</v>
      </c>
      <c r="J87" s="2"/>
      <c r="K87" s="2"/>
      <c r="L87" s="2"/>
      <c r="M87" s="2"/>
      <c r="N87" s="2"/>
      <c r="O87" s="2"/>
      <c r="P87" s="2"/>
      <c r="Q87" s="2"/>
      <c r="R87" s="2"/>
      <c r="S87" s="2"/>
      <c r="T87" s="2"/>
      <c r="U87" s="2"/>
      <c r="V87" s="2"/>
    </row>
    <row r="88" ht="22.5" customHeight="1">
      <c r="A88" s="3">
        <v>87.0</v>
      </c>
      <c r="B88" s="3" t="s">
        <v>692</v>
      </c>
      <c r="C88" s="3" t="s">
        <v>693</v>
      </c>
      <c r="D88" s="3" t="s">
        <v>511</v>
      </c>
      <c r="E88" s="2"/>
      <c r="F88" s="3" t="str">
        <f>IFERROR(__xludf.DUMMYFUNCTION("GOOGLETRANSLATE(A88, ""it"", ""en"")"),"87")</f>
        <v>87</v>
      </c>
      <c r="G88" s="3" t="str">
        <f>IFERROR(__xludf.DUMMYFUNCTION("GOOGLETRANSLATE(B88, ""it"", ""en"")"),"A player touches an opponent's cheese while preparing to shoot. What happens?")</f>
        <v>A player touches an opponent's cheese while preparing to shoot. What happens?</v>
      </c>
      <c r="H88" s="3" t="str">
        <f>IFERROR(__xludf.DUMMYFUNCTION("GOOGLETRANSLATE(C88, ""it"", ""en"")"),"A. The judge issues a penalty B. The judge disallows the shot C. The player is disqualified D. Nothing happens")</f>
        <v>A. The judge issues a penalty B. The judge disallows the shot C. The player is disqualified D. Nothing happens</v>
      </c>
      <c r="I88" s="3" t="str">
        <f>IFERROR(__xludf.DUMMYFUNCTION("GOOGLETRANSLATE(D88, ""it"", ""en"")"),"The judge awards a penalty")</f>
        <v>The judge awards a penalty</v>
      </c>
      <c r="J88" s="2"/>
      <c r="K88" s="2"/>
      <c r="L88" s="2"/>
      <c r="M88" s="2"/>
      <c r="N88" s="2"/>
      <c r="O88" s="2"/>
      <c r="P88" s="2"/>
      <c r="Q88" s="2"/>
      <c r="R88" s="2"/>
      <c r="S88" s="2"/>
      <c r="T88" s="2"/>
      <c r="U88" s="2"/>
      <c r="V88" s="2"/>
    </row>
    <row r="89" ht="22.5" customHeight="1">
      <c r="A89" s="3">
        <v>88.0</v>
      </c>
      <c r="B89" s="3" t="s">
        <v>694</v>
      </c>
      <c r="C89" s="3" t="s">
        <v>695</v>
      </c>
      <c r="D89" s="3" t="s">
        <v>679</v>
      </c>
      <c r="E89" s="2"/>
      <c r="F89" s="3" t="str">
        <f>IFERROR(__xludf.DUMMYFUNCTION("GOOGLETRANSLATE(A89, ""it"", ""en"")"),"88")</f>
        <v>88</v>
      </c>
      <c r="G89" s="3" t="str">
        <f>IFERROR(__xludf.DUMMYFUNCTION("GOOGLETRANSLATE(B89, ""it"", ""en"")"),"A player uses decorative tape instead of regulation tape. What happens?")</f>
        <v>A player uses decorative tape instead of regulation tape. What happens?</v>
      </c>
      <c r="H89" s="3" t="str">
        <f>IFERROR(__xludf.DUMMYFUNCTION("GOOGLETRANSLATE(C89, ""it"", ""en"")"),"A. The shot is valid B. The judge awards a penalty C. The shot is retaken D. The ribbon is replaced")</f>
        <v>A. The shot is valid B. The judge awards a penalty C. The shot is retaken D. The ribbon is replaced</v>
      </c>
      <c r="I89" s="3" t="str">
        <f>IFERROR(__xludf.DUMMYFUNCTION("GOOGLETRANSLATE(D89, ""it"", ""en"")"),"The tape is replaced")</f>
        <v>The tape is replaced</v>
      </c>
      <c r="J89" s="2"/>
      <c r="K89" s="2"/>
      <c r="L89" s="2"/>
      <c r="M89" s="2"/>
      <c r="N89" s="2"/>
      <c r="O89" s="2"/>
      <c r="P89" s="2"/>
      <c r="Q89" s="2"/>
      <c r="R89" s="2"/>
      <c r="S89" s="2"/>
      <c r="T89" s="2"/>
      <c r="U89" s="2"/>
      <c r="V89" s="2"/>
    </row>
    <row r="90" ht="22.5" customHeight="1">
      <c r="A90" s="3">
        <v>89.0</v>
      </c>
      <c r="B90" s="3" t="s">
        <v>696</v>
      </c>
      <c r="C90" s="3" t="s">
        <v>697</v>
      </c>
      <c r="D90" s="3" t="s">
        <v>500</v>
      </c>
      <c r="E90" s="2"/>
      <c r="F90" s="3" t="str">
        <f>IFERROR(__xludf.DUMMYFUNCTION("GOOGLETRANSLATE(A90, ""it"", ""en"")"),"89")</f>
        <v>89</v>
      </c>
      <c r="G90" s="3" t="str">
        <f>IFERROR(__xludf.DUMMYFUNCTION("GOOGLETRANSLATE(B90, ""it"", ""en"")"),"A cheese is thrown and gets stuck in a bush. What happens?")</f>
        <v>A cheese is thrown and gets stuck in a bush. What happens?</v>
      </c>
      <c r="H90" s="3" t="str">
        <f>IFERROR(__xludf.DUMMYFUNCTION("GOOGLETRANSLATE(C90, ""it"", ""en"")"),"A. The shot is retaken B. The shot is valid C. The judge awards a penalty D. The player loses the turn")</f>
        <v>A. The shot is retaken B. The shot is valid C. The judge awards a penalty D. The player loses the turn</v>
      </c>
      <c r="I90" s="3" t="str">
        <f>IFERROR(__xludf.DUMMYFUNCTION("GOOGLETRANSLATE(D90, ""it"", ""en"")"),"The shot is repeated")</f>
        <v>The shot is repeated</v>
      </c>
      <c r="J90" s="2"/>
      <c r="K90" s="2"/>
      <c r="L90" s="2"/>
      <c r="M90" s="2"/>
      <c r="N90" s="2"/>
      <c r="O90" s="2"/>
      <c r="P90" s="2"/>
      <c r="Q90" s="2"/>
      <c r="R90" s="2"/>
      <c r="S90" s="2"/>
      <c r="T90" s="2"/>
      <c r="U90" s="2"/>
      <c r="V90" s="2"/>
    </row>
    <row r="91" ht="22.5" customHeight="1">
      <c r="A91" s="3">
        <v>90.0</v>
      </c>
      <c r="B91" s="3" t="s">
        <v>698</v>
      </c>
      <c r="C91" s="3" t="s">
        <v>699</v>
      </c>
      <c r="D91" s="3" t="s">
        <v>700</v>
      </c>
      <c r="E91" s="2"/>
      <c r="F91" s="3" t="str">
        <f>IFERROR(__xludf.DUMMYFUNCTION("GOOGLETRANSLATE(A91, ""it"", ""en"")"),"90")</f>
        <v>90</v>
      </c>
      <c r="G91" s="3" t="str">
        <f>IFERROR(__xludf.DUMMYFUNCTION("GOOGLETRANSLATE(B91, ""it"", ""en"")"),"What happens if two cheeses collide during a shot?")</f>
        <v>What happens if two cheeses collide during a shot?</v>
      </c>
      <c r="H91" s="3" t="str">
        <f>IFERROR(__xludf.DUMMYFUNCTION("GOOGLETRANSLATE(C91, ""it"", ""en"")"),"A. Both shots are valid B. The judge awards a point to each C. The shot is repeated for both D. The player with the longer shot wins the point")</f>
        <v>A. Both shots are valid B. The judge awards a point to each C. The shot is repeated for both D. The player with the longer shot wins the point</v>
      </c>
      <c r="I91" s="3" t="str">
        <f>IFERROR(__xludf.DUMMYFUNCTION("GOOGLETRANSLATE(D91, ""it"", ""en"")"),"The shot is repeated for both")</f>
        <v>The shot is repeated for both</v>
      </c>
      <c r="J91" s="2"/>
      <c r="K91" s="2"/>
      <c r="L91" s="2"/>
      <c r="M91" s="2"/>
      <c r="N91" s="2"/>
      <c r="O91" s="2"/>
      <c r="P91" s="2"/>
      <c r="Q91" s="2"/>
      <c r="R91" s="2"/>
      <c r="S91" s="2"/>
      <c r="T91" s="2"/>
      <c r="U91" s="2"/>
      <c r="V91" s="2"/>
    </row>
    <row r="92" ht="22.5" customHeight="1">
      <c r="A92" s="3">
        <v>91.0</v>
      </c>
      <c r="B92" s="3" t="s">
        <v>701</v>
      </c>
      <c r="C92" s="3" t="s">
        <v>702</v>
      </c>
      <c r="D92" s="3" t="s">
        <v>511</v>
      </c>
      <c r="E92" s="2"/>
      <c r="F92" s="3" t="str">
        <f>IFERROR(__xludf.DUMMYFUNCTION("GOOGLETRANSLATE(A92, ""it"", ""en"")"),"91")</f>
        <v>91</v>
      </c>
      <c r="G92" s="3" t="str">
        <f>IFERROR(__xludf.DUMMYFUNCTION("GOOGLETRANSLATE(B92, ""it"", ""en"")"),"A player intentionally delays his turn. What happens?")</f>
        <v>A player intentionally delays his turn. What happens?</v>
      </c>
      <c r="H92" s="3" t="str">
        <f>IFERROR(__xludf.DUMMYFUNCTION("GOOGLETRANSLATE(C92, ""it"", ""en"")"),"A. The judge issues a penalty B. The player is ejected C. The turn is skipped D. The game is suspended")</f>
        <v>A. The judge issues a penalty B. The player is ejected C. The turn is skipped D. The game is suspended</v>
      </c>
      <c r="I92" s="3" t="str">
        <f>IFERROR(__xludf.DUMMYFUNCTION("GOOGLETRANSLATE(D92, ""it"", ""en"")"),"The judge awards a penalty")</f>
        <v>The judge awards a penalty</v>
      </c>
      <c r="J92" s="2"/>
      <c r="K92" s="2"/>
      <c r="L92" s="2"/>
      <c r="M92" s="2"/>
      <c r="N92" s="2"/>
      <c r="O92" s="2"/>
      <c r="P92" s="2"/>
      <c r="Q92" s="2"/>
      <c r="R92" s="2"/>
      <c r="S92" s="2"/>
      <c r="T92" s="2"/>
      <c r="U92" s="2"/>
      <c r="V92" s="2"/>
    </row>
    <row r="93" ht="22.5" customHeight="1">
      <c r="A93" s="3">
        <v>92.0</v>
      </c>
      <c r="B93" s="3" t="s">
        <v>703</v>
      </c>
      <c r="C93" s="3" t="s">
        <v>704</v>
      </c>
      <c r="D93" s="3" t="s">
        <v>494</v>
      </c>
      <c r="E93" s="2"/>
      <c r="F93" s="3" t="str">
        <f>IFERROR(__xludf.DUMMYFUNCTION("GOOGLETRANSLATE(A93, ""it"", ""en"")"),"92")</f>
        <v>92</v>
      </c>
      <c r="G93" s="3" t="str">
        <f>IFERROR(__xludf.DUMMYFUNCTION("GOOGLETRANSLATE(B93, ""it"", ""en"")"),"A cheese crosses the finish line but comes back. What happens?")</f>
        <v>A cheese crosses the finish line but comes back. What happens?</v>
      </c>
      <c r="H93" s="3" t="str">
        <f>IFERROR(__xludf.DUMMYFUNCTION("GOOGLETRANSLATE(C93, ""it"", ""en"")"),"A. The shot is valid B. The shot is cancelled C. The point is awarded D. The judge awards a penalty")</f>
        <v>A. The shot is valid B. The shot is cancelled C. The point is awarded D. The judge awards a penalty</v>
      </c>
      <c r="I93" s="3" t="str">
        <f>IFERROR(__xludf.DUMMYFUNCTION("GOOGLETRANSLATE(D93, ""it"", ""en"")"),"The shot is valid")</f>
        <v>The shot is valid</v>
      </c>
      <c r="J93" s="2"/>
      <c r="K93" s="2"/>
      <c r="L93" s="2"/>
      <c r="M93" s="2"/>
      <c r="N93" s="2"/>
      <c r="O93" s="2"/>
      <c r="P93" s="2"/>
      <c r="Q93" s="2"/>
      <c r="R93" s="2"/>
      <c r="S93" s="2"/>
      <c r="T93" s="2"/>
      <c r="U93" s="2"/>
      <c r="V93" s="2"/>
    </row>
    <row r="94" ht="22.5" customHeight="1">
      <c r="A94" s="3">
        <v>93.0</v>
      </c>
      <c r="B94" s="3" t="s">
        <v>705</v>
      </c>
      <c r="C94" s="3" t="s">
        <v>706</v>
      </c>
      <c r="D94" s="3" t="s">
        <v>707</v>
      </c>
      <c r="E94" s="2"/>
      <c r="F94" s="3" t="str">
        <f>IFERROR(__xludf.DUMMYFUNCTION("GOOGLETRANSLATE(A94, ""it"", ""en"")"),"93")</f>
        <v>93</v>
      </c>
      <c r="G94" s="3" t="str">
        <f>IFERROR(__xludf.DUMMYFUNCTION("GOOGLETRANSLATE(B94, ""it"", ""en"")"),"The judge finds unsportsmanlike conduct by a participant. What happens?")</f>
        <v>The judge finds unsportsmanlike conduct by a participant. What happens?</v>
      </c>
      <c r="H94" s="3" t="str">
        <f>IFERROR(__xludf.DUMMYFUNCTION("GOOGLETRANSLATE(C94, ""it"", ""en"")"),"A. The player is cautioned B. The player is disqualified C. The shot is disallowed D. Nothing happens")</f>
        <v>A. The player is cautioned B. The player is disqualified C. The shot is disallowed D. Nothing happens</v>
      </c>
      <c r="I94" s="3" t="str">
        <f>IFERROR(__xludf.DUMMYFUNCTION("GOOGLETRANSLATE(D94, ""it"", ""en"")"),"The player is cautioned")</f>
        <v>The player is cautioned</v>
      </c>
      <c r="J94" s="2"/>
      <c r="K94" s="2"/>
      <c r="L94" s="2"/>
      <c r="M94" s="2"/>
      <c r="N94" s="2"/>
      <c r="O94" s="2"/>
      <c r="P94" s="2"/>
      <c r="Q94" s="2"/>
      <c r="R94" s="2"/>
      <c r="S94" s="2"/>
      <c r="T94" s="2"/>
      <c r="U94" s="2"/>
      <c r="V94" s="2"/>
    </row>
    <row r="95" ht="22.5" customHeight="1">
      <c r="A95" s="3">
        <v>94.0</v>
      </c>
      <c r="B95" s="3" t="s">
        <v>708</v>
      </c>
      <c r="C95" s="3" t="s">
        <v>516</v>
      </c>
      <c r="D95" s="3" t="s">
        <v>494</v>
      </c>
      <c r="E95" s="2"/>
      <c r="F95" s="3" t="str">
        <f>IFERROR(__xludf.DUMMYFUNCTION("GOOGLETRANSLATE(A95, ""it"", ""en"")"),"94")</f>
        <v>94</v>
      </c>
      <c r="G95" s="3" t="str">
        <f>IFERROR(__xludf.DUMMYFUNCTION("GOOGLETRANSLATE(B95, ""it"", ""en"")"),"A player's cheese just barely clears the starting line. What happens?")</f>
        <v>A player's cheese just barely clears the starting line. What happens?</v>
      </c>
      <c r="H95" s="3" t="str">
        <f>IFERROR(__xludf.DUMMYFUNCTION("GOOGLETRANSLATE(C95, ""it"", ""en"")"),"A. The shot is valid B. The shot is cancelled C. The player loses his turn D. The shot is retaken")</f>
        <v>A. The shot is valid B. The shot is cancelled C. The player loses his turn D. The shot is retaken</v>
      </c>
      <c r="I95" s="3" t="str">
        <f>IFERROR(__xludf.DUMMYFUNCTION("GOOGLETRANSLATE(D95, ""it"", ""en"")"),"The shot is valid")</f>
        <v>The shot is valid</v>
      </c>
      <c r="J95" s="2"/>
      <c r="K95" s="2"/>
      <c r="L95" s="2"/>
      <c r="M95" s="2"/>
      <c r="N95" s="2"/>
      <c r="O95" s="2"/>
      <c r="P95" s="2"/>
      <c r="Q95" s="2"/>
      <c r="R95" s="2"/>
      <c r="S95" s="2"/>
      <c r="T95" s="2"/>
      <c r="U95" s="2"/>
      <c r="V95" s="2"/>
    </row>
    <row r="96" ht="22.5" customHeight="1">
      <c r="A96" s="3">
        <v>95.0</v>
      </c>
      <c r="B96" s="3" t="s">
        <v>709</v>
      </c>
      <c r="C96" s="3" t="s">
        <v>710</v>
      </c>
      <c r="D96" s="3" t="s">
        <v>511</v>
      </c>
      <c r="E96" s="2"/>
      <c r="F96" s="3" t="str">
        <f>IFERROR(__xludf.DUMMYFUNCTION("GOOGLETRANSLATE(A96, ""it"", ""en"")"),"95")</f>
        <v>95</v>
      </c>
      <c r="G96" s="3" t="str">
        <f>IFERROR(__xludf.DUMMYFUNCTION("GOOGLETRANSLATE(B96, ""it"", ""en"")"),"A player tries to confuse his opponent with a false shot. What happens?")</f>
        <v>A player tries to confuse his opponent with a false shot. What happens?</v>
      </c>
      <c r="H96" s="3" t="str">
        <f>IFERROR(__xludf.DUMMYFUNCTION("GOOGLETRANSLATE(C96, ""it"", ""en"")"),"A. The player is cautioned B. The referee awards a penalty C. The shot is disallowed D. Nothing happens")</f>
        <v>A. The player is cautioned B. The referee awards a penalty C. The shot is disallowed D. Nothing happens</v>
      </c>
      <c r="I96" s="3" t="str">
        <f>IFERROR(__xludf.DUMMYFUNCTION("GOOGLETRANSLATE(D96, ""it"", ""en"")"),"The judge awards a penalty")</f>
        <v>The judge awards a penalty</v>
      </c>
      <c r="J96" s="2"/>
      <c r="K96" s="2"/>
      <c r="L96" s="2"/>
      <c r="M96" s="2"/>
      <c r="N96" s="2"/>
      <c r="O96" s="2"/>
      <c r="P96" s="2"/>
      <c r="Q96" s="2"/>
      <c r="R96" s="2"/>
      <c r="S96" s="2"/>
      <c r="T96" s="2"/>
      <c r="U96" s="2"/>
      <c r="V96" s="2"/>
    </row>
    <row r="97" ht="22.5" customHeight="1">
      <c r="A97" s="3">
        <v>96.0</v>
      </c>
      <c r="B97" s="3" t="s">
        <v>711</v>
      </c>
      <c r="C97" s="3" t="s">
        <v>712</v>
      </c>
      <c r="D97" s="3" t="s">
        <v>616</v>
      </c>
      <c r="E97" s="2"/>
      <c r="F97" s="3" t="str">
        <f>IFERROR(__xludf.DUMMYFUNCTION("GOOGLETRANSLATE(A97, ""it"", ""en"")"),"96")</f>
        <v>96</v>
      </c>
      <c r="G97" s="3" t="str">
        <f>IFERROR(__xludf.DUMMYFUNCTION("GOOGLETRANSLATE(B97, ""it"", ""en"")"),"What happens if a player's cheese stops in the center of the finish line?")</f>
        <v>What happens if a player's cheese stops in the center of the finish line?</v>
      </c>
      <c r="H97" s="3" t="str">
        <f>IFERROR(__xludf.DUMMYFUNCTION("GOOGLETRANSLATE(C97, ""it"", ""en"")"),"A. The point is awarded B. The shot is disallowed C. The judge awards a penalty D. The cheese is considered out of play")</f>
        <v>A. The point is awarded B. The shot is disallowed C. The judge awards a penalty D. The cheese is considered out of play</v>
      </c>
      <c r="I97" s="3" t="str">
        <f>IFERROR(__xludf.DUMMYFUNCTION("GOOGLETRANSLATE(D97, ""it"", ""en"")"),"The point is awarded")</f>
        <v>The point is awarded</v>
      </c>
      <c r="J97" s="2"/>
      <c r="K97" s="2"/>
      <c r="L97" s="2"/>
      <c r="M97" s="2"/>
      <c r="N97" s="2"/>
      <c r="O97" s="2"/>
      <c r="P97" s="2"/>
      <c r="Q97" s="2"/>
      <c r="R97" s="2"/>
      <c r="S97" s="2"/>
      <c r="T97" s="2"/>
      <c r="U97" s="2"/>
      <c r="V97" s="2"/>
    </row>
    <row r="98" ht="22.5" customHeight="1">
      <c r="A98" s="3">
        <v>97.0</v>
      </c>
      <c r="B98" s="3" t="s">
        <v>713</v>
      </c>
      <c r="C98" s="3" t="s">
        <v>714</v>
      </c>
      <c r="D98" s="3" t="s">
        <v>715</v>
      </c>
      <c r="E98" s="2"/>
      <c r="F98" s="3" t="str">
        <f>IFERROR(__xludf.DUMMYFUNCTION("GOOGLETRANSLATE(A98, ""it"", ""en"")"),"97")</f>
        <v>97</v>
      </c>
      <c r="G98" s="3" t="str">
        <f>IFERROR(__xludf.DUMMYFUNCTION("GOOGLETRANSLATE(B98, ""it"", ""en"")"),"A player fails to retrieve the cheese after a throw. What happens?")</f>
        <v>A player fails to retrieve the cheese after a throw. What happens?</v>
      </c>
      <c r="H98" s="3" t="str">
        <f>IFERROR(__xludf.DUMMYFUNCTION("GOOGLETRANSLATE(C98, ""it"", ""en"")"),"A. The player is penalized B. The shot is disallowed C. The player uses a substitute cheese D. The game is suspended")</f>
        <v>A. The player is penalized B. The shot is disallowed C. The player uses a substitute cheese D. The game is suspended</v>
      </c>
      <c r="I98" s="3" t="str">
        <f>IFERROR(__xludf.DUMMYFUNCTION("GOOGLETRANSLATE(D98, ""it"", ""en"")"),"The player uses a substitute cheese")</f>
        <v>The player uses a substitute cheese</v>
      </c>
      <c r="J98" s="2"/>
      <c r="K98" s="2"/>
      <c r="L98" s="2"/>
      <c r="M98" s="2"/>
      <c r="N98" s="2"/>
      <c r="O98" s="2"/>
      <c r="P98" s="2"/>
      <c r="Q98" s="2"/>
      <c r="R98" s="2"/>
      <c r="S98" s="2"/>
      <c r="T98" s="2"/>
      <c r="U98" s="2"/>
      <c r="V98" s="2"/>
    </row>
    <row r="99" ht="22.5" customHeight="1">
      <c r="A99" s="3">
        <v>98.0</v>
      </c>
      <c r="B99" s="3" t="s">
        <v>716</v>
      </c>
      <c r="C99" s="3" t="s">
        <v>717</v>
      </c>
      <c r="D99" s="3" t="s">
        <v>494</v>
      </c>
      <c r="E99" s="2"/>
      <c r="F99" s="3" t="str">
        <f>IFERROR(__xludf.DUMMYFUNCTION("GOOGLETRANSLATE(A99, ""it"", ""en"")"),"98")</f>
        <v>98</v>
      </c>
      <c r="G99" s="3" t="str">
        <f>IFERROR(__xludf.DUMMYFUNCTION("GOOGLETRANSLATE(B99, ""it"", ""en"")"),"What happens if a player loses balance during the throw?")</f>
        <v>What happens if a player loses balance during the throw?</v>
      </c>
      <c r="H99" s="3" t="str">
        <f>IFERROR(__xludf.DUMMYFUNCTION("GOOGLETRANSLATE(C99, ""it"", ""en"")"),"A. The shot is valid B. The shot is cancelled C. The judge awards a penalty D. The player loses the turn")</f>
        <v>A. The shot is valid B. The shot is cancelled C. The judge awards a penalty D. The player loses the turn</v>
      </c>
      <c r="I99" s="3" t="str">
        <f>IFERROR(__xludf.DUMMYFUNCTION("GOOGLETRANSLATE(D99, ""it"", ""en"")"),"The shot is valid")</f>
        <v>The shot is valid</v>
      </c>
      <c r="J99" s="2"/>
      <c r="K99" s="2"/>
      <c r="L99" s="2"/>
      <c r="M99" s="2"/>
      <c r="N99" s="2"/>
      <c r="O99" s="2"/>
      <c r="P99" s="2"/>
      <c r="Q99" s="2"/>
      <c r="R99" s="2"/>
      <c r="S99" s="2"/>
      <c r="T99" s="2"/>
      <c r="U99" s="2"/>
      <c r="V99" s="2"/>
    </row>
    <row r="100" ht="22.5" customHeight="1">
      <c r="A100" s="3">
        <v>99.0</v>
      </c>
      <c r="B100" s="3" t="s">
        <v>718</v>
      </c>
      <c r="C100" s="3" t="s">
        <v>717</v>
      </c>
      <c r="D100" s="3" t="s">
        <v>494</v>
      </c>
      <c r="E100" s="2"/>
      <c r="F100" s="3" t="str">
        <f>IFERROR(__xludf.DUMMYFUNCTION("GOOGLETRANSLATE(A100, ""it"", ""en"")"),"99")</f>
        <v>99</v>
      </c>
      <c r="G100" s="3" t="str">
        <f>IFERROR(__xludf.DUMMYFUNCTION("GOOGLETRANSLATE(B100, ""it"", ""en"")"),"A player's cheese lands on a rock. What happens?")</f>
        <v>A player's cheese lands on a rock. What happens?</v>
      </c>
      <c r="H100" s="3" t="str">
        <f>IFERROR(__xludf.DUMMYFUNCTION("GOOGLETRANSLATE(C100, ""it"", ""en"")"),"A. The shot is valid B. The shot is cancelled C. The judge awards a penalty D. The player loses the turn")</f>
        <v>A. The shot is valid B. The shot is cancelled C. The judge awards a penalty D. The player loses the turn</v>
      </c>
      <c r="I100" s="3" t="str">
        <f>IFERROR(__xludf.DUMMYFUNCTION("GOOGLETRANSLATE(D100, ""it"", ""en"")"),"The shot is valid")</f>
        <v>The shot is valid</v>
      </c>
      <c r="J100" s="2"/>
      <c r="K100" s="2"/>
      <c r="L100" s="2"/>
      <c r="M100" s="2"/>
      <c r="N100" s="2"/>
      <c r="O100" s="2"/>
      <c r="P100" s="2"/>
      <c r="Q100" s="2"/>
      <c r="R100" s="2"/>
      <c r="S100" s="2"/>
      <c r="T100" s="2"/>
      <c r="U100" s="2"/>
      <c r="V100" s="2"/>
    </row>
    <row r="101" ht="22.5" customHeight="1">
      <c r="A101" s="3">
        <v>100.0</v>
      </c>
      <c r="B101" s="3" t="s">
        <v>719</v>
      </c>
      <c r="C101" s="3" t="s">
        <v>720</v>
      </c>
      <c r="D101" s="3" t="s">
        <v>517</v>
      </c>
      <c r="E101" s="2"/>
      <c r="F101" s="3" t="str">
        <f>IFERROR(__xludf.DUMMYFUNCTION("GOOGLETRANSLATE(A101, ""it"", ""en"")"),"100")</f>
        <v>100</v>
      </c>
      <c r="G101" s="3" t="str">
        <f>IFERROR(__xludf.DUMMYFUNCTION("GOOGLETRANSLATE(B101, ""it"", ""en"")"),"A player decides to throw the cheese without using the ribbon. What happens?")</f>
        <v>A player decides to throw the cheese without using the ribbon. What happens?</v>
      </c>
      <c r="H101" s="3" t="str">
        <f>IFERROR(__xludf.DUMMYFUNCTION("GOOGLETRANSLATE(C101, ""it"", ""en"")"),"A. The shot is valid B. The shot is cancelled C. The player loses the turn D. The judge awards a penalty")</f>
        <v>A. The shot is valid B. The shot is cancelled C. The player loses the turn D. The judge awards a penalty</v>
      </c>
      <c r="I101" s="3" t="str">
        <f>IFERROR(__xludf.DUMMYFUNCTION("GOOGLETRANSLATE(D101, ""it"", ""en"")"),"The shot is disallowed")</f>
        <v>The shot is disallowed</v>
      </c>
      <c r="J101" s="2"/>
      <c r="K101" s="2"/>
      <c r="L101" s="2"/>
      <c r="M101" s="2"/>
      <c r="N101" s="2"/>
      <c r="O101" s="2"/>
      <c r="P101" s="2"/>
      <c r="Q101" s="2"/>
      <c r="R101" s="2"/>
      <c r="S101" s="2"/>
      <c r="T101" s="2"/>
      <c r="U101" s="2"/>
      <c r="V101" s="2"/>
    </row>
    <row r="102" ht="22.5" customHeight="1">
      <c r="A102" s="3">
        <v>101.0</v>
      </c>
      <c r="B102" s="3" t="s">
        <v>721</v>
      </c>
      <c r="C102" s="3" t="s">
        <v>722</v>
      </c>
      <c r="D102" s="3" t="s">
        <v>494</v>
      </c>
      <c r="E102" s="2"/>
      <c r="F102" s="3" t="str">
        <f>IFERROR(__xludf.DUMMYFUNCTION("GOOGLETRANSLATE(A102, ""it"", ""en"")"),"101")</f>
        <v>101</v>
      </c>
      <c r="G102" s="3" t="str">
        <f>IFERROR(__xludf.DUMMYFUNCTION("GOOGLETRANSLATE(B102, ""it"", ""en"")"),"What happens if a cheese hits a road sign and changes direction?")</f>
        <v>What happens if a cheese hits a road sign and changes direction?</v>
      </c>
      <c r="H102" s="3" t="str">
        <f>IFERROR(__xludf.DUMMYFUNCTION("GOOGLETRANSLATE(C102, ""it"", ""en"")"),"A. The shot is valid B. The shot is cancelled C. The shot is retaken D. The judge awards a penalty")</f>
        <v>A. The shot is valid B. The shot is cancelled C. The shot is retaken D. The judge awards a penalty</v>
      </c>
      <c r="I102" s="3" t="str">
        <f>IFERROR(__xludf.DUMMYFUNCTION("GOOGLETRANSLATE(D102, ""it"", ""en"")"),"The shot is valid")</f>
        <v>The shot is valid</v>
      </c>
      <c r="J102" s="2"/>
      <c r="K102" s="2"/>
      <c r="L102" s="2"/>
      <c r="M102" s="2"/>
      <c r="N102" s="2"/>
      <c r="O102" s="2"/>
      <c r="P102" s="2"/>
      <c r="Q102" s="2"/>
      <c r="R102" s="2"/>
      <c r="S102" s="2"/>
      <c r="T102" s="2"/>
      <c r="U102" s="2"/>
      <c r="V102" s="2"/>
    </row>
    <row r="103" ht="22.5" customHeight="1">
      <c r="A103" s="3">
        <v>102.0</v>
      </c>
      <c r="B103" s="3" t="s">
        <v>723</v>
      </c>
      <c r="C103" s="3" t="s">
        <v>724</v>
      </c>
      <c r="D103" s="3" t="s">
        <v>725</v>
      </c>
      <c r="E103" s="2"/>
      <c r="F103" s="3" t="str">
        <f>IFERROR(__xludf.DUMMYFUNCTION("GOOGLETRANSLATE(A103, ""it"", ""en"")"),"102")</f>
        <v>102</v>
      </c>
      <c r="G103" s="3" t="str">
        <f>IFERROR(__xludf.DUMMYFUNCTION("GOOGLETRANSLATE(B103, ""it"", ""en"")"),"A participant uses a customized cheese. What happens?")</f>
        <v>A participant uses a customized cheese. What happens?</v>
      </c>
      <c r="H103" s="3" t="str">
        <f>IFERROR(__xludf.DUMMYFUNCTION("GOOGLETRANSLATE(C103, ""it"", ""en"")"),"A. The judge checks the cheese B. The shot is valid C. The cheese is rejected D. The player loses his turn")</f>
        <v>A. The judge checks the cheese B. The shot is valid C. The cheese is rejected D. The player loses his turn</v>
      </c>
      <c r="I103" s="3" t="str">
        <f>IFERROR(__xludf.DUMMYFUNCTION("GOOGLETRANSLATE(D103, ""it"", ""en"")"),"The judge checks the cheese")</f>
        <v>The judge checks the cheese</v>
      </c>
      <c r="J103" s="2"/>
      <c r="K103" s="2"/>
      <c r="L103" s="2"/>
      <c r="M103" s="2"/>
      <c r="N103" s="2"/>
      <c r="O103" s="2"/>
      <c r="P103" s="2"/>
      <c r="Q103" s="2"/>
      <c r="R103" s="2"/>
      <c r="S103" s="2"/>
      <c r="T103" s="2"/>
      <c r="U103" s="2"/>
      <c r="V103" s="2"/>
    </row>
    <row r="104" ht="22.5" customHeight="1">
      <c r="A104" s="3">
        <v>103.0</v>
      </c>
      <c r="B104" s="3" t="s">
        <v>726</v>
      </c>
      <c r="C104" s="3" t="s">
        <v>727</v>
      </c>
      <c r="D104" s="3" t="s">
        <v>511</v>
      </c>
      <c r="E104" s="2"/>
      <c r="F104" s="3" t="str">
        <f>IFERROR(__xludf.DUMMYFUNCTION("GOOGLETRANSLATE(A104, ""it"", ""en"")"),"103")</f>
        <v>103</v>
      </c>
      <c r="G104" s="3" t="str">
        <f>IFERROR(__xludf.DUMMYFUNCTION("GOOGLETRANSLATE(B104, ""it"", ""en"")"),"What happens if a player blocks an opponent's shot?")</f>
        <v>What happens if a player blocks an opponent's shot?</v>
      </c>
      <c r="H104" s="3" t="str">
        <f>IFERROR(__xludf.DUMMYFUNCTION("GOOGLETRANSLATE(C104, ""it"", ""en"")"),"A. The judge awards a penalty B. The opponent's shot is retaken C. The player is disqualified D. Nothing happens")</f>
        <v>A. The judge awards a penalty B. The opponent's shot is retaken C. The player is disqualified D. Nothing happens</v>
      </c>
      <c r="I104" s="3" t="str">
        <f>IFERROR(__xludf.DUMMYFUNCTION("GOOGLETRANSLATE(D104, ""it"", ""en"")"),"The judge awards a penalty")</f>
        <v>The judge awards a penalty</v>
      </c>
      <c r="J104" s="2"/>
      <c r="K104" s="2"/>
      <c r="L104" s="2"/>
      <c r="M104" s="2"/>
      <c r="N104" s="2"/>
      <c r="O104" s="2"/>
      <c r="P104" s="2"/>
      <c r="Q104" s="2"/>
      <c r="R104" s="2"/>
      <c r="S104" s="2"/>
      <c r="T104" s="2"/>
      <c r="U104" s="2"/>
      <c r="V104" s="2"/>
    </row>
    <row r="105" ht="22.5" customHeight="1">
      <c r="A105" s="3">
        <v>104.0</v>
      </c>
      <c r="B105" s="3" t="s">
        <v>728</v>
      </c>
      <c r="C105" s="3" t="s">
        <v>729</v>
      </c>
      <c r="D105" s="3" t="s">
        <v>616</v>
      </c>
      <c r="E105" s="2"/>
      <c r="F105" s="3" t="str">
        <f>IFERROR(__xludf.DUMMYFUNCTION("GOOGLETRANSLATE(A105, ""it"", ""en"")"),"104")</f>
        <v>104</v>
      </c>
      <c r="G105" s="3" t="str">
        <f>IFERROR(__xludf.DUMMYFUNCTION("GOOGLETRANSLATE(B105, ""it"", ""en"")"),"A player's cheese breaks after crossing the finish line. What happens?")</f>
        <v>A player's cheese breaks after crossing the finish line. What happens?</v>
      </c>
      <c r="H105" s="3" t="str">
        <f>IFERROR(__xludf.DUMMYFUNCTION("GOOGLETRANSLATE(C105, ""it"", ""en"")"),"A. The point is awarded B. The shot is valid C. The judge cancels the point D. The shot is retaken")</f>
        <v>A. The point is awarded B. The shot is valid C. The judge cancels the point D. The shot is retaken</v>
      </c>
      <c r="I105" s="3" t="str">
        <f>IFERROR(__xludf.DUMMYFUNCTION("GOOGLETRANSLATE(D105, ""it"", ""en"")"),"The point is awarded")</f>
        <v>The point is awarded</v>
      </c>
      <c r="J105" s="2"/>
      <c r="K105" s="2"/>
      <c r="L105" s="2"/>
      <c r="M105" s="2"/>
      <c r="N105" s="2"/>
      <c r="O105" s="2"/>
      <c r="P105" s="2"/>
      <c r="Q105" s="2"/>
      <c r="R105" s="2"/>
      <c r="S105" s="2"/>
      <c r="T105" s="2"/>
      <c r="U105" s="2"/>
      <c r="V105" s="2"/>
    </row>
    <row r="106" ht="22.5" customHeight="1">
      <c r="A106" s="3">
        <v>105.0</v>
      </c>
      <c r="B106" s="3" t="s">
        <v>730</v>
      </c>
      <c r="C106" s="3" t="s">
        <v>731</v>
      </c>
      <c r="D106" s="3" t="s">
        <v>511</v>
      </c>
      <c r="E106" s="2"/>
      <c r="F106" s="3" t="str">
        <f>IFERROR(__xludf.DUMMYFUNCTION("GOOGLETRANSLATE(A106, ""it"", ""en"")"),"105")</f>
        <v>105</v>
      </c>
      <c r="G106" s="3" t="str">
        <f>IFERROR(__xludf.DUMMYFUNCTION("GOOGLETRANSLATE(B106, ""it"", ""en"")"),"A player ignores the referee's instructions. What happens?")</f>
        <v>A player ignores the referee's instructions. What happens?</v>
      </c>
      <c r="H106" s="3" t="str">
        <f>IFERROR(__xludf.DUMMYFUNCTION("GOOGLETRANSLATE(C106, ""it"", ""en"")"),"A. The judge issues a penalty B. The player is disqualified C. The shot is disallowed D. The turn is skipped")</f>
        <v>A. The judge issues a penalty B. The player is disqualified C. The shot is disallowed D. The turn is skipped</v>
      </c>
      <c r="I106" s="3" t="str">
        <f>IFERROR(__xludf.DUMMYFUNCTION("GOOGLETRANSLATE(D106, ""it"", ""en"")"),"The judge awards a penalty")</f>
        <v>The judge awards a penalty</v>
      </c>
      <c r="J106" s="2"/>
      <c r="K106" s="2"/>
      <c r="L106" s="2"/>
      <c r="M106" s="2"/>
      <c r="N106" s="2"/>
      <c r="O106" s="2"/>
      <c r="P106" s="2"/>
      <c r="Q106" s="2"/>
      <c r="R106" s="2"/>
      <c r="S106" s="2"/>
      <c r="T106" s="2"/>
      <c r="U106" s="2"/>
      <c r="V106" s="2"/>
    </row>
    <row r="107" ht="22.5" customHeight="1">
      <c r="A107" s="3">
        <v>106.0</v>
      </c>
      <c r="B107" s="3" t="s">
        <v>732</v>
      </c>
      <c r="C107" s="3" t="s">
        <v>733</v>
      </c>
      <c r="D107" s="3" t="s">
        <v>494</v>
      </c>
      <c r="E107" s="2"/>
      <c r="F107" s="3" t="str">
        <f>IFERROR(__xludf.DUMMYFUNCTION("GOOGLETRANSLATE(A107, ""it"", ""en"")"),"106")</f>
        <v>106</v>
      </c>
      <c r="G107" s="3" t="str">
        <f>IFERROR(__xludf.DUMMYFUNCTION("GOOGLETRANSLATE(B107, ""it"", ""en"")"),"The cheese crosses the finish line but goes off the track. What happens?")</f>
        <v>The cheese crosses the finish line but goes off the track. What happens?</v>
      </c>
      <c r="H107" s="3" t="str">
        <f>IFERROR(__xludf.DUMMYFUNCTION("GOOGLETRANSLATE(C107, ""it"", ""en"")"),"A. The shot is valid B. The shot is cancelled C. The point is awarded D. The player loses the turn")</f>
        <v>A. The shot is valid B. The shot is cancelled C. The point is awarded D. The player loses the turn</v>
      </c>
      <c r="I107" s="3" t="str">
        <f>IFERROR(__xludf.DUMMYFUNCTION("GOOGLETRANSLATE(D107, ""it"", ""en"")"),"The shot is valid")</f>
        <v>The shot is valid</v>
      </c>
      <c r="J107" s="2"/>
      <c r="K107" s="2"/>
      <c r="L107" s="2"/>
      <c r="M107" s="2"/>
      <c r="N107" s="2"/>
      <c r="O107" s="2"/>
      <c r="P107" s="2"/>
      <c r="Q107" s="2"/>
      <c r="R107" s="2"/>
      <c r="S107" s="2"/>
      <c r="T107" s="2"/>
      <c r="U107" s="2"/>
      <c r="V107" s="2"/>
    </row>
    <row r="108" ht="22.5" customHeight="1">
      <c r="A108" s="3">
        <v>107.0</v>
      </c>
      <c r="B108" s="3" t="s">
        <v>734</v>
      </c>
      <c r="C108" s="3" t="s">
        <v>735</v>
      </c>
      <c r="D108" s="3" t="s">
        <v>511</v>
      </c>
      <c r="E108" s="2"/>
      <c r="F108" s="3" t="str">
        <f>IFERROR(__xludf.DUMMYFUNCTION("GOOGLETRANSLATE(A108, ""it"", ""en"")"),"107")</f>
        <v>107</v>
      </c>
      <c r="G108" s="3" t="str">
        <f>IFERROR(__xludf.DUMMYFUNCTION("GOOGLETRANSLATE(B108, ""it"", ""en"")"),"A player uses a tape that's too short for the rules. What's happening?")</f>
        <v>A player uses a tape that's too short for the rules. What's happening?</v>
      </c>
      <c r="H108" s="3" t="str">
        <f>IFERROR(__xludf.DUMMYFUNCTION("GOOGLETRANSLATE(C108, ""it"", ""en"")"),"A. The shot is cancelled B. The shot is valid C. The judge awards a penalty D. The tape is replaced")</f>
        <v>A. The shot is cancelled B. The shot is valid C. The judge awards a penalty D. The tape is replaced</v>
      </c>
      <c r="I108" s="3" t="str">
        <f>IFERROR(__xludf.DUMMYFUNCTION("GOOGLETRANSLATE(D108, ""it"", ""en"")"),"The judge awards a penalty")</f>
        <v>The judge awards a penalty</v>
      </c>
      <c r="J108" s="2"/>
      <c r="K108" s="2"/>
      <c r="L108" s="2"/>
      <c r="M108" s="2"/>
      <c r="N108" s="2"/>
      <c r="O108" s="2"/>
      <c r="P108" s="2"/>
      <c r="Q108" s="2"/>
      <c r="R108" s="2"/>
      <c r="S108" s="2"/>
      <c r="T108" s="2"/>
      <c r="U108" s="2"/>
      <c r="V108" s="2"/>
    </row>
    <row r="109" ht="22.5" customHeight="1">
      <c r="A109" s="3">
        <v>108.0</v>
      </c>
      <c r="B109" s="3" t="s">
        <v>736</v>
      </c>
      <c r="C109" s="3" t="s">
        <v>601</v>
      </c>
      <c r="D109" s="3" t="s">
        <v>494</v>
      </c>
      <c r="E109" s="2"/>
      <c r="F109" s="3" t="str">
        <f>IFERROR(__xludf.DUMMYFUNCTION("GOOGLETRANSLATE(A109, ""it"", ""en"")"),"108")</f>
        <v>108</v>
      </c>
      <c r="G109" s="3" t="str">
        <f>IFERROR(__xludf.DUMMYFUNCTION("GOOGLETRANSLATE(B109, ""it"", ""en"")"),"What happens if a cheese hits a man-made obstacle?")</f>
        <v>What happens if a cheese hits a man-made obstacle?</v>
      </c>
      <c r="H109" s="3" t="str">
        <f>IFERROR(__xludf.DUMMYFUNCTION("GOOGLETRANSLATE(C109, ""it"", ""en"")"),"A. The shot is valid B. The shot is retaken C. The judge issues a penalty D. The player loses the turn")</f>
        <v>A. The shot is valid B. The shot is retaken C. The judge issues a penalty D. The player loses the turn</v>
      </c>
      <c r="I109" s="3" t="str">
        <f>IFERROR(__xludf.DUMMYFUNCTION("GOOGLETRANSLATE(D109, ""it"", ""en"")"),"The shot is valid")</f>
        <v>The shot is valid</v>
      </c>
      <c r="J109" s="2"/>
      <c r="K109" s="2"/>
      <c r="L109" s="2"/>
      <c r="M109" s="2"/>
      <c r="N109" s="2"/>
      <c r="O109" s="2"/>
      <c r="P109" s="2"/>
      <c r="Q109" s="2"/>
      <c r="R109" s="2"/>
      <c r="S109" s="2"/>
      <c r="T109" s="2"/>
      <c r="U109" s="2"/>
      <c r="V109" s="2"/>
    </row>
    <row r="110" ht="22.5" customHeight="1">
      <c r="A110" s="3">
        <v>109.0</v>
      </c>
      <c r="B110" s="3" t="s">
        <v>737</v>
      </c>
      <c r="C110" s="3" t="s">
        <v>738</v>
      </c>
      <c r="D110" s="3" t="s">
        <v>517</v>
      </c>
      <c r="E110" s="2"/>
      <c r="F110" s="3" t="str">
        <f>IFERROR(__xludf.DUMMYFUNCTION("GOOGLETRANSLATE(A110, ""it"", ""en"")"),"109")</f>
        <v>109</v>
      </c>
      <c r="G110" s="3" t="str">
        <f>IFERROR(__xludf.DUMMYFUNCTION("GOOGLETRANSLATE(B110, ""it"", ""en"")"),"A player throws the cheese, but it doesn't cross the starting line. What happens?")</f>
        <v>A player throws the cheese, but it doesn't cross the starting line. What happens?</v>
      </c>
      <c r="H110" s="3" t="str">
        <f>IFERROR(__xludf.DUMMYFUNCTION("GOOGLETRANSLATE(C110, ""it"", ""en"")"),"A. The shot is cancelled B. The shot is retaken C. The player loses his turn D. The judge issues a penalty")</f>
        <v>A. The shot is cancelled B. The shot is retaken C. The player loses his turn D. The judge issues a penalty</v>
      </c>
      <c r="I110" s="3" t="str">
        <f>IFERROR(__xludf.DUMMYFUNCTION("GOOGLETRANSLATE(D110, ""it"", ""en"")"),"The shot is disallowed")</f>
        <v>The shot is disallowed</v>
      </c>
      <c r="J110" s="2"/>
      <c r="K110" s="2"/>
      <c r="L110" s="2"/>
      <c r="M110" s="2"/>
      <c r="N110" s="2"/>
      <c r="O110" s="2"/>
      <c r="P110" s="2"/>
      <c r="Q110" s="2"/>
      <c r="R110" s="2"/>
      <c r="S110" s="2"/>
      <c r="T110" s="2"/>
      <c r="U110" s="2"/>
      <c r="V110" s="2"/>
    </row>
    <row r="111" ht="22.5" customHeight="1">
      <c r="A111" s="3">
        <v>110.0</v>
      </c>
      <c r="B111" s="3" t="s">
        <v>739</v>
      </c>
      <c r="C111" s="3" t="s">
        <v>740</v>
      </c>
      <c r="D111" s="3" t="s">
        <v>517</v>
      </c>
      <c r="E111" s="2"/>
      <c r="F111" s="3" t="str">
        <f>IFERROR(__xludf.DUMMYFUNCTION("GOOGLETRANSLATE(A111, ""it"", ""en"")"),"110")</f>
        <v>110</v>
      </c>
      <c r="G111" s="3" t="str">
        <f>IFERROR(__xludf.DUMMYFUNCTION("GOOGLETRANSLATE(B111, ""it"", ""en"")"),"The cheese falls into a hole along the way. What happens?")</f>
        <v>The cheese falls into a hole along the way. What happens?</v>
      </c>
      <c r="H111" s="3" t="str">
        <f>IFERROR(__xludf.DUMMYFUNCTION("GOOGLETRANSLATE(C111, ""it"", ""en"")"),"A. The throw is valid B. The throw is cancelled C. The cheese is recovered and thrown again D. The judge assigns a penalty")</f>
        <v>A. The throw is valid B. The throw is cancelled C. The cheese is recovered and thrown again D. The judge assigns a penalty</v>
      </c>
      <c r="I111" s="3" t="str">
        <f>IFERROR(__xludf.DUMMYFUNCTION("GOOGLETRANSLATE(D111, ""it"", ""en"")"),"The shot is disallowed")</f>
        <v>The shot is disallowed</v>
      </c>
      <c r="J111" s="2"/>
      <c r="K111" s="2"/>
      <c r="L111" s="2"/>
      <c r="M111" s="2"/>
      <c r="N111" s="2"/>
      <c r="O111" s="2"/>
      <c r="P111" s="2"/>
      <c r="Q111" s="2"/>
      <c r="R111" s="2"/>
      <c r="S111" s="2"/>
      <c r="T111" s="2"/>
      <c r="U111" s="2"/>
      <c r="V111" s="2"/>
    </row>
    <row r="112" ht="22.5" customHeight="1">
      <c r="A112" s="3">
        <v>111.0</v>
      </c>
      <c r="B112" s="3" t="s">
        <v>741</v>
      </c>
      <c r="C112" s="3" t="s">
        <v>742</v>
      </c>
      <c r="D112" s="3" t="s">
        <v>494</v>
      </c>
      <c r="E112" s="2"/>
      <c r="F112" s="3" t="str">
        <f>IFERROR(__xludf.DUMMYFUNCTION("GOOGLETRANSLATE(A112, ""it"", ""en"")"),"111")</f>
        <v>111</v>
      </c>
      <c r="G112" s="3" t="str">
        <f>IFERROR(__xludf.DUMMYFUNCTION("GOOGLETRANSLATE(B112, ""it"", ""en"")"),"What happens if the cheese touches the edge of the path and bounces back inside?")</f>
        <v>What happens if the cheese touches the edge of the path and bounces back inside?</v>
      </c>
      <c r="H112" s="3" t="str">
        <f>IFERROR(__xludf.DUMMYFUNCTION("GOOGLETRANSLATE(C112, ""it"", ""en"")"),"A. The shot is valid B. The shot is cancelled C. The shot is retaken D. The point is awarded")</f>
        <v>A. The shot is valid B. The shot is cancelled C. The shot is retaken D. The point is awarded</v>
      </c>
      <c r="I112" s="3" t="str">
        <f>IFERROR(__xludf.DUMMYFUNCTION("GOOGLETRANSLATE(D112, ""it"", ""en"")"),"The shot is valid")</f>
        <v>The shot is valid</v>
      </c>
      <c r="J112" s="2"/>
      <c r="K112" s="2"/>
      <c r="L112" s="2"/>
      <c r="M112" s="2"/>
      <c r="N112" s="2"/>
      <c r="O112" s="2"/>
      <c r="P112" s="2"/>
      <c r="Q112" s="2"/>
      <c r="R112" s="2"/>
      <c r="S112" s="2"/>
      <c r="T112" s="2"/>
      <c r="U112" s="2"/>
      <c r="V112" s="2"/>
    </row>
    <row r="113" ht="22.5" customHeight="1">
      <c r="A113" s="3">
        <v>112.0</v>
      </c>
      <c r="B113" s="3" t="s">
        <v>743</v>
      </c>
      <c r="C113" s="3" t="s">
        <v>744</v>
      </c>
      <c r="D113" s="3" t="s">
        <v>511</v>
      </c>
      <c r="E113" s="2"/>
      <c r="F113" s="3" t="str">
        <f>IFERROR(__xludf.DUMMYFUNCTION("GOOGLETRANSLATE(A113, ""it"", ""en"")"),"112")</f>
        <v>112</v>
      </c>
      <c r="G113" s="3" t="str">
        <f>IFERROR(__xludf.DUMMYFUNCTION("GOOGLETRANSLATE(B113, ""it"", ""en"")"),"A player argues with the judge during a decision. What happens?")</f>
        <v>A player argues with the judge during a decision. What happens?</v>
      </c>
      <c r="H113" s="3" t="str">
        <f>IFERROR(__xludf.DUMMYFUNCTION("GOOGLETRANSLATE(C113, ""it"", ""en"")"),"A. The judge issues a penalty B. The player is disqualified C. The shot is disallowed D. Nothing happens")</f>
        <v>A. The judge issues a penalty B. The player is disqualified C. The shot is disallowed D. Nothing happens</v>
      </c>
      <c r="I113" s="3" t="str">
        <f>IFERROR(__xludf.DUMMYFUNCTION("GOOGLETRANSLATE(D113, ""it"", ""en"")"),"The judge awards a penalty")</f>
        <v>The judge awards a penalty</v>
      </c>
      <c r="J113" s="2"/>
      <c r="K113" s="2"/>
      <c r="L113" s="2"/>
      <c r="M113" s="2"/>
      <c r="N113" s="2"/>
      <c r="O113" s="2"/>
      <c r="P113" s="2"/>
      <c r="Q113" s="2"/>
      <c r="R113" s="2"/>
      <c r="S113" s="2"/>
      <c r="T113" s="2"/>
      <c r="U113" s="2"/>
      <c r="V113" s="2"/>
    </row>
    <row r="114" ht="22.5" customHeight="1">
      <c r="A114" s="3">
        <v>113.0</v>
      </c>
      <c r="B114" s="3" t="s">
        <v>745</v>
      </c>
      <c r="C114" s="3" t="s">
        <v>746</v>
      </c>
      <c r="D114" s="3" t="s">
        <v>616</v>
      </c>
      <c r="E114" s="2"/>
      <c r="F114" s="3" t="str">
        <f>IFERROR(__xludf.DUMMYFUNCTION("GOOGLETRANSLATE(A114, ""it"", ""en"")"),"113")</f>
        <v>113</v>
      </c>
      <c r="G114" s="3" t="str">
        <f>IFERROR(__xludf.DUMMYFUNCTION("GOOGLETRANSLATE(B114, ""it"", ""en"")"),"The cheese crosses the finish line and hits an object outside the field. What happens?")</f>
        <v>The cheese crosses the finish line and hits an object outside the field. What happens?</v>
      </c>
      <c r="H114" s="3" t="str">
        <f>IFERROR(__xludf.DUMMYFUNCTION("GOOGLETRANSLATE(C114, ""it"", ""en"")"),"A. The point is awarded B. The shot is retaken C. The shot is valid D. The judge awards a penalty")</f>
        <v>A. The point is awarded B. The shot is retaken C. The shot is valid D. The judge awards a penalty</v>
      </c>
      <c r="I114" s="3" t="str">
        <f>IFERROR(__xludf.DUMMYFUNCTION("GOOGLETRANSLATE(D114, ""it"", ""en"")"),"The point is awarded")</f>
        <v>The point is awarded</v>
      </c>
      <c r="J114" s="2"/>
      <c r="K114" s="2"/>
      <c r="L114" s="2"/>
      <c r="M114" s="2"/>
      <c r="N114" s="2"/>
      <c r="O114" s="2"/>
      <c r="P114" s="2"/>
      <c r="Q114" s="2"/>
      <c r="R114" s="2"/>
      <c r="S114" s="2"/>
      <c r="T114" s="2"/>
      <c r="U114" s="2"/>
      <c r="V114" s="2"/>
    </row>
    <row r="115" ht="22.5" customHeight="1">
      <c r="A115" s="3">
        <v>114.0</v>
      </c>
      <c r="B115" s="3" t="s">
        <v>747</v>
      </c>
      <c r="C115" s="3" t="s">
        <v>748</v>
      </c>
      <c r="D115" s="3" t="s">
        <v>749</v>
      </c>
      <c r="E115" s="2"/>
      <c r="F115" s="3" t="str">
        <f>IFERROR(__xludf.DUMMYFUNCTION("GOOGLETRANSLATE(A115, ""it"", ""en"")"),"114")</f>
        <v>114</v>
      </c>
      <c r="G115" s="3" t="str">
        <f>IFERROR(__xludf.DUMMYFUNCTION("GOOGLETRANSLATE(B115, ""it"", ""en"")"),"A player attempts to use a cheese that weighs more than the regulation weight. What happens?")</f>
        <v>A player attempts to use a cheese that weighs more than the regulation weight. What happens?</v>
      </c>
      <c r="H115" s="3" t="str">
        <f>IFERROR(__xludf.DUMMYFUNCTION("GOOGLETRANSLATE(C115, ""it"", ""en"")"),"A. The cheese is rejected B. The shot is valid C. The judge awards a penalty D. The player is ejected")</f>
        <v>A. The cheese is rejected B. The shot is valid C. The judge awards a penalty D. The player is ejected</v>
      </c>
      <c r="I115" s="3" t="str">
        <f>IFERROR(__xludf.DUMMYFUNCTION("GOOGLETRANSLATE(D115, ""it"", ""en"")"),"The cheese is rejected")</f>
        <v>The cheese is rejected</v>
      </c>
      <c r="J115" s="2"/>
      <c r="K115" s="2"/>
      <c r="L115" s="2"/>
      <c r="M115" s="2"/>
      <c r="N115" s="2"/>
      <c r="O115" s="2"/>
      <c r="P115" s="2"/>
      <c r="Q115" s="2"/>
      <c r="R115" s="2"/>
      <c r="S115" s="2"/>
      <c r="T115" s="2"/>
      <c r="U115" s="2"/>
      <c r="V115" s="2"/>
    </row>
    <row r="116" ht="22.5" customHeight="1">
      <c r="A116" s="3">
        <v>115.0</v>
      </c>
      <c r="B116" s="3" t="s">
        <v>750</v>
      </c>
      <c r="C116" s="3" t="s">
        <v>751</v>
      </c>
      <c r="D116" s="3" t="s">
        <v>500</v>
      </c>
      <c r="E116" s="2"/>
      <c r="F116" s="3" t="str">
        <f>IFERROR(__xludf.DUMMYFUNCTION("GOOGLETRANSLATE(A116, ""it"", ""en"")"),"115")</f>
        <v>115</v>
      </c>
      <c r="G116" s="3" t="str">
        <f>IFERROR(__xludf.DUMMYFUNCTION("GOOGLETRANSLATE(B116, ""it"", ""en"")"),"What happens if the ribbon breaks during the throw?")</f>
        <v>What happens if the ribbon breaks during the throw?</v>
      </c>
      <c r="H116" s="3" t="str">
        <f>IFERROR(__xludf.DUMMYFUNCTION("GOOGLETRANSLATE(C116, ""it"", ""en"")"),"A. The shot is retaken B. The shot is valid C. The player loses his turn D. The judge issues a penalty")</f>
        <v>A. The shot is retaken B. The shot is valid C. The player loses his turn D. The judge issues a penalty</v>
      </c>
      <c r="I116" s="3" t="str">
        <f>IFERROR(__xludf.DUMMYFUNCTION("GOOGLETRANSLATE(D116, ""it"", ""en"")"),"The shot is repeated")</f>
        <v>The shot is repeated</v>
      </c>
      <c r="J116" s="2"/>
      <c r="K116" s="2"/>
      <c r="L116" s="2"/>
      <c r="M116" s="2"/>
      <c r="N116" s="2"/>
      <c r="O116" s="2"/>
      <c r="P116" s="2"/>
      <c r="Q116" s="2"/>
      <c r="R116" s="2"/>
      <c r="S116" s="2"/>
      <c r="T116" s="2"/>
      <c r="U116" s="2"/>
      <c r="V116" s="2"/>
    </row>
    <row r="117" ht="22.5" customHeight="1">
      <c r="A117" s="3">
        <v>116.0</v>
      </c>
      <c r="B117" s="3" t="s">
        <v>752</v>
      </c>
      <c r="C117" s="3" t="s">
        <v>753</v>
      </c>
      <c r="D117" s="3" t="s">
        <v>500</v>
      </c>
      <c r="E117" s="2"/>
      <c r="F117" s="3" t="str">
        <f>IFERROR(__xludf.DUMMYFUNCTION("GOOGLETRANSLATE(A117, ""it"", ""en"")"),"116")</f>
        <v>116</v>
      </c>
      <c r="G117" s="3" t="str">
        <f>IFERROR(__xludf.DUMMYFUNCTION("GOOGLETRANSLATE(B117, ""it"", ""en"")"),"A player throws cheese while the judge isn't present. What happens?")</f>
        <v>A player throws cheese while the judge isn't present. What happens?</v>
      </c>
      <c r="H117" s="3" t="str">
        <f>IFERROR(__xludf.DUMMYFUNCTION("GOOGLETRANSLATE(C117, ""it"", ""en"")"),"A. The shot is retaken B. The shot is valid C. The player is penalized D. The game is suspended")</f>
        <v>A. The shot is retaken B. The shot is valid C. The player is penalized D. The game is suspended</v>
      </c>
      <c r="I117" s="3" t="str">
        <f>IFERROR(__xludf.DUMMYFUNCTION("GOOGLETRANSLATE(D117, ""it"", ""en"")"),"The shot is repeated")</f>
        <v>The shot is repeated</v>
      </c>
      <c r="J117" s="2"/>
      <c r="K117" s="2"/>
      <c r="L117" s="2"/>
      <c r="M117" s="2"/>
      <c r="N117" s="2"/>
      <c r="O117" s="2"/>
      <c r="P117" s="2"/>
      <c r="Q117" s="2"/>
      <c r="R117" s="2"/>
      <c r="S117" s="2"/>
      <c r="T117" s="2"/>
      <c r="U117" s="2"/>
      <c r="V117" s="2"/>
    </row>
    <row r="118" ht="22.5" customHeight="1">
      <c r="A118" s="3">
        <v>117.0</v>
      </c>
      <c r="B118" s="3" t="s">
        <v>754</v>
      </c>
      <c r="C118" s="3" t="s">
        <v>755</v>
      </c>
      <c r="D118" s="3" t="s">
        <v>494</v>
      </c>
      <c r="E118" s="2"/>
      <c r="F118" s="3" t="str">
        <f>IFERROR(__xludf.DUMMYFUNCTION("GOOGLETRANSLATE(A118, ""it"", ""en"")"),"117")</f>
        <v>117</v>
      </c>
      <c r="G118" s="3" t="str">
        <f>IFERROR(__xludf.DUMMYFUNCTION("GOOGLETRANSLATE(B118, ""it"", ""en"")"),"The cheese stops a few inches from the finish line. What happens?")</f>
        <v>The cheese stops a few inches from the finish line. What happens?</v>
      </c>
      <c r="H118" s="3" t="str">
        <f>IFERROR(__xludf.DUMMYFUNCTION("GOOGLETRANSLATE(C118, ""it"", ""en"")"),"A. The shot is valid B. The point is not awarded C. The shot is cancelled D. The judge awards a penalty")</f>
        <v>A. The shot is valid B. The point is not awarded C. The shot is cancelled D. The judge awards a penalty</v>
      </c>
      <c r="I118" s="3" t="str">
        <f>IFERROR(__xludf.DUMMYFUNCTION("GOOGLETRANSLATE(D118, ""it"", ""en"")"),"The shot is valid")</f>
        <v>The shot is valid</v>
      </c>
      <c r="J118" s="2"/>
      <c r="K118" s="2"/>
      <c r="L118" s="2"/>
      <c r="M118" s="2"/>
      <c r="N118" s="2"/>
      <c r="O118" s="2"/>
      <c r="P118" s="2"/>
      <c r="Q118" s="2"/>
      <c r="R118" s="2"/>
      <c r="S118" s="2"/>
      <c r="T118" s="2"/>
      <c r="U118" s="2"/>
      <c r="V118" s="2"/>
    </row>
    <row r="119" ht="22.5" customHeight="1">
      <c r="A119" s="3">
        <v>118.0</v>
      </c>
      <c r="B119" s="3" t="s">
        <v>756</v>
      </c>
      <c r="C119" s="3" t="s">
        <v>757</v>
      </c>
      <c r="D119" s="3" t="s">
        <v>511</v>
      </c>
      <c r="E119" s="2"/>
      <c r="F119" s="3" t="str">
        <f>IFERROR(__xludf.DUMMYFUNCTION("GOOGLETRANSLATE(A119, ""it"", ""en"")"),"118")</f>
        <v>118</v>
      </c>
      <c r="G119" s="3" t="str">
        <f>IFERROR(__xludf.DUMMYFUNCTION("GOOGLETRANSLATE(B119, ""it"", ""en"")"),"A player refuses to follow the turn order. What happens?")</f>
        <v>A player refuses to follow the turn order. What happens?</v>
      </c>
      <c r="H119" s="3" t="str">
        <f>IFERROR(__xludf.DUMMYFUNCTION("GOOGLETRANSLATE(C119, ""it"", ""en"")"),"A. The turn is skipped B. The judge issues a penalty C. The player is ejected D. The game is suspended")</f>
        <v>A. The turn is skipped B. The judge issues a penalty C. The player is ejected D. The game is suspended</v>
      </c>
      <c r="I119" s="3" t="str">
        <f>IFERROR(__xludf.DUMMYFUNCTION("GOOGLETRANSLATE(D119, ""it"", ""en"")"),"The judge awards a penalty")</f>
        <v>The judge awards a penalty</v>
      </c>
      <c r="J119" s="2"/>
      <c r="K119" s="2"/>
      <c r="L119" s="2"/>
      <c r="M119" s="2"/>
      <c r="N119" s="2"/>
      <c r="O119" s="2"/>
      <c r="P119" s="2"/>
      <c r="Q119" s="2"/>
      <c r="R119" s="2"/>
      <c r="S119" s="2"/>
      <c r="T119" s="2"/>
      <c r="U119" s="2"/>
      <c r="V119" s="2"/>
    </row>
    <row r="120" ht="22.5" customHeight="1">
      <c r="A120" s="3">
        <v>119.0</v>
      </c>
      <c r="B120" s="3" t="s">
        <v>758</v>
      </c>
      <c r="C120" s="3" t="s">
        <v>704</v>
      </c>
      <c r="D120" s="3" t="s">
        <v>616</v>
      </c>
      <c r="E120" s="2"/>
      <c r="F120" s="3" t="str">
        <f>IFERROR(__xludf.DUMMYFUNCTION("GOOGLETRANSLATE(A120, ""it"", ""en"")"),"119")</f>
        <v>119</v>
      </c>
      <c r="G120" s="3" t="str">
        <f>IFERROR(__xludf.DUMMYFUNCTION("GOOGLETRANSLATE(B120, ""it"", ""en"")"),"What happens if the cheese rolls backward across the finish line?")</f>
        <v>What happens if the cheese rolls backward across the finish line?</v>
      </c>
      <c r="H120" s="3" t="str">
        <f>IFERROR(__xludf.DUMMYFUNCTION("GOOGLETRANSLATE(C120, ""it"", ""en"")"),"A. The shot is valid B. The shot is cancelled C. The point is awarded D. The judge awards a penalty")</f>
        <v>A. The shot is valid B. The shot is cancelled C. The point is awarded D. The judge awards a penalty</v>
      </c>
      <c r="I120" s="3" t="str">
        <f>IFERROR(__xludf.DUMMYFUNCTION("GOOGLETRANSLATE(D120, ""it"", ""en"")"),"The point is awarded")</f>
        <v>The point is awarded</v>
      </c>
      <c r="J120" s="2"/>
      <c r="K120" s="2"/>
      <c r="L120" s="2"/>
      <c r="M120" s="2"/>
      <c r="N120" s="2"/>
      <c r="O120" s="2"/>
      <c r="P120" s="2"/>
      <c r="Q120" s="2"/>
      <c r="R120" s="2"/>
      <c r="S120" s="2"/>
      <c r="T120" s="2"/>
      <c r="U120" s="2"/>
      <c r="V120" s="2"/>
    </row>
    <row r="121" ht="22.5" customHeight="1">
      <c r="A121" s="3">
        <v>120.0</v>
      </c>
      <c r="B121" s="3" t="s">
        <v>759</v>
      </c>
      <c r="C121" s="3" t="s">
        <v>760</v>
      </c>
      <c r="D121" s="3" t="s">
        <v>761</v>
      </c>
      <c r="E121" s="2"/>
      <c r="F121" s="3" t="str">
        <f>IFERROR(__xludf.DUMMYFUNCTION("GOOGLETRANSLATE(A121, ""it"", ""en"")"),"120")</f>
        <v>120</v>
      </c>
      <c r="G121" s="3" t="str">
        <f>IFERROR(__xludf.DUMMYFUNCTION("GOOGLETRANSLATE(B121, ""it"", ""en"")"),"A player throws cheese and hits a parked car. What happens?")</f>
        <v>A player throws cheese and hits a parked car. What happens?</v>
      </c>
      <c r="H121" s="3" t="str">
        <f>IFERROR(__xludf.DUMMYFUNCTION("GOOGLETRANSLATE(C121, ""it"", ""en"")"),"A. The player is penalized B. The shot is valid C. The referee suspends the game D. The point is awarded")</f>
        <v>A. The player is penalized B. The shot is valid C. The referee suspends the game D. The point is awarded</v>
      </c>
      <c r="I121" s="3" t="str">
        <f>IFERROR(__xludf.DUMMYFUNCTION("GOOGLETRANSLATE(D121, ""it"", ""en"")"),"The player is penalized")</f>
        <v>The player is penalized</v>
      </c>
      <c r="J121" s="2"/>
      <c r="K121" s="2"/>
      <c r="L121" s="2"/>
      <c r="M121" s="2"/>
      <c r="N121" s="2"/>
      <c r="O121" s="2"/>
      <c r="P121" s="2"/>
      <c r="Q121" s="2"/>
      <c r="R121" s="2"/>
      <c r="S121" s="2"/>
      <c r="T121" s="2"/>
      <c r="U121" s="2"/>
      <c r="V121" s="2"/>
    </row>
    <row r="122" ht="22.5" customHeight="1">
      <c r="A122" s="3">
        <v>121.0</v>
      </c>
      <c r="B122" s="3" t="s">
        <v>762</v>
      </c>
      <c r="C122" s="3" t="s">
        <v>763</v>
      </c>
      <c r="D122" s="3" t="s">
        <v>616</v>
      </c>
      <c r="E122" s="2"/>
      <c r="F122" s="3" t="str">
        <f>IFERROR(__xludf.DUMMYFUNCTION("GOOGLETRANSLATE(A122, ""it"", ""en"")"),"121")</f>
        <v>121</v>
      </c>
      <c r="G122" s="3" t="str">
        <f>IFERROR(__xludf.DUMMYFUNCTION("GOOGLETRANSLATE(B122, ""it"", ""en"")"),"A player's cheese breaks but reaches the finish line. What happens?")</f>
        <v>A player's cheese breaks but reaches the finish line. What happens?</v>
      </c>
      <c r="H122" s="3" t="str">
        <f>IFERROR(__xludf.DUMMYFUNCTION("GOOGLETRANSLATE(C122, ""it"", ""en"")"),"A. The point is awarded B. The shot is cancelled C. The judge awards a penalty D. The shot is retaken")</f>
        <v>A. The point is awarded B. The shot is cancelled C. The judge awards a penalty D. The shot is retaken</v>
      </c>
      <c r="I122" s="3" t="str">
        <f>IFERROR(__xludf.DUMMYFUNCTION("GOOGLETRANSLATE(D122, ""it"", ""en"")"),"The point is awarded")</f>
        <v>The point is awarded</v>
      </c>
      <c r="J122" s="2"/>
      <c r="K122" s="2"/>
      <c r="L122" s="2"/>
      <c r="M122" s="2"/>
      <c r="N122" s="2"/>
      <c r="O122" s="2"/>
      <c r="P122" s="2"/>
      <c r="Q122" s="2"/>
      <c r="R122" s="2"/>
      <c r="S122" s="2"/>
      <c r="T122" s="2"/>
      <c r="U122" s="2"/>
      <c r="V122" s="2"/>
    </row>
    <row r="123" ht="22.5" customHeight="1">
      <c r="A123" s="3">
        <v>122.0</v>
      </c>
      <c r="B123" s="3" t="s">
        <v>764</v>
      </c>
      <c r="C123" s="3" t="s">
        <v>765</v>
      </c>
      <c r="D123" s="3" t="s">
        <v>766</v>
      </c>
      <c r="E123" s="2"/>
      <c r="F123" s="3" t="str">
        <f>IFERROR(__xludf.DUMMYFUNCTION("GOOGLETRANSLATE(A123, ""it"", ""en"")"),"122")</f>
        <v>122</v>
      </c>
      <c r="G123" s="3" t="str">
        <f>IFERROR(__xludf.DUMMYFUNCTION("GOOGLETRANSLATE(B123, ""it"", ""en"")"),"A judge decides to change the course midway through the game. What happens?")</f>
        <v>A judge decides to change the course midway through the game. What happens?</v>
      </c>
      <c r="H123" s="3" t="str">
        <f>IFERROR(__xludf.DUMMYFUNCTION("GOOGLETRANSLATE(C123, ""it"", ""en"")"),"A. The decision is valid B. The match is suspended C. The decision is contested D. The course cannot be changed")</f>
        <v>A. The decision is valid B. The match is suspended C. The decision is contested D. The course cannot be changed</v>
      </c>
      <c r="I123" s="3" t="str">
        <f>IFERROR(__xludf.DUMMYFUNCTION("GOOGLETRANSLATE(D123, ""it"", ""en"")"),"The decision is valid")</f>
        <v>The decision is valid</v>
      </c>
      <c r="J123" s="2"/>
      <c r="K123" s="2"/>
      <c r="L123" s="2"/>
      <c r="M123" s="2"/>
      <c r="N123" s="2"/>
      <c r="O123" s="2"/>
      <c r="P123" s="2"/>
      <c r="Q123" s="2"/>
      <c r="R123" s="2"/>
      <c r="S123" s="2"/>
      <c r="T123" s="2"/>
      <c r="U123" s="2"/>
      <c r="V123" s="2"/>
    </row>
    <row r="124" ht="22.5" customHeight="1">
      <c r="A124" s="3">
        <v>123.0</v>
      </c>
      <c r="B124" s="3" t="s">
        <v>767</v>
      </c>
      <c r="C124" s="3" t="s">
        <v>768</v>
      </c>
      <c r="D124" s="3" t="s">
        <v>511</v>
      </c>
      <c r="E124" s="2"/>
      <c r="F124" s="3" t="str">
        <f>IFERROR(__xludf.DUMMYFUNCTION("GOOGLETRANSLATE(A124, ""it"", ""en"")"),"123")</f>
        <v>123</v>
      </c>
      <c r="G124" s="3" t="str">
        <f>IFERROR(__xludf.DUMMYFUNCTION("GOOGLETRANSLATE(B124, ""it"", ""en"")"),"A player uses a throwing technique prohibited by the rules. What happens?")</f>
        <v>A player uses a throwing technique prohibited by the rules. What happens?</v>
      </c>
      <c r="H124" s="3" t="str">
        <f>IFERROR(__xludf.DUMMYFUNCTION("GOOGLETRANSLATE(C124, ""it"", ""en"")"),"A. The judge awards a penalty B. The shot is valid C. The shot is retaken D. The player is warned")</f>
        <v>A. The judge awards a penalty B. The shot is valid C. The shot is retaken D. The player is warned</v>
      </c>
      <c r="I124" s="3" t="str">
        <f>IFERROR(__xludf.DUMMYFUNCTION("GOOGLETRANSLATE(D124, ""it"", ""en"")"),"The judge awards a penalty")</f>
        <v>The judge awards a penalty</v>
      </c>
      <c r="J124" s="2"/>
      <c r="K124" s="2"/>
      <c r="L124" s="2"/>
      <c r="M124" s="2"/>
      <c r="N124" s="2"/>
      <c r="O124" s="2"/>
      <c r="P124" s="2"/>
      <c r="Q124" s="2"/>
      <c r="R124" s="2"/>
      <c r="S124" s="2"/>
      <c r="T124" s="2"/>
      <c r="U124" s="2"/>
      <c r="V124" s="2"/>
    </row>
    <row r="125" ht="22.5" customHeight="1">
      <c r="A125" s="3">
        <v>124.0</v>
      </c>
      <c r="B125" s="3" t="s">
        <v>769</v>
      </c>
      <c r="C125" s="3" t="s">
        <v>516</v>
      </c>
      <c r="D125" s="3" t="s">
        <v>517</v>
      </c>
      <c r="E125" s="2"/>
      <c r="F125" s="3" t="str">
        <f>IFERROR(__xludf.DUMMYFUNCTION("GOOGLETRANSLATE(A125, ""it"", ""en"")"),"124")</f>
        <v>124</v>
      </c>
      <c r="G125" s="3" t="str">
        <f>IFERROR(__xludf.DUMMYFUNCTION("GOOGLETRANSLATE(B125, ""it"", ""en"")"),"A player's cheese rolls off the field after he throws it. What happens?")</f>
        <v>A player's cheese rolls off the field after he throws it. What happens?</v>
      </c>
      <c r="H125" s="3" t="str">
        <f>IFERROR(__xludf.DUMMYFUNCTION("GOOGLETRANSLATE(C125, ""it"", ""en"")"),"A. The shot is valid B. The shot is cancelled C. The player loses his turn D. The shot is retaken")</f>
        <v>A. The shot is valid B. The shot is cancelled C. The player loses his turn D. The shot is retaken</v>
      </c>
      <c r="I125" s="3" t="str">
        <f>IFERROR(__xludf.DUMMYFUNCTION("GOOGLETRANSLATE(D125, ""it"", ""en"")"),"The shot is disallowed")</f>
        <v>The shot is disallowed</v>
      </c>
      <c r="J125" s="2"/>
      <c r="K125" s="2"/>
      <c r="L125" s="2"/>
      <c r="M125" s="2"/>
      <c r="N125" s="2"/>
      <c r="O125" s="2"/>
      <c r="P125" s="2"/>
      <c r="Q125" s="2"/>
      <c r="R125" s="2"/>
      <c r="S125" s="2"/>
      <c r="T125" s="2"/>
      <c r="U125" s="2"/>
      <c r="V125" s="2"/>
    </row>
    <row r="126" ht="22.5" customHeight="1">
      <c r="A126" s="3">
        <v>125.0</v>
      </c>
      <c r="B126" s="3" t="s">
        <v>770</v>
      </c>
      <c r="C126" s="3" t="s">
        <v>771</v>
      </c>
      <c r="D126" s="3" t="s">
        <v>511</v>
      </c>
      <c r="E126" s="2"/>
      <c r="F126" s="3" t="str">
        <f>IFERROR(__xludf.DUMMYFUNCTION("GOOGLETRANSLATE(A126, ""it"", ""en"")"),"125")</f>
        <v>125</v>
      </c>
      <c r="G126" s="3" t="str">
        <f>IFERROR(__xludf.DUMMYFUNCTION("GOOGLETRANSLATE(B126, ""it"", ""en"")"),"A player tries to throw the cheese from a different location than the one marked. What happens?")</f>
        <v>A player tries to throw the cheese from a different location than the one marked. What happens?</v>
      </c>
      <c r="H126" s="3" t="str">
        <f>IFERROR(__xludf.DUMMYFUNCTION("GOOGLETRANSLATE(C126, ""it"", ""en"")"),"A. The judge issues a penalty B. The shot is retaken C. The shot is valid D. The player loses his turn")</f>
        <v>A. The judge issues a penalty B. The shot is retaken C. The shot is valid D. The player loses his turn</v>
      </c>
      <c r="I126" s="3" t="str">
        <f>IFERROR(__xludf.DUMMYFUNCTION("GOOGLETRANSLATE(D126, ""it"", ""en"")"),"The judge awards a penalty")</f>
        <v>The judge awards a penalty</v>
      </c>
      <c r="J126" s="2"/>
      <c r="K126" s="2"/>
      <c r="L126" s="2"/>
      <c r="M126" s="2"/>
      <c r="N126" s="2"/>
      <c r="O126" s="2"/>
      <c r="P126" s="2"/>
      <c r="Q126" s="2"/>
      <c r="R126" s="2"/>
      <c r="S126" s="2"/>
      <c r="T126" s="2"/>
      <c r="U126" s="2"/>
      <c r="V126" s="2"/>
    </row>
    <row r="127" ht="22.5" customHeight="1">
      <c r="A127" s="3">
        <v>126.0</v>
      </c>
      <c r="B127" s="3" t="s">
        <v>772</v>
      </c>
      <c r="C127" s="3" t="s">
        <v>773</v>
      </c>
      <c r="D127" s="3" t="s">
        <v>774</v>
      </c>
      <c r="E127" s="2"/>
      <c r="F127" s="3" t="str">
        <f>IFERROR(__xludf.DUMMYFUNCTION("GOOGLETRANSLATE(A127, ""it"", ""en"")"),"126")</f>
        <v>126</v>
      </c>
      <c r="G127" s="3" t="str">
        <f>IFERROR(__xludf.DUMMYFUNCTION("GOOGLETRANSLATE(B127, ""it"", ""en"")"),"What happens if two players throw cheese at the same time?")</f>
        <v>What happens if two players throw cheese at the same time?</v>
      </c>
      <c r="H127" s="3" t="str">
        <f>IFERROR(__xludf.DUMMYFUNCTION("GOOGLETRANSLATE(C127, ""it"", ""en"")"),"A. Both shots are cancelled B. The judge awards one point to each C. The round is repeated D. The game is suspended")</f>
        <v>A. Both shots are cancelled B. The judge awards one point to each C. The round is repeated D. The game is suspended</v>
      </c>
      <c r="I127" s="3" t="str">
        <f>IFERROR(__xludf.DUMMYFUNCTION("GOOGLETRANSLATE(D127, ""it"", ""en"")"),"Both shots are cancelled")</f>
        <v>Both shots are cancelled</v>
      </c>
      <c r="J127" s="2"/>
      <c r="K127" s="2"/>
      <c r="L127" s="2"/>
      <c r="M127" s="2"/>
      <c r="N127" s="2"/>
      <c r="O127" s="2"/>
      <c r="P127" s="2"/>
      <c r="Q127" s="2"/>
      <c r="R127" s="2"/>
      <c r="S127" s="2"/>
      <c r="T127" s="2"/>
      <c r="U127" s="2"/>
      <c r="V127" s="2"/>
    </row>
    <row r="128" ht="22.5" customHeight="1">
      <c r="A128" s="3">
        <v>127.0</v>
      </c>
      <c r="B128" s="3" t="s">
        <v>775</v>
      </c>
      <c r="C128" s="3" t="s">
        <v>776</v>
      </c>
      <c r="D128" s="3" t="s">
        <v>598</v>
      </c>
      <c r="E128" s="2"/>
      <c r="F128" s="3" t="str">
        <f>IFERROR(__xludf.DUMMYFUNCTION("GOOGLETRANSLATE(A128, ""it"", ""en"")"),"127")</f>
        <v>127</v>
      </c>
      <c r="G128" s="3" t="str">
        <f>IFERROR(__xludf.DUMMYFUNCTION("GOOGLETRANSLATE(B128, ""it"", ""en"")"),"A player uses an unregulated cheese. What happens?")</f>
        <v>A player uses an unregulated cheese. What happens?</v>
      </c>
      <c r="H128" s="3" t="str">
        <f>IFERROR(__xludf.DUMMYFUNCTION("GOOGLETRANSLATE(C128, ""it"", ""en"")"),"A. The shot is cancelled B. The cheese is replaced C. The judge awards a penalty D. The player loses the turn")</f>
        <v>A. The shot is cancelled B. The cheese is replaced C. The judge awards a penalty D. The player loses the turn</v>
      </c>
      <c r="I128" s="3" t="str">
        <f>IFERROR(__xludf.DUMMYFUNCTION("GOOGLETRANSLATE(D128, ""it"", ""en"")"),"The cheese is replaced")</f>
        <v>The cheese is replaced</v>
      </c>
      <c r="J128" s="2"/>
      <c r="K128" s="2"/>
      <c r="L128" s="2"/>
      <c r="M128" s="2"/>
      <c r="N128" s="2"/>
      <c r="O128" s="2"/>
      <c r="P128" s="2"/>
      <c r="Q128" s="2"/>
      <c r="R128" s="2"/>
      <c r="S128" s="2"/>
      <c r="T128" s="2"/>
      <c r="U128" s="2"/>
      <c r="V128" s="2"/>
    </row>
    <row r="129" ht="22.5" customHeight="1">
      <c r="A129" s="3">
        <v>128.0</v>
      </c>
      <c r="B129" s="3" t="s">
        <v>777</v>
      </c>
      <c r="C129" s="3" t="s">
        <v>778</v>
      </c>
      <c r="D129" s="3" t="s">
        <v>616</v>
      </c>
      <c r="E129" s="2"/>
      <c r="F129" s="3" t="str">
        <f>IFERROR(__xludf.DUMMYFUNCTION("GOOGLETRANSLATE(A129, ""it"", ""en"")"),"128")</f>
        <v>128</v>
      </c>
      <c r="G129" s="3" t="str">
        <f>IFERROR(__xludf.DUMMYFUNCTION("GOOGLETRANSLATE(B129, ""it"", ""en"")"),"The cheese stops exactly at the finish line. What happens?")</f>
        <v>The cheese stops exactly at the finish line. What happens?</v>
      </c>
      <c r="H129" s="3" t="str">
        <f>IFERROR(__xludf.DUMMYFUNCTION("GOOGLETRANSLATE(C129, ""it"", ""en"")"),"A. The point is awarded B. The shot is cancelled C. The judge awards a penalty D. The shot is valid")</f>
        <v>A. The point is awarded B. The shot is cancelled C. The judge awards a penalty D. The shot is valid</v>
      </c>
      <c r="I129" s="3" t="str">
        <f>IFERROR(__xludf.DUMMYFUNCTION("GOOGLETRANSLATE(D129, ""it"", ""en"")"),"The point is awarded")</f>
        <v>The point is awarded</v>
      </c>
      <c r="J129" s="2"/>
      <c r="K129" s="2"/>
      <c r="L129" s="2"/>
      <c r="M129" s="2"/>
      <c r="N129" s="2"/>
      <c r="O129" s="2"/>
      <c r="P129" s="2"/>
      <c r="Q129" s="2"/>
      <c r="R129" s="2"/>
      <c r="S129" s="2"/>
      <c r="T129" s="2"/>
      <c r="U129" s="2"/>
      <c r="V129" s="2"/>
    </row>
    <row r="130" ht="22.5" customHeight="1">
      <c r="A130" s="3">
        <v>129.0</v>
      </c>
      <c r="B130" s="3" t="s">
        <v>779</v>
      </c>
      <c r="C130" s="3" t="s">
        <v>632</v>
      </c>
      <c r="D130" s="3" t="s">
        <v>494</v>
      </c>
      <c r="E130" s="2"/>
      <c r="F130" s="3" t="str">
        <f>IFERROR(__xludf.DUMMYFUNCTION("GOOGLETRANSLATE(A130, ""it"", ""en"")"),"129")</f>
        <v>129</v>
      </c>
      <c r="G130" s="3" t="str">
        <f>IFERROR(__xludf.DUMMYFUNCTION("GOOGLETRANSLATE(B130, ""it"", ""en"")"),"A player falls while throwing cheese. What happens?")</f>
        <v>A player falls while throwing cheese. What happens?</v>
      </c>
      <c r="H130" s="3" t="str">
        <f>IFERROR(__xludf.DUMMYFUNCTION("GOOGLETRANSLATE(C130, ""it"", ""en"")"),"A. The shot is valid B. The shot is retaken C. The player loses his turn D. The judge issues a penalty")</f>
        <v>A. The shot is valid B. The shot is retaken C. The player loses his turn D. The judge issues a penalty</v>
      </c>
      <c r="I130" s="3" t="str">
        <f>IFERROR(__xludf.DUMMYFUNCTION("GOOGLETRANSLATE(D130, ""it"", ""en"")"),"The shot is valid")</f>
        <v>The shot is valid</v>
      </c>
      <c r="J130" s="2"/>
      <c r="K130" s="2"/>
      <c r="L130" s="2"/>
      <c r="M130" s="2"/>
      <c r="N130" s="2"/>
      <c r="O130" s="2"/>
      <c r="P130" s="2"/>
      <c r="Q130" s="2"/>
      <c r="R130" s="2"/>
      <c r="S130" s="2"/>
      <c r="T130" s="2"/>
      <c r="U130" s="2"/>
      <c r="V130" s="2"/>
    </row>
    <row r="131" ht="22.5" customHeight="1">
      <c r="A131" s="3">
        <v>130.0</v>
      </c>
      <c r="B131" s="3" t="s">
        <v>780</v>
      </c>
      <c r="C131" s="3" t="s">
        <v>781</v>
      </c>
      <c r="D131" s="3" t="s">
        <v>707</v>
      </c>
      <c r="E131" s="2"/>
      <c r="F131" s="3" t="str">
        <f>IFERROR(__xludf.DUMMYFUNCTION("GOOGLETRANSLATE(A131, ""it"", ""en"")"),"130")</f>
        <v>130</v>
      </c>
      <c r="G131" s="3" t="str">
        <f>IFERROR(__xludf.DUMMYFUNCTION("GOOGLETRANSLATE(B131, ""it"", ""en"")"),"What happens if a player attempts to influence the referee through inappropriate behavior?")</f>
        <v>What happens if a player attempts to influence the referee through inappropriate behavior?</v>
      </c>
      <c r="H131" s="3" t="str">
        <f>IFERROR(__xludf.DUMMYFUNCTION("GOOGLETRANSLATE(C131, ""it"", ""en"")"),"A. The player is cautioned B. The shot is disallowed C. The referee awards a penalty D. The player is expelled")</f>
        <v>A. The player is cautioned B. The shot is disallowed C. The referee awards a penalty D. The player is expelled</v>
      </c>
      <c r="I131" s="3" t="str">
        <f>IFERROR(__xludf.DUMMYFUNCTION("GOOGLETRANSLATE(D131, ""it"", ""en"")"),"The player is cautioned")</f>
        <v>The player is cautioned</v>
      </c>
      <c r="J131" s="2"/>
      <c r="K131" s="2"/>
      <c r="L131" s="2"/>
      <c r="M131" s="2"/>
      <c r="N131" s="2"/>
      <c r="O131" s="2"/>
      <c r="P131" s="2"/>
      <c r="Q131" s="2"/>
      <c r="R131" s="2"/>
      <c r="S131" s="2"/>
      <c r="T131" s="2"/>
      <c r="U131" s="2"/>
      <c r="V131" s="2"/>
    </row>
    <row r="132" ht="22.5" customHeight="1">
      <c r="A132" s="3">
        <v>131.0</v>
      </c>
      <c r="B132" s="3" t="s">
        <v>782</v>
      </c>
      <c r="C132" s="3" t="s">
        <v>783</v>
      </c>
      <c r="D132" s="3" t="s">
        <v>500</v>
      </c>
      <c r="E132" s="2"/>
      <c r="F132" s="3" t="str">
        <f>IFERROR(__xludf.DUMMYFUNCTION("GOOGLETRANSLATE(A132, ""it"", ""en"")"),"131")</f>
        <v>131</v>
      </c>
      <c r="G132" s="3" t="str">
        <f>IFERROR(__xludf.DUMMYFUNCTION("GOOGLETRANSLATE(B132, ""it"", ""en"")"),"One player's cheese gets pushed by another player along the path. What happens?")</f>
        <v>One player's cheese gets pushed by another player along the path. What happens?</v>
      </c>
      <c r="H132" s="3" t="str">
        <f>IFERROR(__xludf.DUMMYFUNCTION("GOOGLETRANSLATE(C132, ""it"", ""en"")"),"A. The shot is retaken B. The judge issues a penalty C. The shot is valid D. The player loses his turn")</f>
        <v>A. The shot is retaken B. The judge issues a penalty C. The shot is valid D. The player loses his turn</v>
      </c>
      <c r="I132" s="3" t="str">
        <f>IFERROR(__xludf.DUMMYFUNCTION("GOOGLETRANSLATE(D132, ""it"", ""en"")"),"The shot is repeated")</f>
        <v>The shot is repeated</v>
      </c>
      <c r="J132" s="2"/>
      <c r="K132" s="2"/>
      <c r="L132" s="2"/>
      <c r="M132" s="2"/>
      <c r="N132" s="2"/>
      <c r="O132" s="2"/>
      <c r="P132" s="2"/>
      <c r="Q132" s="2"/>
      <c r="R132" s="2"/>
      <c r="S132" s="2"/>
      <c r="T132" s="2"/>
      <c r="U132" s="2"/>
      <c r="V132" s="2"/>
    </row>
    <row r="133" ht="22.5" customHeight="1">
      <c r="A133" s="3">
        <v>132.0</v>
      </c>
      <c r="B133" s="3" t="s">
        <v>784</v>
      </c>
      <c r="C133" s="3" t="s">
        <v>785</v>
      </c>
      <c r="D133" s="3" t="s">
        <v>786</v>
      </c>
      <c r="E133" s="2"/>
      <c r="F133" s="3" t="str">
        <f>IFERROR(__xludf.DUMMYFUNCTION("GOOGLETRANSLATE(A133, ""it"", ""en"")"),"132")</f>
        <v>132</v>
      </c>
      <c r="G133" s="3" t="str">
        <f>IFERROR(__xludf.DUMMYFUNCTION("GOOGLETRANSLATE(B133, ""it"", ""en"")"),"A cheese stops in the middle of the path and blocks the others. What happens?")</f>
        <v>A cheese stops in the middle of the path and blocks the others. What happens?</v>
      </c>
      <c r="H133" s="3" t="str">
        <f>IFERROR(__xludf.DUMMYFUNCTION("GOOGLETRANSLATE(C133, ""it"", ""en"")"),"A. The shot is retaken B. The cheese is removed C. The player is penalized D. The point is awarded")</f>
        <v>A. The shot is retaken B. The cheese is removed C. The player is penalized D. The point is awarded</v>
      </c>
      <c r="I133" s="3" t="str">
        <f>IFERROR(__xludf.DUMMYFUNCTION("GOOGLETRANSLATE(D133, ""it"", ""en"")"),"The cheese is removed")</f>
        <v>The cheese is removed</v>
      </c>
      <c r="J133" s="2"/>
      <c r="K133" s="2"/>
      <c r="L133" s="2"/>
      <c r="M133" s="2"/>
      <c r="N133" s="2"/>
      <c r="O133" s="2"/>
      <c r="P133" s="2"/>
      <c r="Q133" s="2"/>
      <c r="R133" s="2"/>
      <c r="S133" s="2"/>
      <c r="T133" s="2"/>
      <c r="U133" s="2"/>
      <c r="V133" s="2"/>
    </row>
    <row r="134" ht="22.5" customHeight="1">
      <c r="A134" s="3">
        <v>133.0</v>
      </c>
      <c r="B134" s="3" t="s">
        <v>787</v>
      </c>
      <c r="C134" s="3" t="s">
        <v>788</v>
      </c>
      <c r="D134" s="3" t="s">
        <v>679</v>
      </c>
      <c r="E134" s="2"/>
      <c r="F134" s="3" t="str">
        <f>IFERROR(__xludf.DUMMYFUNCTION("GOOGLETRANSLATE(A134, ""it"", ""en"")"),"133")</f>
        <v>133</v>
      </c>
      <c r="G134" s="3" t="str">
        <f>IFERROR(__xludf.DUMMYFUNCTION("GOOGLETRANSLATE(B134, ""it"", ""en"")"),"A player's tape is too long and non-compliant. What's going on?")</f>
        <v>A player's tape is too long and non-compliant. What's going on?</v>
      </c>
      <c r="H134" s="3" t="str">
        <f>IFERROR(__xludf.DUMMYFUNCTION("GOOGLETRANSLATE(C134, ""it"", ""en"")"),"A. The tape is replaced B. The judge issues a penalty C. The shot is cancelled D. The player loses the turn")</f>
        <v>A. The tape is replaced B. The judge issues a penalty C. The shot is cancelled D. The player loses the turn</v>
      </c>
      <c r="I134" s="3" t="str">
        <f>IFERROR(__xludf.DUMMYFUNCTION("GOOGLETRANSLATE(D134, ""it"", ""en"")"),"The tape is replaced")</f>
        <v>The tape is replaced</v>
      </c>
      <c r="J134" s="2"/>
      <c r="K134" s="2"/>
      <c r="L134" s="2"/>
      <c r="M134" s="2"/>
      <c r="N134" s="2"/>
      <c r="O134" s="2"/>
      <c r="P134" s="2"/>
      <c r="Q134" s="2"/>
      <c r="R134" s="2"/>
      <c r="S134" s="2"/>
      <c r="T134" s="2"/>
      <c r="U134" s="2"/>
      <c r="V134" s="2"/>
    </row>
    <row r="135" ht="22.5" customHeight="1">
      <c r="A135" s="3">
        <v>134.0</v>
      </c>
      <c r="B135" s="3" t="s">
        <v>789</v>
      </c>
      <c r="C135" s="3" t="s">
        <v>790</v>
      </c>
      <c r="D135" s="3" t="s">
        <v>791</v>
      </c>
      <c r="E135" s="2"/>
      <c r="F135" s="3" t="str">
        <f>IFERROR(__xludf.DUMMYFUNCTION("GOOGLETRANSLATE(A135, ""it"", ""en"")"),"134")</f>
        <v>134</v>
      </c>
      <c r="G135" s="3" t="str">
        <f>IFERROR(__xludf.DUMMYFUNCTION("GOOGLETRANSLATE(B135, ""it"", ""en"")"),"A player uses a damaged cheese. What happens?")</f>
        <v>A player uses a damaged cheese. What happens?</v>
      </c>
      <c r="H135" s="3" t="str">
        <f>IFERROR(__xludf.DUMMYFUNCTION("GOOGLETRANSLATE(C135, ""it"", ""en"")"),"A. The judge replaces him B. The shot is valid C. The shot is cancelled D. The player loses his turn")</f>
        <v>A. The judge replaces him B. The shot is valid C. The shot is cancelled D. The player loses his turn</v>
      </c>
      <c r="I135" s="3" t="str">
        <f>IFERROR(__xludf.DUMMYFUNCTION("GOOGLETRANSLATE(D135, ""it"", ""en"")"),"The judge replaces him")</f>
        <v>The judge replaces him</v>
      </c>
      <c r="J135" s="2"/>
      <c r="K135" s="2"/>
      <c r="L135" s="2"/>
      <c r="M135" s="2"/>
      <c r="N135" s="2"/>
      <c r="O135" s="2"/>
      <c r="P135" s="2"/>
      <c r="Q135" s="2"/>
      <c r="R135" s="2"/>
      <c r="S135" s="2"/>
      <c r="T135" s="2"/>
      <c r="U135" s="2"/>
      <c r="V135" s="2"/>
    </row>
    <row r="136" ht="22.5" customHeight="1">
      <c r="A136" s="3">
        <v>135.0</v>
      </c>
      <c r="B136" s="3" t="s">
        <v>792</v>
      </c>
      <c r="C136" s="3" t="s">
        <v>793</v>
      </c>
      <c r="D136" s="3" t="s">
        <v>761</v>
      </c>
      <c r="E136" s="2"/>
      <c r="F136" s="3" t="str">
        <f>IFERROR(__xludf.DUMMYFUNCTION("GOOGLETRANSLATE(A136, ""it"", ""en"")"),"135")</f>
        <v>135</v>
      </c>
      <c r="G136" s="3" t="str">
        <f>IFERROR(__xludf.DUMMYFUNCTION("GOOGLETRANSLATE(B136, ""it"", ""en"")"),"What happens if a player protests too long with the umpire?")</f>
        <v>What happens if a player protests too long with the umpire?</v>
      </c>
      <c r="H136" s="3" t="str">
        <f>IFERROR(__xludf.DUMMYFUNCTION("GOOGLETRANSLATE(C136, ""it"", ""en"")"),"A. The player is cautioned B. The shot is disallowed C. The player is penalized D. The game is suspended")</f>
        <v>A. The player is cautioned B. The shot is disallowed C. The player is penalized D. The game is suspended</v>
      </c>
      <c r="I136" s="3" t="str">
        <f>IFERROR(__xludf.DUMMYFUNCTION("GOOGLETRANSLATE(D136, ""it"", ""en"")"),"The player is penalized")</f>
        <v>The player is penalized</v>
      </c>
      <c r="J136" s="2"/>
      <c r="K136" s="2"/>
      <c r="L136" s="2"/>
      <c r="M136" s="2"/>
      <c r="N136" s="2"/>
      <c r="O136" s="2"/>
      <c r="P136" s="2"/>
      <c r="Q136" s="2"/>
      <c r="R136" s="2"/>
      <c r="S136" s="2"/>
      <c r="T136" s="2"/>
      <c r="U136" s="2"/>
      <c r="V136" s="2"/>
    </row>
    <row r="137" ht="22.5" customHeight="1">
      <c r="A137" s="3">
        <v>136.0</v>
      </c>
      <c r="B137" s="3" t="s">
        <v>794</v>
      </c>
      <c r="C137" s="3" t="s">
        <v>795</v>
      </c>
      <c r="D137" s="3" t="s">
        <v>616</v>
      </c>
      <c r="E137" s="2"/>
      <c r="F137" s="3" t="str">
        <f>IFERROR(__xludf.DUMMYFUNCTION("GOOGLETRANSLATE(A137, ""it"", ""en"")"),"136")</f>
        <v>136</v>
      </c>
      <c r="G137" s="3" t="str">
        <f>IFERROR(__xludf.DUMMYFUNCTION("GOOGLETRANSLATE(B137, ""it"", ""en"")"),"The cheese hits a natural element and bounces across the finish line. What happens?")</f>
        <v>The cheese hits a natural element and bounces across the finish line. What happens?</v>
      </c>
      <c r="H137" s="3" t="str">
        <f>IFERROR(__xludf.DUMMYFUNCTION("GOOGLETRANSLATE(C137, ""it"", ""en"")"),"A. The shot is valid B. The judge awards a penalty C. The shot is retaken D. The point is awarded")</f>
        <v>A. The shot is valid B. The judge awards a penalty C. The shot is retaken D. The point is awarded</v>
      </c>
      <c r="I137" s="3" t="str">
        <f>IFERROR(__xludf.DUMMYFUNCTION("GOOGLETRANSLATE(D137, ""it"", ""en"")"),"The point is awarded")</f>
        <v>The point is awarded</v>
      </c>
      <c r="J137" s="2"/>
      <c r="K137" s="2"/>
      <c r="L137" s="2"/>
      <c r="M137" s="2"/>
      <c r="N137" s="2"/>
      <c r="O137" s="2"/>
      <c r="P137" s="2"/>
      <c r="Q137" s="2"/>
      <c r="R137" s="2"/>
      <c r="S137" s="2"/>
      <c r="T137" s="2"/>
      <c r="U137" s="2"/>
      <c r="V137" s="2"/>
    </row>
    <row r="138" ht="22.5" customHeight="1">
      <c r="A138" s="3">
        <v>137.0</v>
      </c>
      <c r="B138" s="3" t="s">
        <v>796</v>
      </c>
      <c r="C138" s="3" t="s">
        <v>797</v>
      </c>
      <c r="D138" s="3" t="s">
        <v>517</v>
      </c>
      <c r="E138" s="2"/>
      <c r="F138" s="3" t="str">
        <f>IFERROR(__xludf.DUMMYFUNCTION("GOOGLETRANSLATE(A138, ""it"", ""en"")"),"137")</f>
        <v>137</v>
      </c>
      <c r="G138" s="3" t="str">
        <f>IFERROR(__xludf.DUMMYFUNCTION("GOOGLETRANSLATE(B138, ""it"", ""en"")"),"A player decides not to use the ribbon to throw. What happens?")</f>
        <v>A player decides not to use the ribbon to throw. What happens?</v>
      </c>
      <c r="H138" s="3" t="str">
        <f>IFERROR(__xludf.DUMMYFUNCTION("GOOGLETRANSLATE(C138, ""it"", ""en"")"),"A. The shot is cancelled B. The shot is valid C. The judge awards a penalty D. The player loses the turn")</f>
        <v>A. The shot is cancelled B. The shot is valid C. The judge awards a penalty D. The player loses the turn</v>
      </c>
      <c r="I138" s="3" t="str">
        <f>IFERROR(__xludf.DUMMYFUNCTION("GOOGLETRANSLATE(D138, ""it"", ""en"")"),"The shot is disallowed")</f>
        <v>The shot is disallowed</v>
      </c>
      <c r="J138" s="2"/>
      <c r="K138" s="2"/>
      <c r="L138" s="2"/>
      <c r="M138" s="2"/>
      <c r="N138" s="2"/>
      <c r="O138" s="2"/>
      <c r="P138" s="2"/>
      <c r="Q138" s="2"/>
      <c r="R138" s="2"/>
      <c r="S138" s="2"/>
      <c r="T138" s="2"/>
      <c r="U138" s="2"/>
      <c r="V138" s="2"/>
    </row>
    <row r="139" ht="22.5" customHeight="1">
      <c r="A139" s="3">
        <v>138.0</v>
      </c>
      <c r="B139" s="3" t="s">
        <v>798</v>
      </c>
      <c r="C139" s="3" t="s">
        <v>799</v>
      </c>
      <c r="D139" s="3" t="s">
        <v>517</v>
      </c>
      <c r="E139" s="2"/>
      <c r="F139" s="3" t="str">
        <f>IFERROR(__xludf.DUMMYFUNCTION("GOOGLETRANSLATE(A139, ""it"", ""en"")"),"138")</f>
        <v>138</v>
      </c>
      <c r="G139" s="3" t="str">
        <f>IFERROR(__xludf.DUMMYFUNCTION("GOOGLETRANSLATE(B139, ""it"", ""en"")"),"What happens if the cheese stops before it gets halfway?")</f>
        <v>What happens if the cheese stops before it gets halfway?</v>
      </c>
      <c r="H139" s="3" t="str">
        <f>IFERROR(__xludf.DUMMYFUNCTION("GOOGLETRANSLATE(C139, ""it"", ""en"")"),"A. The shot is cancelled B. The judge issues a penalty C. The shot is valid D. The player loses the turn")</f>
        <v>A. The shot is cancelled B. The judge issues a penalty C. The shot is valid D. The player loses the turn</v>
      </c>
      <c r="I139" s="3" t="str">
        <f>IFERROR(__xludf.DUMMYFUNCTION("GOOGLETRANSLATE(D139, ""it"", ""en"")"),"The shot is disallowed")</f>
        <v>The shot is disallowed</v>
      </c>
      <c r="J139" s="2"/>
      <c r="K139" s="2"/>
      <c r="L139" s="2"/>
      <c r="M139" s="2"/>
      <c r="N139" s="2"/>
      <c r="O139" s="2"/>
      <c r="P139" s="2"/>
      <c r="Q139" s="2"/>
      <c r="R139" s="2"/>
      <c r="S139" s="2"/>
      <c r="T139" s="2"/>
      <c r="U139" s="2"/>
      <c r="V139" s="2"/>
    </row>
    <row r="140" ht="22.5" customHeight="1">
      <c r="A140" s="3">
        <v>139.0</v>
      </c>
      <c r="B140" s="3" t="s">
        <v>800</v>
      </c>
      <c r="C140" s="3" t="s">
        <v>801</v>
      </c>
      <c r="D140" s="3" t="s">
        <v>517</v>
      </c>
      <c r="E140" s="2"/>
      <c r="F140" s="3" t="str">
        <f>IFERROR(__xludf.DUMMYFUNCTION("GOOGLETRANSLATE(A140, ""it"", ""en"")"),"139")</f>
        <v>139</v>
      </c>
      <c r="G140" s="3" t="str">
        <f>IFERROR(__xludf.DUMMYFUNCTION("GOOGLETRANSLATE(B140, ""it"", ""en"")"),"What happens if a player steps over the throwing line while throwing?")</f>
        <v>What happens if a player steps over the throwing line while throwing?</v>
      </c>
      <c r="H140" s="3" t="str">
        <f>IFERROR(__xludf.DUMMYFUNCTION("GOOGLETRANSLATE(C140, ""it"", ""en"")"),"A. The shot is cancelled B. The shot is valid C. The player loses the turn D. The judge awards a penalty")</f>
        <v>A. The shot is cancelled B. The shot is valid C. The player loses the turn D. The judge awards a penalty</v>
      </c>
      <c r="I140" s="3" t="str">
        <f>IFERROR(__xludf.DUMMYFUNCTION("GOOGLETRANSLATE(D140, ""it"", ""en"")"),"The shot is disallowed")</f>
        <v>The shot is disallowed</v>
      </c>
      <c r="J140" s="2"/>
      <c r="K140" s="2"/>
      <c r="L140" s="2"/>
      <c r="M140" s="2"/>
      <c r="N140" s="2"/>
      <c r="O140" s="2"/>
      <c r="P140" s="2"/>
      <c r="Q140" s="2"/>
      <c r="R140" s="2"/>
      <c r="S140" s="2"/>
      <c r="T140" s="2"/>
      <c r="U140" s="2"/>
      <c r="V140" s="2"/>
    </row>
    <row r="141" ht="22.5" customHeight="1">
      <c r="A141" s="3">
        <v>140.0</v>
      </c>
      <c r="B141" s="3" t="s">
        <v>802</v>
      </c>
      <c r="C141" s="3" t="s">
        <v>601</v>
      </c>
      <c r="D141" s="3" t="s">
        <v>494</v>
      </c>
      <c r="E141" s="2"/>
      <c r="F141" s="3" t="str">
        <f>IFERROR(__xludf.DUMMYFUNCTION("GOOGLETRANSLATE(A141, ""it"", ""en"")"),"140")</f>
        <v>140</v>
      </c>
      <c r="G141" s="3" t="str">
        <f>IFERROR(__xludf.DUMMYFUNCTION("GOOGLETRANSLATE(B141, ""it"", ""en"")"),"A player's cheese lands on an obstacle. What happens?")</f>
        <v>A player's cheese lands on an obstacle. What happens?</v>
      </c>
      <c r="H141" s="3" t="str">
        <f>IFERROR(__xludf.DUMMYFUNCTION("GOOGLETRANSLATE(C141, ""it"", ""en"")"),"A. The shot is valid B. The shot is retaken C. The judge issues a penalty D. The player loses the turn")</f>
        <v>A. The shot is valid B. The shot is retaken C. The judge issues a penalty D. The player loses the turn</v>
      </c>
      <c r="I141" s="3" t="str">
        <f>IFERROR(__xludf.DUMMYFUNCTION("GOOGLETRANSLATE(D141, ""it"", ""en"")"),"The shot is valid")</f>
        <v>The shot is valid</v>
      </c>
      <c r="J141" s="2"/>
      <c r="K141" s="2"/>
      <c r="L141" s="2"/>
      <c r="M141" s="2"/>
      <c r="N141" s="2"/>
      <c r="O141" s="2"/>
      <c r="P141" s="2"/>
      <c r="Q141" s="2"/>
      <c r="R141" s="2"/>
      <c r="S141" s="2"/>
      <c r="T141" s="2"/>
      <c r="U141" s="2"/>
      <c r="V141" s="2"/>
    </row>
    <row r="142" ht="22.5" customHeight="1">
      <c r="A142" s="3">
        <v>141.0</v>
      </c>
      <c r="B142" s="3" t="s">
        <v>803</v>
      </c>
      <c r="C142" s="3" t="s">
        <v>804</v>
      </c>
      <c r="D142" s="3" t="s">
        <v>598</v>
      </c>
      <c r="E142" s="2"/>
      <c r="F142" s="3" t="str">
        <f>IFERROR(__xludf.DUMMYFUNCTION("GOOGLETRANSLATE(A142, ""it"", ""en"")"),"141")</f>
        <v>141</v>
      </c>
      <c r="G142" s="3" t="str">
        <f>IFERROR(__xludf.DUMMYFUNCTION("GOOGLETRANSLATE(B142, ""it"", ""en"")"),"What happens if a player uses a cheese made of a material other than the regulation one?")</f>
        <v>What happens if a player uses a cheese made of a material other than the regulation one?</v>
      </c>
      <c r="H142" s="3" t="str">
        <f>IFERROR(__xludf.DUMMYFUNCTION("GOOGLETRANSLATE(C142, ""it"", ""en"")"),"A. The cheese is replaced B. The shot is valid C. The judge awards a penalty D. The player is ejected")</f>
        <v>A. The cheese is replaced B. The shot is valid C. The judge awards a penalty D. The player is ejected</v>
      </c>
      <c r="I142" s="3" t="str">
        <f>IFERROR(__xludf.DUMMYFUNCTION("GOOGLETRANSLATE(D142, ""it"", ""en"")"),"The cheese is replaced")</f>
        <v>The cheese is replaced</v>
      </c>
      <c r="J142" s="2"/>
      <c r="K142" s="2"/>
      <c r="L142" s="2"/>
      <c r="M142" s="2"/>
      <c r="N142" s="2"/>
      <c r="O142" s="2"/>
      <c r="P142" s="2"/>
      <c r="Q142" s="2"/>
      <c r="R142" s="2"/>
      <c r="S142" s="2"/>
      <c r="T142" s="2"/>
      <c r="U142" s="2"/>
      <c r="V142" s="2"/>
    </row>
    <row r="143" ht="22.5" customHeight="1">
      <c r="A143" s="3">
        <v>142.0</v>
      </c>
      <c r="B143" s="3" t="s">
        <v>805</v>
      </c>
      <c r="C143" s="3" t="s">
        <v>806</v>
      </c>
      <c r="D143" s="3" t="s">
        <v>761</v>
      </c>
      <c r="E143" s="2"/>
      <c r="F143" s="3" t="str">
        <f>IFERROR(__xludf.DUMMYFUNCTION("GOOGLETRANSLATE(A143, ""it"", ""en"")"),"142")</f>
        <v>142</v>
      </c>
      <c r="G143" s="3" t="str">
        <f>IFERROR(__xludf.DUMMYFUNCTION("GOOGLETRANSLATE(B143, ""it"", ""en"")"),"The thrown cheese goes off the track and hits a spectator. What happens?")</f>
        <v>The thrown cheese goes off the track and hits a spectator. What happens?</v>
      </c>
      <c r="H143" s="3" t="str">
        <f>IFERROR(__xludf.DUMMYFUNCTION("GOOGLETRANSLATE(C143, ""it"", ""en"")"),"A. The shot is disallowed B. The player is penalized C. The referee suspends the game D. The shot is retaken")</f>
        <v>A. The shot is disallowed B. The player is penalized C. The referee suspends the game D. The shot is retaken</v>
      </c>
      <c r="I143" s="3" t="str">
        <f>IFERROR(__xludf.DUMMYFUNCTION("GOOGLETRANSLATE(D143, ""it"", ""en"")"),"The player is penalized")</f>
        <v>The player is penalized</v>
      </c>
      <c r="J143" s="2"/>
      <c r="K143" s="2"/>
      <c r="L143" s="2"/>
      <c r="M143" s="2"/>
      <c r="N143" s="2"/>
      <c r="O143" s="2"/>
      <c r="P143" s="2"/>
      <c r="Q143" s="2"/>
      <c r="R143" s="2"/>
      <c r="S143" s="2"/>
      <c r="T143" s="2"/>
      <c r="U143" s="2"/>
      <c r="V143" s="2"/>
    </row>
    <row r="144" ht="22.5" customHeight="1">
      <c r="A144" s="3">
        <v>143.0</v>
      </c>
      <c r="B144" s="3" t="s">
        <v>807</v>
      </c>
      <c r="C144" s="3" t="s">
        <v>808</v>
      </c>
      <c r="D144" s="3" t="s">
        <v>809</v>
      </c>
      <c r="E144" s="2"/>
      <c r="F144" s="3" t="str">
        <f>IFERROR(__xludf.DUMMYFUNCTION("GOOGLETRANSLATE(A144, ""it"", ""en"")"),"143")</f>
        <v>143</v>
      </c>
      <c r="G144" s="3" t="str">
        <f>IFERROR(__xludf.DUMMYFUNCTION("GOOGLETRANSLATE(B144, ""it"", ""en"")"),"What happens if two cheeses touch along the way?")</f>
        <v>What happens if two cheeses touch along the way?</v>
      </c>
      <c r="H144" s="3" t="str">
        <f>IFERROR(__xludf.DUMMYFUNCTION("GOOGLETRANSLATE(C144, ""it"", ""en"")"),"A. Both shots are valid B. The judge awards a penalty C. The round is repeated D. The game is suspended")</f>
        <v>A. Both shots are valid B. The judge awards a penalty C. The round is repeated D. The game is suspended</v>
      </c>
      <c r="I144" s="3" t="str">
        <f>IFERROR(__xludf.DUMMYFUNCTION("GOOGLETRANSLATE(D144, ""it"", ""en"")"),"Both shots are valid")</f>
        <v>Both shots are valid</v>
      </c>
      <c r="J144" s="2"/>
      <c r="K144" s="2"/>
      <c r="L144" s="2"/>
      <c r="M144" s="2"/>
      <c r="N144" s="2"/>
      <c r="O144" s="2"/>
      <c r="P144" s="2"/>
      <c r="Q144" s="2"/>
      <c r="R144" s="2"/>
      <c r="S144" s="2"/>
      <c r="T144" s="2"/>
      <c r="U144" s="2"/>
      <c r="V144" s="2"/>
    </row>
    <row r="145" ht="22.5" customHeight="1">
      <c r="A145" s="3">
        <v>144.0</v>
      </c>
      <c r="B145" s="3" t="s">
        <v>810</v>
      </c>
      <c r="C145" s="3" t="s">
        <v>811</v>
      </c>
      <c r="D145" s="3" t="s">
        <v>511</v>
      </c>
      <c r="E145" s="2"/>
      <c r="F145" s="3" t="str">
        <f>IFERROR(__xludf.DUMMYFUNCTION("GOOGLETRANSLATE(A145, ""it"", ""en"")"),"144")</f>
        <v>144</v>
      </c>
      <c r="G145" s="3" t="str">
        <f>IFERROR(__xludf.DUMMYFUNCTION("GOOGLETRANSLATE(B145, ""it"", ""en"")"),"A player attempts to change the course before throwing. What happens?")</f>
        <v>A player attempts to change the course before throwing. What happens?</v>
      </c>
      <c r="H145" s="3" t="str">
        <f>IFERROR(__xludf.DUMMYFUNCTION("GOOGLETRANSLATE(C145, ""it"", ""en"")"),"A. The judge awards a penalty B. The shot is valid C. The player is disqualified D. The shot is disallowed")</f>
        <v>A. The judge awards a penalty B. The shot is valid C. The player is disqualified D. The shot is disallowed</v>
      </c>
      <c r="I145" s="3" t="str">
        <f>IFERROR(__xludf.DUMMYFUNCTION("GOOGLETRANSLATE(D145, ""it"", ""en"")"),"The judge awards a penalty")</f>
        <v>The judge awards a penalty</v>
      </c>
      <c r="J145" s="2"/>
      <c r="K145" s="2"/>
      <c r="L145" s="2"/>
      <c r="M145" s="2"/>
      <c r="N145" s="2"/>
      <c r="O145" s="2"/>
      <c r="P145" s="2"/>
      <c r="Q145" s="2"/>
      <c r="R145" s="2"/>
      <c r="S145" s="2"/>
      <c r="T145" s="2"/>
      <c r="U145" s="2"/>
      <c r="V145" s="2"/>
    </row>
    <row r="146" ht="22.5" customHeight="1">
      <c r="A146" s="3">
        <v>145.0</v>
      </c>
      <c r="B146" s="3" t="s">
        <v>812</v>
      </c>
      <c r="C146" s="3" t="s">
        <v>813</v>
      </c>
      <c r="D146" s="3" t="s">
        <v>500</v>
      </c>
      <c r="E146" s="2"/>
      <c r="F146" s="3" t="str">
        <f>IFERROR(__xludf.DUMMYFUNCTION("GOOGLETRANSLATE(A146, ""it"", ""en"")"),"145")</f>
        <v>145</v>
      </c>
      <c r="G146" s="3" t="str">
        <f>IFERROR(__xludf.DUMMYFUNCTION("GOOGLETRANSLATE(B146, ""it"", ""en"")"),"The cheese breaks completely during the throw. What happens?")</f>
        <v>The cheese breaks completely during the throw. What happens?</v>
      </c>
      <c r="H146" s="3" t="str">
        <f>IFERROR(__xludf.DUMMYFUNCTION("GOOGLETRANSLATE(C146, ""it"", ""en"")"),"A. The shot is retaken B. The shot is valid C. The point is awarded D. The referee suspends the game")</f>
        <v>A. The shot is retaken B. The shot is valid C. The point is awarded D. The referee suspends the game</v>
      </c>
      <c r="I146" s="3" t="str">
        <f>IFERROR(__xludf.DUMMYFUNCTION("GOOGLETRANSLATE(D146, ""it"", ""en"")"),"The shot is repeated")</f>
        <v>The shot is repeated</v>
      </c>
      <c r="J146" s="2"/>
      <c r="K146" s="2"/>
      <c r="L146" s="2"/>
      <c r="M146" s="2"/>
      <c r="N146" s="2"/>
      <c r="O146" s="2"/>
      <c r="P146" s="2"/>
      <c r="Q146" s="2"/>
      <c r="R146" s="2"/>
      <c r="S146" s="2"/>
      <c r="T146" s="2"/>
      <c r="U146" s="2"/>
      <c r="V146" s="2"/>
    </row>
    <row r="147" ht="22.5" customHeight="1">
      <c r="A147" s="3">
        <v>146.0</v>
      </c>
      <c r="B147" s="3" t="s">
        <v>814</v>
      </c>
      <c r="C147" s="3" t="s">
        <v>815</v>
      </c>
      <c r="D147" s="3" t="s">
        <v>684</v>
      </c>
      <c r="E147" s="2"/>
      <c r="F147" s="3" t="str">
        <f>IFERROR(__xludf.DUMMYFUNCTION("GOOGLETRANSLATE(A147, ""it"", ""en"")"),"146")</f>
        <v>146</v>
      </c>
      <c r="G147" s="3" t="str">
        <f>IFERROR(__xludf.DUMMYFUNCTION("GOOGLETRANSLATE(B147, ""it"", ""en"")"),"What happens if a player doesn't throw the cheese within the allotted time?")</f>
        <v>What happens if a player doesn't throw the cheese within the allotted time?</v>
      </c>
      <c r="H147" s="3" t="str">
        <f>IFERROR(__xludf.DUMMYFUNCTION("GOOGLETRANSLATE(C147, ""it"", ""en"")"),"A. The turn is skipped B. The judge awards a penalty C. The shot is cancelled D. The player is expelled")</f>
        <v>A. The turn is skipped B. The judge awards a penalty C. The shot is cancelled D. The player is expelled</v>
      </c>
      <c r="I147" s="3" t="str">
        <f>IFERROR(__xludf.DUMMYFUNCTION("GOOGLETRANSLATE(D147, ""it"", ""en"")"),"The turn is skipped")</f>
        <v>The turn is skipped</v>
      </c>
      <c r="J147" s="2"/>
      <c r="K147" s="2"/>
      <c r="L147" s="2"/>
      <c r="M147" s="2"/>
      <c r="N147" s="2"/>
      <c r="O147" s="2"/>
      <c r="P147" s="2"/>
      <c r="Q147" s="2"/>
      <c r="R147" s="2"/>
      <c r="S147" s="2"/>
      <c r="T147" s="2"/>
      <c r="U147" s="2"/>
      <c r="V147" s="2"/>
    </row>
    <row r="148" ht="22.5" customHeight="1">
      <c r="A148" s="3">
        <v>147.0</v>
      </c>
      <c r="B148" s="3" t="s">
        <v>816</v>
      </c>
      <c r="C148" s="3" t="s">
        <v>799</v>
      </c>
      <c r="D148" s="3" t="s">
        <v>517</v>
      </c>
      <c r="E148" s="2"/>
      <c r="F148" s="3" t="str">
        <f>IFERROR(__xludf.DUMMYFUNCTION("GOOGLETRANSLATE(A148, ""it"", ""en"")"),"147")</f>
        <v>147</v>
      </c>
      <c r="G148" s="3" t="str">
        <f>IFERROR(__xludf.DUMMYFUNCTION("GOOGLETRANSLATE(B148, ""it"", ""en"")"),"A player decides to throw the cheese by rolling it with his hands. What happens?")</f>
        <v>A player decides to throw the cheese by rolling it with his hands. What happens?</v>
      </c>
      <c r="H148" s="3" t="str">
        <f>IFERROR(__xludf.DUMMYFUNCTION("GOOGLETRANSLATE(C148, ""it"", ""en"")"),"A. The shot is cancelled B. The judge issues a penalty C. The shot is valid D. The player loses the turn")</f>
        <v>A. The shot is cancelled B. The judge issues a penalty C. The shot is valid D. The player loses the turn</v>
      </c>
      <c r="I148" s="3" t="str">
        <f>IFERROR(__xludf.DUMMYFUNCTION("GOOGLETRANSLATE(D148, ""it"", ""en"")"),"The shot is disallowed")</f>
        <v>The shot is disallowed</v>
      </c>
      <c r="J148" s="2"/>
      <c r="K148" s="2"/>
      <c r="L148" s="2"/>
      <c r="M148" s="2"/>
      <c r="N148" s="2"/>
      <c r="O148" s="2"/>
      <c r="P148" s="2"/>
      <c r="Q148" s="2"/>
      <c r="R148" s="2"/>
      <c r="S148" s="2"/>
      <c r="T148" s="2"/>
      <c r="U148" s="2"/>
      <c r="V148" s="2"/>
    </row>
    <row r="149" ht="22.5" customHeight="1">
      <c r="A149" s="3">
        <v>148.0</v>
      </c>
      <c r="B149" s="3" t="s">
        <v>817</v>
      </c>
      <c r="C149" s="3" t="s">
        <v>818</v>
      </c>
      <c r="D149" s="3" t="s">
        <v>786</v>
      </c>
      <c r="E149" s="2"/>
      <c r="F149" s="3" t="str">
        <f>IFERROR(__xludf.DUMMYFUNCTION("GOOGLETRANSLATE(A149, ""it"", ""en"")"),"148")</f>
        <v>148</v>
      </c>
      <c r="G149" s="3" t="str">
        <f>IFERROR(__xludf.DUMMYFUNCTION("GOOGLETRANSLATE(B149, ""it"", ""en"")"),"The thrown cheese gets stuck in an area of ​​the track. What happens?")</f>
        <v>The thrown cheese gets stuck in an area of ​​the track. What happens?</v>
      </c>
      <c r="H149" s="3" t="str">
        <f>IFERROR(__xludf.DUMMYFUNCTION("GOOGLETRANSLATE(C149, ""it"", ""en"")"),"A. The cheese is removed B. The shot is retaken C. The point is awarded D. The shot is valid")</f>
        <v>A. The cheese is removed B. The shot is retaken C. The point is awarded D. The shot is valid</v>
      </c>
      <c r="I149" s="3" t="str">
        <f>IFERROR(__xludf.DUMMYFUNCTION("GOOGLETRANSLATE(D149, ""it"", ""en"")"),"The cheese is removed")</f>
        <v>The cheese is removed</v>
      </c>
      <c r="J149" s="2"/>
      <c r="K149" s="2"/>
      <c r="L149" s="2"/>
      <c r="M149" s="2"/>
      <c r="N149" s="2"/>
      <c r="O149" s="2"/>
      <c r="P149" s="2"/>
      <c r="Q149" s="2"/>
      <c r="R149" s="2"/>
      <c r="S149" s="2"/>
      <c r="T149" s="2"/>
      <c r="U149" s="2"/>
      <c r="V149" s="2"/>
    </row>
    <row r="150" ht="22.5" customHeight="1">
      <c r="A150" s="3">
        <v>149.0</v>
      </c>
      <c r="B150" s="3" t="s">
        <v>819</v>
      </c>
      <c r="C150" s="3" t="s">
        <v>820</v>
      </c>
      <c r="D150" s="3" t="s">
        <v>511</v>
      </c>
      <c r="E150" s="2"/>
      <c r="F150" s="3" t="str">
        <f>IFERROR(__xludf.DUMMYFUNCTION("GOOGLETRANSLATE(A150, ""it"", ""en"")"),"149")</f>
        <v>149</v>
      </c>
      <c r="G150" s="3" t="str">
        <f>IFERROR(__xludf.DUMMYFUNCTION("GOOGLETRANSLATE(B150, ""it"", ""en"")"),"A player changes the tape during a game without permission. What happens?")</f>
        <v>A player changes the tape during a game without permission. What happens?</v>
      </c>
      <c r="H150" s="3" t="str">
        <f>IFERROR(__xludf.DUMMYFUNCTION("GOOGLETRANSLATE(C150, ""it"", ""en"")"),"A. The judge awards a penalty B. The tape is accepted C. The player loses the turn D. The shot is cancelled")</f>
        <v>A. The judge awards a penalty B. The tape is accepted C. The player loses the turn D. The shot is cancelled</v>
      </c>
      <c r="I150" s="3" t="str">
        <f>IFERROR(__xludf.DUMMYFUNCTION("GOOGLETRANSLATE(D150, ""it"", ""en"")"),"The judge awards a penalty")</f>
        <v>The judge awards a penalty</v>
      </c>
      <c r="J150" s="2"/>
      <c r="K150" s="2"/>
      <c r="L150" s="2"/>
      <c r="M150" s="2"/>
      <c r="N150" s="2"/>
      <c r="O150" s="2"/>
      <c r="P150" s="2"/>
      <c r="Q150" s="2"/>
      <c r="R150" s="2"/>
      <c r="S150" s="2"/>
      <c r="T150" s="2"/>
      <c r="U150" s="2"/>
      <c r="V150" s="2"/>
    </row>
    <row r="151" ht="22.5" customHeight="1">
      <c r="A151" s="3">
        <v>150.0</v>
      </c>
      <c r="B151" s="3" t="s">
        <v>821</v>
      </c>
      <c r="C151" s="3" t="s">
        <v>822</v>
      </c>
      <c r="D151" s="3" t="s">
        <v>616</v>
      </c>
      <c r="E151" s="2"/>
      <c r="F151" s="3" t="str">
        <f>IFERROR(__xludf.DUMMYFUNCTION("GOOGLETRANSLATE(A151, ""it"", ""en"")"),"150")</f>
        <v>150</v>
      </c>
      <c r="G151" s="3" t="str">
        <f>IFERROR(__xludf.DUMMYFUNCTION("GOOGLETRANSLATE(B151, ""it"", ""en"")"),"What happens if the cheese lands exactly in one corner of the path?")</f>
        <v>What happens if the cheese lands exactly in one corner of the path?</v>
      </c>
      <c r="H151" s="3" t="str">
        <f>IFERROR(__xludf.DUMMYFUNCTION("GOOGLETRANSLATE(C151, ""it"", ""en"")"),"A. The point is awarded B. The judge awards a penalty C. The shot is retaken D. The shot is cancelled")</f>
        <v>A. The point is awarded B. The judge awards a penalty C. The shot is retaken D. The shot is cancelled</v>
      </c>
      <c r="I151" s="3" t="str">
        <f>IFERROR(__xludf.DUMMYFUNCTION("GOOGLETRANSLATE(D151, ""it"", ""en"")"),"The point is awarded")</f>
        <v>The point is awarded</v>
      </c>
      <c r="J151" s="2"/>
      <c r="K151" s="2"/>
      <c r="L151" s="2"/>
      <c r="M151" s="2"/>
      <c r="N151" s="2"/>
      <c r="O151" s="2"/>
      <c r="P151" s="2"/>
      <c r="Q151" s="2"/>
      <c r="R151" s="2"/>
      <c r="S151" s="2"/>
      <c r="T151" s="2"/>
      <c r="U151" s="2"/>
      <c r="V151" s="2"/>
    </row>
    <row r="152" ht="22.5" customHeight="1">
      <c r="A152" s="3">
        <v>151.0</v>
      </c>
      <c r="B152" s="3" t="s">
        <v>823</v>
      </c>
      <c r="C152" s="3" t="s">
        <v>824</v>
      </c>
      <c r="D152" s="3" t="s">
        <v>511</v>
      </c>
      <c r="E152" s="2"/>
      <c r="F152" s="3" t="str">
        <f>IFERROR(__xludf.DUMMYFUNCTION("GOOGLETRANSLATE(A152, ""it"", ""en"")"),"151")</f>
        <v>151</v>
      </c>
      <c r="G152" s="3" t="str">
        <f>IFERROR(__xludf.DUMMYFUNCTION("GOOGLETRANSLATE(B152, ""it"", ""en"")"),"A player throws the cheese from an unauthorized position. What happens?")</f>
        <v>A player throws the cheese from an unauthorized position. What happens?</v>
      </c>
      <c r="H152" s="3" t="str">
        <f>IFERROR(__xludf.DUMMYFUNCTION("GOOGLETRANSLATE(C152, ""it"", ""en"")"),"A. The judge issues a penalty B. The shot is valid C. The shot is retaken D. The player loses his turn")</f>
        <v>A. The judge issues a penalty B. The shot is valid C. The shot is retaken D. The player loses his turn</v>
      </c>
      <c r="I152" s="3" t="str">
        <f>IFERROR(__xludf.DUMMYFUNCTION("GOOGLETRANSLATE(D152, ""it"", ""en"")"),"The judge awards a penalty")</f>
        <v>The judge awards a penalty</v>
      </c>
      <c r="J152" s="2"/>
      <c r="K152" s="2"/>
      <c r="L152" s="2"/>
      <c r="M152" s="2"/>
      <c r="N152" s="2"/>
      <c r="O152" s="2"/>
      <c r="P152" s="2"/>
      <c r="Q152" s="2"/>
      <c r="R152" s="2"/>
      <c r="S152" s="2"/>
      <c r="T152" s="2"/>
      <c r="U152" s="2"/>
      <c r="V152" s="2"/>
    </row>
    <row r="153" ht="22.5" customHeight="1">
      <c r="A153" s="3">
        <v>152.0</v>
      </c>
      <c r="B153" s="3" t="s">
        <v>825</v>
      </c>
      <c r="C153" s="3" t="s">
        <v>826</v>
      </c>
      <c r="D153" s="3" t="s">
        <v>616</v>
      </c>
      <c r="E153" s="2"/>
      <c r="F153" s="3" t="str">
        <f>IFERROR(__xludf.DUMMYFUNCTION("GOOGLETRANSLATE(A153, ""it"", ""en"")"),"152")</f>
        <v>152</v>
      </c>
      <c r="G153" s="3" t="str">
        <f>IFERROR(__xludf.DUMMYFUNCTION("GOOGLETRANSLATE(B153, ""it"", ""en"")"),"The cheese crosses the finish line but breaks immediately afterward. What happens?")</f>
        <v>The cheese crosses the finish line but breaks immediately afterward. What happens?</v>
      </c>
      <c r="H153" s="3" t="str">
        <f>IFERROR(__xludf.DUMMYFUNCTION("GOOGLETRANSLATE(C153, ""it"", ""en"")"),"A. The point is awarded B. The judge awards a penalty C. The shot is cancelled D. The shot is retaken")</f>
        <v>A. The point is awarded B. The judge awards a penalty C. The shot is cancelled D. The shot is retaken</v>
      </c>
      <c r="I153" s="3" t="str">
        <f>IFERROR(__xludf.DUMMYFUNCTION("GOOGLETRANSLATE(D153, ""it"", ""en"")"),"The point is awarded")</f>
        <v>The point is awarded</v>
      </c>
      <c r="J153" s="2"/>
      <c r="K153" s="2"/>
      <c r="L153" s="2"/>
      <c r="M153" s="2"/>
      <c r="N153" s="2"/>
      <c r="O153" s="2"/>
      <c r="P153" s="2"/>
      <c r="Q153" s="2"/>
      <c r="R153" s="2"/>
      <c r="S153" s="2"/>
      <c r="T153" s="2"/>
      <c r="U153" s="2"/>
      <c r="V153" s="2"/>
    </row>
    <row r="154" ht="22.5" customHeight="1">
      <c r="A154" s="3">
        <v>153.0</v>
      </c>
      <c r="B154" s="3" t="s">
        <v>827</v>
      </c>
      <c r="C154" s="3" t="s">
        <v>828</v>
      </c>
      <c r="D154" s="3" t="s">
        <v>9</v>
      </c>
      <c r="E154" s="2"/>
      <c r="F154" s="3" t="str">
        <f>IFERROR(__xludf.DUMMYFUNCTION("GOOGLETRANSLATE(A154, ""it"", ""en"")"),"153")</f>
        <v>153</v>
      </c>
      <c r="G154" s="3" t="str">
        <f>IFERROR(__xludf.DUMMYFUNCTION("GOOGLETRANSLATE(B154, ""it"", ""en"")"),"A player attempts to influence the outcome of the game in an unfair manner. What happens?")</f>
        <v>A player attempts to influence the outcome of the game in an unfair manner. What happens?</v>
      </c>
      <c r="H154" s="3" t="str">
        <f>IFERROR(__xludf.DUMMYFUNCTION("GOOGLETRANSLATE(C154, ""it"", ""en"")"),"A. The player is cautioned B. The shot is disallowed C. The player is sent off D. The referee suspends the game")</f>
        <v>A. The player is cautioned B. The shot is disallowed C. The player is sent off D. The referee suspends the game</v>
      </c>
      <c r="I154" s="3" t="str">
        <f>IFERROR(__xludf.DUMMYFUNCTION("GOOGLETRANSLATE(D154, ""it"", ""en"")"),"The player is sent off")</f>
        <v>The player is sent off</v>
      </c>
      <c r="J154" s="2"/>
      <c r="K154" s="2"/>
      <c r="L154" s="2"/>
      <c r="M154" s="2"/>
      <c r="N154" s="2"/>
      <c r="O154" s="2"/>
      <c r="P154" s="2"/>
      <c r="Q154" s="2"/>
      <c r="R154" s="2"/>
      <c r="S154" s="2"/>
      <c r="T154" s="2"/>
      <c r="U154" s="2"/>
      <c r="V154" s="2"/>
    </row>
    <row r="155" ht="22.5" customHeight="1">
      <c r="A155" s="3">
        <v>154.0</v>
      </c>
      <c r="B155" s="3" t="s">
        <v>829</v>
      </c>
      <c r="C155" s="3" t="s">
        <v>830</v>
      </c>
      <c r="D155" s="3" t="s">
        <v>616</v>
      </c>
      <c r="E155" s="2"/>
      <c r="F155" s="3" t="str">
        <f>IFERROR(__xludf.DUMMYFUNCTION("GOOGLETRANSLATE(A155, ""it"", ""en"")"),"154")</f>
        <v>154</v>
      </c>
      <c r="G155" s="3" t="str">
        <f>IFERROR(__xludf.DUMMYFUNCTION("GOOGLETRANSLATE(B155, ""it"", ""en"")"),"What happens if a thrown cheese crosses the finish line and hits another cheese?")</f>
        <v>What happens if a thrown cheese crosses the finish line and hits another cheese?</v>
      </c>
      <c r="H155" s="3" t="str">
        <f>IFERROR(__xludf.DUMMYFUNCTION("GOOGLETRANSLATE(C155, ""it"", ""en"")"),"A. The point is awarded B. The shot is retaken C. Both shots are cancelled D. The judge awards a penalty")</f>
        <v>A. The point is awarded B. The shot is retaken C. Both shots are cancelled D. The judge awards a penalty</v>
      </c>
      <c r="I155" s="3" t="str">
        <f>IFERROR(__xludf.DUMMYFUNCTION("GOOGLETRANSLATE(D155, ""it"", ""en"")"),"The point is awarded")</f>
        <v>The point is awarded</v>
      </c>
      <c r="J155" s="2"/>
      <c r="K155" s="2"/>
      <c r="L155" s="2"/>
      <c r="M155" s="2"/>
      <c r="N155" s="2"/>
      <c r="O155" s="2"/>
      <c r="P155" s="2"/>
      <c r="Q155" s="2"/>
      <c r="R155" s="2"/>
      <c r="S155" s="2"/>
      <c r="T155" s="2"/>
      <c r="U155" s="2"/>
      <c r="V155" s="2"/>
    </row>
    <row r="156" ht="22.5" customHeight="1">
      <c r="A156" s="3">
        <v>155.0</v>
      </c>
      <c r="B156" s="3" t="s">
        <v>831</v>
      </c>
      <c r="C156" s="3" t="s">
        <v>832</v>
      </c>
      <c r="D156" s="3" t="s">
        <v>766</v>
      </c>
      <c r="E156" s="2"/>
      <c r="F156" s="3" t="str">
        <f>IFERROR(__xludf.DUMMYFUNCTION("GOOGLETRANSLATE(A156, ""it"", ""en"")"),"155")</f>
        <v>155</v>
      </c>
      <c r="G156" s="3" t="str">
        <f>IFERROR(__xludf.DUMMYFUNCTION("GOOGLETRANSLATE(B156, ""it"", ""en"")"),"A judge decides to extend a player's casting time. What happens?")</f>
        <v>A judge decides to extend a player's casting time. What happens?</v>
      </c>
      <c r="H156" s="3" t="str">
        <f>IFERROR(__xludf.DUMMYFUNCTION("GOOGLETRANSLATE(C156, ""it"", ""en"")"),"A. The decision is valid B. The player is penalized C. The game is disputed D. The time cannot be changed")</f>
        <v>A. The decision is valid B. The player is penalized C. The game is disputed D. The time cannot be changed</v>
      </c>
      <c r="I156" s="3" t="str">
        <f>IFERROR(__xludf.DUMMYFUNCTION("GOOGLETRANSLATE(D156, ""it"", ""en"")"),"The decision is valid")</f>
        <v>The decision is valid</v>
      </c>
      <c r="J156" s="2"/>
      <c r="K156" s="2"/>
      <c r="L156" s="2"/>
      <c r="M156" s="2"/>
      <c r="N156" s="2"/>
      <c r="O156" s="2"/>
      <c r="P156" s="2"/>
      <c r="Q156" s="2"/>
      <c r="R156" s="2"/>
      <c r="S156" s="2"/>
      <c r="T156" s="2"/>
      <c r="U156" s="2"/>
      <c r="V156" s="2"/>
    </row>
    <row r="157" ht="22.5" customHeight="1">
      <c r="A157" s="3">
        <v>156.0</v>
      </c>
      <c r="B157" s="3" t="s">
        <v>833</v>
      </c>
      <c r="C157" s="3" t="s">
        <v>834</v>
      </c>
      <c r="D157" s="3" t="s">
        <v>511</v>
      </c>
      <c r="E157" s="2"/>
      <c r="F157" s="3" t="str">
        <f>IFERROR(__xludf.DUMMYFUNCTION("GOOGLETRANSLATE(A157, ""it"", ""en"")"),"156")</f>
        <v>156</v>
      </c>
      <c r="G157" s="3" t="str">
        <f>IFERROR(__xludf.DUMMYFUNCTION("GOOGLETRANSLATE(B157, ""it"", ""en"")"),"A player switches cheeses between throws without permission. What happens?")</f>
        <v>A player switches cheeses between throws without permission. What happens?</v>
      </c>
      <c r="H157" s="3" t="str">
        <f>IFERROR(__xludf.DUMMYFUNCTION("GOOGLETRANSLATE(C157, ""it"", ""en"")"),"A. The judge issues a penalty B. The cheese is accepted C. The shot is cancelled D. The player loses his turn")</f>
        <v>A. The judge issues a penalty B. The cheese is accepted C. The shot is cancelled D. The player loses his turn</v>
      </c>
      <c r="I157" s="3" t="str">
        <f>IFERROR(__xludf.DUMMYFUNCTION("GOOGLETRANSLATE(D157, ""it"", ""en"")"),"The judge awards a penalty")</f>
        <v>The judge awards a penalty</v>
      </c>
      <c r="J157" s="2"/>
      <c r="K157" s="2"/>
      <c r="L157" s="2"/>
      <c r="M157" s="2"/>
      <c r="N157" s="2"/>
      <c r="O157" s="2"/>
      <c r="P157" s="2"/>
      <c r="Q157" s="2"/>
      <c r="R157" s="2"/>
      <c r="S157" s="2"/>
      <c r="T157" s="2"/>
      <c r="U157" s="2"/>
      <c r="V157" s="2"/>
    </row>
    <row r="158" ht="22.5" customHeight="1">
      <c r="A158" s="3">
        <v>157.0</v>
      </c>
      <c r="B158" s="3" t="s">
        <v>835</v>
      </c>
      <c r="C158" s="3" t="s">
        <v>720</v>
      </c>
      <c r="D158" s="3" t="s">
        <v>517</v>
      </c>
      <c r="E158" s="2"/>
      <c r="F158" s="3" t="str">
        <f>IFERROR(__xludf.DUMMYFUNCTION("GOOGLETRANSLATE(A158, ""it"", ""en"")"),"157")</f>
        <v>157</v>
      </c>
      <c r="G158" s="3" t="str">
        <f>IFERROR(__xludf.DUMMYFUNCTION("GOOGLETRANSLATE(B158, ""it"", ""en"")"),"The cheese rolls backward after the throw and crosses the starting line. What happens?")</f>
        <v>The cheese rolls backward after the throw and crosses the starting line. What happens?</v>
      </c>
      <c r="H158" s="3" t="str">
        <f>IFERROR(__xludf.DUMMYFUNCTION("GOOGLETRANSLATE(C158, ""it"", ""en"")"),"A. The shot is valid B. The shot is cancelled C. The player loses the turn D. The judge awards a penalty")</f>
        <v>A. The shot is valid B. The shot is cancelled C. The player loses the turn D. The judge awards a penalty</v>
      </c>
      <c r="I158" s="3" t="str">
        <f>IFERROR(__xludf.DUMMYFUNCTION("GOOGLETRANSLATE(D158, ""it"", ""en"")"),"The shot is disallowed")</f>
        <v>The shot is disallowed</v>
      </c>
      <c r="J158" s="2"/>
      <c r="K158" s="2"/>
      <c r="L158" s="2"/>
      <c r="M158" s="2"/>
      <c r="N158" s="2"/>
      <c r="O158" s="2"/>
      <c r="P158" s="2"/>
      <c r="Q158" s="2"/>
      <c r="R158" s="2"/>
      <c r="S158" s="2"/>
      <c r="T158" s="2"/>
      <c r="U158" s="2"/>
      <c r="V158" s="2"/>
    </row>
    <row r="159" ht="22.5" customHeight="1">
      <c r="A159" s="3">
        <v>158.0</v>
      </c>
      <c r="B159" s="3" t="s">
        <v>836</v>
      </c>
      <c r="C159" s="3" t="s">
        <v>837</v>
      </c>
      <c r="D159" s="3" t="s">
        <v>500</v>
      </c>
      <c r="E159" s="2"/>
      <c r="F159" s="3" t="str">
        <f>IFERROR(__xludf.DUMMYFUNCTION("GOOGLETRANSLATE(A159, ""it"", ""en"")"),"158")</f>
        <v>158</v>
      </c>
      <c r="G159" s="3" t="str">
        <f>IFERROR(__xludf.DUMMYFUNCTION("GOOGLETRANSLATE(B159, ""it"", ""en"")"),"What happens if a cheese breaks into several pieces along the way?")</f>
        <v>What happens if a cheese breaks into several pieces along the way?</v>
      </c>
      <c r="H159" s="3" t="str">
        <f>IFERROR(__xludf.DUMMYFUNCTION("GOOGLETRANSLATE(C159, ""it"", ""en"")"),"A. The shot is retaken B. The point is awarded C. The shot is cancelled D. The judge awards a penalty")</f>
        <v>A. The shot is retaken B. The point is awarded C. The shot is cancelled D. The judge awards a penalty</v>
      </c>
      <c r="I159" s="3" t="str">
        <f>IFERROR(__xludf.DUMMYFUNCTION("GOOGLETRANSLATE(D159, ""it"", ""en"")"),"The shot is repeated")</f>
        <v>The shot is repeated</v>
      </c>
      <c r="J159" s="2"/>
      <c r="K159" s="2"/>
      <c r="L159" s="2"/>
      <c r="M159" s="2"/>
      <c r="N159" s="2"/>
      <c r="O159" s="2"/>
      <c r="P159" s="2"/>
      <c r="Q159" s="2"/>
      <c r="R159" s="2"/>
      <c r="S159" s="2"/>
      <c r="T159" s="2"/>
      <c r="U159" s="2"/>
      <c r="V159" s="2"/>
    </row>
    <row r="160" ht="22.5" customHeight="1">
      <c r="A160" s="3">
        <v>159.0</v>
      </c>
      <c r="B160" s="3" t="s">
        <v>838</v>
      </c>
      <c r="C160" s="3" t="s">
        <v>839</v>
      </c>
      <c r="D160" s="3" t="s">
        <v>598</v>
      </c>
      <c r="E160" s="2"/>
      <c r="F160" s="3" t="str">
        <f>IFERROR(__xludf.DUMMYFUNCTION("GOOGLETRANSLATE(A160, ""it"", ""en"")"),"159")</f>
        <v>159</v>
      </c>
      <c r="G160" s="3" t="str">
        <f>IFERROR(__xludf.DUMMYFUNCTION("GOOGLETRANSLATE(B160, ""it"", ""en"")"),"A player uses a non-regulation colored cheese. What happens?")</f>
        <v>A player uses a non-regulation colored cheese. What happens?</v>
      </c>
      <c r="H160" s="3" t="str">
        <f>IFERROR(__xludf.DUMMYFUNCTION("GOOGLETRANSLATE(C160, ""it"", ""en"")"),"A. The cheese is replaced B. The judge awards a penalty C. The shot is valid D. The shot is cancelled")</f>
        <v>A. The cheese is replaced B. The judge awards a penalty C. The shot is valid D. The shot is cancelled</v>
      </c>
      <c r="I160" s="3" t="str">
        <f>IFERROR(__xludf.DUMMYFUNCTION("GOOGLETRANSLATE(D160, ""it"", ""en"")"),"The cheese is replaced")</f>
        <v>The cheese is replaced</v>
      </c>
      <c r="J160" s="2"/>
      <c r="K160" s="2"/>
      <c r="L160" s="2"/>
      <c r="M160" s="2"/>
      <c r="N160" s="2"/>
      <c r="O160" s="2"/>
      <c r="P160" s="2"/>
      <c r="Q160" s="2"/>
      <c r="R160" s="2"/>
      <c r="S160" s="2"/>
      <c r="T160" s="2"/>
      <c r="U160" s="2"/>
      <c r="V160" s="2"/>
    </row>
    <row r="161" ht="22.5" customHeight="1">
      <c r="A161" s="3">
        <v>160.0</v>
      </c>
      <c r="B161" s="3" t="s">
        <v>840</v>
      </c>
      <c r="C161" s="3" t="s">
        <v>841</v>
      </c>
      <c r="D161" s="3" t="s">
        <v>500</v>
      </c>
      <c r="E161" s="2"/>
      <c r="F161" s="3" t="str">
        <f>IFERROR(__xludf.DUMMYFUNCTION("GOOGLETRANSLATE(A161, ""it"", ""en"")"),"160")</f>
        <v>160</v>
      </c>
      <c r="G161" s="3" t="str">
        <f>IFERROR(__xludf.DUMMYFUNCTION("GOOGLETRANSLATE(B161, ""it"", ""en"")"),"A player's cheese gets hit by an animal crossing the path. What happens?")</f>
        <v>A player's cheese gets hit by an animal crossing the path. What happens?</v>
      </c>
      <c r="H161" s="3" t="str">
        <f>IFERROR(__xludf.DUMMYFUNCTION("GOOGLETRANSLATE(C161, ""it"", ""en"")"),"A. The shot is retaken B. The point is awarded C. The shot is valid D. The judge awards a penalty")</f>
        <v>A. The shot is retaken B. The point is awarded C. The shot is valid D. The judge awards a penalty</v>
      </c>
      <c r="I161" s="3" t="str">
        <f>IFERROR(__xludf.DUMMYFUNCTION("GOOGLETRANSLATE(D161, ""it"", ""en"")"),"The shot is repeated")</f>
        <v>The shot is repeated</v>
      </c>
      <c r="J161" s="2"/>
      <c r="K161" s="2"/>
      <c r="L161" s="2"/>
      <c r="M161" s="2"/>
      <c r="N161" s="2"/>
      <c r="O161" s="2"/>
      <c r="P161" s="2"/>
      <c r="Q161" s="2"/>
      <c r="R161" s="2"/>
      <c r="S161" s="2"/>
      <c r="T161" s="2"/>
      <c r="U161" s="2"/>
      <c r="V161" s="2"/>
    </row>
    <row r="162" ht="22.5" customHeight="1">
      <c r="A162" s="3">
        <v>161.0</v>
      </c>
      <c r="B162" s="3" t="s">
        <v>842</v>
      </c>
      <c r="C162" s="3" t="s">
        <v>843</v>
      </c>
      <c r="D162" s="3" t="s">
        <v>511</v>
      </c>
      <c r="E162" s="2"/>
      <c r="F162" s="3" t="str">
        <f>IFERROR(__xludf.DUMMYFUNCTION("GOOGLETRANSLATE(A162, ""it"", ""en"")"),"161")</f>
        <v>161</v>
      </c>
      <c r="G162" s="3" t="str">
        <f>IFERROR(__xludf.DUMMYFUNCTION("GOOGLETRANSLATE(B162, ""it"", ""en"")"),"What happens if a thrown cheese damages the track?")</f>
        <v>What happens if a thrown cheese damages the track?</v>
      </c>
      <c r="H162" s="3" t="str">
        <f>IFERROR(__xludf.DUMMYFUNCTION("GOOGLETRANSLATE(C162, ""it"", ""en"")"),"A. The judge issues a penalty B. The shot is valid C. The cheese is removed D. The player loses his turn")</f>
        <v>A. The judge issues a penalty B. The shot is valid C. The cheese is removed D. The player loses his turn</v>
      </c>
      <c r="I162" s="3" t="str">
        <f>IFERROR(__xludf.DUMMYFUNCTION("GOOGLETRANSLATE(D162, ""it"", ""en"")"),"The judge awards a penalty")</f>
        <v>The judge awards a penalty</v>
      </c>
      <c r="J162" s="2"/>
      <c r="K162" s="2"/>
      <c r="L162" s="2"/>
      <c r="M162" s="2"/>
      <c r="N162" s="2"/>
      <c r="O162" s="2"/>
      <c r="P162" s="2"/>
      <c r="Q162" s="2"/>
      <c r="R162" s="2"/>
      <c r="S162" s="2"/>
      <c r="T162" s="2"/>
      <c r="U162" s="2"/>
      <c r="V162" s="2"/>
    </row>
    <row r="163" ht="22.5" customHeight="1">
      <c r="A163" s="3">
        <v>162.0</v>
      </c>
      <c r="B163" s="3" t="s">
        <v>844</v>
      </c>
      <c r="C163" s="3" t="s">
        <v>845</v>
      </c>
      <c r="D163" s="3" t="s">
        <v>9</v>
      </c>
      <c r="E163" s="2"/>
      <c r="F163" s="3" t="str">
        <f>IFERROR(__xludf.DUMMYFUNCTION("GOOGLETRANSLATE(A163, ""it"", ""en"")"),"162")</f>
        <v>162</v>
      </c>
      <c r="G163" s="3" t="str">
        <f>IFERROR(__xludf.DUMMYFUNCTION("GOOGLETRANSLATE(B163, ""it"", ""en"")"),"A player throws cheese at the judge. What happens?")</f>
        <v>A player throws cheese at the judge. What happens?</v>
      </c>
      <c r="H163" s="3" t="str">
        <f>IFERROR(__xludf.DUMMYFUNCTION("GOOGLETRANSLATE(C163, ""it"", ""en"")"),"A. The player is ejected B. The shot is valid C. The referee awards a penalty D. The game is suspended")</f>
        <v>A. The player is ejected B. The shot is valid C. The referee awards a penalty D. The game is suspended</v>
      </c>
      <c r="I163" s="3" t="str">
        <f>IFERROR(__xludf.DUMMYFUNCTION("GOOGLETRANSLATE(D163, ""it"", ""en"")"),"The player is sent off")</f>
        <v>The player is sent off</v>
      </c>
      <c r="J163" s="2"/>
      <c r="K163" s="2"/>
      <c r="L163" s="2"/>
      <c r="M163" s="2"/>
      <c r="N163" s="2"/>
      <c r="O163" s="2"/>
      <c r="P163" s="2"/>
      <c r="Q163" s="2"/>
      <c r="R163" s="2"/>
      <c r="S163" s="2"/>
      <c r="T163" s="2"/>
      <c r="U163" s="2"/>
      <c r="V163" s="2"/>
    </row>
    <row r="164" ht="22.5" customHeight="1">
      <c r="A164" s="3">
        <v>163.0</v>
      </c>
      <c r="B164" s="3" t="s">
        <v>846</v>
      </c>
      <c r="C164" s="3" t="s">
        <v>847</v>
      </c>
      <c r="D164" s="3" t="s">
        <v>500</v>
      </c>
      <c r="E164" s="2"/>
      <c r="F164" s="3" t="str">
        <f>IFERROR(__xludf.DUMMYFUNCTION("GOOGLETRANSLATE(A164, ""it"", ""en"")"),"163")</f>
        <v>163</v>
      </c>
      <c r="G164" s="3" t="str">
        <f>IFERROR(__xludf.DUMMYFUNCTION("GOOGLETRANSLATE(B164, ""it"", ""en"")"),"The thrown cheese stops somewhere out of sight on the track. What happens?")</f>
        <v>The thrown cheese stops somewhere out of sight on the track. What happens?</v>
      </c>
      <c r="H164" s="3" t="str">
        <f>IFERROR(__xludf.DUMMYFUNCTION("GOOGLETRANSLATE(C164, ""it"", ""en"")"),"A. The shot is retaken B. The judge awards a penalty C. The shot is valid D. The point is awarded")</f>
        <v>A. The shot is retaken B. The judge awards a penalty C. The shot is valid D. The point is awarded</v>
      </c>
      <c r="I164" s="3" t="str">
        <f>IFERROR(__xludf.DUMMYFUNCTION("GOOGLETRANSLATE(D164, ""it"", ""en"")"),"The shot is repeated")</f>
        <v>The shot is repeated</v>
      </c>
      <c r="J164" s="2"/>
      <c r="K164" s="2"/>
      <c r="L164" s="2"/>
      <c r="M164" s="2"/>
      <c r="N164" s="2"/>
      <c r="O164" s="2"/>
      <c r="P164" s="2"/>
      <c r="Q164" s="2"/>
      <c r="R164" s="2"/>
      <c r="S164" s="2"/>
      <c r="T164" s="2"/>
      <c r="U164" s="2"/>
      <c r="V164" s="2"/>
    </row>
    <row r="165" ht="22.5" customHeight="1">
      <c r="A165" s="3">
        <v>164.0</v>
      </c>
      <c r="B165" s="3" t="s">
        <v>848</v>
      </c>
      <c r="C165" s="3" t="s">
        <v>799</v>
      </c>
      <c r="D165" s="3" t="s">
        <v>517</v>
      </c>
      <c r="E165" s="2"/>
      <c r="F165" s="3" t="str">
        <f>IFERROR(__xludf.DUMMYFUNCTION("GOOGLETRANSLATE(A165, ""it"", ""en"")"),"164")</f>
        <v>164</v>
      </c>
      <c r="G165" s="3" t="str">
        <f>IFERROR(__xludf.DUMMYFUNCTION("GOOGLETRANSLATE(B165, ""it"", ""en"")"),"A player forgets to attach the ribbon to the cheese correctly. What happens?")</f>
        <v>A player forgets to attach the ribbon to the cheese correctly. What happens?</v>
      </c>
      <c r="H165" s="3" t="str">
        <f>IFERROR(__xludf.DUMMYFUNCTION("GOOGLETRANSLATE(C165, ""it"", ""en"")"),"A. The shot is cancelled B. The judge issues a penalty C. The shot is valid D. The player loses the turn")</f>
        <v>A. The shot is cancelled B. The judge issues a penalty C. The shot is valid D. The player loses the turn</v>
      </c>
      <c r="I165" s="3" t="str">
        <f>IFERROR(__xludf.DUMMYFUNCTION("GOOGLETRANSLATE(D165, ""it"", ""en"")"),"The shot is disallowed")</f>
        <v>The shot is disallowed</v>
      </c>
      <c r="J165" s="2"/>
      <c r="K165" s="2"/>
      <c r="L165" s="2"/>
      <c r="M165" s="2"/>
      <c r="N165" s="2"/>
      <c r="O165" s="2"/>
      <c r="P165" s="2"/>
      <c r="Q165" s="2"/>
      <c r="R165" s="2"/>
      <c r="S165" s="2"/>
      <c r="T165" s="2"/>
      <c r="U165" s="2"/>
      <c r="V165" s="2"/>
    </row>
    <row r="166" ht="22.5" customHeight="1">
      <c r="A166" s="3">
        <v>165.0</v>
      </c>
      <c r="B166" s="3" t="s">
        <v>849</v>
      </c>
      <c r="C166" s="3" t="s">
        <v>850</v>
      </c>
      <c r="D166" s="3" t="s">
        <v>494</v>
      </c>
      <c r="E166" s="2"/>
      <c r="F166" s="3" t="str">
        <f>IFERROR(__xludf.DUMMYFUNCTION("GOOGLETRANSLATE(A166, ""it"", ""en"")"),"165")</f>
        <v>165</v>
      </c>
      <c r="G166" s="3" t="str">
        <f>IFERROR(__xludf.DUMMYFUNCTION("GOOGLETRANSLATE(B166, ""it"", ""en"")"),"The cheese hits an area outside the path but comes back in. What happens?")</f>
        <v>The cheese hits an area outside the path but comes back in. What happens?</v>
      </c>
      <c r="H166" s="3" t="str">
        <f>IFERROR(__xludf.DUMMYFUNCTION("GOOGLETRANSLATE(C166, ""it"", ""en"")"),"A. The shot is valid B. The shot is retaken C. The point is awarded D. The judge awards a penalty")</f>
        <v>A. The shot is valid B. The shot is retaken C. The point is awarded D. The judge awards a penalty</v>
      </c>
      <c r="I166" s="3" t="str">
        <f>IFERROR(__xludf.DUMMYFUNCTION("GOOGLETRANSLATE(D166, ""it"", ""en"")"),"The shot is valid")</f>
        <v>The shot is valid</v>
      </c>
      <c r="J166" s="2"/>
      <c r="K166" s="2"/>
      <c r="L166" s="2"/>
      <c r="M166" s="2"/>
      <c r="N166" s="2"/>
      <c r="O166" s="2"/>
      <c r="P166" s="2"/>
      <c r="Q166" s="2"/>
      <c r="R166" s="2"/>
      <c r="S166" s="2"/>
      <c r="T166" s="2"/>
      <c r="U166" s="2"/>
      <c r="V166" s="2"/>
    </row>
    <row r="167" ht="22.5" customHeight="1">
      <c r="A167" s="3">
        <v>166.0</v>
      </c>
      <c r="B167" s="3" t="s">
        <v>851</v>
      </c>
      <c r="C167" s="3" t="s">
        <v>757</v>
      </c>
      <c r="D167" s="3" t="s">
        <v>684</v>
      </c>
      <c r="E167" s="2"/>
      <c r="F167" s="3" t="str">
        <f>IFERROR(__xludf.DUMMYFUNCTION("GOOGLETRANSLATE(A167, ""it"", ""en"")"),"166")</f>
        <v>166</v>
      </c>
      <c r="G167" s="3" t="str">
        <f>IFERROR(__xludf.DUMMYFUNCTION("GOOGLETRANSLATE(B167, ""it"", ""en"")"),"What happens if a player misses a round without justification?")</f>
        <v>What happens if a player misses a round without justification?</v>
      </c>
      <c r="H167" s="3" t="str">
        <f>IFERROR(__xludf.DUMMYFUNCTION("GOOGLETRANSLATE(C167, ""it"", ""en"")"),"A. The turn is skipped B. The judge issues a penalty C. The player is ejected D. The game is suspended")</f>
        <v>A. The turn is skipped B. The judge issues a penalty C. The player is ejected D. The game is suspended</v>
      </c>
      <c r="I167" s="3" t="str">
        <f>IFERROR(__xludf.DUMMYFUNCTION("GOOGLETRANSLATE(D167, ""it"", ""en"")"),"The turn is skipped")</f>
        <v>The turn is skipped</v>
      </c>
      <c r="J167" s="2"/>
      <c r="K167" s="2"/>
      <c r="L167" s="2"/>
      <c r="M167" s="2"/>
      <c r="N167" s="2"/>
      <c r="O167" s="2"/>
      <c r="P167" s="2"/>
      <c r="Q167" s="2"/>
      <c r="R167" s="2"/>
      <c r="S167" s="2"/>
      <c r="T167" s="2"/>
      <c r="U167" s="2"/>
      <c r="V167" s="2"/>
    </row>
    <row r="168" ht="22.5" customHeight="1">
      <c r="A168" s="3">
        <v>167.0</v>
      </c>
      <c r="B168" s="3" t="s">
        <v>852</v>
      </c>
      <c r="C168" s="3" t="s">
        <v>799</v>
      </c>
      <c r="D168" s="3" t="s">
        <v>517</v>
      </c>
      <c r="E168" s="2"/>
      <c r="F168" s="3" t="str">
        <f>IFERROR(__xludf.DUMMYFUNCTION("GOOGLETRANSLATE(A168, ""it"", ""en"")"),"167")</f>
        <v>167</v>
      </c>
      <c r="G168" s="3" t="str">
        <f>IFERROR(__xludf.DUMMYFUNCTION("GOOGLETRANSLATE(B168, ""it"", ""en"")"),"The cheese is thrown but doesn't even reach halfway. What happens?")</f>
        <v>The cheese is thrown but doesn't even reach halfway. What happens?</v>
      </c>
      <c r="H168" s="3" t="str">
        <f>IFERROR(__xludf.DUMMYFUNCTION("GOOGLETRANSLATE(C168, ""it"", ""en"")"),"A. The shot is cancelled B. The judge issues a penalty C. The shot is valid D. The player loses the turn")</f>
        <v>A. The shot is cancelled B. The judge issues a penalty C. The shot is valid D. The player loses the turn</v>
      </c>
      <c r="I168" s="3" t="str">
        <f>IFERROR(__xludf.DUMMYFUNCTION("GOOGLETRANSLATE(D168, ""it"", ""en"")"),"The shot is disallowed")</f>
        <v>The shot is disallowed</v>
      </c>
      <c r="J168" s="2"/>
      <c r="K168" s="2"/>
      <c r="L168" s="2"/>
      <c r="M168" s="2"/>
      <c r="N168" s="2"/>
      <c r="O168" s="2"/>
      <c r="P168" s="2"/>
      <c r="Q168" s="2"/>
      <c r="R168" s="2"/>
      <c r="S168" s="2"/>
      <c r="T168" s="2"/>
      <c r="U168" s="2"/>
      <c r="V168" s="2"/>
    </row>
    <row r="169" ht="22.5" customHeight="1">
      <c r="A169" s="3">
        <v>168.0</v>
      </c>
      <c r="B169" s="3" t="s">
        <v>853</v>
      </c>
      <c r="C169" s="3" t="s">
        <v>854</v>
      </c>
      <c r="D169" s="3" t="s">
        <v>511</v>
      </c>
      <c r="E169" s="2"/>
      <c r="F169" s="3" t="str">
        <f>IFERROR(__xludf.DUMMYFUNCTION("GOOGLETRANSLATE(A169, ""it"", ""en"")"),"168")</f>
        <v>168</v>
      </c>
      <c r="G169" s="3" t="str">
        <f>IFERROR(__xludf.DUMMYFUNCTION("GOOGLETRANSLATE(B169, ""it"", ""en"")"),"A player tries to throw the cheese into two consecutive pieces. What happens?")</f>
        <v>A player tries to throw the cheese into two consecutive pieces. What happens?</v>
      </c>
      <c r="H169" s="3" t="str">
        <f>IFERROR(__xludf.DUMMYFUNCTION("GOOGLETRANSLATE(C169, ""it"", ""en"")"),"A. The judge awards a penalty B. The shot is cancelled C. The player loses his turn D. The judge suspends the game")</f>
        <v>A. The judge awards a penalty B. The shot is cancelled C. The player loses his turn D. The judge suspends the game</v>
      </c>
      <c r="I169" s="3" t="str">
        <f>IFERROR(__xludf.DUMMYFUNCTION("GOOGLETRANSLATE(D169, ""it"", ""en"")"),"The judge awards a penalty")</f>
        <v>The judge awards a penalty</v>
      </c>
      <c r="J169" s="2"/>
      <c r="K169" s="2"/>
      <c r="L169" s="2"/>
      <c r="M169" s="2"/>
      <c r="N169" s="2"/>
      <c r="O169" s="2"/>
      <c r="P169" s="2"/>
      <c r="Q169" s="2"/>
      <c r="R169" s="2"/>
      <c r="S169" s="2"/>
      <c r="T169" s="2"/>
      <c r="U169" s="2"/>
      <c r="V169" s="2"/>
    </row>
    <row r="170" ht="22.5" customHeight="1">
      <c r="A170" s="3">
        <v>169.0</v>
      </c>
      <c r="B170" s="3" t="s">
        <v>855</v>
      </c>
      <c r="C170" s="3" t="s">
        <v>856</v>
      </c>
      <c r="D170" s="3" t="s">
        <v>857</v>
      </c>
      <c r="E170" s="2"/>
      <c r="F170" s="3" t="str">
        <f>IFERROR(__xludf.DUMMYFUNCTION("GOOGLETRANSLATE(A170, ""it"", ""en"")"),"169")</f>
        <v>169</v>
      </c>
      <c r="G170" s="3" t="str">
        <f>IFERROR(__xludf.DUMMYFUNCTION("GOOGLETRANSLATE(B170, ""it"", ""en"")"),"The thrown cheese hits an artificial obstacle placed by an opponent. What happens?")</f>
        <v>The thrown cheese hits an artificial obstacle placed by an opponent. What happens?</v>
      </c>
      <c r="H170" s="3" t="str">
        <f>IFERROR(__xludf.DUMMYFUNCTION("GOOGLETRANSLATE(C170, ""it"", ""en"")"),"A. The shot is retaken B. The judge awards a penalty to the opponent C. The point is awarded D. The player loses the turn")</f>
        <v>A. The shot is retaken B. The judge awards a penalty to the opponent C. The point is awarded D. The player loses the turn</v>
      </c>
      <c r="I170" s="3" t="str">
        <f>IFERROR(__xludf.DUMMYFUNCTION("GOOGLETRANSLATE(D170, ""it"", ""en"")"),"The judge awards a penalty to the opponent")</f>
        <v>The judge awards a penalty to the opponent</v>
      </c>
      <c r="J170" s="2"/>
      <c r="K170" s="2"/>
      <c r="L170" s="2"/>
      <c r="M170" s="2"/>
      <c r="N170" s="2"/>
      <c r="O170" s="2"/>
      <c r="P170" s="2"/>
      <c r="Q170" s="2"/>
      <c r="R170" s="2"/>
      <c r="S170" s="2"/>
      <c r="T170" s="2"/>
      <c r="U170" s="2"/>
      <c r="V170" s="2"/>
    </row>
    <row r="171" ht="22.5" customHeight="1">
      <c r="A171" s="3">
        <v>170.0</v>
      </c>
      <c r="B171" s="3" t="s">
        <v>858</v>
      </c>
      <c r="C171" s="3" t="s">
        <v>859</v>
      </c>
      <c r="D171" s="3" t="s">
        <v>517</v>
      </c>
      <c r="E171" s="2"/>
      <c r="F171" s="3" t="str">
        <f>IFERROR(__xludf.DUMMYFUNCTION("GOOGLETRANSLATE(A171, ""it"", ""en"")"),"170")</f>
        <v>170</v>
      </c>
      <c r="G171" s="3" t="str">
        <f>IFERROR(__xludf.DUMMYFUNCTION("GOOGLETRANSLATE(B171, ""it"", ""en"")"),"What happens if a player doesn't follow the throwing order?")</f>
        <v>What happens if a player doesn't follow the throwing order?</v>
      </c>
      <c r="H171" s="3" t="str">
        <f>IFERROR(__xludf.DUMMYFUNCTION("GOOGLETRANSLATE(C171, ""it"", ""en"")"),"A. The shot is disallowed B. The judge awards a penalty C. The player loses his turn D. The game is suspended")</f>
        <v>A. The shot is disallowed B. The judge awards a penalty C. The player loses his turn D. The game is suspended</v>
      </c>
      <c r="I171" s="3" t="str">
        <f>IFERROR(__xludf.DUMMYFUNCTION("GOOGLETRANSLATE(D171, ""it"", ""en"")"),"The shot is disallowed")</f>
        <v>The shot is disallowed</v>
      </c>
      <c r="J171" s="2"/>
      <c r="K171" s="2"/>
      <c r="L171" s="2"/>
      <c r="M171" s="2"/>
      <c r="N171" s="2"/>
      <c r="O171" s="2"/>
      <c r="P171" s="2"/>
      <c r="Q171" s="2"/>
      <c r="R171" s="2"/>
      <c r="S171" s="2"/>
      <c r="T171" s="2"/>
      <c r="U171" s="2"/>
      <c r="V171" s="2"/>
    </row>
    <row r="172" ht="22.5" customHeight="1">
      <c r="A172" s="3">
        <v>171.0</v>
      </c>
      <c r="B172" s="3" t="s">
        <v>860</v>
      </c>
      <c r="C172" s="3" t="s">
        <v>861</v>
      </c>
      <c r="D172" s="3" t="s">
        <v>616</v>
      </c>
      <c r="E172" s="2"/>
      <c r="F172" s="3" t="str">
        <f>IFERROR(__xludf.DUMMYFUNCTION("GOOGLETRANSLATE(A172, ""it"", ""en"")"),"171")</f>
        <v>171</v>
      </c>
      <c r="G172" s="3" t="str">
        <f>IFERROR(__xludf.DUMMYFUNCTION("GOOGLETRANSLATE(B172, ""it"", ""en"")"),"A cheese crosses the finish line exactly on the line. What happens?")</f>
        <v>A cheese crosses the finish line exactly on the line. What happens?</v>
      </c>
      <c r="H172" s="3" t="str">
        <f>IFERROR(__xludf.DUMMYFUNCTION("GOOGLETRANSLATE(C172, ""it"", ""en"")"),"A. The point is awarded B. The shot is cancelled C. The judge decides the score D. The shot is valid")</f>
        <v>A. The point is awarded B. The shot is cancelled C. The judge decides the score D. The shot is valid</v>
      </c>
      <c r="I172" s="3" t="str">
        <f>IFERROR(__xludf.DUMMYFUNCTION("GOOGLETRANSLATE(D172, ""it"", ""en"")"),"The point is awarded")</f>
        <v>The point is awarded</v>
      </c>
      <c r="J172" s="2"/>
      <c r="K172" s="2"/>
      <c r="L172" s="2"/>
      <c r="M172" s="2"/>
      <c r="N172" s="2"/>
      <c r="O172" s="2"/>
      <c r="P172" s="2"/>
      <c r="Q172" s="2"/>
      <c r="R172" s="2"/>
      <c r="S172" s="2"/>
      <c r="T172" s="2"/>
      <c r="U172" s="2"/>
      <c r="V172" s="2"/>
    </row>
    <row r="173" ht="22.5" customHeight="1">
      <c r="A173" s="3">
        <v>172.0</v>
      </c>
      <c r="B173" s="3" t="s">
        <v>862</v>
      </c>
      <c r="C173" s="3" t="s">
        <v>863</v>
      </c>
      <c r="D173" s="3" t="s">
        <v>494</v>
      </c>
      <c r="E173" s="2"/>
      <c r="F173" s="3" t="str">
        <f>IFERROR(__xludf.DUMMYFUNCTION("GOOGLETRANSLATE(A173, ""it"", ""en"")"),"172")</f>
        <v>172</v>
      </c>
      <c r="G173" s="3" t="str">
        <f>IFERROR(__xludf.DUMMYFUNCTION("GOOGLETRANSLATE(B173, ""it"", ""en"")"),"The thrown cheese lands in a natural hole in the path. What happens?")</f>
        <v>The thrown cheese lands in a natural hole in the path. What happens?</v>
      </c>
      <c r="H173" s="3" t="str">
        <f>IFERROR(__xludf.DUMMYFUNCTION("GOOGLETRANSLATE(C173, ""it"", ""en"")"),"A. The shot is valid B. The judge awards a penalty C. The point is cancelled D. The shot is retaken")</f>
        <v>A. The shot is valid B. The judge awards a penalty C. The point is cancelled D. The shot is retaken</v>
      </c>
      <c r="I173" s="3" t="str">
        <f>IFERROR(__xludf.DUMMYFUNCTION("GOOGLETRANSLATE(D173, ""it"", ""en"")"),"The shot is valid")</f>
        <v>The shot is valid</v>
      </c>
      <c r="J173" s="2"/>
      <c r="K173" s="2"/>
      <c r="L173" s="2"/>
      <c r="M173" s="2"/>
      <c r="N173" s="2"/>
      <c r="O173" s="2"/>
      <c r="P173" s="2"/>
      <c r="Q173" s="2"/>
      <c r="R173" s="2"/>
      <c r="S173" s="2"/>
      <c r="T173" s="2"/>
      <c r="U173" s="2"/>
      <c r="V173" s="2"/>
    </row>
    <row r="174" ht="22.5" customHeight="1">
      <c r="A174" s="3">
        <v>173.0</v>
      </c>
      <c r="B174" s="3" t="s">
        <v>864</v>
      </c>
      <c r="C174" s="3" t="s">
        <v>865</v>
      </c>
      <c r="D174" s="3" t="s">
        <v>517</v>
      </c>
      <c r="E174" s="2"/>
      <c r="F174" s="3" t="str">
        <f>IFERROR(__xludf.DUMMYFUNCTION("GOOGLETRANSLATE(A174, ""it"", ""en"")"),"173")</f>
        <v>173</v>
      </c>
      <c r="G174" s="3" t="str">
        <f>IFERROR(__xludf.DUMMYFUNCTION("GOOGLETRANSLATE(B174, ""it"", ""en"")"),"A player throws before the umpire's signal. What happens?")</f>
        <v>A player throws before the umpire's signal. What happens?</v>
      </c>
      <c r="H174" s="3" t="str">
        <f>IFERROR(__xludf.DUMMYFUNCTION("GOOGLETRANSLATE(C174, ""it"", ""en"")"),"A. The shot is cancelled B. The player loses the turn C. The judge issues a penalty D. The shot is valid")</f>
        <v>A. The shot is cancelled B. The player loses the turn C. The judge issues a penalty D. The shot is valid</v>
      </c>
      <c r="I174" s="3" t="str">
        <f>IFERROR(__xludf.DUMMYFUNCTION("GOOGLETRANSLATE(D174, ""it"", ""en"")"),"The shot is disallowed")</f>
        <v>The shot is disallowed</v>
      </c>
      <c r="J174" s="2"/>
      <c r="K174" s="2"/>
      <c r="L174" s="2"/>
      <c r="M174" s="2"/>
      <c r="N174" s="2"/>
      <c r="O174" s="2"/>
      <c r="P174" s="2"/>
      <c r="Q174" s="2"/>
      <c r="R174" s="2"/>
      <c r="S174" s="2"/>
      <c r="T174" s="2"/>
      <c r="U174" s="2"/>
      <c r="V174" s="2"/>
    </row>
    <row r="175" ht="22.5" customHeight="1">
      <c r="A175" s="3">
        <v>174.0</v>
      </c>
      <c r="B175" s="3" t="s">
        <v>866</v>
      </c>
      <c r="C175" s="3" t="s">
        <v>867</v>
      </c>
      <c r="D175" s="3" t="s">
        <v>868</v>
      </c>
      <c r="E175" s="2"/>
      <c r="F175" s="3" t="str">
        <f>IFERROR(__xludf.DUMMYFUNCTION("GOOGLETRANSLATE(A175, ""it"", ""en"")"),"174")</f>
        <v>174</v>
      </c>
      <c r="G175" s="3" t="str">
        <f>IFERROR(__xludf.DUMMYFUNCTION("GOOGLETRANSLATE(B175, ""it"", ""en"")"),"The thrown cheese splits into two pieces. What happens?")</f>
        <v>The thrown cheese splits into two pieces. What happens?</v>
      </c>
      <c r="H175" s="3" t="str">
        <f>IFERROR(__xludf.DUMMYFUNCTION("GOOGLETRANSLATE(C175, ""it"", ""en"")"),"A. The shot is repeated B. The larger piece is considered valid C. The shot is cancelled D. The point is awarded")</f>
        <v>A. The shot is repeated B. The larger piece is considered valid C. The shot is cancelled D. The point is awarded</v>
      </c>
      <c r="I175" s="3" t="str">
        <f>IFERROR(__xludf.DUMMYFUNCTION("GOOGLETRANSLATE(D175, ""it"", ""en"")"),"The largest piece is considered valid")</f>
        <v>The largest piece is considered valid</v>
      </c>
      <c r="J175" s="2"/>
      <c r="K175" s="2"/>
      <c r="L175" s="2"/>
      <c r="M175" s="2"/>
      <c r="N175" s="2"/>
      <c r="O175" s="2"/>
      <c r="P175" s="2"/>
      <c r="Q175" s="2"/>
      <c r="R175" s="2"/>
      <c r="S175" s="2"/>
      <c r="T175" s="2"/>
      <c r="U175" s="2"/>
      <c r="V175" s="2"/>
    </row>
    <row r="176" ht="22.5" customHeight="1">
      <c r="A176" s="3">
        <v>175.0</v>
      </c>
      <c r="B176" s="3" t="s">
        <v>869</v>
      </c>
      <c r="C176" s="3" t="s">
        <v>870</v>
      </c>
      <c r="D176" s="3" t="s">
        <v>786</v>
      </c>
      <c r="E176" s="2"/>
      <c r="F176" s="3" t="str">
        <f>IFERROR(__xludf.DUMMYFUNCTION("GOOGLETRANSLATE(A176, ""it"", ""en"")"),"175")</f>
        <v>175</v>
      </c>
      <c r="G176" s="3" t="str">
        <f>IFERROR(__xludf.DUMMYFUNCTION("GOOGLETRANSLATE(B176, ""it"", ""en"")"),"What happens if the thrown cheese gets stuck in a crack in the path?")</f>
        <v>What happens if the thrown cheese gets stuck in a crack in the path?</v>
      </c>
      <c r="H176" s="3" t="str">
        <f>IFERROR(__xludf.DUMMYFUNCTION("GOOGLETRANSLATE(C176, ""it"", ""en"")"),"A. The judge awards a penalty B. The shot is retaken C. The cheese is removed D. The point is awarded")</f>
        <v>A. The judge awards a penalty B. The shot is retaken C. The cheese is removed D. The point is awarded</v>
      </c>
      <c r="I176" s="3" t="str">
        <f>IFERROR(__xludf.DUMMYFUNCTION("GOOGLETRANSLATE(D176, ""it"", ""en"")"),"The cheese is removed")</f>
        <v>The cheese is removed</v>
      </c>
      <c r="J176" s="2"/>
      <c r="K176" s="2"/>
      <c r="L176" s="2"/>
      <c r="M176" s="2"/>
      <c r="N176" s="2"/>
      <c r="O176" s="2"/>
      <c r="P176" s="2"/>
      <c r="Q176" s="2"/>
      <c r="R176" s="2"/>
      <c r="S176" s="2"/>
      <c r="T176" s="2"/>
      <c r="U176" s="2"/>
      <c r="V176" s="2"/>
    </row>
    <row r="177" ht="22.5" customHeight="1">
      <c r="A177" s="3">
        <v>176.0</v>
      </c>
      <c r="B177" s="3" t="s">
        <v>871</v>
      </c>
      <c r="C177" s="3" t="s">
        <v>872</v>
      </c>
      <c r="D177" s="3" t="s">
        <v>511</v>
      </c>
      <c r="E177" s="2"/>
      <c r="F177" s="3" t="str">
        <f>IFERROR(__xludf.DUMMYFUNCTION("GOOGLETRANSLATE(A177, ""it"", ""en"")"),"176")</f>
        <v>176</v>
      </c>
      <c r="G177" s="3" t="str">
        <f>IFERROR(__xludf.DUMMYFUNCTION("GOOGLETRANSLATE(B177, ""it"", ""en"")"),"A player tries to disrupt an opponent's throw. What happens?")</f>
        <v>A player tries to disrupt an opponent's throw. What happens?</v>
      </c>
      <c r="H177" s="3" t="str">
        <f>IFERROR(__xludf.DUMMYFUNCTION("GOOGLETRANSLATE(C177, ""it"", ""en"")"),"A. The player is cautioned B. The opponent's turn is repeated C. The player is sent off D. The referee awards a penalty")</f>
        <v>A. The player is cautioned B. The opponent's turn is repeated C. The player is sent off D. The referee awards a penalty</v>
      </c>
      <c r="I177" s="3" t="str">
        <f>IFERROR(__xludf.DUMMYFUNCTION("GOOGLETRANSLATE(D177, ""it"", ""en"")"),"The judge awards a penalty")</f>
        <v>The judge awards a penalty</v>
      </c>
      <c r="J177" s="2"/>
      <c r="K177" s="2"/>
      <c r="L177" s="2"/>
      <c r="M177" s="2"/>
      <c r="N177" s="2"/>
      <c r="O177" s="2"/>
      <c r="P177" s="2"/>
      <c r="Q177" s="2"/>
      <c r="R177" s="2"/>
      <c r="S177" s="2"/>
      <c r="T177" s="2"/>
      <c r="U177" s="2"/>
      <c r="V177" s="2"/>
    </row>
    <row r="178" ht="22.5" customHeight="1">
      <c r="A178" s="3">
        <v>177.0</v>
      </c>
      <c r="B178" s="3" t="s">
        <v>873</v>
      </c>
      <c r="C178" s="3" t="s">
        <v>874</v>
      </c>
      <c r="D178" s="3" t="s">
        <v>616</v>
      </c>
      <c r="E178" s="2"/>
      <c r="F178" s="3" t="str">
        <f>IFERROR(__xludf.DUMMYFUNCTION("GOOGLETRANSLATE(A178, ""it"", ""en"")"),"177")</f>
        <v>177</v>
      </c>
      <c r="G178" s="3" t="str">
        <f>IFERROR(__xludf.DUMMYFUNCTION("GOOGLETRANSLATE(B178, ""it"", ""en"")"),"The cheese lands exactly at the finish line and stops there. What happens?")</f>
        <v>The cheese lands exactly at the finish line and stops there. What happens?</v>
      </c>
      <c r="H178" s="3" t="str">
        <f>IFERROR(__xludf.DUMMYFUNCTION("GOOGLETRANSLATE(C178, ""it"", ""en"")"),"A. The point is awarded B. The shot is retaken C. The judge decides D. The shot is cancelled")</f>
        <v>A. The point is awarded B. The shot is retaken C. The judge decides D. The shot is cancelled</v>
      </c>
      <c r="I178" s="3" t="str">
        <f>IFERROR(__xludf.DUMMYFUNCTION("GOOGLETRANSLATE(D178, ""it"", ""en"")"),"The point is awarded")</f>
        <v>The point is awarded</v>
      </c>
      <c r="J178" s="2"/>
      <c r="K178" s="2"/>
      <c r="L178" s="2"/>
      <c r="M178" s="2"/>
      <c r="N178" s="2"/>
      <c r="O178" s="2"/>
      <c r="P178" s="2"/>
      <c r="Q178" s="2"/>
      <c r="R178" s="2"/>
      <c r="S178" s="2"/>
      <c r="T178" s="2"/>
      <c r="U178" s="2"/>
      <c r="V178" s="2"/>
    </row>
    <row r="179" ht="22.5" customHeight="1">
      <c r="A179" s="3">
        <v>178.0</v>
      </c>
      <c r="B179" s="3" t="s">
        <v>875</v>
      </c>
      <c r="C179" s="3" t="s">
        <v>876</v>
      </c>
      <c r="D179" s="3" t="s">
        <v>549</v>
      </c>
      <c r="E179" s="2"/>
      <c r="F179" s="3" t="str">
        <f>IFERROR(__xludf.DUMMYFUNCTION("GOOGLETRANSLATE(A179, ""it"", ""en"")"),"178")</f>
        <v>178</v>
      </c>
      <c r="G179" s="3" t="str">
        <f>IFERROR(__xludf.DUMMYFUNCTION("GOOGLETRANSLATE(B179, ""it"", ""en"")"),"A player throws the cheese and it doesn't move from its starting point. What happens?")</f>
        <v>A player throws the cheese and it doesn't move from its starting point. What happens?</v>
      </c>
      <c r="H179" s="3" t="str">
        <f>IFERROR(__xludf.DUMMYFUNCTION("GOOGLETRANSLATE(C179, ""it"", ""en"")"),"A. The shot is cancelled B. The shot is retaken C. The judge issues a penalty D. The player loses the turn")</f>
        <v>A. The shot is cancelled B. The shot is retaken C. The judge issues a penalty D. The player loses the turn</v>
      </c>
      <c r="I179" s="3" t="str">
        <f>IFERROR(__xludf.DUMMYFUNCTION("GOOGLETRANSLATE(D179, ""it"", ""en"")"),"The player loses the turn")</f>
        <v>The player loses the turn</v>
      </c>
      <c r="J179" s="2"/>
      <c r="K179" s="2"/>
      <c r="L179" s="2"/>
      <c r="M179" s="2"/>
      <c r="N179" s="2"/>
      <c r="O179" s="2"/>
      <c r="P179" s="2"/>
      <c r="Q179" s="2"/>
      <c r="R179" s="2"/>
      <c r="S179" s="2"/>
      <c r="T179" s="2"/>
      <c r="U179" s="2"/>
      <c r="V179" s="2"/>
    </row>
    <row r="180" ht="22.5" customHeight="1">
      <c r="A180" s="3">
        <v>179.0</v>
      </c>
      <c r="B180" s="3" t="s">
        <v>877</v>
      </c>
      <c r="C180" s="3" t="s">
        <v>878</v>
      </c>
      <c r="D180" s="3" t="s">
        <v>809</v>
      </c>
      <c r="E180" s="2"/>
      <c r="F180" s="3" t="str">
        <f>IFERROR(__xludf.DUMMYFUNCTION("GOOGLETRANSLATE(A180, ""it"", ""en"")"),"179")</f>
        <v>179</v>
      </c>
      <c r="G180" s="3" t="str">
        <f>IFERROR(__xludf.DUMMYFUNCTION("GOOGLETRANSLATE(B180, ""it"", ""en"")"),"The thrown cheese hits a cheese already on the path. What happens?")</f>
        <v>The thrown cheese hits a cheese already on the path. What happens?</v>
      </c>
      <c r="H180" s="3" t="str">
        <f>IFERROR(__xludf.DUMMYFUNCTION("GOOGLETRANSLATE(C180, ""it"", ""en"")"),"A. Both shots are valid B. The judge awards a penalty C. The shot is retaken D. The point is awarded")</f>
        <v>A. Both shots are valid B. The judge awards a penalty C. The shot is retaken D. The point is awarded</v>
      </c>
      <c r="I180" s="3" t="str">
        <f>IFERROR(__xludf.DUMMYFUNCTION("GOOGLETRANSLATE(D180, ""it"", ""en"")"),"Both shots are valid")</f>
        <v>Both shots are valid</v>
      </c>
      <c r="J180" s="2"/>
      <c r="K180" s="2"/>
      <c r="L180" s="2"/>
      <c r="M180" s="2"/>
      <c r="N180" s="2"/>
      <c r="O180" s="2"/>
      <c r="P180" s="2"/>
      <c r="Q180" s="2"/>
      <c r="R180" s="2"/>
      <c r="S180" s="2"/>
      <c r="T180" s="2"/>
      <c r="U180" s="2"/>
      <c r="V180" s="2"/>
    </row>
    <row r="181" ht="22.5" customHeight="1">
      <c r="A181" s="3">
        <v>180.0</v>
      </c>
      <c r="B181" s="3" t="s">
        <v>879</v>
      </c>
      <c r="C181" s="3" t="s">
        <v>880</v>
      </c>
      <c r="D181" s="3" t="s">
        <v>684</v>
      </c>
      <c r="E181" s="2"/>
      <c r="F181" s="3" t="str">
        <f>IFERROR(__xludf.DUMMYFUNCTION("GOOGLETRANSLATE(A181, ""it"", ""en"")"),"180")</f>
        <v>180</v>
      </c>
      <c r="G181" s="3" t="str">
        <f>IFERROR(__xludf.DUMMYFUNCTION("GOOGLETRANSLATE(B181, ""it"", ""en"")"),"What happens if a player refuses to throw the cheese on his turn?")</f>
        <v>What happens if a player refuses to throw the cheese on his turn?</v>
      </c>
      <c r="H181" s="3" t="str">
        <f>IFERROR(__xludf.DUMMYFUNCTION("GOOGLETRANSLATE(C181, ""it"", ""en"")"),"A. The turn is skipped B. The player is cautioned C. The referee awards a penalty D. The game is suspended")</f>
        <v>A. The turn is skipped B. The player is cautioned C. The referee awards a penalty D. The game is suspended</v>
      </c>
      <c r="I181" s="3" t="str">
        <f>IFERROR(__xludf.DUMMYFUNCTION("GOOGLETRANSLATE(D181, ""it"", ""en"")"),"The turn is skipped")</f>
        <v>The turn is skipped</v>
      </c>
      <c r="J181" s="2"/>
      <c r="K181" s="2"/>
      <c r="L181" s="2"/>
      <c r="M181" s="2"/>
      <c r="N181" s="2"/>
      <c r="O181" s="2"/>
      <c r="P181" s="2"/>
      <c r="Q181" s="2"/>
      <c r="R181" s="2"/>
      <c r="S181" s="2"/>
      <c r="T181" s="2"/>
      <c r="U181" s="2"/>
      <c r="V181" s="2"/>
    </row>
    <row r="182" ht="22.5" customHeight="1">
      <c r="A182" s="3">
        <v>181.0</v>
      </c>
      <c r="B182" s="3" t="s">
        <v>881</v>
      </c>
      <c r="C182" s="3" t="s">
        <v>746</v>
      </c>
      <c r="D182" s="3" t="s">
        <v>494</v>
      </c>
      <c r="E182" s="2"/>
      <c r="F182" s="3" t="str">
        <f>IFERROR(__xludf.DUMMYFUNCTION("GOOGLETRANSLATE(A182, ""it"", ""en"")"),"181")</f>
        <v>181</v>
      </c>
      <c r="G182" s="3" t="str">
        <f>IFERROR(__xludf.DUMMYFUNCTION("GOOGLETRANSLATE(B182, ""it"", ""en"")"),"The cheese stops in an unstable position and falls after a few seconds. What happens?")</f>
        <v>The cheese stops in an unstable position and falls after a few seconds. What happens?</v>
      </c>
      <c r="H182" s="3" t="str">
        <f>IFERROR(__xludf.DUMMYFUNCTION("GOOGLETRANSLATE(C182, ""it"", ""en"")"),"A. The point is awarded B. The shot is retaken C. The shot is valid D. The judge awards a penalty")</f>
        <v>A. The point is awarded B. The shot is retaken C. The shot is valid D. The judge awards a penalty</v>
      </c>
      <c r="I182" s="3" t="str">
        <f>IFERROR(__xludf.DUMMYFUNCTION("GOOGLETRANSLATE(D182, ""it"", ""en"")"),"The shot is valid")</f>
        <v>The shot is valid</v>
      </c>
      <c r="J182" s="2"/>
      <c r="K182" s="2"/>
      <c r="L182" s="2"/>
      <c r="M182" s="2"/>
      <c r="N182" s="2"/>
      <c r="O182" s="2"/>
      <c r="P182" s="2"/>
      <c r="Q182" s="2"/>
      <c r="R182" s="2"/>
      <c r="S182" s="2"/>
      <c r="T182" s="2"/>
      <c r="U182" s="2"/>
      <c r="V182" s="2"/>
    </row>
    <row r="183" ht="22.5" customHeight="1">
      <c r="A183" s="3">
        <v>182.0</v>
      </c>
      <c r="B183" s="3" t="s">
        <v>882</v>
      </c>
      <c r="C183" s="3" t="s">
        <v>883</v>
      </c>
      <c r="D183" s="3" t="s">
        <v>511</v>
      </c>
      <c r="E183" s="2"/>
      <c r="F183" s="3" t="str">
        <f>IFERROR(__xludf.DUMMYFUNCTION("GOOGLETRANSLATE(A183, ""it"", ""en"")"),"182")</f>
        <v>182</v>
      </c>
      <c r="G183" s="3" t="str">
        <f>IFERROR(__xludf.DUMMYFUNCTION("GOOGLETRANSLATE(B183, ""it"", ""en"")"),"A player changes strategy and uses a prohibited throw. What happens?")</f>
        <v>A player changes strategy and uses a prohibited throw. What happens?</v>
      </c>
      <c r="H183" s="3" t="str">
        <f>IFERROR(__xludf.DUMMYFUNCTION("GOOGLETRANSLATE(C183, ""it"", ""en"")"),"A. The judge issues a penalty B. The shot is valid C. The player loses his turn D. The shot is cancelled")</f>
        <v>A. The judge issues a penalty B. The shot is valid C. The player loses his turn D. The shot is cancelled</v>
      </c>
      <c r="I183" s="3" t="str">
        <f>IFERROR(__xludf.DUMMYFUNCTION("GOOGLETRANSLATE(D183, ""it"", ""en"")"),"The judge awards a penalty")</f>
        <v>The judge awards a penalty</v>
      </c>
      <c r="J183" s="2"/>
      <c r="K183" s="2"/>
      <c r="L183" s="2"/>
      <c r="M183" s="2"/>
      <c r="N183" s="2"/>
      <c r="O183" s="2"/>
      <c r="P183" s="2"/>
      <c r="Q183" s="2"/>
      <c r="R183" s="2"/>
      <c r="S183" s="2"/>
      <c r="T183" s="2"/>
      <c r="U183" s="2"/>
      <c r="V183" s="2"/>
    </row>
    <row r="184" ht="22.5" customHeight="1">
      <c r="A184" s="3">
        <v>183.0</v>
      </c>
      <c r="B184" s="3" t="s">
        <v>884</v>
      </c>
      <c r="C184" s="3" t="s">
        <v>885</v>
      </c>
      <c r="D184" s="3" t="s">
        <v>616</v>
      </c>
      <c r="E184" s="2"/>
      <c r="F184" s="3" t="str">
        <f>IFERROR(__xludf.DUMMYFUNCTION("GOOGLETRANSLATE(A184, ""it"", ""en"")"),"183")</f>
        <v>183</v>
      </c>
      <c r="G184" s="3" t="str">
        <f>IFERROR(__xludf.DUMMYFUNCTION("GOOGLETRANSLATE(B184, ""it"", ""en"")"),"A cheese crosses the finish line but comes back. What happens?")</f>
        <v>A cheese crosses the finish line but comes back. What happens?</v>
      </c>
      <c r="H184" s="3" t="str">
        <f>IFERROR(__xludf.DUMMYFUNCTION("GOOGLETRANSLATE(C184, ""it"", ""en"")"),"A. The shot is cancelled B. The point is awarded C. The judge awards a penalty D. The shot is valid")</f>
        <v>A. The shot is cancelled B. The point is awarded C. The judge awards a penalty D. The shot is valid</v>
      </c>
      <c r="I184" s="3" t="str">
        <f>IFERROR(__xludf.DUMMYFUNCTION("GOOGLETRANSLATE(D184, ""it"", ""en"")"),"The point is awarded")</f>
        <v>The point is awarded</v>
      </c>
      <c r="J184" s="2"/>
      <c r="K184" s="2"/>
      <c r="L184" s="2"/>
      <c r="M184" s="2"/>
      <c r="N184" s="2"/>
      <c r="O184" s="2"/>
      <c r="P184" s="2"/>
      <c r="Q184" s="2"/>
      <c r="R184" s="2"/>
      <c r="S184" s="2"/>
      <c r="T184" s="2"/>
      <c r="U184" s="2"/>
      <c r="V184" s="2"/>
    </row>
    <row r="185" ht="22.5" customHeight="1">
      <c r="A185" s="3">
        <v>184.0</v>
      </c>
      <c r="B185" s="3" t="s">
        <v>886</v>
      </c>
      <c r="C185" s="3" t="s">
        <v>887</v>
      </c>
      <c r="D185" s="3" t="s">
        <v>517</v>
      </c>
      <c r="E185" s="2"/>
      <c r="F185" s="3" t="str">
        <f>IFERROR(__xludf.DUMMYFUNCTION("GOOGLETRANSLATE(A185, ""it"", ""en"")"),"184")</f>
        <v>184</v>
      </c>
      <c r="G185" s="3" t="str">
        <f>IFERROR(__xludf.DUMMYFUNCTION("GOOGLETRANSLATE(B185, ""it"", ""en"")"),"What happens if a player throws the cheese in the wrong direction?")</f>
        <v>What happens if a player throws the cheese in the wrong direction?</v>
      </c>
      <c r="H185" s="3" t="str">
        <f>IFERROR(__xludf.DUMMYFUNCTION("GOOGLETRANSLATE(C185, ""it"", ""en"")"),"A. The shot is cancelled B. The judge awards a penalty C. The shot is retaken D. The point goes to the opponent")</f>
        <v>A. The shot is cancelled B. The judge awards a penalty C. The shot is retaken D. The point goes to the opponent</v>
      </c>
      <c r="I185" s="3" t="str">
        <f>IFERROR(__xludf.DUMMYFUNCTION("GOOGLETRANSLATE(D185, ""it"", ""en"")"),"The shot is disallowed")</f>
        <v>The shot is disallowed</v>
      </c>
      <c r="J185" s="2"/>
      <c r="K185" s="2"/>
      <c r="L185" s="2"/>
      <c r="M185" s="2"/>
      <c r="N185" s="2"/>
      <c r="O185" s="2"/>
      <c r="P185" s="2"/>
      <c r="Q185" s="2"/>
      <c r="R185" s="2"/>
      <c r="S185" s="2"/>
      <c r="T185" s="2"/>
      <c r="U185" s="2"/>
      <c r="V185" s="2"/>
    </row>
    <row r="186" ht="22.5" customHeight="1">
      <c r="A186" s="3">
        <v>185.0</v>
      </c>
      <c r="B186" s="3" t="s">
        <v>888</v>
      </c>
      <c r="C186" s="3" t="s">
        <v>889</v>
      </c>
      <c r="D186" s="3" t="s">
        <v>9</v>
      </c>
      <c r="E186" s="2"/>
      <c r="F186" s="3" t="str">
        <f>IFERROR(__xludf.DUMMYFUNCTION("GOOGLETRANSLATE(A186, ""it"", ""en"")"),"185")</f>
        <v>185</v>
      </c>
      <c r="G186" s="3" t="str">
        <f>IFERROR(__xludf.DUMMYFUNCTION("GOOGLETRANSLATE(B186, ""it"", ""en"")"),"A player attempts to use an intentionally damaged cheese. What happens?")</f>
        <v>A player attempts to use an intentionally damaged cheese. What happens?</v>
      </c>
      <c r="H186" s="3" t="str">
        <f>IFERROR(__xludf.DUMMYFUNCTION("GOOGLETRANSLATE(C186, ""it"", ""en"")"),"A. The judge issues a penalty B. The cheese is removed C. The shot is disallowed D. The player is ejected")</f>
        <v>A. The judge issues a penalty B. The cheese is removed C. The shot is disallowed D. The player is ejected</v>
      </c>
      <c r="I186" s="3" t="str">
        <f>IFERROR(__xludf.DUMMYFUNCTION("GOOGLETRANSLATE(D186, ""it"", ""en"")"),"The player is sent off")</f>
        <v>The player is sent off</v>
      </c>
      <c r="J186" s="2"/>
      <c r="K186" s="2"/>
      <c r="L186" s="2"/>
      <c r="M186" s="2"/>
      <c r="N186" s="2"/>
      <c r="O186" s="2"/>
      <c r="P186" s="2"/>
      <c r="Q186" s="2"/>
      <c r="R186" s="2"/>
      <c r="S186" s="2"/>
      <c r="T186" s="2"/>
      <c r="U186" s="2"/>
      <c r="V186" s="2"/>
    </row>
    <row r="187" ht="22.5" customHeight="1">
      <c r="A187" s="3">
        <v>186.0</v>
      </c>
      <c r="B187" s="3" t="s">
        <v>890</v>
      </c>
      <c r="C187" s="3" t="s">
        <v>891</v>
      </c>
      <c r="D187" s="3" t="s">
        <v>646</v>
      </c>
      <c r="E187" s="2"/>
      <c r="F187" s="3" t="str">
        <f>IFERROR(__xludf.DUMMYFUNCTION("GOOGLETRANSLATE(A187, ""it"", ""en"")"),"186")</f>
        <v>186</v>
      </c>
      <c r="G187" s="3" t="str">
        <f>IFERROR(__xludf.DUMMYFUNCTION("GOOGLETRANSLATE(B187, ""it"", ""en"")"),"The thrown cheese hits the finish line but doesn't pass. What happens?")</f>
        <v>The thrown cheese hits the finish line but doesn't pass. What happens?</v>
      </c>
      <c r="H187" s="3" t="str">
        <f>IFERROR(__xludf.DUMMYFUNCTION("GOOGLETRANSLATE(C187, ""it"", ""en"")"),"A. The shot is valid B. The judge awards a penalty C. The point is not awarded D. The shot is retaken")</f>
        <v>A. The shot is valid B. The judge awards a penalty C. The point is not awarded D. The shot is retaken</v>
      </c>
      <c r="I187" s="3" t="str">
        <f>IFERROR(__xludf.DUMMYFUNCTION("GOOGLETRANSLATE(D187, ""it"", ""en"")"),"The point is not awarded")</f>
        <v>The point is not awarded</v>
      </c>
      <c r="J187" s="2"/>
      <c r="K187" s="2"/>
      <c r="L187" s="2"/>
      <c r="M187" s="2"/>
      <c r="N187" s="2"/>
      <c r="O187" s="2"/>
      <c r="P187" s="2"/>
      <c r="Q187" s="2"/>
      <c r="R187" s="2"/>
      <c r="S187" s="2"/>
      <c r="T187" s="2"/>
      <c r="U187" s="2"/>
      <c r="V187" s="2"/>
    </row>
    <row r="188" ht="22.5" customHeight="1">
      <c r="A188" s="3">
        <v>187.0</v>
      </c>
      <c r="B188" s="3" t="s">
        <v>892</v>
      </c>
      <c r="C188" s="3" t="s">
        <v>634</v>
      </c>
      <c r="D188" s="3" t="s">
        <v>500</v>
      </c>
      <c r="E188" s="2"/>
      <c r="F188" s="3" t="str">
        <f>IFERROR(__xludf.DUMMYFUNCTION("GOOGLETRANSLATE(A188, ""it"", ""en"")"),"187")</f>
        <v>187</v>
      </c>
      <c r="G188" s="3" t="str">
        <f>IFERROR(__xludf.DUMMYFUNCTION("GOOGLETRANSLATE(B188, ""it"", ""en"")"),"A player drops the cheese before throwing. What happens?")</f>
        <v>A player drops the cheese before throwing. What happens?</v>
      </c>
      <c r="H188" s="3" t="str">
        <f>IFERROR(__xludf.DUMMYFUNCTION("GOOGLETRANSLATE(C188, ""it"", ""en"")"),"A. The shot is cancelled B. The player loses the turn C. The judge issues a penalty D. The shot is retaken")</f>
        <v>A. The shot is cancelled B. The player loses the turn C. The judge issues a penalty D. The shot is retaken</v>
      </c>
      <c r="I188" s="3" t="str">
        <f>IFERROR(__xludf.DUMMYFUNCTION("GOOGLETRANSLATE(D188, ""it"", ""en"")"),"The shot is repeated")</f>
        <v>The shot is repeated</v>
      </c>
      <c r="J188" s="2"/>
      <c r="K188" s="2"/>
      <c r="L188" s="2"/>
      <c r="M188" s="2"/>
      <c r="N188" s="2"/>
      <c r="O188" s="2"/>
      <c r="P188" s="2"/>
      <c r="Q188" s="2"/>
      <c r="R188" s="2"/>
      <c r="S188" s="2"/>
      <c r="T188" s="2"/>
      <c r="U188" s="2"/>
      <c r="V188" s="2"/>
    </row>
    <row r="189" ht="22.5" customHeight="1">
      <c r="A189" s="3">
        <v>188.0</v>
      </c>
      <c r="B189" s="3" t="s">
        <v>893</v>
      </c>
      <c r="C189" s="3" t="s">
        <v>894</v>
      </c>
      <c r="D189" s="3" t="s">
        <v>494</v>
      </c>
      <c r="E189" s="2"/>
      <c r="F189" s="3" t="str">
        <f>IFERROR(__xludf.DUMMYFUNCTION("GOOGLETRANSLATE(A189, ""it"", ""en"")"),"188")</f>
        <v>188</v>
      </c>
      <c r="G189" s="3" t="str">
        <f>IFERROR(__xludf.DUMMYFUNCTION("GOOGLETRANSLATE(B189, ""it"", ""en"")"),"The thrown cheese hits the edge of the track but retracts. What happens?")</f>
        <v>The thrown cheese hits the edge of the track but retracts. What happens?</v>
      </c>
      <c r="H189" s="3" t="str">
        <f>IFERROR(__xludf.DUMMYFUNCTION("GOOGLETRANSLATE(C189, ""it"", ""en"")"),"A. The shot is valid B. The judge awards a penalty C. The point is awarded D. The shot is cancelled")</f>
        <v>A. The shot is valid B. The judge awards a penalty C. The point is awarded D. The shot is cancelled</v>
      </c>
      <c r="I189" s="3" t="str">
        <f>IFERROR(__xludf.DUMMYFUNCTION("GOOGLETRANSLATE(D189, ""it"", ""en"")"),"The shot is valid")</f>
        <v>The shot is valid</v>
      </c>
      <c r="J189" s="2"/>
      <c r="K189" s="2"/>
      <c r="L189" s="2"/>
      <c r="M189" s="2"/>
      <c r="N189" s="2"/>
      <c r="O189" s="2"/>
      <c r="P189" s="2"/>
      <c r="Q189" s="2"/>
      <c r="R189" s="2"/>
      <c r="S189" s="2"/>
      <c r="T189" s="2"/>
      <c r="U189" s="2"/>
      <c r="V189" s="2"/>
    </row>
    <row r="190" ht="22.5" customHeight="1">
      <c r="A190" s="3">
        <v>189.0</v>
      </c>
      <c r="B190" s="3" t="s">
        <v>895</v>
      </c>
      <c r="C190" s="3" t="s">
        <v>896</v>
      </c>
      <c r="D190" s="3" t="s">
        <v>707</v>
      </c>
      <c r="E190" s="2"/>
      <c r="F190" s="3" t="str">
        <f>IFERROR(__xludf.DUMMYFUNCTION("GOOGLETRANSLATE(A190, ""it"", ""en"")"),"189")</f>
        <v>189</v>
      </c>
      <c r="G190" s="3" t="str">
        <f>IFERROR(__xludf.DUMMYFUNCTION("GOOGLETRANSLATE(B190, ""it"", ""en"")"),"A player keeps complaining to the umpire during the game. What's going on?")</f>
        <v>A player keeps complaining to the umpire during the game. What's going on?</v>
      </c>
      <c r="H190" s="3" t="str">
        <f>IFERROR(__xludf.DUMMYFUNCTION("GOOGLETRANSLATE(C190, ""it"", ""en"")"),"A. The player is warned B. The referee awards a penalty C. The game is suspended D. The player loses the turn")</f>
        <v>A. The player is warned B. The referee awards a penalty C. The game is suspended D. The player loses the turn</v>
      </c>
      <c r="I190" s="3" t="str">
        <f>IFERROR(__xludf.DUMMYFUNCTION("GOOGLETRANSLATE(D190, ""it"", ""en"")"),"The player is cautioned")</f>
        <v>The player is cautioned</v>
      </c>
      <c r="J190" s="2"/>
      <c r="K190" s="2"/>
      <c r="L190" s="2"/>
      <c r="M190" s="2"/>
      <c r="N190" s="2"/>
      <c r="O190" s="2"/>
      <c r="P190" s="2"/>
      <c r="Q190" s="2"/>
      <c r="R190" s="2"/>
      <c r="S190" s="2"/>
      <c r="T190" s="2"/>
      <c r="U190" s="2"/>
      <c r="V190" s="2"/>
    </row>
    <row r="191" ht="22.5" customHeight="1">
      <c r="A191" s="3">
        <v>190.0</v>
      </c>
      <c r="B191" s="3" t="s">
        <v>897</v>
      </c>
      <c r="C191" s="3" t="s">
        <v>720</v>
      </c>
      <c r="D191" s="3" t="s">
        <v>517</v>
      </c>
      <c r="E191" s="2"/>
      <c r="F191" s="3" t="str">
        <f>IFERROR(__xludf.DUMMYFUNCTION("GOOGLETRANSLATE(A191, ""it"", ""en"")"),"190")</f>
        <v>190</v>
      </c>
      <c r="G191" s="3" t="str">
        <f>IFERROR(__xludf.DUMMYFUNCTION("GOOGLETRANSLATE(B191, ""it"", ""en"")"),"The cheese rolls backward and hits the starting line. What happens?")</f>
        <v>The cheese rolls backward and hits the starting line. What happens?</v>
      </c>
      <c r="H191" s="3" t="str">
        <f>IFERROR(__xludf.DUMMYFUNCTION("GOOGLETRANSLATE(C191, ""it"", ""en"")"),"A. The shot is valid B. The shot is cancelled C. The player loses the turn D. The judge awards a penalty")</f>
        <v>A. The shot is valid B. The shot is cancelled C. The player loses the turn D. The judge awards a penalty</v>
      </c>
      <c r="I191" s="3" t="str">
        <f>IFERROR(__xludf.DUMMYFUNCTION("GOOGLETRANSLATE(D191, ""it"", ""en"")"),"The shot is disallowed")</f>
        <v>The shot is disallowed</v>
      </c>
      <c r="J191" s="2"/>
      <c r="K191" s="2"/>
      <c r="L191" s="2"/>
      <c r="M191" s="2"/>
      <c r="N191" s="2"/>
      <c r="O191" s="2"/>
      <c r="P191" s="2"/>
      <c r="Q191" s="2"/>
      <c r="R191" s="2"/>
      <c r="S191" s="2"/>
      <c r="T191" s="2"/>
      <c r="U191" s="2"/>
      <c r="V191" s="2"/>
    </row>
    <row r="192" ht="22.5" customHeight="1">
      <c r="A192" s="3">
        <v>191.0</v>
      </c>
      <c r="B192" s="3" t="s">
        <v>898</v>
      </c>
      <c r="C192" s="3" t="s">
        <v>899</v>
      </c>
      <c r="D192" s="3" t="s">
        <v>9</v>
      </c>
      <c r="E192" s="2"/>
      <c r="F192" s="3" t="str">
        <f>IFERROR(__xludf.DUMMYFUNCTION("GOOGLETRANSLATE(A192, ""it"", ""en"")"),"191")</f>
        <v>191</v>
      </c>
      <c r="G192" s="3" t="str">
        <f>IFERROR(__xludf.DUMMYFUNCTION("GOOGLETRANSLATE(B192, ""it"", ""en"")"),"A player tries to hide an irregular cheese among the regulation cheeses. What happens?")</f>
        <v>A player tries to hide an irregular cheese among the regulation cheeses. What happens?</v>
      </c>
      <c r="H192" s="3" t="str">
        <f>IFERROR(__xludf.DUMMYFUNCTION("GOOGLETRANSLATE(C192, ""it"", ""en"")"),"A. The player is ejected B. The referee issues a penalty C. The cheese is removed D. The shot is disallowed")</f>
        <v>A. The player is ejected B. The referee issues a penalty C. The cheese is removed D. The shot is disallowed</v>
      </c>
      <c r="I192" s="3" t="str">
        <f>IFERROR(__xludf.DUMMYFUNCTION("GOOGLETRANSLATE(D192, ""it"", ""en"")"),"The player is sent off")</f>
        <v>The player is sent off</v>
      </c>
      <c r="J192" s="2"/>
      <c r="K192" s="2"/>
      <c r="L192" s="2"/>
      <c r="M192" s="2"/>
      <c r="N192" s="2"/>
      <c r="O192" s="2"/>
      <c r="P192" s="2"/>
      <c r="Q192" s="2"/>
      <c r="R192" s="2"/>
      <c r="S192" s="2"/>
      <c r="T192" s="2"/>
      <c r="U192" s="2"/>
      <c r="V192" s="2"/>
    </row>
    <row r="193" ht="22.5" customHeight="1">
      <c r="A193" s="3">
        <v>192.0</v>
      </c>
      <c r="B193" s="3" t="s">
        <v>900</v>
      </c>
      <c r="C193" s="3" t="s">
        <v>901</v>
      </c>
      <c r="D193" s="3" t="s">
        <v>809</v>
      </c>
      <c r="E193" s="2"/>
      <c r="F193" s="3" t="str">
        <f>IFERROR(__xludf.DUMMYFUNCTION("GOOGLETRANSLATE(A193, ""it"", ""en"")"),"192")</f>
        <v>192</v>
      </c>
      <c r="G193" s="3" t="str">
        <f>IFERROR(__xludf.DUMMYFUNCTION("GOOGLETRANSLATE(B193, ""it"", ""en"")"),"What happens if a cheese lands on top of another cheese already on the path?")</f>
        <v>What happens if a cheese lands on top of another cheese already on the path?</v>
      </c>
      <c r="H193" s="3" t="str">
        <f>IFERROR(__xludf.DUMMYFUNCTION("GOOGLETRANSLATE(C193, ""it"", ""en"")"),"A. Both shots are valid B. The shot is cancelled C. The judge awards a penalty D. The point goes to the opponent")</f>
        <v>A. Both shots are valid B. The shot is cancelled C. The judge awards a penalty D. The point goes to the opponent</v>
      </c>
      <c r="I193" s="3" t="str">
        <f>IFERROR(__xludf.DUMMYFUNCTION("GOOGLETRANSLATE(D193, ""it"", ""en"")"),"Both shots are valid")</f>
        <v>Both shots are valid</v>
      </c>
      <c r="J193" s="2"/>
      <c r="K193" s="2"/>
      <c r="L193" s="2"/>
      <c r="M193" s="2"/>
      <c r="N193" s="2"/>
      <c r="O193" s="2"/>
      <c r="P193" s="2"/>
      <c r="Q193" s="2"/>
      <c r="R193" s="2"/>
      <c r="S193" s="2"/>
      <c r="T193" s="2"/>
      <c r="U193" s="2"/>
      <c r="V193" s="2"/>
    </row>
    <row r="194" ht="22.5" customHeight="1">
      <c r="A194" s="3">
        <v>193.0</v>
      </c>
      <c r="B194" s="3" t="s">
        <v>902</v>
      </c>
      <c r="C194" s="3" t="s">
        <v>894</v>
      </c>
      <c r="D194" s="3" t="s">
        <v>494</v>
      </c>
      <c r="E194" s="2"/>
      <c r="F194" s="3" t="str">
        <f>IFERROR(__xludf.DUMMYFUNCTION("GOOGLETRANSLATE(A194, ""it"", ""en"")"),"193")</f>
        <v>193</v>
      </c>
      <c r="G194" s="3" t="str">
        <f>IFERROR(__xludf.DUMMYFUNCTION("GOOGLETRANSLATE(B194, ""it"", ""en"")"),"The cheese stops exactly halfway. What happens?")</f>
        <v>The cheese stops exactly halfway. What happens?</v>
      </c>
      <c r="H194" s="3" t="str">
        <f>IFERROR(__xludf.DUMMYFUNCTION("GOOGLETRANSLATE(C194, ""it"", ""en"")"),"A. The shot is valid B. The judge awards a penalty C. The point is awarded D. The shot is cancelled")</f>
        <v>A. The shot is valid B. The judge awards a penalty C. The point is awarded D. The shot is cancelled</v>
      </c>
      <c r="I194" s="3" t="str">
        <f>IFERROR(__xludf.DUMMYFUNCTION("GOOGLETRANSLATE(D194, ""it"", ""en"")"),"The shot is valid")</f>
        <v>The shot is valid</v>
      </c>
      <c r="J194" s="2"/>
      <c r="K194" s="2"/>
      <c r="L194" s="2"/>
      <c r="M194" s="2"/>
      <c r="N194" s="2"/>
      <c r="O194" s="2"/>
      <c r="P194" s="2"/>
      <c r="Q194" s="2"/>
      <c r="R194" s="2"/>
      <c r="S194" s="2"/>
      <c r="T194" s="2"/>
      <c r="U194" s="2"/>
      <c r="V194" s="2"/>
    </row>
    <row r="195" ht="22.5" customHeight="1">
      <c r="A195" s="3">
        <v>194.0</v>
      </c>
      <c r="B195" s="3" t="s">
        <v>903</v>
      </c>
      <c r="C195" s="3" t="s">
        <v>904</v>
      </c>
      <c r="D195" s="3" t="s">
        <v>511</v>
      </c>
      <c r="E195" s="2"/>
      <c r="F195" s="3" t="str">
        <f>IFERROR(__xludf.DUMMYFUNCTION("GOOGLETRANSLATE(A195, ""it"", ""en"")"),"194")</f>
        <v>194</v>
      </c>
      <c r="G195" s="3" t="str">
        <f>IFERROR(__xludf.DUMMYFUNCTION("GOOGLETRANSLATE(B195, ""it"", ""en"")"),"A player intentionally delays their turn. What happens?")</f>
        <v>A player intentionally delays their turn. What happens?</v>
      </c>
      <c r="H195" s="3" t="str">
        <f>IFERROR(__xludf.DUMMYFUNCTION("GOOGLETRANSLATE(C195, ""it"", ""en"")"),"A. The player loses the turn B. The judge awards a penalty C. The shot is cancelled D. The game is suspended")</f>
        <v>A. The player loses the turn B. The judge awards a penalty C. The shot is cancelled D. The game is suspended</v>
      </c>
      <c r="I195" s="3" t="str">
        <f>IFERROR(__xludf.DUMMYFUNCTION("GOOGLETRANSLATE(D195, ""it"", ""en"")"),"The judge awards a penalty")</f>
        <v>The judge awards a penalty</v>
      </c>
      <c r="J195" s="2"/>
      <c r="K195" s="2"/>
      <c r="L195" s="2"/>
      <c r="M195" s="2"/>
      <c r="N195" s="2"/>
      <c r="O195" s="2"/>
      <c r="P195" s="2"/>
      <c r="Q195" s="2"/>
      <c r="R195" s="2"/>
      <c r="S195" s="2"/>
      <c r="T195" s="2"/>
      <c r="U195" s="2"/>
      <c r="V195" s="2"/>
    </row>
    <row r="196" ht="22.5" customHeight="1">
      <c r="A196" s="3">
        <v>195.0</v>
      </c>
      <c r="B196" s="3" t="s">
        <v>905</v>
      </c>
      <c r="C196" s="3" t="s">
        <v>906</v>
      </c>
      <c r="D196" s="3" t="s">
        <v>517</v>
      </c>
      <c r="E196" s="2"/>
      <c r="F196" s="3" t="str">
        <f>IFERROR(__xludf.DUMMYFUNCTION("GOOGLETRANSLATE(A196, ""it"", ""en"")"),"195")</f>
        <v>195</v>
      </c>
      <c r="G196" s="3" t="str">
        <f>IFERROR(__xludf.DUMMYFUNCTION("GOOGLETRANSLATE(B196, ""it"", ""en"")"),"The cheese passes the finish line but is considered unsatisfactory. What happens?")</f>
        <v>The cheese passes the finish line but is considered unsatisfactory. What happens?</v>
      </c>
      <c r="H196" s="3" t="str">
        <f>IFERROR(__xludf.DUMMYFUNCTION("GOOGLETRANSLATE(C196, ""it"", ""en"")"),"A. The shot is cancelled B. The point is not awarded C. The judge awards a penalty D. The shot is retaken")</f>
        <v>A. The shot is cancelled B. The point is not awarded C. The judge awards a penalty D. The shot is retaken</v>
      </c>
      <c r="I196" s="3" t="str">
        <f>IFERROR(__xludf.DUMMYFUNCTION("GOOGLETRANSLATE(D196, ""it"", ""en"")"),"The shot is disallowed")</f>
        <v>The shot is disallowed</v>
      </c>
      <c r="J196" s="2"/>
      <c r="K196" s="2"/>
      <c r="L196" s="2"/>
      <c r="M196" s="2"/>
      <c r="N196" s="2"/>
      <c r="O196" s="2"/>
      <c r="P196" s="2"/>
      <c r="Q196" s="2"/>
      <c r="R196" s="2"/>
      <c r="S196" s="2"/>
      <c r="T196" s="2"/>
      <c r="U196" s="2"/>
      <c r="V196" s="2"/>
    </row>
    <row r="197" ht="22.5" customHeight="1">
      <c r="A197" s="3">
        <v>196.0</v>
      </c>
      <c r="B197" s="3" t="s">
        <v>907</v>
      </c>
      <c r="C197" s="3" t="s">
        <v>908</v>
      </c>
      <c r="D197" s="3" t="s">
        <v>909</v>
      </c>
      <c r="E197" s="2"/>
      <c r="F197" s="3" t="str">
        <f>IFERROR(__xludf.DUMMYFUNCTION("GOOGLETRANSLATE(A197, ""it"", ""en"")"),"196")</f>
        <v>196</v>
      </c>
      <c r="G197" s="3" t="str">
        <f>IFERROR(__xludf.DUMMYFUNCTION("GOOGLETRANSLATE(B197, ""it"", ""en"")"),"A player accuses another without evidence during the game. What happens?")</f>
        <v>A player accuses another without evidence during the game. What happens?</v>
      </c>
      <c r="H197" s="3" t="str">
        <f>IFERROR(__xludf.DUMMYFUNCTION("GOOGLETRANSLATE(C197, ""it"", ""en"")"),"A. The judge warns the accuser B. The judge awards a penalty C. The game is suspended D. Nothing happens")</f>
        <v>A. The judge warns the accuser B. The judge awards a penalty C. The game is suspended D. Nothing happens</v>
      </c>
      <c r="I197" s="3" t="str">
        <f>IFERROR(__xludf.DUMMYFUNCTION("GOOGLETRANSLATE(D197, ""it"", ""en"")"),"The judge admonishes the accuser")</f>
        <v>The judge admonishes the accuser</v>
      </c>
      <c r="J197" s="2"/>
      <c r="K197" s="2"/>
      <c r="L197" s="2"/>
      <c r="M197" s="2"/>
      <c r="N197" s="2"/>
      <c r="O197" s="2"/>
      <c r="P197" s="2"/>
      <c r="Q197" s="2"/>
      <c r="R197" s="2"/>
      <c r="S197" s="2"/>
      <c r="T197" s="2"/>
      <c r="U197" s="2"/>
      <c r="V197" s="2"/>
    </row>
    <row r="198" ht="22.5" customHeight="1">
      <c r="A198" s="3">
        <v>197.0</v>
      </c>
      <c r="B198" s="3" t="s">
        <v>910</v>
      </c>
      <c r="C198" s="3" t="s">
        <v>911</v>
      </c>
      <c r="D198" s="3" t="s">
        <v>912</v>
      </c>
      <c r="E198" s="2"/>
      <c r="F198" s="3" t="str">
        <f>IFERROR(__xludf.DUMMYFUNCTION("GOOGLETRANSLATE(A198, ""it"", ""en"")"),"197")</f>
        <v>197</v>
      </c>
      <c r="G198" s="3" t="str">
        <f>IFERROR(__xludf.DUMMYFUNCTION("GOOGLETRANSLATE(B198, ""it"", ""en"")"),"The cheese is thrown correctly but breaks into three equal pieces. What happens?")</f>
        <v>The cheese is thrown correctly but breaks into three equal pieces. What happens?</v>
      </c>
      <c r="H198" s="3" t="str">
        <f>IFERROR(__xludf.DUMMYFUNCTION("GOOGLETRANSLATE(C198, ""it"", ""en"")"),"A. The shot is valid B. The piece closest to the finish line is valid C. The judge awards a penalty D. The shot is retaken")</f>
        <v>A. The shot is valid B. The piece closest to the finish line is valid C. The judge awards a penalty D. The shot is retaken</v>
      </c>
      <c r="I198" s="3" t="str">
        <f>IFERROR(__xludf.DUMMYFUNCTION("GOOGLETRANSLATE(D198, ""it"", ""en"")"),"The piece closest to the finish line is valid")</f>
        <v>The piece closest to the finish line is valid</v>
      </c>
      <c r="J198" s="2"/>
      <c r="K198" s="2"/>
      <c r="L198" s="2"/>
      <c r="M198" s="2"/>
      <c r="N198" s="2"/>
      <c r="O198" s="2"/>
      <c r="P198" s="2"/>
      <c r="Q198" s="2"/>
      <c r="R198" s="2"/>
      <c r="S198" s="2"/>
      <c r="T198" s="2"/>
      <c r="U198" s="2"/>
      <c r="V198" s="2"/>
    </row>
    <row r="199" ht="22.5" customHeight="1">
      <c r="A199" s="3">
        <v>198.0</v>
      </c>
      <c r="B199" s="3" t="s">
        <v>913</v>
      </c>
      <c r="C199" s="3" t="s">
        <v>914</v>
      </c>
      <c r="D199" s="3" t="s">
        <v>511</v>
      </c>
      <c r="E199" s="2"/>
      <c r="F199" s="3" t="str">
        <f>IFERROR(__xludf.DUMMYFUNCTION("GOOGLETRANSLATE(A199, ""it"", ""en"")"),"198")</f>
        <v>198</v>
      </c>
      <c r="G199" s="3" t="str">
        <f>IFERROR(__xludf.DUMMYFUNCTION("GOOGLETRANSLATE(B199, ""it"", ""en"")"),"What happens if a player touches an opponent's cheese along the way?")</f>
        <v>What happens if a player touches an opponent's cheese along the way?</v>
      </c>
      <c r="H199" s="3" t="str">
        <f>IFERROR(__xludf.DUMMYFUNCTION("GOOGLETRANSLATE(C199, ""it"", ""en"")"),"A. The judge awards a penalty B. The point goes to the opponent C. The shot is retaken D. The player is warned")</f>
        <v>A. The judge awards a penalty B. The point goes to the opponent C. The shot is retaken D. The player is warned</v>
      </c>
      <c r="I199" s="3" t="str">
        <f>IFERROR(__xludf.DUMMYFUNCTION("GOOGLETRANSLATE(D199, ""it"", ""en"")"),"The judge awards a penalty")</f>
        <v>The judge awards a penalty</v>
      </c>
      <c r="J199" s="2"/>
      <c r="K199" s="2"/>
      <c r="L199" s="2"/>
      <c r="M199" s="2"/>
      <c r="N199" s="2"/>
      <c r="O199" s="2"/>
      <c r="P199" s="2"/>
      <c r="Q199" s="2"/>
      <c r="R199" s="2"/>
      <c r="S199" s="2"/>
      <c r="T199" s="2"/>
      <c r="U199" s="2"/>
      <c r="V199" s="2"/>
    </row>
    <row r="200" ht="22.5" customHeight="1">
      <c r="A200" s="3">
        <v>199.0</v>
      </c>
      <c r="B200" s="3" t="s">
        <v>915</v>
      </c>
      <c r="C200" s="3" t="s">
        <v>916</v>
      </c>
      <c r="D200" s="3" t="s">
        <v>494</v>
      </c>
      <c r="E200" s="2"/>
      <c r="F200" s="3" t="str">
        <f>IFERROR(__xludf.DUMMYFUNCTION("GOOGLETRANSLATE(A200, ""it"", ""en"")"),"199")</f>
        <v>199</v>
      </c>
      <c r="G200" s="3" t="str">
        <f>IFERROR(__xludf.DUMMYFUNCTION("GOOGLETRANSLATE(B200, ""it"", ""en"")"),"The thrown cheese hits a stone and veers off course. What happens?")</f>
        <v>The thrown cheese hits a stone and veers off course. What happens?</v>
      </c>
      <c r="H200" s="3" t="str">
        <f>IFERROR(__xludf.DUMMYFUNCTION("GOOGLETRANSLATE(C200, ""it"", ""en"")"),"A. The shot is valid B. The shot is retaken C. The judge awards a penalty D. The point is cancelled")</f>
        <v>A. The shot is valid B. The shot is retaken C. The judge awards a penalty D. The point is cancelled</v>
      </c>
      <c r="I200" s="3" t="str">
        <f>IFERROR(__xludf.DUMMYFUNCTION("GOOGLETRANSLATE(D200, ""it"", ""en"")"),"The shot is valid")</f>
        <v>The shot is valid</v>
      </c>
      <c r="J200" s="2"/>
      <c r="K200" s="2"/>
      <c r="L200" s="2"/>
      <c r="M200" s="2"/>
      <c r="N200" s="2"/>
      <c r="O200" s="2"/>
      <c r="P200" s="2"/>
      <c r="Q200" s="2"/>
      <c r="R200" s="2"/>
      <c r="S200" s="2"/>
      <c r="T200" s="2"/>
      <c r="U200" s="2"/>
      <c r="V200" s="2"/>
    </row>
    <row r="201" ht="22.5" customHeight="1">
      <c r="A201" s="3">
        <v>200.0</v>
      </c>
      <c r="B201" s="3" t="s">
        <v>917</v>
      </c>
      <c r="C201" s="3" t="s">
        <v>918</v>
      </c>
      <c r="D201" s="3" t="s">
        <v>517</v>
      </c>
      <c r="E201" s="2"/>
      <c r="F201" s="3" t="str">
        <f>IFERROR(__xludf.DUMMYFUNCTION("GOOGLETRANSLATE(A201, ""it"", ""en"")"),"200")</f>
        <v>200</v>
      </c>
      <c r="G201" s="3" t="str">
        <f>IFERROR(__xludf.DUMMYFUNCTION("GOOGLETRANSLATE(B201, ""it"", ""en"")"),"A player gets distracted and throws off the course. What happens?")</f>
        <v>A player gets distracted and throws off the course. What happens?</v>
      </c>
      <c r="H201" s="3" t="str">
        <f>IFERROR(__xludf.DUMMYFUNCTION("GOOGLETRANSLATE(C201, ""it"", ""en"")"),"A. The shot is cancelled B. The judge awards a penalty C. The shot is retaken D. The player loses the turn")</f>
        <v>A. The shot is cancelled B. The judge awards a penalty C. The shot is retaken D. The player loses the turn</v>
      </c>
      <c r="I201" s="3" t="str">
        <f>IFERROR(__xludf.DUMMYFUNCTION("GOOGLETRANSLATE(D201, ""it"", ""en"")"),"The shot is disallowed")</f>
        <v>The shot is disallowed</v>
      </c>
      <c r="J201" s="2"/>
      <c r="K201" s="2"/>
      <c r="L201" s="2"/>
      <c r="M201" s="2"/>
      <c r="N201" s="2"/>
      <c r="O201" s="2"/>
      <c r="P201" s="2"/>
      <c r="Q201" s="2"/>
      <c r="R201" s="2"/>
      <c r="S201" s="2"/>
      <c r="T201" s="2"/>
      <c r="U201" s="2"/>
      <c r="V201" s="2"/>
    </row>
    <row r="202" ht="22.5" customHeight="1">
      <c r="A202" s="3">
        <v>201.0</v>
      </c>
      <c r="B202" s="3" t="s">
        <v>919</v>
      </c>
      <c r="C202" s="3" t="s">
        <v>704</v>
      </c>
      <c r="D202" s="3" t="s">
        <v>494</v>
      </c>
      <c r="E202" s="2"/>
      <c r="F202" s="3" t="str">
        <f>IFERROR(__xludf.DUMMYFUNCTION("GOOGLETRANSLATE(A202, ""it"", ""en"")"),"201")</f>
        <v>201</v>
      </c>
      <c r="G202" s="3" t="str">
        <f>IFERROR(__xludf.DUMMYFUNCTION("GOOGLETRANSLATE(B202, ""it"", ""en"")"),"The cheese stops right next to a natural obstacle. What happens?")</f>
        <v>The cheese stops right next to a natural obstacle. What happens?</v>
      </c>
      <c r="H202" s="3" t="str">
        <f>IFERROR(__xludf.DUMMYFUNCTION("GOOGLETRANSLATE(C202, ""it"", ""en"")"),"A. The shot is valid B. The shot is cancelled C. The point is awarded D. The judge awards a penalty")</f>
        <v>A. The shot is valid B. The shot is cancelled C. The point is awarded D. The judge awards a penalty</v>
      </c>
      <c r="I202" s="3" t="str">
        <f>IFERROR(__xludf.DUMMYFUNCTION("GOOGLETRANSLATE(D202, ""it"", ""en"")"),"The shot is valid")</f>
        <v>The shot is valid</v>
      </c>
      <c r="J202" s="2"/>
      <c r="K202" s="2"/>
      <c r="L202" s="2"/>
      <c r="M202" s="2"/>
      <c r="N202" s="2"/>
      <c r="O202" s="2"/>
      <c r="P202" s="2"/>
      <c r="Q202" s="2"/>
      <c r="R202" s="2"/>
      <c r="S202" s="2"/>
      <c r="T202" s="2"/>
      <c r="U202" s="2"/>
      <c r="V202" s="2"/>
    </row>
    <row r="203" ht="22.5" customHeight="1">
      <c r="A203" s="3">
        <v>202.0</v>
      </c>
      <c r="B203" s="3" t="s">
        <v>920</v>
      </c>
      <c r="C203" s="3" t="s">
        <v>865</v>
      </c>
      <c r="D203" s="3" t="s">
        <v>511</v>
      </c>
      <c r="E203" s="2"/>
      <c r="F203" s="3" t="str">
        <f>IFERROR(__xludf.DUMMYFUNCTION("GOOGLETRANSLATE(A203, ""it"", ""en"")"),"202")</f>
        <v>202</v>
      </c>
      <c r="G203" s="3" t="str">
        <f>IFERROR(__xludf.DUMMYFUNCTION("GOOGLETRANSLATE(B203, ""it"", ""en"")"),"A player steps over the starting line during a throw. What happens?")</f>
        <v>A player steps over the starting line during a throw. What happens?</v>
      </c>
      <c r="H203" s="3" t="str">
        <f>IFERROR(__xludf.DUMMYFUNCTION("GOOGLETRANSLATE(C203, ""it"", ""en"")"),"A. The shot is cancelled B. The player loses the turn C. The judge issues a penalty D. The shot is valid")</f>
        <v>A. The shot is cancelled B. The player loses the turn C. The judge issues a penalty D. The shot is valid</v>
      </c>
      <c r="I203" s="3" t="str">
        <f>IFERROR(__xludf.DUMMYFUNCTION("GOOGLETRANSLATE(D203, ""it"", ""en"")"),"The judge awards a penalty")</f>
        <v>The judge awards a penalty</v>
      </c>
      <c r="J203" s="2"/>
      <c r="K203" s="2"/>
      <c r="L203" s="2"/>
      <c r="M203" s="2"/>
      <c r="N203" s="2"/>
      <c r="O203" s="2"/>
      <c r="P203" s="2"/>
      <c r="Q203" s="2"/>
      <c r="R203" s="2"/>
      <c r="S203" s="2"/>
      <c r="T203" s="2"/>
      <c r="U203" s="2"/>
      <c r="V203" s="2"/>
    </row>
    <row r="204" ht="22.5" customHeight="1">
      <c r="A204" s="3">
        <v>203.0</v>
      </c>
      <c r="B204" s="3" t="s">
        <v>921</v>
      </c>
      <c r="C204" s="3" t="s">
        <v>717</v>
      </c>
      <c r="D204" s="3" t="s">
        <v>494</v>
      </c>
      <c r="E204" s="2"/>
      <c r="F204" s="3" t="str">
        <f>IFERROR(__xludf.DUMMYFUNCTION("GOOGLETRANSLATE(A204, ""it"", ""en"")"),"203")</f>
        <v>203</v>
      </c>
      <c r="G204" s="3" t="str">
        <f>IFERROR(__xludf.DUMMYFUNCTION("GOOGLETRANSLATE(B204, ""it"", ""en"")"),"The cheese rolls back after being thrown. What happens?")</f>
        <v>The cheese rolls back after being thrown. What happens?</v>
      </c>
      <c r="H204" s="3" t="str">
        <f>IFERROR(__xludf.DUMMYFUNCTION("GOOGLETRANSLATE(C204, ""it"", ""en"")"),"A. The shot is valid B. The shot is cancelled C. The judge awards a penalty D. The player loses the turn")</f>
        <v>A. The shot is valid B. The shot is cancelled C. The judge awards a penalty D. The player loses the turn</v>
      </c>
      <c r="I204" s="3" t="str">
        <f>IFERROR(__xludf.DUMMYFUNCTION("GOOGLETRANSLATE(D204, ""it"", ""en"")"),"The shot is valid")</f>
        <v>The shot is valid</v>
      </c>
      <c r="J204" s="2"/>
      <c r="K204" s="2"/>
      <c r="L204" s="2"/>
      <c r="M204" s="2"/>
      <c r="N204" s="2"/>
      <c r="O204" s="2"/>
      <c r="P204" s="2"/>
      <c r="Q204" s="2"/>
      <c r="R204" s="2"/>
      <c r="S204" s="2"/>
      <c r="T204" s="2"/>
      <c r="U204" s="2"/>
      <c r="V204" s="2"/>
    </row>
    <row r="205" ht="22.5" customHeight="1">
      <c r="A205" s="3">
        <v>204.0</v>
      </c>
      <c r="B205" s="3" t="s">
        <v>922</v>
      </c>
      <c r="C205" s="3" t="s">
        <v>923</v>
      </c>
      <c r="D205" s="3" t="s">
        <v>511</v>
      </c>
      <c r="E205" s="2"/>
      <c r="F205" s="3" t="str">
        <f>IFERROR(__xludf.DUMMYFUNCTION("GOOGLETRANSLATE(A205, ""it"", ""en"")"),"204")</f>
        <v>204</v>
      </c>
      <c r="G205" s="3" t="str">
        <f>IFERROR(__xludf.DUMMYFUNCTION("GOOGLETRANSLATE(B205, ""it"", ""en"")"),"A player modifies his cheese without informing the judge. What happens?")</f>
        <v>A player modifies his cheese without informing the judge. What happens?</v>
      </c>
      <c r="H205" s="3" t="str">
        <f>IFERROR(__xludf.DUMMYFUNCTION("GOOGLETRANSLATE(C205, ""it"", ""en"")"),"A. The player is cautioned B. The shot is disallowed C. The referee awards a penalty D. The cheese is removed")</f>
        <v>A. The player is cautioned B. The shot is disallowed C. The referee awards a penalty D. The cheese is removed</v>
      </c>
      <c r="I205" s="3" t="str">
        <f>IFERROR(__xludf.DUMMYFUNCTION("GOOGLETRANSLATE(D205, ""it"", ""en"")"),"The judge awards a penalty")</f>
        <v>The judge awards a penalty</v>
      </c>
      <c r="J205" s="2"/>
      <c r="K205" s="2"/>
      <c r="L205" s="2"/>
      <c r="M205" s="2"/>
      <c r="N205" s="2"/>
      <c r="O205" s="2"/>
      <c r="P205" s="2"/>
      <c r="Q205" s="2"/>
      <c r="R205" s="2"/>
      <c r="S205" s="2"/>
      <c r="T205" s="2"/>
      <c r="U205" s="2"/>
      <c r="V205" s="2"/>
    </row>
    <row r="206" ht="22.5" customHeight="1">
      <c r="A206" s="3">
        <v>205.0</v>
      </c>
      <c r="B206" s="3" t="s">
        <v>924</v>
      </c>
      <c r="C206" s="3" t="s">
        <v>925</v>
      </c>
      <c r="D206" s="3" t="s">
        <v>511</v>
      </c>
      <c r="E206" s="2"/>
      <c r="F206" s="3" t="str">
        <f>IFERROR(__xludf.DUMMYFUNCTION("GOOGLETRANSLATE(A206, ""it"", ""en"")"),"205")</f>
        <v>205</v>
      </c>
      <c r="G206" s="3" t="str">
        <f>IFERROR(__xludf.DUMMYFUNCTION("GOOGLETRANSLATE(B206, ""it"", ""en"")"),"A thrown cheese goes off course and hits a passerby. What happens?")</f>
        <v>A thrown cheese goes off course and hits a passerby. What happens?</v>
      </c>
      <c r="H206" s="3" t="str">
        <f>IFERROR(__xludf.DUMMYFUNCTION("GOOGLETRANSLATE(C206, ""it"", ""en"")"),"A. The player is warned B. The shot is disallowed C. The judge awards a penalty D. The turn is skipped")</f>
        <v>A. The player is warned B. The shot is disallowed C. The judge awards a penalty D. The turn is skipped</v>
      </c>
      <c r="I206" s="3" t="str">
        <f>IFERROR(__xludf.DUMMYFUNCTION("GOOGLETRANSLATE(D206, ""it"", ""en"")"),"The judge awards a penalty")</f>
        <v>The judge awards a penalty</v>
      </c>
      <c r="J206" s="2"/>
      <c r="K206" s="2"/>
      <c r="L206" s="2"/>
      <c r="M206" s="2"/>
      <c r="N206" s="2"/>
      <c r="O206" s="2"/>
      <c r="P206" s="2"/>
      <c r="Q206" s="2"/>
      <c r="R206" s="2"/>
      <c r="S206" s="2"/>
      <c r="T206" s="2"/>
      <c r="U206" s="2"/>
      <c r="V206" s="2"/>
    </row>
    <row r="207" ht="22.5" customHeight="1">
      <c r="A207" s="3">
        <v>206.0</v>
      </c>
      <c r="B207" s="3" t="s">
        <v>926</v>
      </c>
      <c r="C207" s="3" t="s">
        <v>863</v>
      </c>
      <c r="D207" s="3" t="s">
        <v>494</v>
      </c>
      <c r="E207" s="2"/>
      <c r="F207" s="3" t="str">
        <f>IFERROR(__xludf.DUMMYFUNCTION("GOOGLETRANSLATE(A207, ""it"", ""en"")"),"206")</f>
        <v>206</v>
      </c>
      <c r="G207" s="3" t="str">
        <f>IFERROR(__xludf.DUMMYFUNCTION("GOOGLETRANSLATE(B207, ""it"", ""en"")"),"The thrown cheese stops halfway. What happens?")</f>
        <v>The thrown cheese stops halfway. What happens?</v>
      </c>
      <c r="H207" s="3" t="str">
        <f>IFERROR(__xludf.DUMMYFUNCTION("GOOGLETRANSLATE(C207, ""it"", ""en"")"),"A. The shot is valid B. The judge awards a penalty C. The point is cancelled D. The shot is retaken")</f>
        <v>A. The shot is valid B. The judge awards a penalty C. The point is cancelled D. The shot is retaken</v>
      </c>
      <c r="I207" s="3" t="str">
        <f>IFERROR(__xludf.DUMMYFUNCTION("GOOGLETRANSLATE(D207, ""it"", ""en"")"),"The shot is valid")</f>
        <v>The shot is valid</v>
      </c>
      <c r="J207" s="2"/>
      <c r="K207" s="2"/>
      <c r="L207" s="2"/>
      <c r="M207" s="2"/>
      <c r="N207" s="2"/>
      <c r="O207" s="2"/>
      <c r="P207" s="2"/>
      <c r="Q207" s="2"/>
      <c r="R207" s="2"/>
      <c r="S207" s="2"/>
      <c r="T207" s="2"/>
      <c r="U207" s="2"/>
      <c r="V207" s="2"/>
    </row>
    <row r="208" ht="22.5" customHeight="1">
      <c r="A208" s="3">
        <v>207.0</v>
      </c>
      <c r="B208" s="3" t="s">
        <v>927</v>
      </c>
      <c r="C208" s="3" t="s">
        <v>928</v>
      </c>
      <c r="D208" s="3" t="s">
        <v>511</v>
      </c>
      <c r="E208" s="2"/>
      <c r="F208" s="3" t="str">
        <f>IFERROR(__xludf.DUMMYFUNCTION("GOOGLETRANSLATE(A208, ""it"", ""en"")"),"207")</f>
        <v>207</v>
      </c>
      <c r="G208" s="3" t="str">
        <f>IFERROR(__xludf.DUMMYFUNCTION("GOOGLETRANSLATE(B208, ""it"", ""en"")"),"A player uses a cheese that's larger than the regulation size. What happens?")</f>
        <v>A player uses a cheese that's larger than the regulation size. What happens?</v>
      </c>
      <c r="H208" s="3" t="str">
        <f>IFERROR(__xludf.DUMMYFUNCTION("GOOGLETRANSLATE(C208, ""it"", ""en"")"),"A. The judge awards a penalty B. The shot is disallowed C. The cheese is removed D. The player is cautioned")</f>
        <v>A. The judge awards a penalty B. The shot is disallowed C. The cheese is removed D. The player is cautioned</v>
      </c>
      <c r="I208" s="3" t="str">
        <f>IFERROR(__xludf.DUMMYFUNCTION("GOOGLETRANSLATE(D208, ""it"", ""en"")"),"The judge awards a penalty")</f>
        <v>The judge awards a penalty</v>
      </c>
      <c r="J208" s="2"/>
      <c r="K208" s="2"/>
      <c r="L208" s="2"/>
      <c r="M208" s="2"/>
      <c r="N208" s="2"/>
      <c r="O208" s="2"/>
      <c r="P208" s="2"/>
      <c r="Q208" s="2"/>
      <c r="R208" s="2"/>
      <c r="S208" s="2"/>
      <c r="T208" s="2"/>
      <c r="U208" s="2"/>
      <c r="V208" s="2"/>
    </row>
    <row r="209" ht="22.5" customHeight="1">
      <c r="A209" s="3">
        <v>208.0</v>
      </c>
      <c r="B209" s="3" t="s">
        <v>929</v>
      </c>
      <c r="C209" s="3" t="s">
        <v>930</v>
      </c>
      <c r="D209" s="3" t="s">
        <v>517</v>
      </c>
      <c r="E209" s="2"/>
      <c r="F209" s="3" t="str">
        <f>IFERROR(__xludf.DUMMYFUNCTION("GOOGLETRANSLATE(A209, ""it"", ""en"")"),"208")</f>
        <v>208</v>
      </c>
      <c r="G209" s="3" t="str">
        <f>IFERROR(__xludf.DUMMYFUNCTION("GOOGLETRANSLATE(B209, ""it"", ""en"")"),"The cheese hits an obstacle and bounces back to the starting line. What happens?")</f>
        <v>The cheese hits an obstacle and bounces back to the starting line. What happens?</v>
      </c>
      <c r="H209" s="3" t="str">
        <f>IFERROR(__xludf.DUMMYFUNCTION("GOOGLETRANSLATE(C209, ""it"", ""en"")"),"A. The shot is cancelled B. The point goes to the opponent C. The judge awards a penalty D. The shot is retaken")</f>
        <v>A. The shot is cancelled B. The point goes to the opponent C. The judge awards a penalty D. The shot is retaken</v>
      </c>
      <c r="I209" s="3" t="str">
        <f>IFERROR(__xludf.DUMMYFUNCTION("GOOGLETRANSLATE(D209, ""it"", ""en"")"),"The shot is disallowed")</f>
        <v>The shot is disallowed</v>
      </c>
      <c r="J209" s="2"/>
      <c r="K209" s="2"/>
      <c r="L209" s="2"/>
      <c r="M209" s="2"/>
      <c r="N209" s="2"/>
      <c r="O209" s="2"/>
      <c r="P209" s="2"/>
      <c r="Q209" s="2"/>
      <c r="R209" s="2"/>
      <c r="S209" s="2"/>
      <c r="T209" s="2"/>
      <c r="U209" s="2"/>
      <c r="V209" s="2"/>
    </row>
    <row r="210" ht="22.5" customHeight="1">
      <c r="A210" s="3">
        <v>209.0</v>
      </c>
      <c r="B210" s="3" t="s">
        <v>931</v>
      </c>
      <c r="C210" s="3" t="s">
        <v>932</v>
      </c>
      <c r="D210" s="3" t="s">
        <v>494</v>
      </c>
      <c r="E210" s="2"/>
      <c r="F210" s="3" t="str">
        <f>IFERROR(__xludf.DUMMYFUNCTION("GOOGLETRANSLATE(A210, ""it"", ""en"")"),"209")</f>
        <v>209</v>
      </c>
      <c r="G210" s="3" t="str">
        <f>IFERROR(__xludf.DUMMYFUNCTION("GOOGLETRANSLATE(B210, ""it"", ""en"")"),"What happens if one player's cheese touches the opponent's and moves it?")</f>
        <v>What happens if one player's cheese touches the opponent's and moves it?</v>
      </c>
      <c r="H210" s="3" t="str">
        <f>IFERROR(__xludf.DUMMYFUNCTION("GOOGLETRANSLATE(C210, ""it"", ""en"")"),"A. The shot is valid B. Both shots are cancelled C. The judge awards a penalty D. The point goes to the opponent")</f>
        <v>A. The shot is valid B. Both shots are cancelled C. The judge awards a penalty D. The point goes to the opponent</v>
      </c>
      <c r="I210" s="3" t="str">
        <f>IFERROR(__xludf.DUMMYFUNCTION("GOOGLETRANSLATE(D210, ""it"", ""en"")"),"The shot is valid")</f>
        <v>The shot is valid</v>
      </c>
      <c r="J210" s="2"/>
      <c r="K210" s="2"/>
      <c r="L210" s="2"/>
      <c r="M210" s="2"/>
      <c r="N210" s="2"/>
      <c r="O210" s="2"/>
      <c r="P210" s="2"/>
      <c r="Q210" s="2"/>
      <c r="R210" s="2"/>
      <c r="S210" s="2"/>
      <c r="T210" s="2"/>
      <c r="U210" s="2"/>
      <c r="V210" s="2"/>
    </row>
    <row r="211" ht="22.5" customHeight="1">
      <c r="A211" s="3">
        <v>210.0</v>
      </c>
      <c r="B211" s="3" t="s">
        <v>933</v>
      </c>
      <c r="C211" s="3" t="s">
        <v>916</v>
      </c>
      <c r="D211" s="3" t="s">
        <v>500</v>
      </c>
      <c r="E211" s="2"/>
      <c r="F211" s="3" t="str">
        <f>IFERROR(__xludf.DUMMYFUNCTION("GOOGLETRANSLATE(A211, ""it"", ""en"")"),"210")</f>
        <v>210</v>
      </c>
      <c r="G211" s="3" t="str">
        <f>IFERROR(__xludf.DUMMYFUNCTION("GOOGLETRANSLATE(B211, ""it"", ""en"")"),"The cheese is accidentally touched by another player along the way. What happens?")</f>
        <v>The cheese is accidentally touched by another player along the way. What happens?</v>
      </c>
      <c r="H211" s="3" t="str">
        <f>IFERROR(__xludf.DUMMYFUNCTION("GOOGLETRANSLATE(C211, ""it"", ""en"")"),"A. The shot is valid B. The shot is retaken C. The judge awards a penalty D. The point is cancelled")</f>
        <v>A. The shot is valid B. The shot is retaken C. The judge awards a penalty D. The point is cancelled</v>
      </c>
      <c r="I211" s="3" t="str">
        <f>IFERROR(__xludf.DUMMYFUNCTION("GOOGLETRANSLATE(D211, ""it"", ""en"")"),"The shot is repeated")</f>
        <v>The shot is repeated</v>
      </c>
      <c r="J211" s="2"/>
      <c r="K211" s="2"/>
      <c r="L211" s="2"/>
      <c r="M211" s="2"/>
      <c r="N211" s="2"/>
      <c r="O211" s="2"/>
      <c r="P211" s="2"/>
      <c r="Q211" s="2"/>
      <c r="R211" s="2"/>
      <c r="S211" s="2"/>
      <c r="T211" s="2"/>
      <c r="U211" s="2"/>
      <c r="V211" s="2"/>
    </row>
    <row r="212" ht="22.5" customHeight="1">
      <c r="A212" s="3">
        <v>211.0</v>
      </c>
      <c r="B212" s="3" t="s">
        <v>934</v>
      </c>
      <c r="C212" s="3" t="s">
        <v>935</v>
      </c>
      <c r="D212" s="3" t="s">
        <v>936</v>
      </c>
      <c r="E212" s="2"/>
      <c r="F212" s="3" t="str">
        <f>IFERROR(__xludf.DUMMYFUNCTION("GOOGLETRANSLATE(A212, ""it"", ""en"")"),"211")</f>
        <v>211</v>
      </c>
      <c r="G212" s="3" t="str">
        <f>IFERROR(__xludf.DUMMYFUNCTION("GOOGLETRANSLATE(B212, ""it"", ""en"")"),"A player asks for a reroll due to adverse weather conditions. What happens?")</f>
        <v>A player asks for a reroll due to adverse weather conditions. What happens?</v>
      </c>
      <c r="H212" s="3" t="str">
        <f>IFERROR(__xludf.DUMMYFUNCTION("GOOGLETRANSLATE(C212, ""it"", ""en"")"),"A. The judge decides B. The shot is cancelled C. The point is awarded D. The shot is repeated")</f>
        <v>A. The judge decides B. The shot is cancelled C. The point is awarded D. The shot is repeated</v>
      </c>
      <c r="I212" s="3" t="str">
        <f>IFERROR(__xludf.DUMMYFUNCTION("GOOGLETRANSLATE(D212, ""it"", ""en"")"),"The judge decides")</f>
        <v>The judge decides</v>
      </c>
      <c r="J212" s="2"/>
      <c r="K212" s="2"/>
      <c r="L212" s="2"/>
      <c r="M212" s="2"/>
      <c r="N212" s="2"/>
      <c r="O212" s="2"/>
      <c r="P212" s="2"/>
      <c r="Q212" s="2"/>
      <c r="R212" s="2"/>
      <c r="S212" s="2"/>
      <c r="T212" s="2"/>
      <c r="U212" s="2"/>
      <c r="V212" s="2"/>
    </row>
    <row r="213" ht="22.5" customHeight="1">
      <c r="A213" s="3">
        <v>212.0</v>
      </c>
      <c r="B213" s="3" t="s">
        <v>937</v>
      </c>
      <c r="C213" s="3" t="s">
        <v>938</v>
      </c>
      <c r="D213" s="3" t="s">
        <v>912</v>
      </c>
      <c r="E213" s="2"/>
      <c r="F213" s="3" t="str">
        <f>IFERROR(__xludf.DUMMYFUNCTION("GOOGLETRANSLATE(A213, ""it"", ""en"")"),"212")</f>
        <v>212</v>
      </c>
      <c r="G213" s="3" t="str">
        <f>IFERROR(__xludf.DUMMYFUNCTION("GOOGLETRANSLATE(B213, ""it"", ""en"")"),"The thrown cheese breaks due to the uneven terrain. What happens?")</f>
        <v>The thrown cheese breaks due to the uneven terrain. What happens?</v>
      </c>
      <c r="H213" s="3" t="str">
        <f>IFERROR(__xludf.DUMMYFUNCTION("GOOGLETRANSLATE(C213, ""it"", ""en"")"),"A. The piece closest to the finish line is valid B. The shot is cancelled C. The judge awards a penalty D. The shot is retaken")</f>
        <v>A. The piece closest to the finish line is valid B. The shot is cancelled C. The judge awards a penalty D. The shot is retaken</v>
      </c>
      <c r="I213" s="3" t="str">
        <f>IFERROR(__xludf.DUMMYFUNCTION("GOOGLETRANSLATE(D213, ""it"", ""en"")"),"The piece closest to the finish line is valid")</f>
        <v>The piece closest to the finish line is valid</v>
      </c>
      <c r="J213" s="2"/>
      <c r="K213" s="2"/>
      <c r="L213" s="2"/>
      <c r="M213" s="2"/>
      <c r="N213" s="2"/>
      <c r="O213" s="2"/>
      <c r="P213" s="2"/>
      <c r="Q213" s="2"/>
      <c r="R213" s="2"/>
      <c r="S213" s="2"/>
      <c r="T213" s="2"/>
      <c r="U213" s="2"/>
      <c r="V213" s="2"/>
    </row>
    <row r="214" ht="22.5" customHeight="1">
      <c r="A214" s="3">
        <v>213.0</v>
      </c>
      <c r="B214" s="3" t="s">
        <v>939</v>
      </c>
      <c r="C214" s="3" t="s">
        <v>940</v>
      </c>
      <c r="D214" s="3" t="s">
        <v>9</v>
      </c>
      <c r="E214" s="2"/>
      <c r="F214" s="3" t="str">
        <f>IFERROR(__xludf.DUMMYFUNCTION("GOOGLETRANSLATE(A214, ""it"", ""en"")"),"213")</f>
        <v>213</v>
      </c>
      <c r="G214" s="3" t="str">
        <f>IFERROR(__xludf.DUMMYFUNCTION("GOOGLETRANSLATE(B214, ""it"", ""en"")"),"A player refuses to follow the rules. What happens?")</f>
        <v>A player refuses to follow the rules. What happens?</v>
      </c>
      <c r="H214" s="3" t="str">
        <f>IFERROR(__xludf.DUMMYFUNCTION("GOOGLETRANSLATE(C214, ""it"", ""en"")"),"A. The player is cautioned B. The referee awards a penalty C. The player is sent off D. The turn is skipped")</f>
        <v>A. The player is cautioned B. The referee awards a penalty C. The player is sent off D. The turn is skipped</v>
      </c>
      <c r="I214" s="3" t="str">
        <f>IFERROR(__xludf.DUMMYFUNCTION("GOOGLETRANSLATE(D214, ""it"", ""en"")"),"The player is sent off")</f>
        <v>The player is sent off</v>
      </c>
      <c r="J214" s="2"/>
      <c r="K214" s="2"/>
      <c r="L214" s="2"/>
      <c r="M214" s="2"/>
      <c r="N214" s="2"/>
      <c r="O214" s="2"/>
      <c r="P214" s="2"/>
      <c r="Q214" s="2"/>
      <c r="R214" s="2"/>
      <c r="S214" s="2"/>
      <c r="T214" s="2"/>
      <c r="U214" s="2"/>
      <c r="V214" s="2"/>
    </row>
    <row r="215" ht="22.5" customHeight="1">
      <c r="A215" s="3">
        <v>214.0</v>
      </c>
      <c r="B215" s="3" t="s">
        <v>941</v>
      </c>
      <c r="C215" s="3" t="s">
        <v>942</v>
      </c>
      <c r="D215" s="3" t="s">
        <v>616</v>
      </c>
      <c r="E215" s="2"/>
      <c r="F215" s="3" t="str">
        <f>IFERROR(__xludf.DUMMYFUNCTION("GOOGLETRANSLATE(A215, ""it"", ""en"")"),"214")</f>
        <v>214</v>
      </c>
      <c r="G215" s="3" t="str">
        <f>IFERROR(__xludf.DUMMYFUNCTION("GOOGLETRANSLATE(B215, ""it"", ""en"")"),"The cheese crosses the finish line but hits an obstacle off the course. What happens?")</f>
        <v>The cheese crosses the finish line but hits an obstacle off the course. What happens?</v>
      </c>
      <c r="H215" s="3" t="str">
        <f>IFERROR(__xludf.DUMMYFUNCTION("GOOGLETRANSLATE(C215, ""it"", ""en"")"),"A. The shot is valid B. The point is awarded C. The shot is cancelled D. The judge awards a penalty")</f>
        <v>A. The shot is valid B. The point is awarded C. The shot is cancelled D. The judge awards a penalty</v>
      </c>
      <c r="I215" s="3" t="str">
        <f>IFERROR(__xludf.DUMMYFUNCTION("GOOGLETRANSLATE(D215, ""it"", ""en"")"),"The point is awarded")</f>
        <v>The point is awarded</v>
      </c>
      <c r="J215" s="2"/>
      <c r="K215" s="2"/>
      <c r="L215" s="2"/>
      <c r="M215" s="2"/>
      <c r="N215" s="2"/>
      <c r="O215" s="2"/>
      <c r="P215" s="2"/>
      <c r="Q215" s="2"/>
      <c r="R215" s="2"/>
      <c r="S215" s="2"/>
      <c r="T215" s="2"/>
      <c r="U215" s="2"/>
      <c r="V215" s="2"/>
    </row>
    <row r="216" ht="22.5" customHeight="1">
      <c r="A216" s="3">
        <v>215.0</v>
      </c>
      <c r="B216" s="3" t="s">
        <v>943</v>
      </c>
      <c r="C216" s="3" t="s">
        <v>944</v>
      </c>
      <c r="D216" s="3" t="s">
        <v>511</v>
      </c>
      <c r="E216" s="2"/>
      <c r="F216" s="3" t="str">
        <f>IFERROR(__xludf.DUMMYFUNCTION("GOOGLETRANSLATE(A216, ""it"", ""en"")"),"215")</f>
        <v>215</v>
      </c>
      <c r="G216" s="3" t="str">
        <f>IFERROR(__xludf.DUMMYFUNCTION("GOOGLETRANSLATE(B216, ""it"", ""en"")"),"A player uses a prohibited throwing technique. What happens?")</f>
        <v>A player uses a prohibited throwing technique. What happens?</v>
      </c>
      <c r="H216" s="3" t="str">
        <f>IFERROR(__xludf.DUMMYFUNCTION("GOOGLETRANSLATE(C216, ""it"", ""en"")"),"A. The shot is cancelled B. The judge issues a penalty C. The player loses his turn D. The cheese is removed")</f>
        <v>A. The shot is cancelled B. The judge issues a penalty C. The player loses his turn D. The cheese is removed</v>
      </c>
      <c r="I216" s="3" t="str">
        <f>IFERROR(__xludf.DUMMYFUNCTION("GOOGLETRANSLATE(D216, ""it"", ""en"")"),"The judge awards a penalty")</f>
        <v>The judge awards a penalty</v>
      </c>
      <c r="J216" s="2"/>
      <c r="K216" s="2"/>
      <c r="L216" s="2"/>
      <c r="M216" s="2"/>
      <c r="N216" s="2"/>
      <c r="O216" s="2"/>
      <c r="P216" s="2"/>
      <c r="Q216" s="2"/>
      <c r="R216" s="2"/>
      <c r="S216" s="2"/>
      <c r="T216" s="2"/>
      <c r="U216" s="2"/>
      <c r="V216" s="2"/>
    </row>
    <row r="217" ht="22.5" customHeight="1">
      <c r="A217" s="3">
        <v>216.0</v>
      </c>
      <c r="B217" s="3" t="s">
        <v>945</v>
      </c>
      <c r="C217" s="3" t="s">
        <v>946</v>
      </c>
      <c r="D217" s="3" t="s">
        <v>517</v>
      </c>
      <c r="E217" s="2"/>
      <c r="F217" s="3" t="str">
        <f>IFERROR(__xludf.DUMMYFUNCTION("GOOGLETRANSLATE(A217, ""it"", ""en"")"),"216")</f>
        <v>216</v>
      </c>
      <c r="G217" s="3" t="str">
        <f>IFERROR(__xludf.DUMMYFUNCTION("GOOGLETRANSLATE(B217, ""it"", ""en"")"),"The cheese ends up in a restricted area of ​​the course. What happens?")</f>
        <v>The cheese ends up in a restricted area of ​​the course. What happens?</v>
      </c>
      <c r="H217" s="3" t="str">
        <f>IFERROR(__xludf.DUMMYFUNCTION("GOOGLETRANSLATE(C217, ""it"", ""en"")"),"A. The shot is cancelled B. The judge awards a penalty C. The cheese is removed D. The shot is retaken")</f>
        <v>A. The shot is cancelled B. The judge awards a penalty C. The cheese is removed D. The shot is retaken</v>
      </c>
      <c r="I217" s="3" t="str">
        <f>IFERROR(__xludf.DUMMYFUNCTION("GOOGLETRANSLATE(D217, ""it"", ""en"")"),"The shot is disallowed")</f>
        <v>The shot is disallowed</v>
      </c>
      <c r="J217" s="2"/>
      <c r="K217" s="2"/>
      <c r="L217" s="2"/>
      <c r="M217" s="2"/>
      <c r="N217" s="2"/>
      <c r="O217" s="2"/>
      <c r="P217" s="2"/>
      <c r="Q217" s="2"/>
      <c r="R217" s="2"/>
      <c r="S217" s="2"/>
      <c r="T217" s="2"/>
      <c r="U217" s="2"/>
      <c r="V217" s="2"/>
    </row>
    <row r="218" ht="22.5" customHeight="1">
      <c r="A218" s="3">
        <v>217.0</v>
      </c>
      <c r="B218" s="3" t="s">
        <v>947</v>
      </c>
      <c r="C218" s="3" t="s">
        <v>904</v>
      </c>
      <c r="D218" s="3" t="s">
        <v>549</v>
      </c>
      <c r="E218" s="2"/>
      <c r="F218" s="3" t="str">
        <f>IFERROR(__xludf.DUMMYFUNCTION("GOOGLETRANSLATE(A218, ""it"", ""en"")"),"217")</f>
        <v>217</v>
      </c>
      <c r="G218" s="3" t="str">
        <f>IFERROR(__xludf.DUMMYFUNCTION("GOOGLETRANSLATE(B218, ""it"", ""en"")"),"What happens if a player goes way over the time limit to throw?")</f>
        <v>What happens if a player goes way over the time limit to throw?</v>
      </c>
      <c r="H218" s="3" t="str">
        <f>IFERROR(__xludf.DUMMYFUNCTION("GOOGLETRANSLATE(C218, ""it"", ""en"")"),"A. The player loses the turn B. The judge awards a penalty C. The shot is cancelled D. The game is suspended")</f>
        <v>A. The player loses the turn B. The judge awards a penalty C. The shot is cancelled D. The game is suspended</v>
      </c>
      <c r="I218" s="3" t="str">
        <f>IFERROR(__xludf.DUMMYFUNCTION("GOOGLETRANSLATE(D218, ""it"", ""en"")"),"The player loses the turn")</f>
        <v>The player loses the turn</v>
      </c>
      <c r="J218" s="2"/>
      <c r="K218" s="2"/>
      <c r="L218" s="2"/>
      <c r="M218" s="2"/>
      <c r="N218" s="2"/>
      <c r="O218" s="2"/>
      <c r="P218" s="2"/>
      <c r="Q218" s="2"/>
      <c r="R218" s="2"/>
      <c r="S218" s="2"/>
      <c r="T218" s="2"/>
      <c r="U218" s="2"/>
      <c r="V218" s="2"/>
    </row>
    <row r="219" ht="22.5" customHeight="1">
      <c r="A219" s="3">
        <v>218.0</v>
      </c>
      <c r="B219" s="3" t="s">
        <v>948</v>
      </c>
      <c r="C219" s="3" t="s">
        <v>876</v>
      </c>
      <c r="D219" s="3" t="s">
        <v>500</v>
      </c>
      <c r="E219" s="2"/>
      <c r="F219" s="3" t="str">
        <f>IFERROR(__xludf.DUMMYFUNCTION("GOOGLETRANSLATE(A219, ""it"", ""en"")"),"218")</f>
        <v>218</v>
      </c>
      <c r="G219" s="3" t="str">
        <f>IFERROR(__xludf.DUMMYFUNCTION("GOOGLETRANSLATE(B219, ""it"", ""en"")"),"A thrown cheese stops at the starting line. What happens?")</f>
        <v>A thrown cheese stops at the starting line. What happens?</v>
      </c>
      <c r="H219" s="3" t="str">
        <f>IFERROR(__xludf.DUMMYFUNCTION("GOOGLETRANSLATE(C219, ""it"", ""en"")"),"A. The shot is cancelled B. The shot is retaken C. The judge issues a penalty D. The player loses the turn")</f>
        <v>A. The shot is cancelled B. The shot is retaken C. The judge issues a penalty D. The player loses the turn</v>
      </c>
      <c r="I219" s="3" t="str">
        <f>IFERROR(__xludf.DUMMYFUNCTION("GOOGLETRANSLATE(D219, ""it"", ""en"")"),"The shot is repeated")</f>
        <v>The shot is repeated</v>
      </c>
      <c r="J219" s="2"/>
      <c r="K219" s="2"/>
      <c r="L219" s="2"/>
      <c r="M219" s="2"/>
      <c r="N219" s="2"/>
      <c r="O219" s="2"/>
      <c r="P219" s="2"/>
      <c r="Q219" s="2"/>
      <c r="R219" s="2"/>
      <c r="S219" s="2"/>
      <c r="T219" s="2"/>
      <c r="U219" s="2"/>
      <c r="V219" s="2"/>
    </row>
    <row r="220" ht="22.5" customHeight="1">
      <c r="A220" s="3">
        <v>219.0</v>
      </c>
      <c r="B220" s="3" t="s">
        <v>949</v>
      </c>
      <c r="C220" s="3" t="s">
        <v>950</v>
      </c>
      <c r="D220" s="3" t="s">
        <v>646</v>
      </c>
      <c r="E220" s="2"/>
      <c r="F220" s="3" t="str">
        <f>IFERROR(__xludf.DUMMYFUNCTION("GOOGLETRANSLATE(A220, ""it"", ""en"")"),"219")</f>
        <v>219</v>
      </c>
      <c r="G220" s="3" t="str">
        <f>IFERROR(__xludf.DUMMYFUNCTION("GOOGLETRANSLATE(B220, ""it"", ""en"")"),"The cheese stops near the finish line but doesn't cross it. What happens?")</f>
        <v>The cheese stops near the finish line but doesn't cross it. What happens?</v>
      </c>
      <c r="H220" s="3" t="str">
        <f>IFERROR(__xludf.DUMMYFUNCTION("GOOGLETRANSLATE(C220, ""it"", ""en"")"),"A. The point is not awarded B. The shot is cancelled C. The judge awards a penalty D. The shot is retaken")</f>
        <v>A. The point is not awarded B. The shot is cancelled C. The judge awards a penalty D. The shot is retaken</v>
      </c>
      <c r="I220" s="3" t="str">
        <f>IFERROR(__xludf.DUMMYFUNCTION("GOOGLETRANSLATE(D220, ""it"", ""en"")"),"The point is not awarded")</f>
        <v>The point is not awarded</v>
      </c>
      <c r="J220" s="2"/>
      <c r="K220" s="2"/>
      <c r="L220" s="2"/>
      <c r="M220" s="2"/>
      <c r="N220" s="2"/>
      <c r="O220" s="2"/>
      <c r="P220" s="2"/>
      <c r="Q220" s="2"/>
      <c r="R220" s="2"/>
      <c r="S220" s="2"/>
      <c r="T220" s="2"/>
      <c r="U220" s="2"/>
      <c r="V220" s="2"/>
    </row>
    <row r="221" ht="22.5" customHeight="1">
      <c r="A221" s="3">
        <v>220.0</v>
      </c>
      <c r="B221" s="3" t="s">
        <v>951</v>
      </c>
      <c r="C221" s="3" t="s">
        <v>952</v>
      </c>
      <c r="D221" s="3" t="s">
        <v>511</v>
      </c>
      <c r="E221" s="2"/>
      <c r="F221" s="3" t="str">
        <f>IFERROR(__xludf.DUMMYFUNCTION("GOOGLETRANSLATE(A221, ""it"", ""en"")"),"220")</f>
        <v>220</v>
      </c>
      <c r="G221" s="3" t="str">
        <f>IFERROR(__xludf.DUMMYFUNCTION("GOOGLETRANSLATE(B221, ""it"", ""en"")"),"A player tries to move a natural obstacle. What happens?")</f>
        <v>A player tries to move a natural obstacle. What happens?</v>
      </c>
      <c r="H221" s="3" t="str">
        <f>IFERROR(__xludf.DUMMYFUNCTION("GOOGLETRANSLATE(C221, ""it"", ""en"")"),"A. The player is warned B. The judge issues a penalty C. The turn is skipped D. The shot is cancelled")</f>
        <v>A. The player is warned B. The judge issues a penalty C. The turn is skipped D. The shot is cancelled</v>
      </c>
      <c r="I221" s="3" t="str">
        <f>IFERROR(__xludf.DUMMYFUNCTION("GOOGLETRANSLATE(D221, ""it"", ""en"")"),"The judge awards a penalty")</f>
        <v>The judge awards a penalty</v>
      </c>
      <c r="J221" s="2"/>
      <c r="K221" s="2"/>
      <c r="L221" s="2"/>
      <c r="M221" s="2"/>
      <c r="N221" s="2"/>
      <c r="O221" s="2"/>
      <c r="P221" s="2"/>
      <c r="Q221" s="2"/>
      <c r="R221" s="2"/>
      <c r="S221" s="2"/>
      <c r="T221" s="2"/>
      <c r="U221" s="2"/>
      <c r="V221" s="2"/>
    </row>
    <row r="222" ht="22.5" customHeight="1">
      <c r="A222" s="3">
        <v>221.0</v>
      </c>
      <c r="B222" s="3" t="s">
        <v>953</v>
      </c>
      <c r="C222" s="3" t="s">
        <v>795</v>
      </c>
      <c r="D222" s="3" t="s">
        <v>500</v>
      </c>
      <c r="E222" s="2"/>
      <c r="F222" s="3" t="str">
        <f>IFERROR(__xludf.DUMMYFUNCTION("GOOGLETRANSLATE(A222, ""it"", ""en"")"),"221")</f>
        <v>221</v>
      </c>
      <c r="G222" s="3" t="str">
        <f>IFERROR(__xludf.DUMMYFUNCTION("GOOGLETRANSLATE(B222, ""it"", ""en"")"),"The thrown cheese hits an animal in its path. What happens?")</f>
        <v>The thrown cheese hits an animal in its path. What happens?</v>
      </c>
      <c r="H222" s="3" t="str">
        <f>IFERROR(__xludf.DUMMYFUNCTION("GOOGLETRANSLATE(C222, ""it"", ""en"")"),"A. The shot is valid B. The judge awards a penalty C. The shot is retaken D. The point is awarded")</f>
        <v>A. The shot is valid B. The judge awards a penalty C. The shot is retaken D. The point is awarded</v>
      </c>
      <c r="I222" s="3" t="str">
        <f>IFERROR(__xludf.DUMMYFUNCTION("GOOGLETRANSLATE(D222, ""it"", ""en"")"),"The shot is repeated")</f>
        <v>The shot is repeated</v>
      </c>
      <c r="J222" s="2"/>
      <c r="K222" s="2"/>
      <c r="L222" s="2"/>
      <c r="M222" s="2"/>
      <c r="N222" s="2"/>
      <c r="O222" s="2"/>
      <c r="P222" s="2"/>
      <c r="Q222" s="2"/>
      <c r="R222" s="2"/>
      <c r="S222" s="2"/>
      <c r="T222" s="2"/>
      <c r="U222" s="2"/>
      <c r="V222" s="2"/>
    </row>
    <row r="223" ht="22.5" customHeight="1">
      <c r="A223" s="3">
        <v>222.0</v>
      </c>
      <c r="B223" s="3" t="s">
        <v>954</v>
      </c>
      <c r="C223" s="3" t="s">
        <v>955</v>
      </c>
      <c r="D223" s="3" t="s">
        <v>956</v>
      </c>
      <c r="E223" s="2"/>
      <c r="F223" s="3" t="str">
        <f>IFERROR(__xludf.DUMMYFUNCTION("GOOGLETRANSLATE(A223, ""it"", ""en"")"),"222")</f>
        <v>222</v>
      </c>
      <c r="G223" s="3" t="str">
        <f>IFERROR(__xludf.DUMMYFUNCTION("GOOGLETRANSLATE(B223, ""it"", ""en"")"),"A player throws an illegal throw but scores a point. What happens?")</f>
        <v>A player throws an illegal throw but scores a point. What happens?</v>
      </c>
      <c r="H223" s="3" t="str">
        <f>IFERROR(__xludf.DUMMYFUNCTION("GOOGLETRANSLATE(C223, ""it"", ""en"")"),"A. The point is cancelled B. The judge awards a penalty C. The player loses the turn D. The shot is cancelled")</f>
        <v>A. The point is cancelled B. The judge awards a penalty C. The player loses the turn D. The shot is cancelled</v>
      </c>
      <c r="I223" s="3" t="str">
        <f>IFERROR(__xludf.DUMMYFUNCTION("GOOGLETRANSLATE(D223, ""it"", ""en"")"),"The point is cancelled")</f>
        <v>The point is cancelled</v>
      </c>
      <c r="J223" s="2"/>
      <c r="K223" s="2"/>
      <c r="L223" s="2"/>
      <c r="M223" s="2"/>
      <c r="N223" s="2"/>
      <c r="O223" s="2"/>
      <c r="P223" s="2"/>
      <c r="Q223" s="2"/>
      <c r="R223" s="2"/>
      <c r="S223" s="2"/>
      <c r="T223" s="2"/>
      <c r="U223" s="2"/>
      <c r="V223" s="2"/>
    </row>
    <row r="224" ht="22.5" customHeight="1">
      <c r="A224" s="3">
        <v>223.0</v>
      </c>
      <c r="B224" s="3" t="s">
        <v>957</v>
      </c>
      <c r="C224" s="3" t="s">
        <v>958</v>
      </c>
      <c r="D224" s="3" t="s">
        <v>494</v>
      </c>
      <c r="E224" s="2"/>
      <c r="F224" s="3" t="str">
        <f>IFERROR(__xludf.DUMMYFUNCTION("GOOGLETRANSLATE(A224, ""it"", ""en"")"),"223")</f>
        <v>223</v>
      </c>
      <c r="G224" s="3" t="str">
        <f>IFERROR(__xludf.DUMMYFUNCTION("GOOGLETRANSLATE(B224, ""it"", ""en"")"),"The cheese stops under a natural obstacle. What happens?")</f>
        <v>The cheese stops under a natural obstacle. What happens?</v>
      </c>
      <c r="H224" s="3" t="str">
        <f>IFERROR(__xludf.DUMMYFUNCTION("GOOGLETRANSLATE(C224, ""it"", ""en"")"),"A. The shot is valid B. The judge awards a penalty C. The shot is cancelled D. The point is awarded")</f>
        <v>A. The shot is valid B. The judge awards a penalty C. The shot is cancelled D. The point is awarded</v>
      </c>
      <c r="I224" s="3" t="str">
        <f>IFERROR(__xludf.DUMMYFUNCTION("GOOGLETRANSLATE(D224, ""it"", ""en"")"),"The shot is valid")</f>
        <v>The shot is valid</v>
      </c>
      <c r="J224" s="2"/>
      <c r="K224" s="2"/>
      <c r="L224" s="2"/>
      <c r="M224" s="2"/>
      <c r="N224" s="2"/>
      <c r="O224" s="2"/>
      <c r="P224" s="2"/>
      <c r="Q224" s="2"/>
      <c r="R224" s="2"/>
      <c r="S224" s="2"/>
      <c r="T224" s="2"/>
      <c r="U224" s="2"/>
      <c r="V224" s="2"/>
    </row>
    <row r="225" ht="22.5" customHeight="1">
      <c r="A225" s="3">
        <v>224.0</v>
      </c>
      <c r="B225" s="3" t="s">
        <v>959</v>
      </c>
      <c r="C225" s="3" t="s">
        <v>960</v>
      </c>
      <c r="D225" s="3" t="s">
        <v>511</v>
      </c>
      <c r="E225" s="2"/>
      <c r="F225" s="3" t="str">
        <f>IFERROR(__xludf.DUMMYFUNCTION("GOOGLETRANSLATE(A225, ""it"", ""en"")"),"224")</f>
        <v>224</v>
      </c>
      <c r="G225" s="3" t="str">
        <f>IFERROR(__xludf.DUMMYFUNCTION("GOOGLETRANSLATE(B225, ""it"", ""en"")"),"A player alters the terrain before throwing. What happens?")</f>
        <v>A player alters the terrain before throwing. What happens?</v>
      </c>
      <c r="H225" s="3" t="str">
        <f>IFERROR(__xludf.DUMMYFUNCTION("GOOGLETRANSLATE(C225, ""it"", ""en"")"),"A. The judge awards a penalty B. The shot is cancelled C. The player loses his turn D. The game is suspended")</f>
        <v>A. The judge awards a penalty B. The shot is cancelled C. The player loses his turn D. The game is suspended</v>
      </c>
      <c r="I225" s="3" t="str">
        <f>IFERROR(__xludf.DUMMYFUNCTION("GOOGLETRANSLATE(D225, ""it"", ""en"")"),"The judge awards a penalty")</f>
        <v>The judge awards a penalty</v>
      </c>
      <c r="J225" s="2"/>
      <c r="K225" s="2"/>
      <c r="L225" s="2"/>
      <c r="M225" s="2"/>
      <c r="N225" s="2"/>
      <c r="O225" s="2"/>
      <c r="P225" s="2"/>
      <c r="Q225" s="2"/>
      <c r="R225" s="2"/>
      <c r="S225" s="2"/>
      <c r="T225" s="2"/>
      <c r="U225" s="2"/>
      <c r="V225" s="2"/>
    </row>
    <row r="226" ht="22.5" customHeight="1">
      <c r="A226" s="3">
        <v>225.0</v>
      </c>
      <c r="B226" s="3" t="s">
        <v>961</v>
      </c>
      <c r="C226" s="3" t="s">
        <v>863</v>
      </c>
      <c r="D226" s="3" t="s">
        <v>494</v>
      </c>
      <c r="E226" s="2"/>
      <c r="F226" s="3" t="str">
        <f>IFERROR(__xludf.DUMMYFUNCTION("GOOGLETRANSLATE(A226, ""it"", ""en"")"),"225")</f>
        <v>225</v>
      </c>
      <c r="G226" s="3" t="str">
        <f>IFERROR(__xludf.DUMMYFUNCTION("GOOGLETRANSLATE(B226, ""it"", ""en"")"),"A cheese hits the finish line and moves sideways. What happens?")</f>
        <v>A cheese hits the finish line and moves sideways. What happens?</v>
      </c>
      <c r="H226" s="3" t="str">
        <f>IFERROR(__xludf.DUMMYFUNCTION("GOOGLETRANSLATE(C226, ""it"", ""en"")"),"A. The shot is valid B. The judge awards a penalty C. The point is cancelled D. The shot is retaken")</f>
        <v>A. The shot is valid B. The judge awards a penalty C. The point is cancelled D. The shot is retaken</v>
      </c>
      <c r="I226" s="3" t="str">
        <f>IFERROR(__xludf.DUMMYFUNCTION("GOOGLETRANSLATE(D226, ""it"", ""en"")"),"The shot is valid")</f>
        <v>The shot is valid</v>
      </c>
      <c r="J226" s="2"/>
      <c r="K226" s="2"/>
      <c r="L226" s="2"/>
      <c r="M226" s="2"/>
      <c r="N226" s="2"/>
      <c r="O226" s="2"/>
      <c r="P226" s="2"/>
      <c r="Q226" s="2"/>
      <c r="R226" s="2"/>
      <c r="S226" s="2"/>
      <c r="T226" s="2"/>
      <c r="U226" s="2"/>
      <c r="V226" s="2"/>
    </row>
    <row r="227" ht="22.5" customHeight="1">
      <c r="A227" s="3">
        <v>226.0</v>
      </c>
      <c r="B227" s="3" t="s">
        <v>962</v>
      </c>
      <c r="C227" s="3" t="s">
        <v>963</v>
      </c>
      <c r="D227" s="3" t="s">
        <v>494</v>
      </c>
      <c r="E227" s="2"/>
      <c r="F227" s="3" t="str">
        <f>IFERROR(__xludf.DUMMYFUNCTION("GOOGLETRANSLATE(A227, ""it"", ""en"")"),"226")</f>
        <v>226</v>
      </c>
      <c r="G227" s="3" t="str">
        <f>IFERROR(__xludf.DUMMYFUNCTION("GOOGLETRANSLATE(B227, ""it"", ""en"")"),"A player uses a broken but legal cheese. What happens?")</f>
        <v>A player uses a broken but legal cheese. What happens?</v>
      </c>
      <c r="H227" s="3" t="str">
        <f>IFERROR(__xludf.DUMMYFUNCTION("GOOGLETRANSLATE(C227, ""it"", ""en"")"),"A. The shot is valid B. The judge awards a penalty C. The shot is cancelled D. The player loses the turn")</f>
        <v>A. The shot is valid B. The judge awards a penalty C. The shot is cancelled D. The player loses the turn</v>
      </c>
      <c r="I227" s="3" t="str">
        <f>IFERROR(__xludf.DUMMYFUNCTION("GOOGLETRANSLATE(D227, ""it"", ""en"")"),"The shot is valid")</f>
        <v>The shot is valid</v>
      </c>
      <c r="J227" s="2"/>
      <c r="K227" s="2"/>
      <c r="L227" s="2"/>
      <c r="M227" s="2"/>
      <c r="N227" s="2"/>
      <c r="O227" s="2"/>
      <c r="P227" s="2"/>
      <c r="Q227" s="2"/>
      <c r="R227" s="2"/>
      <c r="S227" s="2"/>
      <c r="T227" s="2"/>
      <c r="U227" s="2"/>
      <c r="V227" s="2"/>
    </row>
    <row r="228" ht="22.5" customHeight="1">
      <c r="A228" s="3">
        <v>227.0</v>
      </c>
      <c r="B228" s="3" t="s">
        <v>964</v>
      </c>
      <c r="C228" s="3" t="s">
        <v>916</v>
      </c>
      <c r="D228" s="3" t="s">
        <v>494</v>
      </c>
      <c r="E228" s="2"/>
      <c r="F228" s="3" t="str">
        <f>IFERROR(__xludf.DUMMYFUNCTION("GOOGLETRANSLATE(A228, ""it"", ""en"")"),"227")</f>
        <v>227</v>
      </c>
      <c r="G228" s="3" t="str">
        <f>IFERROR(__xludf.DUMMYFUNCTION("GOOGLETRANSLATE(B228, ""it"", ""en"")"),"The thrown cheese slides on a slippery surface. What happens?")</f>
        <v>The thrown cheese slides on a slippery surface. What happens?</v>
      </c>
      <c r="H228" s="3" t="str">
        <f>IFERROR(__xludf.DUMMYFUNCTION("GOOGLETRANSLATE(C228, ""it"", ""en"")"),"A. The shot is valid B. The shot is retaken C. The judge awards a penalty D. The point is cancelled")</f>
        <v>A. The shot is valid B. The shot is retaken C. The judge awards a penalty D. The point is cancelled</v>
      </c>
      <c r="I228" s="3" t="str">
        <f>IFERROR(__xludf.DUMMYFUNCTION("GOOGLETRANSLATE(D228, ""it"", ""en"")"),"The shot is valid")</f>
        <v>The shot is valid</v>
      </c>
      <c r="J228" s="2"/>
      <c r="K228" s="2"/>
      <c r="L228" s="2"/>
      <c r="M228" s="2"/>
      <c r="N228" s="2"/>
      <c r="O228" s="2"/>
      <c r="P228" s="2"/>
      <c r="Q228" s="2"/>
      <c r="R228" s="2"/>
      <c r="S228" s="2"/>
      <c r="T228" s="2"/>
      <c r="U228" s="2"/>
      <c r="V228" s="2"/>
    </row>
    <row r="229" ht="22.5" customHeight="1">
      <c r="A229" s="3">
        <v>228.0</v>
      </c>
      <c r="B229" s="3" t="s">
        <v>965</v>
      </c>
      <c r="C229" s="3" t="s">
        <v>966</v>
      </c>
      <c r="D229" s="3" t="s">
        <v>500</v>
      </c>
      <c r="E229" s="2"/>
      <c r="F229" s="3" t="str">
        <f>IFERROR(__xludf.DUMMYFUNCTION("GOOGLETRANSLATE(A229, ""it"", ""en"")"),"228")</f>
        <v>228</v>
      </c>
      <c r="G229" s="3" t="str">
        <f>IFERROR(__xludf.DUMMYFUNCTION("GOOGLETRANSLATE(B229, ""it"", ""en"")"),"The cheese rolls off the track due to a strong wind. What happens?")</f>
        <v>The cheese rolls off the track due to a strong wind. What happens?</v>
      </c>
      <c r="H229" s="3" t="str">
        <f>IFERROR(__xludf.DUMMYFUNCTION("GOOGLETRANSLATE(C229, ""it"", ""en"")"),"A. The shot is retaken B. The judge awards a penalty C. The point is cancelled D. The shot is valid")</f>
        <v>A. The shot is retaken B. The judge awards a penalty C. The point is cancelled D. The shot is valid</v>
      </c>
      <c r="I229" s="3" t="str">
        <f>IFERROR(__xludf.DUMMYFUNCTION("GOOGLETRANSLATE(D229, ""it"", ""en"")"),"The shot is repeated")</f>
        <v>The shot is repeated</v>
      </c>
      <c r="J229" s="2"/>
      <c r="K229" s="2"/>
      <c r="L229" s="2"/>
      <c r="M229" s="2"/>
      <c r="N229" s="2"/>
      <c r="O229" s="2"/>
      <c r="P229" s="2"/>
      <c r="Q229" s="2"/>
      <c r="R229" s="2"/>
      <c r="S229" s="2"/>
      <c r="T229" s="2"/>
      <c r="U229" s="2"/>
      <c r="V229" s="2"/>
    </row>
    <row r="230" ht="22.5" customHeight="1">
      <c r="A230" s="3">
        <v>229.0</v>
      </c>
      <c r="B230" s="3" t="s">
        <v>967</v>
      </c>
      <c r="C230" s="3" t="s">
        <v>968</v>
      </c>
      <c r="D230" s="3" t="s">
        <v>969</v>
      </c>
      <c r="E230" s="2"/>
      <c r="F230" s="3" t="str">
        <f>IFERROR(__xludf.DUMMYFUNCTION("GOOGLETRANSLATE(A230, ""it"", ""en"")"),"229")</f>
        <v>229</v>
      </c>
      <c r="G230" s="3" t="str">
        <f>IFERROR(__xludf.DUMMYFUNCTION("GOOGLETRANSLATE(B230, ""it"", ""en"")"),"A player loses the cheese before throwing it. What happens?")</f>
        <v>A player loses the cheese before throwing it. What happens?</v>
      </c>
      <c r="H230" s="3" t="str">
        <f>IFERROR(__xludf.DUMMYFUNCTION("GOOGLETRANSLATE(C230, ""it"", ""en"")"),"A. The turn is skipped B. The shot is cancelled C. The judge awards a penalty D. The player can recover the cheese")</f>
        <v>A. The turn is skipped B. The shot is cancelled C. The judge awards a penalty D. The player can recover the cheese</v>
      </c>
      <c r="I230" s="3" t="str">
        <f>IFERROR(__xludf.DUMMYFUNCTION("GOOGLETRANSLATE(D230, ""it"", ""en"")"),"The player can recover the cheese")</f>
        <v>The player can recover the cheese</v>
      </c>
      <c r="J230" s="2"/>
      <c r="K230" s="2"/>
      <c r="L230" s="2"/>
      <c r="M230" s="2"/>
      <c r="N230" s="2"/>
      <c r="O230" s="2"/>
      <c r="P230" s="2"/>
      <c r="Q230" s="2"/>
      <c r="R230" s="2"/>
      <c r="S230" s="2"/>
      <c r="T230" s="2"/>
      <c r="U230" s="2"/>
      <c r="V230" s="2"/>
    </row>
    <row r="231" ht="22.5" customHeight="1">
      <c r="A231" s="3">
        <v>230.0</v>
      </c>
      <c r="B231" s="3" t="s">
        <v>970</v>
      </c>
      <c r="C231" s="3" t="s">
        <v>971</v>
      </c>
      <c r="D231" s="3" t="s">
        <v>616</v>
      </c>
      <c r="E231" s="2"/>
      <c r="F231" s="3" t="str">
        <f>IFERROR(__xludf.DUMMYFUNCTION("GOOGLETRANSLATE(A231, ""it"", ""en"")"),"230")</f>
        <v>230</v>
      </c>
      <c r="G231" s="3" t="str">
        <f>IFERROR(__xludf.DUMMYFUNCTION("GOOGLETRANSLATE(B231, ""it"", ""en"")"),"The cheese stops right at the finish line. What happens?")</f>
        <v>The cheese stops right at the finish line. What happens?</v>
      </c>
      <c r="H231" s="3" t="str">
        <f>IFERROR(__xludf.DUMMYFUNCTION("GOOGLETRANSLATE(C231, ""it"", ""en"")"),"A. The point is awarded B. The point is cancelled C. The judge awards a penalty D. The shot is retaken")</f>
        <v>A. The point is awarded B. The point is cancelled C. The judge awards a penalty D. The shot is retaken</v>
      </c>
      <c r="I231" s="3" t="str">
        <f>IFERROR(__xludf.DUMMYFUNCTION("GOOGLETRANSLATE(D231, ""it"", ""en"")"),"The point is awarded")</f>
        <v>The point is awarded</v>
      </c>
      <c r="J231" s="2"/>
      <c r="K231" s="2"/>
      <c r="L231" s="2"/>
      <c r="M231" s="2"/>
      <c r="N231" s="2"/>
      <c r="O231" s="2"/>
      <c r="P231" s="2"/>
      <c r="Q231" s="2"/>
      <c r="R231" s="2"/>
      <c r="S231" s="2"/>
      <c r="T231" s="2"/>
      <c r="U231" s="2"/>
      <c r="V231" s="2"/>
    </row>
    <row r="232" ht="22.5" customHeight="1">
      <c r="A232" s="3">
        <v>231.0</v>
      </c>
      <c r="B232" s="3" t="s">
        <v>972</v>
      </c>
      <c r="C232" s="3" t="s">
        <v>973</v>
      </c>
      <c r="D232" s="3" t="s">
        <v>511</v>
      </c>
      <c r="E232" s="2"/>
      <c r="F232" s="3" t="str">
        <f>IFERROR(__xludf.DUMMYFUNCTION("GOOGLETRANSLATE(A232, ""it"", ""en"")"),"231")</f>
        <v>231</v>
      </c>
      <c r="G232" s="3" t="str">
        <f>IFERROR(__xludf.DUMMYFUNCTION("GOOGLETRANSLATE(B232, ""it"", ""en"")"),"A player tries to distract an opponent during a throw. What happens?")</f>
        <v>A player tries to distract an opponent during a throw. What happens?</v>
      </c>
      <c r="H232" s="3" t="str">
        <f>IFERROR(__xludf.DUMMYFUNCTION("GOOGLETRANSLATE(C232, ""it"", ""en"")"),"A. The player is warned B. The turn is skipped C. The judge awards a penalty D. The opponent's shot is retaken")</f>
        <v>A. The player is warned B. The turn is skipped C. The judge awards a penalty D. The opponent's shot is retaken</v>
      </c>
      <c r="I232" s="3" t="str">
        <f>IFERROR(__xludf.DUMMYFUNCTION("GOOGLETRANSLATE(D232, ""it"", ""en"")"),"The judge awards a penalty")</f>
        <v>The judge awards a penalty</v>
      </c>
      <c r="J232" s="2"/>
      <c r="K232" s="2"/>
      <c r="L232" s="2"/>
      <c r="M232" s="2"/>
      <c r="N232" s="2"/>
      <c r="O232" s="2"/>
      <c r="P232" s="2"/>
      <c r="Q232" s="2"/>
      <c r="R232" s="2"/>
      <c r="S232" s="2"/>
      <c r="T232" s="2"/>
      <c r="U232" s="2"/>
      <c r="V232" s="2"/>
    </row>
    <row r="233" ht="22.5" customHeight="1">
      <c r="A233" s="3">
        <v>232.0</v>
      </c>
      <c r="B233" s="3" t="s">
        <v>974</v>
      </c>
      <c r="C233" s="3" t="s">
        <v>975</v>
      </c>
      <c r="D233" s="3" t="s">
        <v>976</v>
      </c>
      <c r="E233" s="2"/>
      <c r="F233" s="3" t="str">
        <f>IFERROR(__xludf.DUMMYFUNCTION("GOOGLETRANSLATE(A233, ""it"", ""en"")"),"232")</f>
        <v>232</v>
      </c>
      <c r="G233" s="3" t="str">
        <f>IFERROR(__xludf.DUMMYFUNCTION("GOOGLETRANSLATE(B233, ""it"", ""en"")"),"The thrown cheese breaks into several pieces but passes the finish line. What happens?")</f>
        <v>The thrown cheese breaks into several pieces but passes the finish line. What happens?</v>
      </c>
      <c r="H233" s="3" t="str">
        <f>IFERROR(__xludf.DUMMYFUNCTION("GOOGLETRANSLATE(C233, ""it"", ""en"")"),"A. The point is valid B. The larger piece counts C. The shot is repeated D. The point is cancelled")</f>
        <v>A. The point is valid B. The larger piece counts C. The shot is repeated D. The point is cancelled</v>
      </c>
      <c r="I233" s="3" t="str">
        <f>IFERROR(__xludf.DUMMYFUNCTION("GOOGLETRANSLATE(D233, ""it"", ""en"")"),"The point is valid")</f>
        <v>The point is valid</v>
      </c>
      <c r="J233" s="2"/>
      <c r="K233" s="2"/>
      <c r="L233" s="2"/>
      <c r="M233" s="2"/>
      <c r="N233" s="2"/>
      <c r="O233" s="2"/>
      <c r="P233" s="2"/>
      <c r="Q233" s="2"/>
      <c r="R233" s="2"/>
      <c r="S233" s="2"/>
      <c r="T233" s="2"/>
      <c r="U233" s="2"/>
      <c r="V233" s="2"/>
    </row>
    <row r="234" ht="22.5" customHeight="1">
      <c r="A234" s="3">
        <v>233.0</v>
      </c>
      <c r="B234" s="3" t="s">
        <v>977</v>
      </c>
      <c r="C234" s="3" t="s">
        <v>887</v>
      </c>
      <c r="D234" s="3" t="s">
        <v>517</v>
      </c>
      <c r="E234" s="2"/>
      <c r="F234" s="3" t="str">
        <f>IFERROR(__xludf.DUMMYFUNCTION("GOOGLETRANSLATE(A234, ""it"", ""en"")"),"233")</f>
        <v>233</v>
      </c>
      <c r="G234" s="3" t="str">
        <f>IFERROR(__xludf.DUMMYFUNCTION("GOOGLETRANSLATE(B234, ""it"", ""en"")"),"A player throws the cheese too quickly and it goes off the track. What happens?")</f>
        <v>A player throws the cheese too quickly and it goes off the track. What happens?</v>
      </c>
      <c r="H234" s="3" t="str">
        <f>IFERROR(__xludf.DUMMYFUNCTION("GOOGLETRANSLATE(C234, ""it"", ""en"")"),"A. The shot is cancelled B. The judge awards a penalty C. The shot is retaken D. The point goes to the opponent")</f>
        <v>A. The shot is cancelled B. The judge awards a penalty C. The shot is retaken D. The point goes to the opponent</v>
      </c>
      <c r="I234" s="3" t="str">
        <f>IFERROR(__xludf.DUMMYFUNCTION("GOOGLETRANSLATE(D234, ""it"", ""en"")"),"The shot is disallowed")</f>
        <v>The shot is disallowed</v>
      </c>
      <c r="J234" s="2"/>
      <c r="K234" s="2"/>
      <c r="L234" s="2"/>
      <c r="M234" s="2"/>
      <c r="N234" s="2"/>
      <c r="O234" s="2"/>
      <c r="P234" s="2"/>
      <c r="Q234" s="2"/>
      <c r="R234" s="2"/>
      <c r="S234" s="2"/>
      <c r="T234" s="2"/>
      <c r="U234" s="2"/>
      <c r="V234" s="2"/>
    </row>
    <row r="235" ht="22.5" customHeight="1">
      <c r="A235" s="3">
        <v>234.0</v>
      </c>
      <c r="B235" s="3" t="s">
        <v>978</v>
      </c>
      <c r="C235" s="3" t="s">
        <v>979</v>
      </c>
      <c r="D235" s="3" t="s">
        <v>980</v>
      </c>
      <c r="E235" s="2"/>
      <c r="F235" s="3" t="str">
        <f>IFERROR(__xludf.DUMMYFUNCTION("GOOGLETRANSLATE(A235, ""it"", ""en"")"),"234")</f>
        <v>234</v>
      </c>
      <c r="G235" s="3" t="str">
        <f>IFERROR(__xludf.DUMMYFUNCTION("GOOGLETRANSLATE(B235, ""it"", ""en"")"),"The cheese comes to rest in a position that blocks the opponent's throw. What happens?")</f>
        <v>The cheese comes to rest in a position that blocks the opponent's throw. What happens?</v>
      </c>
      <c r="H235" s="3" t="str">
        <f>IFERROR(__xludf.DUMMYFUNCTION("GOOGLETRANSLATE(C235, ""it"", ""en"")"),"A. The shot is valid B. The cheese is moved C. The judge awards a penalty D. The round is cancelled")</f>
        <v>A. The shot is valid B. The cheese is moved C. The judge awards a penalty D. The round is cancelled</v>
      </c>
      <c r="I235" s="3" t="str">
        <f>IFERROR(__xludf.DUMMYFUNCTION("GOOGLETRANSLATE(D235, ""it"", ""en"")"),"The cheese is moved")</f>
        <v>The cheese is moved</v>
      </c>
      <c r="J235" s="2"/>
      <c r="K235" s="2"/>
      <c r="L235" s="2"/>
      <c r="M235" s="2"/>
      <c r="N235" s="2"/>
      <c r="O235" s="2"/>
      <c r="P235" s="2"/>
      <c r="Q235" s="2"/>
      <c r="R235" s="2"/>
      <c r="S235" s="2"/>
      <c r="T235" s="2"/>
      <c r="U235" s="2"/>
      <c r="V235" s="2"/>
    </row>
    <row r="236" ht="22.5" customHeight="1">
      <c r="A236" s="3">
        <v>235.0</v>
      </c>
      <c r="B236" s="3" t="s">
        <v>981</v>
      </c>
      <c r="C236" s="3" t="s">
        <v>982</v>
      </c>
      <c r="D236" s="3" t="s">
        <v>500</v>
      </c>
      <c r="E236" s="2"/>
      <c r="F236" s="3" t="str">
        <f>IFERROR(__xludf.DUMMYFUNCTION("GOOGLETRANSLATE(A236, ""it"", ""en"")"),"235")</f>
        <v>235</v>
      </c>
      <c r="G236" s="3" t="str">
        <f>IFERROR(__xludf.DUMMYFUNCTION("GOOGLETRANSLATE(B236, ""it"", ""en"")"),"A player throws a cheese and accidentally hits a referee. What happens?")</f>
        <v>A player throws a cheese and accidentally hits a referee. What happens?</v>
      </c>
      <c r="H236" s="3" t="str">
        <f>IFERROR(__xludf.DUMMYFUNCTION("GOOGLETRANSLATE(C236, ""it"", ""en"")"),"A. The shot is retaken B. The judge awards a penalty C. The point is cancelled D. The turn is skipped")</f>
        <v>A. The shot is retaken B. The judge awards a penalty C. The point is cancelled D. The turn is skipped</v>
      </c>
      <c r="I236" s="3" t="str">
        <f>IFERROR(__xludf.DUMMYFUNCTION("GOOGLETRANSLATE(D236, ""it"", ""en"")"),"The shot is repeated")</f>
        <v>The shot is repeated</v>
      </c>
      <c r="J236" s="2"/>
      <c r="K236" s="2"/>
      <c r="L236" s="2"/>
      <c r="M236" s="2"/>
      <c r="N236" s="2"/>
      <c r="O236" s="2"/>
      <c r="P236" s="2"/>
      <c r="Q236" s="2"/>
      <c r="R236" s="2"/>
      <c r="S236" s="2"/>
      <c r="T236" s="2"/>
      <c r="U236" s="2"/>
      <c r="V236" s="2"/>
    </row>
    <row r="237" ht="22.5" customHeight="1">
      <c r="A237" s="3">
        <v>236.0</v>
      </c>
      <c r="B237" s="3" t="s">
        <v>983</v>
      </c>
      <c r="C237" s="3" t="s">
        <v>984</v>
      </c>
      <c r="D237" s="3" t="s">
        <v>494</v>
      </c>
      <c r="E237" s="2"/>
      <c r="F237" s="3" t="str">
        <f>IFERROR(__xludf.DUMMYFUNCTION("GOOGLETRANSLATE(A237, ""it"", ""en"")"),"236")</f>
        <v>236</v>
      </c>
      <c r="G237" s="3" t="str">
        <f>IFERROR(__xludf.DUMMYFUNCTION("GOOGLETRANSLATE(B237, ""it"", ""en"")"),"The cheese stops on an uneven part of the track. What happens?")</f>
        <v>The cheese stops on an uneven part of the track. What happens?</v>
      </c>
      <c r="H237" s="3" t="str">
        <f>IFERROR(__xludf.DUMMYFUNCTION("GOOGLETRANSLATE(C237, ""it"", ""en"")"),"A. The shot is valid B. The judge awards a penalty C. The shot is cancelled D. The round is skipped")</f>
        <v>A. The shot is valid B. The judge awards a penalty C. The shot is cancelled D. The round is skipped</v>
      </c>
      <c r="I237" s="3" t="str">
        <f>IFERROR(__xludf.DUMMYFUNCTION("GOOGLETRANSLATE(D237, ""it"", ""en"")"),"The shot is valid")</f>
        <v>The shot is valid</v>
      </c>
      <c r="J237" s="2"/>
      <c r="K237" s="2"/>
      <c r="L237" s="2"/>
      <c r="M237" s="2"/>
      <c r="N237" s="2"/>
      <c r="O237" s="2"/>
      <c r="P237" s="2"/>
      <c r="Q237" s="2"/>
      <c r="R237" s="2"/>
      <c r="S237" s="2"/>
      <c r="T237" s="2"/>
      <c r="U237" s="2"/>
      <c r="V237" s="2"/>
    </row>
    <row r="238" ht="22.5" customHeight="1">
      <c r="A238" s="3">
        <v>237.0</v>
      </c>
      <c r="B238" s="3" t="s">
        <v>985</v>
      </c>
      <c r="C238" s="3" t="s">
        <v>986</v>
      </c>
      <c r="D238" s="3" t="s">
        <v>511</v>
      </c>
      <c r="E238" s="2"/>
      <c r="F238" s="3" t="str">
        <f>IFERROR(__xludf.DUMMYFUNCTION("GOOGLETRANSLATE(A238, ""it"", ""en"")"),"237")</f>
        <v>237</v>
      </c>
      <c r="G238" s="3" t="str">
        <f>IFERROR(__xludf.DUMMYFUNCTION("GOOGLETRANSLATE(B238, ""it"", ""en"")"),"A player changes the cheese during the game without permission. What happens?")</f>
        <v>A player changes the cheese during the game without permission. What happens?</v>
      </c>
      <c r="H238" s="3" t="str">
        <f>IFERROR(__xludf.DUMMYFUNCTION("GOOGLETRANSLATE(C238, ""it"", ""en"")"),"A. The judge awards a penalty B. The shot is disallowed C. The player is cautioned D. The cheese is removed")</f>
        <v>A. The judge awards a penalty B. The shot is disallowed C. The player is cautioned D. The cheese is removed</v>
      </c>
      <c r="I238" s="3" t="str">
        <f>IFERROR(__xludf.DUMMYFUNCTION("GOOGLETRANSLATE(D238, ""it"", ""en"")"),"The judge awards a penalty")</f>
        <v>The judge awards a penalty</v>
      </c>
      <c r="J238" s="2"/>
      <c r="K238" s="2"/>
      <c r="L238" s="2"/>
      <c r="M238" s="2"/>
      <c r="N238" s="2"/>
      <c r="O238" s="2"/>
      <c r="P238" s="2"/>
      <c r="Q238" s="2"/>
      <c r="R238" s="2"/>
      <c r="S238" s="2"/>
      <c r="T238" s="2"/>
      <c r="U238" s="2"/>
      <c r="V238" s="2"/>
    </row>
    <row r="239" ht="22.5" customHeight="1">
      <c r="A239" s="3">
        <v>238.0</v>
      </c>
      <c r="B239" s="3" t="s">
        <v>987</v>
      </c>
      <c r="C239" s="3" t="s">
        <v>988</v>
      </c>
      <c r="D239" s="3" t="s">
        <v>956</v>
      </c>
      <c r="E239" s="2"/>
      <c r="F239" s="3" t="str">
        <f>IFERROR(__xludf.DUMMYFUNCTION("GOOGLETRANSLATE(A239, ""it"", ""en"")"),"238")</f>
        <v>238</v>
      </c>
      <c r="G239" s="3" t="str">
        <f>IFERROR(__xludf.DUMMYFUNCTION("GOOGLETRANSLATE(B239, ""it"", ""en"")"),"The cheese reaches the finish line but bounces back. What happens?")</f>
        <v>The cheese reaches the finish line but bounces back. What happens?</v>
      </c>
      <c r="H239" s="3" t="str">
        <f>IFERROR(__xludf.DUMMYFUNCTION("GOOGLETRANSLATE(C239, ""it"", ""en"")"),"A. The point is cancelled B. The judge awards a penalty C. The shot is valid D. The shot is retaken")</f>
        <v>A. The point is cancelled B. The judge awards a penalty C. The shot is valid D. The shot is retaken</v>
      </c>
      <c r="I239" s="3" t="str">
        <f>IFERROR(__xludf.DUMMYFUNCTION("GOOGLETRANSLATE(D239, ""it"", ""en"")"),"The point is cancelled")</f>
        <v>The point is cancelled</v>
      </c>
      <c r="J239" s="2"/>
      <c r="K239" s="2"/>
      <c r="L239" s="2"/>
      <c r="M239" s="2"/>
      <c r="N239" s="2"/>
      <c r="O239" s="2"/>
      <c r="P239" s="2"/>
      <c r="Q239" s="2"/>
      <c r="R239" s="2"/>
      <c r="S239" s="2"/>
      <c r="T239" s="2"/>
      <c r="U239" s="2"/>
      <c r="V239" s="2"/>
    </row>
    <row r="240" ht="22.5" customHeight="1">
      <c r="A240" s="3">
        <v>239.0</v>
      </c>
      <c r="B240" s="3" t="s">
        <v>989</v>
      </c>
      <c r="C240" s="3" t="s">
        <v>950</v>
      </c>
      <c r="D240" s="3" t="s">
        <v>646</v>
      </c>
      <c r="E240" s="2"/>
      <c r="F240" s="3" t="str">
        <f>IFERROR(__xludf.DUMMYFUNCTION("GOOGLETRANSLATE(A240, ""it"", ""en"")"),"239")</f>
        <v>239</v>
      </c>
      <c r="G240" s="3" t="str">
        <f>IFERROR(__xludf.DUMMYFUNCTION("GOOGLETRANSLATE(B240, ""it"", ""en"")"),"The cheese rolls the entire length of the track but doesn't reach the finish line. What happens?")</f>
        <v>The cheese rolls the entire length of the track but doesn't reach the finish line. What happens?</v>
      </c>
      <c r="H240" s="3" t="str">
        <f>IFERROR(__xludf.DUMMYFUNCTION("GOOGLETRANSLATE(C240, ""it"", ""en"")"),"A. The point is not awarded B. The shot is cancelled C. The judge awards a penalty D. The shot is retaken")</f>
        <v>A. The point is not awarded B. The shot is cancelled C. The judge awards a penalty D. The shot is retaken</v>
      </c>
      <c r="I240" s="3" t="str">
        <f>IFERROR(__xludf.DUMMYFUNCTION("GOOGLETRANSLATE(D240, ""it"", ""en"")"),"The point is not awarded")</f>
        <v>The point is not awarded</v>
      </c>
      <c r="J240" s="2"/>
      <c r="K240" s="2"/>
      <c r="L240" s="2"/>
      <c r="M240" s="2"/>
      <c r="N240" s="2"/>
      <c r="O240" s="2"/>
      <c r="P240" s="2"/>
      <c r="Q240" s="2"/>
      <c r="R240" s="2"/>
      <c r="S240" s="2"/>
      <c r="T240" s="2"/>
      <c r="U240" s="2"/>
      <c r="V240" s="2"/>
    </row>
    <row r="241" ht="22.5" customHeight="1">
      <c r="A241" s="3">
        <v>240.0</v>
      </c>
      <c r="B241" s="3" t="s">
        <v>990</v>
      </c>
      <c r="C241" s="3" t="s">
        <v>991</v>
      </c>
      <c r="D241" s="3" t="s">
        <v>511</v>
      </c>
      <c r="E241" s="2"/>
      <c r="F241" s="3" t="str">
        <f>IFERROR(__xludf.DUMMYFUNCTION("GOOGLETRANSLATE(A241, ""it"", ""en"")"),"240")</f>
        <v>240</v>
      </c>
      <c r="G241" s="3" t="str">
        <f>IFERROR(__xludf.DUMMYFUNCTION("GOOGLETRANSLATE(B241, ""it"", ""en"")"),"A player argues with the umpire during the game. What happens?")</f>
        <v>A player argues with the umpire during the game. What happens?</v>
      </c>
      <c r="H241" s="3" t="str">
        <f>IFERROR(__xludf.DUMMYFUNCTION("GOOGLETRANSLATE(C241, ""it"", ""en"")"),"A. The player is cautioned B. The referee awards a penalty C. The turn is skipped D. The player is sent off")</f>
        <v>A. The player is cautioned B. The referee awards a penalty C. The turn is skipped D. The player is sent off</v>
      </c>
      <c r="I241" s="3" t="str">
        <f>IFERROR(__xludf.DUMMYFUNCTION("GOOGLETRANSLATE(D241, ""it"", ""en"")"),"The judge awards a penalty")</f>
        <v>The judge awards a penalty</v>
      </c>
      <c r="J241" s="2"/>
      <c r="K241" s="2"/>
      <c r="L241" s="2"/>
      <c r="M241" s="2"/>
      <c r="N241" s="2"/>
      <c r="O241" s="2"/>
      <c r="P241" s="2"/>
      <c r="Q241" s="2"/>
      <c r="R241" s="2"/>
      <c r="S241" s="2"/>
      <c r="T241" s="2"/>
      <c r="U241" s="2"/>
      <c r="V241" s="2"/>
    </row>
    <row r="242" ht="22.5" customHeight="1">
      <c r="A242" s="3">
        <v>241.0</v>
      </c>
      <c r="B242" s="3" t="s">
        <v>992</v>
      </c>
      <c r="C242" s="3" t="s">
        <v>993</v>
      </c>
      <c r="D242" s="3" t="s">
        <v>500</v>
      </c>
      <c r="E242" s="2"/>
      <c r="F242" s="3" t="str">
        <f>IFERROR(__xludf.DUMMYFUNCTION("GOOGLETRANSLATE(A242, ""it"", ""en"")"),"241")</f>
        <v>241</v>
      </c>
      <c r="G242" s="3" t="str">
        <f>IFERROR(__xludf.DUMMYFUNCTION("GOOGLETRANSLATE(B242, ""it"", ""en"")"),"The cheese ends up off the track due to external interference. What happens?")</f>
        <v>The cheese ends up off the track due to external interference. What happens?</v>
      </c>
      <c r="H242" s="3" t="str">
        <f>IFERROR(__xludf.DUMMYFUNCTION("GOOGLETRANSLATE(C242, ""it"", ""en"")"),"A. The shot is retaken B. The judge awards a penalty C. The point goes to the opponent D. The shot is valid")</f>
        <v>A. The shot is retaken B. The judge awards a penalty C. The point goes to the opponent D. The shot is valid</v>
      </c>
      <c r="I242" s="3" t="str">
        <f>IFERROR(__xludf.DUMMYFUNCTION("GOOGLETRANSLATE(D242, ""it"", ""en"")"),"The shot is repeated")</f>
        <v>The shot is repeated</v>
      </c>
      <c r="J242" s="2"/>
      <c r="K242" s="2"/>
      <c r="L242" s="2"/>
      <c r="M242" s="2"/>
      <c r="N242" s="2"/>
      <c r="O242" s="2"/>
      <c r="P242" s="2"/>
      <c r="Q242" s="2"/>
      <c r="R242" s="2"/>
      <c r="S242" s="2"/>
      <c r="T242" s="2"/>
      <c r="U242" s="2"/>
      <c r="V242" s="2"/>
    </row>
    <row r="243" ht="22.5" customHeight="1">
      <c r="A243" s="3">
        <v>242.0</v>
      </c>
      <c r="B243" s="3" t="s">
        <v>994</v>
      </c>
      <c r="C243" s="3" t="s">
        <v>995</v>
      </c>
      <c r="D243" s="3" t="s">
        <v>786</v>
      </c>
      <c r="E243" s="2"/>
      <c r="F243" s="3" t="str">
        <f>IFERROR(__xludf.DUMMYFUNCTION("GOOGLETRANSLATE(A243, ""it"", ""en"")"),"242")</f>
        <v>242</v>
      </c>
      <c r="G243" s="3" t="str">
        <f>IFERROR(__xludf.DUMMYFUNCTION("GOOGLETRANSLATE(B243, ""it"", ""en"")"),"A player attempts to modify his cheese with non-regulation materials. What happens?")</f>
        <v>A player attempts to modify his cheese with non-regulation materials. What happens?</v>
      </c>
      <c r="H243" s="3" t="str">
        <f>IFERROR(__xludf.DUMMYFUNCTION("GOOGLETRANSLATE(C243, ""it"", ""en"")"),"A. The referee awards a penalty B. The player is warned C. The cheese is removed D. The shot is disallowed")</f>
        <v>A. The referee awards a penalty B. The player is warned C. The cheese is removed D. The shot is disallowed</v>
      </c>
      <c r="I243" s="3" t="str">
        <f>IFERROR(__xludf.DUMMYFUNCTION("GOOGLETRANSLATE(D243, ""it"", ""en"")"),"The cheese is removed")</f>
        <v>The cheese is removed</v>
      </c>
      <c r="J243" s="2"/>
      <c r="K243" s="2"/>
      <c r="L243" s="2"/>
      <c r="M243" s="2"/>
      <c r="N243" s="2"/>
      <c r="O243" s="2"/>
      <c r="P243" s="2"/>
      <c r="Q243" s="2"/>
      <c r="R243" s="2"/>
      <c r="S243" s="2"/>
      <c r="T243" s="2"/>
      <c r="U243" s="2"/>
      <c r="V243" s="2"/>
    </row>
    <row r="244" ht="22.5" customHeight="1">
      <c r="A244" s="3">
        <v>243.0</v>
      </c>
      <c r="B244" s="3" t="s">
        <v>996</v>
      </c>
      <c r="C244" s="3" t="s">
        <v>997</v>
      </c>
      <c r="D244" s="3" t="s">
        <v>616</v>
      </c>
      <c r="E244" s="2"/>
      <c r="F244" s="3" t="str">
        <f>IFERROR(__xludf.DUMMYFUNCTION("GOOGLETRANSLATE(A244, ""it"", ""en"")"),"243")</f>
        <v>243</v>
      </c>
      <c r="G244" s="3" t="str">
        <f>IFERROR(__xludf.DUMMYFUNCTION("GOOGLETRANSLATE(B244, ""it"", ""en"")"),"The cheese crosses the finish line but stops in a dangerous area. What happens?")</f>
        <v>The cheese crosses the finish line but stops in a dangerous area. What happens?</v>
      </c>
      <c r="H244" s="3" t="str">
        <f>IFERROR(__xludf.DUMMYFUNCTION("GOOGLETRANSLATE(C244, ""it"", ""en"")"),"A. The point is awarded B. The judge awards a penalty C. The shot is cancelled D. The shot is valid")</f>
        <v>A. The point is awarded B. The judge awards a penalty C. The shot is cancelled D. The shot is valid</v>
      </c>
      <c r="I244" s="3" t="str">
        <f>IFERROR(__xludf.DUMMYFUNCTION("GOOGLETRANSLATE(D244, ""it"", ""en"")"),"The point is awarded")</f>
        <v>The point is awarded</v>
      </c>
      <c r="J244" s="2"/>
      <c r="K244" s="2"/>
      <c r="L244" s="2"/>
      <c r="M244" s="2"/>
      <c r="N244" s="2"/>
      <c r="O244" s="2"/>
      <c r="P244" s="2"/>
      <c r="Q244" s="2"/>
      <c r="R244" s="2"/>
      <c r="S244" s="2"/>
      <c r="T244" s="2"/>
      <c r="U244" s="2"/>
      <c r="V244" s="2"/>
    </row>
    <row r="245" ht="22.5" customHeight="1">
      <c r="A245" s="3">
        <v>244.0</v>
      </c>
      <c r="B245" s="3" t="s">
        <v>998</v>
      </c>
      <c r="C245" s="3" t="s">
        <v>999</v>
      </c>
      <c r="D245" s="3" t="s">
        <v>684</v>
      </c>
      <c r="E245" s="2"/>
      <c r="F245" s="3" t="str">
        <f>IFERROR(__xludf.DUMMYFUNCTION("GOOGLETRANSLATE(A245, ""it"", ""en"")"),"244")</f>
        <v>244</v>
      </c>
      <c r="G245" s="3" t="str">
        <f>IFERROR(__xludf.DUMMYFUNCTION("GOOGLETRANSLATE(B245, ""it"", ""en"")"),"A player refuses to complete his throw. What happens?")</f>
        <v>A player refuses to complete his throw. What happens?</v>
      </c>
      <c r="H245" s="3" t="str">
        <f>IFERROR(__xludf.DUMMYFUNCTION("GOOGLETRANSLATE(C245, ""it"", ""en"")"),"A. The turn is skipped B. The judge awards a penalty C. The shot is cancelled D. The player is warned")</f>
        <v>A. The turn is skipped B. The judge awards a penalty C. The shot is cancelled D. The player is warned</v>
      </c>
      <c r="I245" s="3" t="str">
        <f>IFERROR(__xludf.DUMMYFUNCTION("GOOGLETRANSLATE(D245, ""it"", ""en"")"),"The turn is skipped")</f>
        <v>The turn is skipped</v>
      </c>
      <c r="J245" s="2"/>
      <c r="K245" s="2"/>
      <c r="L245" s="2"/>
      <c r="M245" s="2"/>
      <c r="N245" s="2"/>
      <c r="O245" s="2"/>
      <c r="P245" s="2"/>
      <c r="Q245" s="2"/>
      <c r="R245" s="2"/>
      <c r="S245" s="2"/>
      <c r="T245" s="2"/>
      <c r="U245" s="2"/>
      <c r="V245" s="2"/>
    </row>
    <row r="246" ht="22.5" customHeight="1">
      <c r="A246" s="3">
        <v>245.0</v>
      </c>
      <c r="B246" s="3" t="s">
        <v>1000</v>
      </c>
      <c r="C246" s="3" t="s">
        <v>1001</v>
      </c>
      <c r="D246" s="3" t="s">
        <v>500</v>
      </c>
      <c r="E246" s="2"/>
      <c r="F246" s="3" t="str">
        <f>IFERROR(__xludf.DUMMYFUNCTION("GOOGLETRANSLATE(A246, ""it"", ""en"")"),"245")</f>
        <v>245</v>
      </c>
      <c r="G246" s="3" t="str">
        <f>IFERROR(__xludf.DUMMYFUNCTION("GOOGLETRANSLATE(B246, ""it"", ""en"")"),"The thrown cheese gets stuck on an obstacle halfway. What happens?")</f>
        <v>The thrown cheese gets stuck on an obstacle halfway. What happens?</v>
      </c>
      <c r="H246" s="3" t="str">
        <f>IFERROR(__xludf.DUMMYFUNCTION("GOOGLETRANSLATE(C246, ""it"", ""en"")"),"A. The shot is valid B. The point is cancelled C. The shot is retaken D. The judge awards a penalty")</f>
        <v>A. The shot is valid B. The point is cancelled C. The shot is retaken D. The judge awards a penalty</v>
      </c>
      <c r="I246" s="3" t="str">
        <f>IFERROR(__xludf.DUMMYFUNCTION("GOOGLETRANSLATE(D246, ""it"", ""en"")"),"The shot is repeated")</f>
        <v>The shot is repeated</v>
      </c>
      <c r="J246" s="2"/>
      <c r="K246" s="2"/>
      <c r="L246" s="2"/>
      <c r="M246" s="2"/>
      <c r="N246" s="2"/>
      <c r="O246" s="2"/>
      <c r="P246" s="2"/>
      <c r="Q246" s="2"/>
      <c r="R246" s="2"/>
      <c r="S246" s="2"/>
      <c r="T246" s="2"/>
      <c r="U246" s="2"/>
      <c r="V246" s="2"/>
    </row>
    <row r="247" ht="22.5" customHeight="1">
      <c r="A247" s="3">
        <v>246.0</v>
      </c>
      <c r="B247" s="3" t="s">
        <v>1002</v>
      </c>
      <c r="C247" s="3" t="s">
        <v>1003</v>
      </c>
      <c r="D247" s="3" t="s">
        <v>517</v>
      </c>
      <c r="E247" s="2"/>
      <c r="F247" s="3" t="str">
        <f>IFERROR(__xludf.DUMMYFUNCTION("GOOGLETRANSLATE(A247, ""it"", ""en"")"),"246")</f>
        <v>246</v>
      </c>
      <c r="G247" s="3" t="str">
        <f>IFERROR(__xludf.DUMMYFUNCTION("GOOGLETRANSLATE(B247, ""it"", ""en"")"),"A player makes a mistake and throws the cheese in the opposite direction. What happens?")</f>
        <v>A player makes a mistake and throws the cheese in the opposite direction. What happens?</v>
      </c>
      <c r="H247" s="3" t="str">
        <f>IFERROR(__xludf.DUMMYFUNCTION("GOOGLETRANSLATE(C247, ""it"", ""en"")"),"A. The shot is disallowed B. The judge awards a penalty C. The turn is skipped D. The player is warned")</f>
        <v>A. The shot is disallowed B. The judge awards a penalty C. The turn is skipped D. The player is warned</v>
      </c>
      <c r="I247" s="3" t="str">
        <f>IFERROR(__xludf.DUMMYFUNCTION("GOOGLETRANSLATE(D247, ""it"", ""en"")"),"The shot is disallowed")</f>
        <v>The shot is disallowed</v>
      </c>
      <c r="J247" s="2"/>
      <c r="K247" s="2"/>
      <c r="L247" s="2"/>
      <c r="M247" s="2"/>
      <c r="N247" s="2"/>
      <c r="O247" s="2"/>
      <c r="P247" s="2"/>
      <c r="Q247" s="2"/>
      <c r="R247" s="2"/>
      <c r="S247" s="2"/>
      <c r="T247" s="2"/>
      <c r="U247" s="2"/>
      <c r="V247" s="2"/>
    </row>
    <row r="248" ht="22.5" customHeight="1">
      <c r="A248" s="3">
        <v>247.0</v>
      </c>
      <c r="B248" s="3" t="s">
        <v>1004</v>
      </c>
      <c r="C248" s="3" t="s">
        <v>1005</v>
      </c>
      <c r="D248" s="3" t="s">
        <v>494</v>
      </c>
      <c r="E248" s="2"/>
      <c r="F248" s="3" t="str">
        <f>IFERROR(__xludf.DUMMYFUNCTION("GOOGLETRANSLATE(A248, ""it"", ""en"")"),"247")</f>
        <v>247</v>
      </c>
      <c r="G248" s="3" t="str">
        <f>IFERROR(__xludf.DUMMYFUNCTION("GOOGLETRANSLATE(B248, ""it"", ""en"")"),"The cheese touches another player's cheese along the way. What happens?")</f>
        <v>The cheese touches another player's cheese along the way. What happens?</v>
      </c>
      <c r="H248" s="3" t="str">
        <f>IFERROR(__xludf.DUMMYFUNCTION("GOOGLETRANSLATE(C248, ""it"", ""en"")"),"A. The shot is valid B. Both cheeses are replaced C. The point is cancelled D. The judge awards a penalty")</f>
        <v>A. The shot is valid B. Both cheeses are replaced C. The point is cancelled D. The judge awards a penalty</v>
      </c>
      <c r="I248" s="3" t="str">
        <f>IFERROR(__xludf.DUMMYFUNCTION("GOOGLETRANSLATE(D248, ""it"", ""en"")"),"The shot is valid")</f>
        <v>The shot is valid</v>
      </c>
      <c r="J248" s="2"/>
      <c r="K248" s="2"/>
      <c r="L248" s="2"/>
      <c r="M248" s="2"/>
      <c r="N248" s="2"/>
      <c r="O248" s="2"/>
      <c r="P248" s="2"/>
      <c r="Q248" s="2"/>
      <c r="R248" s="2"/>
      <c r="S248" s="2"/>
      <c r="T248" s="2"/>
      <c r="U248" s="2"/>
      <c r="V248" s="2"/>
    </row>
    <row r="249" ht="22.5" customHeight="1">
      <c r="A249" s="3">
        <v>248.0</v>
      </c>
      <c r="B249" s="3" t="s">
        <v>1006</v>
      </c>
      <c r="C249" s="3" t="s">
        <v>1007</v>
      </c>
      <c r="D249" s="3" t="s">
        <v>494</v>
      </c>
      <c r="E249" s="2"/>
      <c r="F249" s="3" t="str">
        <f>IFERROR(__xludf.DUMMYFUNCTION("GOOGLETRANSLATE(A249, ""it"", ""en"")"),"248")</f>
        <v>248</v>
      </c>
      <c r="G249" s="3" t="str">
        <f>IFERROR(__xludf.DUMMYFUNCTION("GOOGLETRANSLATE(B249, ""it"", ""en"")"),"A player's cheese lands near a hole. What happens?")</f>
        <v>A player's cheese lands near a hole. What happens?</v>
      </c>
      <c r="H249" s="3" t="str">
        <f>IFERROR(__xludf.DUMMYFUNCTION("GOOGLETRANSLATE(C249, ""it"", ""en"")"),"A. The shot is valid B. The point is cancelled C. The judge awards a penalty D. The shot is retaken")</f>
        <v>A. The shot is valid B. The point is cancelled C. The judge awards a penalty D. The shot is retaken</v>
      </c>
      <c r="I249" s="3" t="str">
        <f>IFERROR(__xludf.DUMMYFUNCTION("GOOGLETRANSLATE(D249, ""it"", ""en"")"),"The shot is valid")</f>
        <v>The shot is valid</v>
      </c>
      <c r="J249" s="2"/>
      <c r="K249" s="2"/>
      <c r="L249" s="2"/>
      <c r="M249" s="2"/>
      <c r="N249" s="2"/>
      <c r="O249" s="2"/>
      <c r="P249" s="2"/>
      <c r="Q249" s="2"/>
      <c r="R249" s="2"/>
      <c r="S249" s="2"/>
      <c r="T249" s="2"/>
      <c r="U249" s="2"/>
      <c r="V249" s="2"/>
    </row>
    <row r="250" ht="22.5" customHeight="1">
      <c r="A250" s="3">
        <v>249.0</v>
      </c>
      <c r="B250" s="3" t="s">
        <v>1008</v>
      </c>
      <c r="C250" s="3" t="s">
        <v>999</v>
      </c>
      <c r="D250" s="3" t="s">
        <v>684</v>
      </c>
      <c r="E250" s="2"/>
      <c r="F250" s="3" t="str">
        <f>IFERROR(__xludf.DUMMYFUNCTION("GOOGLETRANSLATE(A250, ""it"", ""en"")"),"249")</f>
        <v>249</v>
      </c>
      <c r="G250" s="3" t="str">
        <f>IFERROR(__xludf.DUMMYFUNCTION("GOOGLETRANSLATE(B250, ""it"", ""en"")"),"A player exceeds the time limit to throw. What happens?")</f>
        <v>A player exceeds the time limit to throw. What happens?</v>
      </c>
      <c r="H250" s="3" t="str">
        <f>IFERROR(__xludf.DUMMYFUNCTION("GOOGLETRANSLATE(C250, ""it"", ""en"")"),"A. The turn is skipped B. The judge awards a penalty C. The shot is cancelled D. The player is warned")</f>
        <v>A. The turn is skipped B. The judge awards a penalty C. The shot is cancelled D. The player is warned</v>
      </c>
      <c r="I250" s="3" t="str">
        <f>IFERROR(__xludf.DUMMYFUNCTION("GOOGLETRANSLATE(D250, ""it"", ""en"")"),"The turn is skipped")</f>
        <v>The turn is skipped</v>
      </c>
      <c r="J250" s="2"/>
      <c r="K250" s="2"/>
      <c r="L250" s="2"/>
      <c r="M250" s="2"/>
      <c r="N250" s="2"/>
      <c r="O250" s="2"/>
      <c r="P250" s="2"/>
      <c r="Q250" s="2"/>
      <c r="R250" s="2"/>
      <c r="S250" s="2"/>
      <c r="T250" s="2"/>
      <c r="U250" s="2"/>
      <c r="V250" s="2"/>
    </row>
    <row r="251" ht="22.5" customHeight="1">
      <c r="A251" s="3">
        <v>250.0</v>
      </c>
      <c r="B251" s="3" t="s">
        <v>1009</v>
      </c>
      <c r="C251" s="3" t="s">
        <v>1010</v>
      </c>
      <c r="D251" s="3" t="s">
        <v>517</v>
      </c>
      <c r="E251" s="2"/>
      <c r="F251" s="3" t="str">
        <f>IFERROR(__xludf.DUMMYFUNCTION("GOOGLETRANSLATE(A251, ""it"", ""en"")"),"250")</f>
        <v>250</v>
      </c>
      <c r="G251" s="3" t="str">
        <f>IFERROR(__xludf.DUMMYFUNCTION("GOOGLETRANSLATE(B251, ""it"", ""en"")"),"The cheese stops on the line of a prohibited area. What happens?")</f>
        <v>The cheese stops on the line of a prohibited area. What happens?</v>
      </c>
      <c r="H251" s="3" t="str">
        <f>IFERROR(__xludf.DUMMYFUNCTION("GOOGLETRANSLATE(C251, ""it"", ""en"")"),"A. The shot is cancelled B. The point is awarded C. The judge awards a penalty D. The shot is retaken")</f>
        <v>A. The shot is cancelled B. The point is awarded C. The judge awards a penalty D. The shot is retaken</v>
      </c>
      <c r="I251" s="3" t="str">
        <f>IFERROR(__xludf.DUMMYFUNCTION("GOOGLETRANSLATE(D251, ""it"", ""en"")"),"The shot is disallowed")</f>
        <v>The shot is disallowed</v>
      </c>
      <c r="J251" s="2"/>
      <c r="K251" s="2"/>
      <c r="L251" s="2"/>
      <c r="M251" s="2"/>
      <c r="N251" s="2"/>
      <c r="O251" s="2"/>
      <c r="P251" s="2"/>
      <c r="Q251" s="2"/>
      <c r="R251" s="2"/>
      <c r="S251" s="2"/>
      <c r="T251" s="2"/>
      <c r="U251" s="2"/>
      <c r="V251" s="2"/>
    </row>
    <row r="252" ht="22.5" customHeight="1">
      <c r="A252" s="3">
        <v>251.0</v>
      </c>
      <c r="B252" s="3" t="s">
        <v>1011</v>
      </c>
      <c r="C252" s="3" t="s">
        <v>889</v>
      </c>
      <c r="D252" s="3" t="s">
        <v>9</v>
      </c>
      <c r="E252" s="2"/>
      <c r="F252" s="3" t="str">
        <f>IFERROR(__xludf.DUMMYFUNCTION("GOOGLETRANSLATE(A252, ""it"", ""en"")"),"251")</f>
        <v>251</v>
      </c>
      <c r="G252" s="3" t="str">
        <f>IFERROR(__xludf.DUMMYFUNCTION("GOOGLETRANSLATE(B252, ""it"", ""en"")"),"A player uses a tool to improve his throw. What happens?")</f>
        <v>A player uses a tool to improve his throw. What happens?</v>
      </c>
      <c r="H252" s="3" t="str">
        <f>IFERROR(__xludf.DUMMYFUNCTION("GOOGLETRANSLATE(C252, ""it"", ""en"")"),"A. The judge issues a penalty B. The cheese is removed C. The shot is disallowed D. The player is ejected")</f>
        <v>A. The judge issues a penalty B. The cheese is removed C. The shot is disallowed D. The player is ejected</v>
      </c>
      <c r="I252" s="3" t="str">
        <f>IFERROR(__xludf.DUMMYFUNCTION("GOOGLETRANSLATE(D252, ""it"", ""en"")"),"The player is sent off")</f>
        <v>The player is sent off</v>
      </c>
      <c r="J252" s="2"/>
      <c r="K252" s="2"/>
      <c r="L252" s="2"/>
      <c r="M252" s="2"/>
      <c r="N252" s="2"/>
      <c r="O252" s="2"/>
      <c r="P252" s="2"/>
      <c r="Q252" s="2"/>
      <c r="R252" s="2"/>
      <c r="S252" s="2"/>
      <c r="T252" s="2"/>
      <c r="U252" s="2"/>
      <c r="V252" s="2"/>
    </row>
    <row r="253" ht="22.5" customHeight="1">
      <c r="A253" s="3">
        <v>252.0</v>
      </c>
      <c r="B253" s="3" t="s">
        <v>1012</v>
      </c>
      <c r="C253" s="3" t="s">
        <v>1007</v>
      </c>
      <c r="D253" s="3" t="s">
        <v>494</v>
      </c>
      <c r="E253" s="2"/>
      <c r="F253" s="3" t="str">
        <f>IFERROR(__xludf.DUMMYFUNCTION("GOOGLETRANSLATE(A253, ""it"", ""en"")"),"252")</f>
        <v>252</v>
      </c>
      <c r="G253" s="3" t="str">
        <f>IFERROR(__xludf.DUMMYFUNCTION("GOOGLETRANSLATE(B253, ""it"", ""en"")"),"The cheese rolls erratically but reaches the finish line. What happens?")</f>
        <v>The cheese rolls erratically but reaches the finish line. What happens?</v>
      </c>
      <c r="H253" s="3" t="str">
        <f>IFERROR(__xludf.DUMMYFUNCTION("GOOGLETRANSLATE(C253, ""it"", ""en"")"),"A. The shot is valid B. The point is cancelled C. The judge awards a penalty D. The shot is retaken")</f>
        <v>A. The shot is valid B. The point is cancelled C. The judge awards a penalty D. The shot is retaken</v>
      </c>
      <c r="I253" s="3" t="str">
        <f>IFERROR(__xludf.DUMMYFUNCTION("GOOGLETRANSLATE(D253, ""it"", ""en"")"),"The shot is valid")</f>
        <v>The shot is valid</v>
      </c>
      <c r="J253" s="2"/>
      <c r="K253" s="2"/>
      <c r="L253" s="2"/>
      <c r="M253" s="2"/>
      <c r="N253" s="2"/>
      <c r="O253" s="2"/>
      <c r="P253" s="2"/>
      <c r="Q253" s="2"/>
      <c r="R253" s="2"/>
      <c r="S253" s="2"/>
      <c r="T253" s="2"/>
      <c r="U253" s="2"/>
      <c r="V253" s="2"/>
    </row>
    <row r="254" ht="22.5" customHeight="1">
      <c r="A254" s="3">
        <v>253.0</v>
      </c>
      <c r="B254" s="3" t="s">
        <v>1013</v>
      </c>
      <c r="C254" s="3" t="s">
        <v>1003</v>
      </c>
      <c r="D254" s="3" t="s">
        <v>517</v>
      </c>
      <c r="E254" s="2"/>
      <c r="F254" s="3" t="str">
        <f>IFERROR(__xludf.DUMMYFUNCTION("GOOGLETRANSLATE(A254, ""it"", ""en"")"),"253")</f>
        <v>253</v>
      </c>
      <c r="G254" s="3" t="str">
        <f>IFERROR(__xludf.DUMMYFUNCTION("GOOGLETRANSLATE(B254, ""it"", ""en"")"),"A player throws the cheese before the judge's signal. What happens?")</f>
        <v>A player throws the cheese before the judge's signal. What happens?</v>
      </c>
      <c r="H254" s="3" t="str">
        <f>IFERROR(__xludf.DUMMYFUNCTION("GOOGLETRANSLATE(C254, ""it"", ""en"")"),"A. The shot is disallowed B. The judge awards a penalty C. The turn is skipped D. The player is warned")</f>
        <v>A. The shot is disallowed B. The judge awards a penalty C. The turn is skipped D. The player is warned</v>
      </c>
      <c r="I254" s="3" t="str">
        <f>IFERROR(__xludf.DUMMYFUNCTION("GOOGLETRANSLATE(D254, ""it"", ""en"")"),"The shot is disallowed")</f>
        <v>The shot is disallowed</v>
      </c>
      <c r="J254" s="2"/>
      <c r="K254" s="2"/>
      <c r="L254" s="2"/>
      <c r="M254" s="2"/>
      <c r="N254" s="2"/>
      <c r="O254" s="2"/>
      <c r="P254" s="2"/>
      <c r="Q254" s="2"/>
      <c r="R254" s="2"/>
      <c r="S254" s="2"/>
      <c r="T254" s="2"/>
      <c r="U254" s="2"/>
      <c r="V254" s="2"/>
    </row>
    <row r="255" ht="22.5" customHeight="1">
      <c r="A255" s="3">
        <v>254.0</v>
      </c>
      <c r="B255" s="3" t="s">
        <v>1014</v>
      </c>
      <c r="C255" s="3" t="s">
        <v>1015</v>
      </c>
      <c r="D255" s="3" t="s">
        <v>1016</v>
      </c>
      <c r="E255" s="2"/>
      <c r="F255" s="3" t="str">
        <f>IFERROR(__xludf.DUMMYFUNCTION("GOOGLETRANSLATE(A255, ""it"", ""en"")"),"254")</f>
        <v>254</v>
      </c>
      <c r="G255" s="3" t="str">
        <f>IFERROR(__xludf.DUMMYFUNCTION("GOOGLETRANSLATE(B255, ""it"", ""en"")"),"One player's cheese lands on top of another player's cheese at the finish line. What happens?")</f>
        <v>One player's cheese lands on top of another player's cheese at the finish line. What happens?</v>
      </c>
      <c r="H255" s="3" t="str">
        <f>IFERROR(__xludf.DUMMYFUNCTION("GOOGLETRANSLATE(C255, ""it"", ""en"")"),"A. Both points are awarded B. The judge awards a penalty C. The point is cancelled D. The point goes to the first cheese")</f>
        <v>A. Both points are awarded B. The judge awards a penalty C. The point is cancelled D. The point goes to the first cheese</v>
      </c>
      <c r="I255" s="3" t="str">
        <f>IFERROR(__xludf.DUMMYFUNCTION("GOOGLETRANSLATE(D255, ""it"", ""en"")"),"The point goes to the first cheese")</f>
        <v>The point goes to the first cheese</v>
      </c>
      <c r="J255" s="2"/>
      <c r="K255" s="2"/>
      <c r="L255" s="2"/>
      <c r="M255" s="2"/>
      <c r="N255" s="2"/>
      <c r="O255" s="2"/>
      <c r="P255" s="2"/>
      <c r="Q255" s="2"/>
      <c r="R255" s="2"/>
      <c r="S255" s="2"/>
      <c r="T255" s="2"/>
      <c r="U255" s="2"/>
      <c r="V255" s="2"/>
    </row>
    <row r="256" ht="22.5" customHeight="1">
      <c r="A256" s="3">
        <v>255.0</v>
      </c>
      <c r="B256" s="3" t="s">
        <v>1017</v>
      </c>
      <c r="C256" s="3" t="s">
        <v>1018</v>
      </c>
      <c r="D256" s="3" t="s">
        <v>684</v>
      </c>
      <c r="E256" s="2"/>
      <c r="F256" s="3" t="str">
        <f>IFERROR(__xludf.DUMMYFUNCTION("GOOGLETRANSLATE(A256, ""it"", ""en"")"),"255")</f>
        <v>255</v>
      </c>
      <c r="G256" s="3" t="str">
        <f>IFERROR(__xludf.DUMMYFUNCTION("GOOGLETRANSLATE(B256, ""it"", ""en"")"),"A player drops the cheese before throwing it. What happens?")</f>
        <v>A player drops the cheese before throwing it. What happens?</v>
      </c>
      <c r="H256" s="3" t="str">
        <f>IFERROR(__xludf.DUMMYFUNCTION("GOOGLETRANSLATE(C256, ""it"", ""en"")"),"A. The turn is skipped B. The referee awards a penalty C. The player is warned D. The shot is retaken")</f>
        <v>A. The turn is skipped B. The referee awards a penalty C. The player is warned D. The shot is retaken</v>
      </c>
      <c r="I256" s="3" t="str">
        <f>IFERROR(__xludf.DUMMYFUNCTION("GOOGLETRANSLATE(D256, ""it"", ""en"")"),"The turn is skipped")</f>
        <v>The turn is skipped</v>
      </c>
      <c r="J256" s="2"/>
      <c r="K256" s="2"/>
      <c r="L256" s="2"/>
      <c r="M256" s="2"/>
      <c r="N256" s="2"/>
      <c r="O256" s="2"/>
      <c r="P256" s="2"/>
      <c r="Q256" s="2"/>
      <c r="R256" s="2"/>
      <c r="S256" s="2"/>
      <c r="T256" s="2"/>
      <c r="U256" s="2"/>
      <c r="V256" s="2"/>
    </row>
    <row r="257" ht="22.5" customHeight="1">
      <c r="A257" s="3">
        <v>256.0</v>
      </c>
      <c r="B257" s="3" t="s">
        <v>1019</v>
      </c>
      <c r="C257" s="3" t="s">
        <v>988</v>
      </c>
      <c r="D257" s="3" t="s">
        <v>494</v>
      </c>
      <c r="E257" s="2"/>
      <c r="F257" s="3" t="str">
        <f>IFERROR(__xludf.DUMMYFUNCTION("GOOGLETRANSLATE(A257, ""it"", ""en"")"),"256")</f>
        <v>256</v>
      </c>
      <c r="G257" s="3" t="str">
        <f>IFERROR(__xludf.DUMMYFUNCTION("GOOGLETRANSLATE(B257, ""it"", ""en"")"),"The cheese crosses the finish line but ends up in another play area. What happens?")</f>
        <v>The cheese crosses the finish line but ends up in another play area. What happens?</v>
      </c>
      <c r="H257" s="3" t="str">
        <f>IFERROR(__xludf.DUMMYFUNCTION("GOOGLETRANSLATE(C257, ""it"", ""en"")"),"A. The point is cancelled B. The judge awards a penalty C. The shot is valid D. The shot is retaken")</f>
        <v>A. The point is cancelled B. The judge awards a penalty C. The shot is valid D. The shot is retaken</v>
      </c>
      <c r="I257" s="3" t="str">
        <f>IFERROR(__xludf.DUMMYFUNCTION("GOOGLETRANSLATE(D257, ""it"", ""en"")"),"The shot is valid")</f>
        <v>The shot is valid</v>
      </c>
      <c r="J257" s="2"/>
      <c r="K257" s="2"/>
      <c r="L257" s="2"/>
      <c r="M257" s="2"/>
      <c r="N257" s="2"/>
      <c r="O257" s="2"/>
      <c r="P257" s="2"/>
      <c r="Q257" s="2"/>
      <c r="R257" s="2"/>
      <c r="S257" s="2"/>
      <c r="T257" s="2"/>
      <c r="U257" s="2"/>
      <c r="V257" s="2"/>
    </row>
    <row r="258" ht="22.5" customHeight="1">
      <c r="A258" s="3">
        <v>257.0</v>
      </c>
      <c r="B258" s="3" t="s">
        <v>1020</v>
      </c>
      <c r="C258" s="3" t="s">
        <v>1021</v>
      </c>
      <c r="D258" s="3" t="s">
        <v>956</v>
      </c>
      <c r="E258" s="2"/>
      <c r="F258" s="3" t="str">
        <f>IFERROR(__xludf.DUMMYFUNCTION("GOOGLETRANSLATE(A258, ""it"", ""en"")"),"257")</f>
        <v>257</v>
      </c>
      <c r="G258" s="3" t="str">
        <f>IFERROR(__xludf.DUMMYFUNCTION("GOOGLETRANSLATE(B258, ""it"", ""en"")"),"The cheese rolls too fast and passes the finish line without stopping. What happens?")</f>
        <v>The cheese rolls too fast and passes the finish line without stopping. What happens?</v>
      </c>
      <c r="H258" s="3" t="str">
        <f>IFERROR(__xludf.DUMMYFUNCTION("GOOGLETRANSLATE(C258, ""it"", ""en"")"),"A. The point is disallowed B. The judge awards a penalty C. The point is valid D. The shot is retaken")</f>
        <v>A. The point is disallowed B. The judge awards a penalty C. The point is valid D. The shot is retaken</v>
      </c>
      <c r="I258" s="3" t="str">
        <f>IFERROR(__xludf.DUMMYFUNCTION("GOOGLETRANSLATE(D258, ""it"", ""en"")"),"The point is cancelled")</f>
        <v>The point is cancelled</v>
      </c>
      <c r="J258" s="2"/>
      <c r="K258" s="2"/>
      <c r="L258" s="2"/>
      <c r="M258" s="2"/>
      <c r="N258" s="2"/>
      <c r="O258" s="2"/>
      <c r="P258" s="2"/>
      <c r="Q258" s="2"/>
      <c r="R258" s="2"/>
      <c r="S258" s="2"/>
      <c r="T258" s="2"/>
      <c r="U258" s="2"/>
      <c r="V258" s="2"/>
    </row>
    <row r="259" ht="22.5" customHeight="1">
      <c r="A259" s="3">
        <v>258.0</v>
      </c>
      <c r="B259" s="3" t="s">
        <v>1022</v>
      </c>
      <c r="C259" s="3" t="s">
        <v>1023</v>
      </c>
      <c r="D259" s="3" t="s">
        <v>517</v>
      </c>
      <c r="E259" s="2"/>
      <c r="F259" s="3" t="str">
        <f>IFERROR(__xludf.DUMMYFUNCTION("GOOGLETRANSLATE(A259, ""it"", ""en"")"),"258")</f>
        <v>258</v>
      </c>
      <c r="G259" s="3" t="str">
        <f>IFERROR(__xludf.DUMMYFUNCTION("GOOGLETRANSLATE(B259, ""it"", ""en"")"),"A player slips while throwing and the cheese goes off the track. What happens?")</f>
        <v>A player slips while throwing and the cheese goes off the track. What happens?</v>
      </c>
      <c r="H259" s="3" t="str">
        <f>IFERROR(__xludf.DUMMYFUNCTION("GOOGLETRANSLATE(C259, ""it"", ""en"")"),"A. The shot is cancelled B. The point is cancelled C. The judge awards a penalty D. The shot is retaken")</f>
        <v>A. The shot is cancelled B. The point is cancelled C. The judge awards a penalty D. The shot is retaken</v>
      </c>
      <c r="I259" s="3" t="str">
        <f>IFERROR(__xludf.DUMMYFUNCTION("GOOGLETRANSLATE(D259, ""it"", ""en"")"),"The shot is disallowed")</f>
        <v>The shot is disallowed</v>
      </c>
      <c r="J259" s="2"/>
      <c r="K259" s="2"/>
      <c r="L259" s="2"/>
      <c r="M259" s="2"/>
      <c r="N259" s="2"/>
      <c r="O259" s="2"/>
      <c r="P259" s="2"/>
      <c r="Q259" s="2"/>
      <c r="R259" s="2"/>
      <c r="S259" s="2"/>
      <c r="T259" s="2"/>
      <c r="U259" s="2"/>
      <c r="V259" s="2"/>
    </row>
    <row r="260" ht="22.5" customHeight="1">
      <c r="A260" s="3">
        <v>259.0</v>
      </c>
      <c r="B260" s="3" t="s">
        <v>1024</v>
      </c>
      <c r="C260" s="3" t="s">
        <v>1025</v>
      </c>
      <c r="D260" s="3" t="s">
        <v>616</v>
      </c>
      <c r="E260" s="2"/>
      <c r="F260" s="3" t="str">
        <f>IFERROR(__xludf.DUMMYFUNCTION("GOOGLETRANSLATE(A260, ""it"", ""en"")"),"259")</f>
        <v>259</v>
      </c>
      <c r="G260" s="3" t="str">
        <f>IFERROR(__xludf.DUMMYFUNCTION("GOOGLETRANSLATE(B260, ""it"", ""en"")"),"The cheese rolls into a difficult area and stops. What happens?")</f>
        <v>The cheese rolls into a difficult area and stops. What happens?</v>
      </c>
      <c r="H260" s="3" t="str">
        <f>IFERROR(__xludf.DUMMYFUNCTION("GOOGLETRANSLATE(C260, ""it"", ""en"")"),"A. The point is awarded B. The shot is retaken C. The judge awards a penalty D. The shot is valid")</f>
        <v>A. The point is awarded B. The shot is retaken C. The judge awards a penalty D. The shot is valid</v>
      </c>
      <c r="I260" s="3" t="str">
        <f>IFERROR(__xludf.DUMMYFUNCTION("GOOGLETRANSLATE(D260, ""it"", ""en"")"),"The point is awarded")</f>
        <v>The point is awarded</v>
      </c>
      <c r="J260" s="2"/>
      <c r="K260" s="2"/>
      <c r="L260" s="2"/>
      <c r="M260" s="2"/>
      <c r="N260" s="2"/>
      <c r="O260" s="2"/>
      <c r="P260" s="2"/>
      <c r="Q260" s="2"/>
      <c r="R260" s="2"/>
      <c r="S260" s="2"/>
      <c r="T260" s="2"/>
      <c r="U260" s="2"/>
      <c r="V260" s="2"/>
    </row>
    <row r="261" ht="22.5" customHeight="1">
      <c r="A261" s="3">
        <v>260.0</v>
      </c>
      <c r="B261" s="3" t="s">
        <v>1026</v>
      </c>
      <c r="C261" s="3" t="s">
        <v>1027</v>
      </c>
      <c r="D261" s="3" t="s">
        <v>976</v>
      </c>
      <c r="E261" s="2"/>
      <c r="F261" s="3" t="str">
        <f>IFERROR(__xludf.DUMMYFUNCTION("GOOGLETRANSLATE(A261, ""it"", ""en"")"),"260")</f>
        <v>260</v>
      </c>
      <c r="G261" s="3" t="str">
        <f>IFERROR(__xludf.DUMMYFUNCTION("GOOGLETRANSLATE(B261, ""it"", ""en"")"),"The cheese rolls and touches another cheese already on the track. What happens?")</f>
        <v>The cheese rolls and touches another cheese already on the track. What happens?</v>
      </c>
      <c r="H261" s="3" t="str">
        <f>IFERROR(__xludf.DUMMYFUNCTION("GOOGLETRANSLATE(C261, ""it"", ""en"")"),"A. The point is valid B. The touched cheese is moved C. The shot is cancelled D. The point is cancelled")</f>
        <v>A. The point is valid B. The touched cheese is moved C. The shot is cancelled D. The point is cancelled</v>
      </c>
      <c r="I261" s="3" t="str">
        <f>IFERROR(__xludf.DUMMYFUNCTION("GOOGLETRANSLATE(D261, ""it"", ""en"")"),"The point is valid")</f>
        <v>The point is valid</v>
      </c>
      <c r="J261" s="2"/>
      <c r="K261" s="2"/>
      <c r="L261" s="2"/>
      <c r="M261" s="2"/>
      <c r="N261" s="2"/>
      <c r="O261" s="2"/>
      <c r="P261" s="2"/>
      <c r="Q261" s="2"/>
      <c r="R261" s="2"/>
      <c r="S261" s="2"/>
      <c r="T261" s="2"/>
      <c r="U261" s="2"/>
      <c r="V261" s="2"/>
    </row>
    <row r="262" ht="22.5" customHeight="1">
      <c r="A262" s="3">
        <v>261.0</v>
      </c>
      <c r="B262" s="3" t="s">
        <v>1028</v>
      </c>
      <c r="C262" s="3" t="s">
        <v>1029</v>
      </c>
      <c r="D262" s="3" t="s">
        <v>517</v>
      </c>
      <c r="E262" s="2"/>
      <c r="F262" s="3" t="str">
        <f>IFERROR(__xludf.DUMMYFUNCTION("GOOGLETRANSLATE(A262, ""it"", ""en"")"),"261")</f>
        <v>261</v>
      </c>
      <c r="G262" s="3" t="str">
        <f>IFERROR(__xludf.DUMMYFUNCTION("GOOGLETRANSLATE(B262, ""it"", ""en"")"),"A player throws the cheese too far from the goal. What happens?")</f>
        <v>A player throws the cheese too far from the goal. What happens?</v>
      </c>
      <c r="H262" s="3" t="str">
        <f>IFERROR(__xludf.DUMMYFUNCTION("GOOGLETRANSLATE(C262, ""it"", ""en"")"),"A. The shot is cancelled B. The point is cancelled C. The shot is retaken D. The point is valid")</f>
        <v>A. The shot is cancelled B. The point is cancelled C. The shot is retaken D. The point is valid</v>
      </c>
      <c r="I262" s="3" t="str">
        <f>IFERROR(__xludf.DUMMYFUNCTION("GOOGLETRANSLATE(D262, ""it"", ""en"")"),"The shot is disallowed")</f>
        <v>The shot is disallowed</v>
      </c>
      <c r="J262" s="2"/>
      <c r="K262" s="2"/>
      <c r="L262" s="2"/>
      <c r="M262" s="2"/>
      <c r="N262" s="2"/>
      <c r="O262" s="2"/>
      <c r="P262" s="2"/>
      <c r="Q262" s="2"/>
      <c r="R262" s="2"/>
      <c r="S262" s="2"/>
      <c r="T262" s="2"/>
      <c r="U262" s="2"/>
      <c r="V262" s="2"/>
    </row>
    <row r="263" ht="22.5" customHeight="1">
      <c r="A263" s="3">
        <v>262.0</v>
      </c>
      <c r="B263" s="3" t="s">
        <v>1030</v>
      </c>
      <c r="C263" s="3" t="s">
        <v>1031</v>
      </c>
      <c r="D263" s="3" t="s">
        <v>646</v>
      </c>
      <c r="E263" s="2"/>
      <c r="F263" s="3" t="str">
        <f>IFERROR(__xludf.DUMMYFUNCTION("GOOGLETRANSLATE(A263, ""it"", ""en"")"),"262")</f>
        <v>262</v>
      </c>
      <c r="G263" s="3" t="str">
        <f>IFERROR(__xludf.DUMMYFUNCTION("GOOGLETRANSLATE(B263, ""it"", ""en"")"),"The cheese hits the finish line but doesn't pass. What happens?")</f>
        <v>The cheese hits the finish line but doesn't pass. What happens?</v>
      </c>
      <c r="H263" s="3" t="str">
        <f>IFERROR(__xludf.DUMMYFUNCTION("GOOGLETRANSLATE(C263, ""it"", ""en"")"),"A. The point is not awarded B. The point is cancelled C. The shot is retaken D. The point is valid")</f>
        <v>A. The point is not awarded B. The point is cancelled C. The shot is retaken D. The point is valid</v>
      </c>
      <c r="I263" s="3" t="str">
        <f>IFERROR(__xludf.DUMMYFUNCTION("GOOGLETRANSLATE(D263, ""it"", ""en"")"),"The point is not awarded")</f>
        <v>The point is not awarded</v>
      </c>
      <c r="J263" s="2"/>
      <c r="K263" s="2"/>
      <c r="L263" s="2"/>
      <c r="M263" s="2"/>
      <c r="N263" s="2"/>
      <c r="O263" s="2"/>
      <c r="P263" s="2"/>
      <c r="Q263" s="2"/>
      <c r="R263" s="2"/>
      <c r="S263" s="2"/>
      <c r="T263" s="2"/>
      <c r="U263" s="2"/>
      <c r="V263" s="2"/>
    </row>
    <row r="264" ht="22.5" customHeight="1">
      <c r="A264" s="3">
        <v>263.0</v>
      </c>
      <c r="B264" s="3" t="s">
        <v>1032</v>
      </c>
      <c r="C264" s="3" t="s">
        <v>1033</v>
      </c>
      <c r="D264" s="3" t="s">
        <v>511</v>
      </c>
      <c r="E264" s="2"/>
      <c r="F264" s="3" t="str">
        <f>IFERROR(__xludf.DUMMYFUNCTION("GOOGLETRANSLATE(A264, ""it"", ""en"")"),"263")</f>
        <v>263</v>
      </c>
      <c r="G264" s="3" t="str">
        <f>IFERROR(__xludf.DUMMYFUNCTION("GOOGLETRANSLATE(B264, ""it"", ""en"")"),"A player tries to discourage his opponent during a throw. What happens?")</f>
        <v>A player tries to discourage his opponent during a throw. What happens?</v>
      </c>
      <c r="H264" s="3" t="str">
        <f>IFERROR(__xludf.DUMMYFUNCTION("GOOGLETRANSLATE(C264, ""it"", ""en"")"),"A. The judge awards a penalty B. The point is cancelled C. The shot is cancelled D. The turn is skipped")</f>
        <v>A. The judge awards a penalty B. The point is cancelled C. The shot is cancelled D. The turn is skipped</v>
      </c>
      <c r="I264" s="3" t="str">
        <f>IFERROR(__xludf.DUMMYFUNCTION("GOOGLETRANSLATE(D264, ""it"", ""en"")"),"The judge awards a penalty")</f>
        <v>The judge awards a penalty</v>
      </c>
      <c r="J264" s="2"/>
      <c r="K264" s="2"/>
      <c r="L264" s="2"/>
      <c r="M264" s="2"/>
      <c r="N264" s="2"/>
      <c r="O264" s="2"/>
      <c r="P264" s="2"/>
      <c r="Q264" s="2"/>
      <c r="R264" s="2"/>
      <c r="S264" s="2"/>
      <c r="T264" s="2"/>
      <c r="U264" s="2"/>
      <c r="V264" s="2"/>
    </row>
    <row r="265" ht="22.5" customHeight="1">
      <c r="A265" s="3">
        <v>264.0</v>
      </c>
      <c r="B265" s="3" t="s">
        <v>1034</v>
      </c>
      <c r="C265" s="3" t="s">
        <v>1035</v>
      </c>
      <c r="D265" s="3" t="s">
        <v>517</v>
      </c>
      <c r="E265" s="2"/>
      <c r="F265" s="3" t="str">
        <f>IFERROR(__xludf.DUMMYFUNCTION("GOOGLETRANSLATE(A265, ""it"", ""en"")"),"264")</f>
        <v>264</v>
      </c>
      <c r="G265" s="3" t="str">
        <f>IFERROR(__xludf.DUMMYFUNCTION("GOOGLETRANSLATE(B265, ""it"", ""en"")"),"The cheese rolls too slowly and doesn't reach the finish line. What happens?")</f>
        <v>The cheese rolls too slowly and doesn't reach the finish line. What happens?</v>
      </c>
      <c r="H265" s="3" t="str">
        <f>IFERROR(__xludf.DUMMYFUNCTION("GOOGLETRANSLATE(C265, ""it"", ""en"")"),"A. The shot is disallowed B. The point is disallowed C. The shot is retaken D. The point is not awarded")</f>
        <v>A. The shot is disallowed B. The point is disallowed C. The shot is retaken D. The point is not awarded</v>
      </c>
      <c r="I265" s="3" t="str">
        <f>IFERROR(__xludf.DUMMYFUNCTION("GOOGLETRANSLATE(D265, ""it"", ""en"")"),"The shot is disallowed")</f>
        <v>The shot is disallowed</v>
      </c>
      <c r="J265" s="2"/>
      <c r="K265" s="2"/>
      <c r="L265" s="2"/>
      <c r="M265" s="2"/>
      <c r="N265" s="2"/>
      <c r="O265" s="2"/>
      <c r="P265" s="2"/>
      <c r="Q265" s="2"/>
      <c r="R265" s="2"/>
      <c r="S265" s="2"/>
      <c r="T265" s="2"/>
      <c r="U265" s="2"/>
      <c r="V265" s="2"/>
    </row>
    <row r="266" ht="22.5" customHeight="1">
      <c r="A266" s="3">
        <v>265.0</v>
      </c>
      <c r="B266" s="3" t="s">
        <v>1036</v>
      </c>
      <c r="C266" s="3" t="s">
        <v>1037</v>
      </c>
      <c r="D266" s="3" t="s">
        <v>517</v>
      </c>
      <c r="E266" s="2"/>
      <c r="F266" s="3" t="str">
        <f>IFERROR(__xludf.DUMMYFUNCTION("GOOGLETRANSLATE(A266, ""it"", ""en"")"),"265")</f>
        <v>265</v>
      </c>
      <c r="G266" s="3" t="str">
        <f>IFERROR(__xludf.DUMMYFUNCTION("GOOGLETRANSLATE(B266, ""it"", ""en"")"),"A player changes position before throwing the cheese. What happens?")</f>
        <v>A player changes position before throwing the cheese. What happens?</v>
      </c>
      <c r="H266" s="3" t="str">
        <f>IFERROR(__xludf.DUMMYFUNCTION("GOOGLETRANSLATE(C266, ""it"", ""en"")"),"A. The shot is disallowed B. The point is awarded C. The referee issues a penalty D. The player is warned")</f>
        <v>A. The shot is disallowed B. The point is awarded C. The referee issues a penalty D. The player is warned</v>
      </c>
      <c r="I266" s="3" t="str">
        <f>IFERROR(__xludf.DUMMYFUNCTION("GOOGLETRANSLATE(D266, ""it"", ""en"")"),"The shot is disallowed")</f>
        <v>The shot is disallowed</v>
      </c>
      <c r="J266" s="2"/>
      <c r="K266" s="2"/>
      <c r="L266" s="2"/>
      <c r="M266" s="2"/>
      <c r="N266" s="2"/>
      <c r="O266" s="2"/>
      <c r="P266" s="2"/>
      <c r="Q266" s="2"/>
      <c r="R266" s="2"/>
      <c r="S266" s="2"/>
      <c r="T266" s="2"/>
      <c r="U266" s="2"/>
      <c r="V266" s="2"/>
    </row>
    <row r="267" ht="22.5" customHeight="1">
      <c r="A267" s="3">
        <v>266.0</v>
      </c>
      <c r="B267" s="3" t="s">
        <v>1038</v>
      </c>
      <c r="C267" s="3" t="s">
        <v>1039</v>
      </c>
      <c r="D267" s="3" t="s">
        <v>976</v>
      </c>
      <c r="E267" s="2"/>
      <c r="F267" s="3" t="str">
        <f>IFERROR(__xludf.DUMMYFUNCTION("GOOGLETRANSLATE(A267, ""it"", ""en"")"),"266")</f>
        <v>266</v>
      </c>
      <c r="G267" s="3" t="str">
        <f>IFERROR(__xludf.DUMMYFUNCTION("GOOGLETRANSLATE(B267, ""it"", ""en"")"),"The cheese rolls on an uneven surface but doesn't stop. What happens?")</f>
        <v>The cheese rolls on an uneven surface but doesn't stop. What happens?</v>
      </c>
      <c r="H267" s="3" t="str">
        <f>IFERROR(__xludf.DUMMYFUNCTION("GOOGLETRANSLATE(C267, ""it"", ""en"")"),"A. The point is valid B. The shot is retaken C. The judge awards a penalty D. The point is cancelled")</f>
        <v>A. The point is valid B. The shot is retaken C. The judge awards a penalty D. The point is cancelled</v>
      </c>
      <c r="I267" s="3" t="str">
        <f>IFERROR(__xludf.DUMMYFUNCTION("GOOGLETRANSLATE(D267, ""it"", ""en"")"),"The point is valid")</f>
        <v>The point is valid</v>
      </c>
      <c r="J267" s="2"/>
      <c r="K267" s="2"/>
      <c r="L267" s="2"/>
      <c r="M267" s="2"/>
      <c r="N267" s="2"/>
      <c r="O267" s="2"/>
      <c r="P267" s="2"/>
      <c r="Q267" s="2"/>
      <c r="R267" s="2"/>
      <c r="S267" s="2"/>
      <c r="T267" s="2"/>
      <c r="U267" s="2"/>
      <c r="V267" s="2"/>
    </row>
    <row r="268" ht="22.5" customHeight="1">
      <c r="A268" s="3">
        <v>267.0</v>
      </c>
      <c r="B268" s="3" t="s">
        <v>1040</v>
      </c>
      <c r="C268" s="3" t="s">
        <v>1041</v>
      </c>
      <c r="D268" s="3" t="s">
        <v>976</v>
      </c>
      <c r="E268" s="2"/>
      <c r="F268" s="3" t="str">
        <f>IFERROR(__xludf.DUMMYFUNCTION("GOOGLETRANSLATE(A268, ""it"", ""en"")"),"267")</f>
        <v>267</v>
      </c>
      <c r="G268" s="3" t="str">
        <f>IFERROR(__xludf.DUMMYFUNCTION("GOOGLETRANSLATE(B268, ""it"", ""en"")"),"The cheese accidentally touches an opponent's foot along the way. What happens?")</f>
        <v>The cheese accidentally touches an opponent's foot along the way. What happens?</v>
      </c>
      <c r="H268" s="3" t="str">
        <f>IFERROR(__xludf.DUMMYFUNCTION("GOOGLETRANSLATE(C268, ""it"", ""en"")"),"A. The point is valid B. The point is cancelled C. The judge awards a penalty D. The cheese is removed")</f>
        <v>A. The point is valid B. The point is cancelled C. The judge awards a penalty D. The cheese is removed</v>
      </c>
      <c r="I268" s="3" t="str">
        <f>IFERROR(__xludf.DUMMYFUNCTION("GOOGLETRANSLATE(D268, ""it"", ""en"")"),"The point is valid")</f>
        <v>The point is valid</v>
      </c>
      <c r="J268" s="2"/>
      <c r="K268" s="2"/>
      <c r="L268" s="2"/>
      <c r="M268" s="2"/>
      <c r="N268" s="2"/>
      <c r="O268" s="2"/>
      <c r="P268" s="2"/>
      <c r="Q268" s="2"/>
      <c r="R268" s="2"/>
      <c r="S268" s="2"/>
      <c r="T268" s="2"/>
      <c r="U268" s="2"/>
      <c r="V268" s="2"/>
    </row>
    <row r="269" ht="22.5" customHeight="1">
      <c r="A269" s="3">
        <v>268.0</v>
      </c>
      <c r="B269" s="3" t="s">
        <v>1042</v>
      </c>
      <c r="C269" s="3" t="s">
        <v>1043</v>
      </c>
      <c r="D269" s="3" t="s">
        <v>511</v>
      </c>
      <c r="E269" s="2"/>
      <c r="F269" s="3" t="str">
        <f>IFERROR(__xludf.DUMMYFUNCTION("GOOGLETRANSLATE(A269, ""it"", ""en"")"),"268")</f>
        <v>268</v>
      </c>
      <c r="G269" s="3" t="str">
        <f>IFERROR(__xludf.DUMMYFUNCTION("GOOGLETRANSLATE(B269, ""it"", ""en"")"),"A player throws cheese and hits another player. What happens?")</f>
        <v>A player throws cheese and hits another player. What happens?</v>
      </c>
      <c r="H269" s="3" t="str">
        <f>IFERROR(__xludf.DUMMYFUNCTION("GOOGLETRANSLATE(C269, ""it"", ""en"")"),"A. The shot is cancelled B. The point is cancelled C. The judge awards a penalty D. The point is awarded to the opponent")</f>
        <v>A. The shot is cancelled B. The point is cancelled C. The judge awards a penalty D. The point is awarded to the opponent</v>
      </c>
      <c r="I269" s="3" t="str">
        <f>IFERROR(__xludf.DUMMYFUNCTION("GOOGLETRANSLATE(D269, ""it"", ""en"")"),"The judge awards a penalty")</f>
        <v>The judge awards a penalty</v>
      </c>
      <c r="J269" s="2"/>
      <c r="K269" s="2"/>
      <c r="L269" s="2"/>
      <c r="M269" s="2"/>
      <c r="N269" s="2"/>
      <c r="O269" s="2"/>
      <c r="P269" s="2"/>
      <c r="Q269" s="2"/>
      <c r="R269" s="2"/>
      <c r="S269" s="2"/>
      <c r="T269" s="2"/>
      <c r="U269" s="2"/>
      <c r="V269" s="2"/>
    </row>
    <row r="270" ht="22.5" customHeight="1">
      <c r="A270" s="3">
        <v>269.0</v>
      </c>
      <c r="B270" s="3" t="s">
        <v>1044</v>
      </c>
      <c r="C270" s="3" t="s">
        <v>1045</v>
      </c>
      <c r="D270" s="3" t="s">
        <v>976</v>
      </c>
      <c r="E270" s="2"/>
      <c r="F270" s="3" t="str">
        <f>IFERROR(__xludf.DUMMYFUNCTION("GOOGLETRANSLATE(A270, ""it"", ""en"")"),"269")</f>
        <v>269</v>
      </c>
      <c r="G270" s="3" t="str">
        <f>IFERROR(__xludf.DUMMYFUNCTION("GOOGLETRANSLATE(B270, ""it"", ""en"")"),"The cheese rolls out of the field but comes back in on its own. What happens?")</f>
        <v>The cheese rolls out of the field but comes back in on its own. What happens?</v>
      </c>
      <c r="H270" s="3" t="str">
        <f>IFERROR(__xludf.DUMMYFUNCTION("GOOGLETRANSLATE(C270, ""it"", ""en"")"),"A. The point is valid B. The cheese is removed C. The shot is cancelled D. The point is cancelled")</f>
        <v>A. The point is valid B. The cheese is removed C. The shot is cancelled D. The point is cancelled</v>
      </c>
      <c r="I270" s="3" t="str">
        <f>IFERROR(__xludf.DUMMYFUNCTION("GOOGLETRANSLATE(D270, ""it"", ""en"")"),"The point is valid")</f>
        <v>The point is valid</v>
      </c>
      <c r="J270" s="2"/>
      <c r="K270" s="2"/>
      <c r="L270" s="2"/>
      <c r="M270" s="2"/>
      <c r="N270" s="2"/>
      <c r="O270" s="2"/>
      <c r="P270" s="2"/>
      <c r="Q270" s="2"/>
      <c r="R270" s="2"/>
      <c r="S270" s="2"/>
      <c r="T270" s="2"/>
      <c r="U270" s="2"/>
      <c r="V270" s="2"/>
    </row>
    <row r="271" ht="22.5" customHeight="1">
      <c r="A271" s="3">
        <v>270.0</v>
      </c>
      <c r="B271" s="3" t="s">
        <v>1046</v>
      </c>
      <c r="C271" s="3" t="s">
        <v>1047</v>
      </c>
      <c r="D271" s="3" t="s">
        <v>517</v>
      </c>
      <c r="E271" s="2"/>
      <c r="F271" s="3" t="str">
        <f>IFERROR(__xludf.DUMMYFUNCTION("GOOGLETRANSLATE(A271, ""it"", ""en"")"),"270")</f>
        <v>270</v>
      </c>
      <c r="G271" s="3" t="str">
        <f>IFERROR(__xludf.DUMMYFUNCTION("GOOGLETRANSLATE(B271, ""it"", ""en"")"),"A player lets the cheese roll without touching it. What happens?")</f>
        <v>A player lets the cheese roll without touching it. What happens?</v>
      </c>
      <c r="H271" s="3" t="str">
        <f>IFERROR(__xludf.DUMMYFUNCTION("GOOGLETRANSLATE(C271, ""it"", ""en"")"),"A. The shot is disallowed B. The point is disallowed C. The player receives a penalty D. The shot is valid")</f>
        <v>A. The shot is disallowed B. The point is disallowed C. The player receives a penalty D. The shot is valid</v>
      </c>
      <c r="I271" s="3" t="str">
        <f>IFERROR(__xludf.DUMMYFUNCTION("GOOGLETRANSLATE(D271, ""it"", ""en"")"),"The shot is disallowed")</f>
        <v>The shot is disallowed</v>
      </c>
      <c r="J271" s="2"/>
      <c r="K271" s="2"/>
      <c r="L271" s="2"/>
      <c r="M271" s="2"/>
      <c r="N271" s="2"/>
      <c r="O271" s="2"/>
      <c r="P271" s="2"/>
      <c r="Q271" s="2"/>
      <c r="R271" s="2"/>
      <c r="S271" s="2"/>
      <c r="T271" s="2"/>
      <c r="U271" s="2"/>
      <c r="V271" s="2"/>
    </row>
    <row r="272" ht="22.5" customHeight="1">
      <c r="A272" s="3">
        <v>271.0</v>
      </c>
      <c r="B272" s="3" t="s">
        <v>1048</v>
      </c>
      <c r="C272" s="3" t="s">
        <v>1049</v>
      </c>
      <c r="D272" s="3" t="s">
        <v>956</v>
      </c>
      <c r="E272" s="2"/>
      <c r="F272" s="3" t="str">
        <f>IFERROR(__xludf.DUMMYFUNCTION("GOOGLETRANSLATE(A272, ""it"", ""en"")"),"271")</f>
        <v>271</v>
      </c>
      <c r="G272" s="3" t="str">
        <f>IFERROR(__xludf.DUMMYFUNCTION("GOOGLETRANSLATE(B272, ""it"", ""en"")"),"The cheese hits the finish line but bounces back. What happens?")</f>
        <v>The cheese hits the finish line but bounces back. What happens?</v>
      </c>
      <c r="H272" s="3" t="str">
        <f>IFERROR(__xludf.DUMMYFUNCTION("GOOGLETRANSLATE(C272, ""it"", ""en"")"),"A. The point is disallowed B. The shot is retaken C. The point is awarded D. The point is not awarded")</f>
        <v>A. The point is disallowed B. The shot is retaken C. The point is awarded D. The point is not awarded</v>
      </c>
      <c r="I272" s="3" t="str">
        <f>IFERROR(__xludf.DUMMYFUNCTION("GOOGLETRANSLATE(D272, ""it"", ""en"")"),"The point is cancelled")</f>
        <v>The point is cancelled</v>
      </c>
      <c r="J272" s="2"/>
      <c r="K272" s="2"/>
      <c r="L272" s="2"/>
      <c r="M272" s="2"/>
      <c r="N272" s="2"/>
      <c r="O272" s="2"/>
      <c r="P272" s="2"/>
      <c r="Q272" s="2"/>
      <c r="R272" s="2"/>
      <c r="S272" s="2"/>
      <c r="T272" s="2"/>
      <c r="U272" s="2"/>
      <c r="V272" s="2"/>
    </row>
    <row r="273" ht="22.5" customHeight="1">
      <c r="A273" s="3">
        <v>272.0</v>
      </c>
      <c r="B273" s="3" t="s">
        <v>1050</v>
      </c>
      <c r="C273" s="3" t="s">
        <v>1051</v>
      </c>
      <c r="D273" s="3" t="s">
        <v>511</v>
      </c>
      <c r="E273" s="2"/>
      <c r="F273" s="3" t="str">
        <f>IFERROR(__xludf.DUMMYFUNCTION("GOOGLETRANSLATE(A273, ""it"", ""en"")"),"272")</f>
        <v>272</v>
      </c>
      <c r="G273" s="3" t="str">
        <f>IFERROR(__xludf.DUMMYFUNCTION("GOOGLETRANSLATE(B273, ""it"", ""en"")"),"A player tries to correct the cheese's path while shooting. What happens?")</f>
        <v>A player tries to correct the cheese's path while shooting. What happens?</v>
      </c>
      <c r="H273" s="3" t="str">
        <f>IFERROR(__xludf.DUMMYFUNCTION("GOOGLETRANSLATE(C273, ""it"", ""en"")"),"A. The judge awards a penalty B. The shot is cancelled C. The cheese is removed D. The point is cancelled")</f>
        <v>A. The judge awards a penalty B. The shot is cancelled C. The cheese is removed D. The point is cancelled</v>
      </c>
      <c r="I273" s="3" t="str">
        <f>IFERROR(__xludf.DUMMYFUNCTION("GOOGLETRANSLATE(D273, ""it"", ""en"")"),"The judge awards a penalty")</f>
        <v>The judge awards a penalty</v>
      </c>
      <c r="J273" s="2"/>
      <c r="K273" s="2"/>
      <c r="L273" s="2"/>
      <c r="M273" s="2"/>
      <c r="N273" s="2"/>
      <c r="O273" s="2"/>
      <c r="P273" s="2"/>
      <c r="Q273" s="2"/>
      <c r="R273" s="2"/>
      <c r="S273" s="2"/>
      <c r="T273" s="2"/>
      <c r="U273" s="2"/>
      <c r="V273" s="2"/>
    </row>
    <row r="274" ht="22.5" customHeight="1">
      <c r="A274" s="3">
        <v>273.0</v>
      </c>
      <c r="B274" s="3" t="s">
        <v>1052</v>
      </c>
      <c r="C274" s="3" t="s">
        <v>1053</v>
      </c>
      <c r="D274" s="3" t="s">
        <v>956</v>
      </c>
      <c r="E274" s="2"/>
      <c r="F274" s="3" t="str">
        <f>IFERROR(__xludf.DUMMYFUNCTION("GOOGLETRANSLATE(A274, ""it"", ""en"")"),"273")</f>
        <v>273</v>
      </c>
      <c r="G274" s="3" t="str">
        <f>IFERROR(__xludf.DUMMYFUNCTION("GOOGLETRANSLATE(B274, ""it"", ""en"")"),"The cheese rolls across the finish line but doesn't stop. What happens?")</f>
        <v>The cheese rolls across the finish line but doesn't stop. What happens?</v>
      </c>
      <c r="H274" s="3" t="str">
        <f>IFERROR(__xludf.DUMMYFUNCTION("GOOGLETRANSLATE(C274, ""it"", ""en"")"),"A. The point is disallowed B. The point is valid C. The shot is disallowed D. The judge awards a penalty")</f>
        <v>A. The point is disallowed B. The point is valid C. The shot is disallowed D. The judge awards a penalty</v>
      </c>
      <c r="I274" s="3" t="str">
        <f>IFERROR(__xludf.DUMMYFUNCTION("GOOGLETRANSLATE(D274, ""it"", ""en"")"),"The point is cancelled")</f>
        <v>The point is cancelled</v>
      </c>
      <c r="J274" s="2"/>
      <c r="K274" s="2"/>
      <c r="L274" s="2"/>
      <c r="M274" s="2"/>
      <c r="N274" s="2"/>
      <c r="O274" s="2"/>
      <c r="P274" s="2"/>
      <c r="Q274" s="2"/>
      <c r="R274" s="2"/>
      <c r="S274" s="2"/>
      <c r="T274" s="2"/>
      <c r="U274" s="2"/>
      <c r="V274" s="2"/>
    </row>
    <row r="275" ht="22.5" customHeight="1">
      <c r="A275" s="3">
        <v>274.0</v>
      </c>
      <c r="B275" s="3" t="s">
        <v>1054</v>
      </c>
      <c r="C275" s="3" t="s">
        <v>1055</v>
      </c>
      <c r="D275" s="3" t="s">
        <v>616</v>
      </c>
      <c r="E275" s="2"/>
      <c r="F275" s="3" t="str">
        <f>IFERROR(__xludf.DUMMYFUNCTION("GOOGLETRANSLATE(A275, ""it"", ""en"")"),"274")</f>
        <v>274</v>
      </c>
      <c r="G275" s="3" t="str">
        <f>IFERROR(__xludf.DUMMYFUNCTION("GOOGLETRANSLATE(B275, ""it"", ""en"")"),"The cheese ends up in a hole in the ground but remains visible. What happens?")</f>
        <v>The cheese ends up in a hole in the ground but remains visible. What happens?</v>
      </c>
      <c r="H275" s="3" t="str">
        <f>IFERROR(__xludf.DUMMYFUNCTION("GOOGLETRANSLATE(C275, ""it"", ""en"")"),"A. The point is awarded B. The cheese is removed C. The shot is retaken D. The point is cancelled")</f>
        <v>A. The point is awarded B. The cheese is removed C. The shot is retaken D. The point is cancelled</v>
      </c>
      <c r="I275" s="3" t="str">
        <f>IFERROR(__xludf.DUMMYFUNCTION("GOOGLETRANSLATE(D275, ""it"", ""en"")"),"The point is awarded")</f>
        <v>The point is awarded</v>
      </c>
      <c r="J275" s="2"/>
      <c r="K275" s="2"/>
      <c r="L275" s="2"/>
      <c r="M275" s="2"/>
      <c r="N275" s="2"/>
      <c r="O275" s="2"/>
      <c r="P275" s="2"/>
      <c r="Q275" s="2"/>
      <c r="R275" s="2"/>
      <c r="S275" s="2"/>
      <c r="T275" s="2"/>
      <c r="U275" s="2"/>
      <c r="V275" s="2"/>
    </row>
    <row r="276" ht="22.5" customHeight="1">
      <c r="A276" s="3">
        <v>275.0</v>
      </c>
      <c r="B276" s="3" t="s">
        <v>1056</v>
      </c>
      <c r="C276" s="3" t="s">
        <v>1023</v>
      </c>
      <c r="D276" s="3" t="s">
        <v>517</v>
      </c>
      <c r="E276" s="2"/>
      <c r="F276" s="3" t="str">
        <f>IFERROR(__xludf.DUMMYFUNCTION("GOOGLETRANSLATE(A276, ""it"", ""en"")"),"275")</f>
        <v>275</v>
      </c>
      <c r="G276" s="3" t="str">
        <f>IFERROR(__xludf.DUMMYFUNCTION("GOOGLETRANSLATE(B276, ""it"", ""en"")"),"A player throws the cheese in the wrong direction. What happens?")</f>
        <v>A player throws the cheese in the wrong direction. What happens?</v>
      </c>
      <c r="H276" s="3" t="str">
        <f>IFERROR(__xludf.DUMMYFUNCTION("GOOGLETRANSLATE(C276, ""it"", ""en"")"),"A. The shot is cancelled B. The point is cancelled C. The judge awards a penalty D. The shot is retaken")</f>
        <v>A. The shot is cancelled B. The point is cancelled C. The judge awards a penalty D. The shot is retaken</v>
      </c>
      <c r="I276" s="3" t="str">
        <f>IFERROR(__xludf.DUMMYFUNCTION("GOOGLETRANSLATE(D276, ""it"", ""en"")"),"The shot is disallowed")</f>
        <v>The shot is disallowed</v>
      </c>
      <c r="J276" s="2"/>
      <c r="K276" s="2"/>
      <c r="L276" s="2"/>
      <c r="M276" s="2"/>
      <c r="N276" s="2"/>
      <c r="O276" s="2"/>
      <c r="P276" s="2"/>
      <c r="Q276" s="2"/>
      <c r="R276" s="2"/>
      <c r="S276" s="2"/>
      <c r="T276" s="2"/>
      <c r="U276" s="2"/>
      <c r="V276" s="2"/>
    </row>
    <row r="277" ht="22.5" customHeight="1">
      <c r="A277" s="3">
        <v>276.0</v>
      </c>
      <c r="B277" s="3" t="s">
        <v>1057</v>
      </c>
      <c r="C277" s="3" t="s">
        <v>1058</v>
      </c>
      <c r="D277" s="3" t="s">
        <v>956</v>
      </c>
      <c r="E277" s="2"/>
      <c r="F277" s="3" t="str">
        <f>IFERROR(__xludf.DUMMYFUNCTION("GOOGLETRANSLATE(A277, ""it"", ""en"")"),"276")</f>
        <v>276</v>
      </c>
      <c r="G277" s="3" t="str">
        <f>IFERROR(__xludf.DUMMYFUNCTION("GOOGLETRANSLATE(B277, ""it"", ""en"")"),"The cheese stops near the finish line but doesn't cross it. What happens?")</f>
        <v>The cheese stops near the finish line but doesn't cross it. What happens?</v>
      </c>
      <c r="H277" s="3" t="str">
        <f>IFERROR(__xludf.DUMMYFUNCTION("GOOGLETRANSLATE(C277, ""it"", ""en"")"),"A. The point is cancelled B. The shot is valid C. The point is awarded D. The shot is retaken")</f>
        <v>A. The point is cancelled B. The shot is valid C. The point is awarded D. The shot is retaken</v>
      </c>
      <c r="I277" s="3" t="str">
        <f>IFERROR(__xludf.DUMMYFUNCTION("GOOGLETRANSLATE(D277, ""it"", ""en"")"),"The point is cancelled")</f>
        <v>The point is cancelled</v>
      </c>
      <c r="J277" s="2"/>
      <c r="K277" s="2"/>
      <c r="L277" s="2"/>
      <c r="M277" s="2"/>
      <c r="N277" s="2"/>
      <c r="O277" s="2"/>
      <c r="P277" s="2"/>
      <c r="Q277" s="2"/>
      <c r="R277" s="2"/>
      <c r="S277" s="2"/>
      <c r="T277" s="2"/>
      <c r="U277" s="2"/>
      <c r="V277" s="2"/>
    </row>
    <row r="278" ht="22.5" customHeight="1">
      <c r="A278" s="3">
        <v>277.0</v>
      </c>
      <c r="B278" s="3" t="s">
        <v>1059</v>
      </c>
      <c r="C278" s="3" t="s">
        <v>1060</v>
      </c>
      <c r="D278" s="3" t="s">
        <v>976</v>
      </c>
      <c r="E278" s="2"/>
      <c r="F278" s="3" t="str">
        <f>IFERROR(__xludf.DUMMYFUNCTION("GOOGLETRANSLATE(A278, ""it"", ""en"")"),"277")</f>
        <v>277</v>
      </c>
      <c r="G278" s="3" t="str">
        <f>IFERROR(__xludf.DUMMYFUNCTION("GOOGLETRANSLATE(B278, ""it"", ""en"")"),"The cheese crosses the finish line but hits an external object. What happens?")</f>
        <v>The cheese crosses the finish line but hits an external object. What happens?</v>
      </c>
      <c r="H278" s="3" t="str">
        <f>IFERROR(__xludf.DUMMYFUNCTION("GOOGLETRANSLATE(C278, ""it"", ""en"")"),"A. The point is valid B. The shot is retaken C. The point is cancelled D. The judge awards a penalty")</f>
        <v>A. The point is valid B. The shot is retaken C. The point is cancelled D. The judge awards a penalty</v>
      </c>
      <c r="I278" s="3" t="str">
        <f>IFERROR(__xludf.DUMMYFUNCTION("GOOGLETRANSLATE(D278, ""it"", ""en"")"),"The point is valid")</f>
        <v>The point is valid</v>
      </c>
      <c r="J278" s="2"/>
      <c r="K278" s="2"/>
      <c r="L278" s="2"/>
      <c r="M278" s="2"/>
      <c r="N278" s="2"/>
      <c r="O278" s="2"/>
      <c r="P278" s="2"/>
      <c r="Q278" s="2"/>
      <c r="R278" s="2"/>
      <c r="S278" s="2"/>
      <c r="T278" s="2"/>
      <c r="U278" s="2"/>
      <c r="V278" s="2"/>
    </row>
    <row r="279" ht="22.5" customHeight="1">
      <c r="A279" s="3">
        <v>278.0</v>
      </c>
      <c r="B279" s="3" t="s">
        <v>1061</v>
      </c>
      <c r="C279" s="3" t="s">
        <v>1062</v>
      </c>
      <c r="D279" s="3" t="s">
        <v>511</v>
      </c>
      <c r="E279" s="2"/>
      <c r="F279" s="3" t="str">
        <f>IFERROR(__xludf.DUMMYFUNCTION("GOOGLETRANSLATE(A279, ""it"", ""en"")"),"278")</f>
        <v>278</v>
      </c>
      <c r="G279" s="3" t="str">
        <f>IFERROR(__xludf.DUMMYFUNCTION("GOOGLETRANSLATE(B279, ""it"", ""en"")"),"A player tries to distract his opponent during the throw. What happens?")</f>
        <v>A player tries to distract his opponent during the throw. What happens?</v>
      </c>
      <c r="H279" s="3" t="str">
        <f>IFERROR(__xludf.DUMMYFUNCTION("GOOGLETRANSLATE(C279, ""it"", ""en"")"),"A. The judge awards a penalty B. The point is cancelled C. The shot is cancelled D. The player is warned")</f>
        <v>A. The judge awards a penalty B. The point is cancelled C. The shot is cancelled D. The player is warned</v>
      </c>
      <c r="I279" s="3" t="str">
        <f>IFERROR(__xludf.DUMMYFUNCTION("GOOGLETRANSLATE(D279, ""it"", ""en"")"),"The judge awards a penalty")</f>
        <v>The judge awards a penalty</v>
      </c>
      <c r="J279" s="2"/>
      <c r="K279" s="2"/>
      <c r="L279" s="2"/>
      <c r="M279" s="2"/>
      <c r="N279" s="2"/>
      <c r="O279" s="2"/>
      <c r="P279" s="2"/>
      <c r="Q279" s="2"/>
      <c r="R279" s="2"/>
      <c r="S279" s="2"/>
      <c r="T279" s="2"/>
      <c r="U279" s="2"/>
      <c r="V279" s="2"/>
    </row>
    <row r="280" ht="22.5" customHeight="1">
      <c r="A280" s="3">
        <v>279.0</v>
      </c>
      <c r="B280" s="3" t="s">
        <v>1063</v>
      </c>
      <c r="C280" s="3" t="s">
        <v>1064</v>
      </c>
      <c r="D280" s="3" t="s">
        <v>956</v>
      </c>
      <c r="E280" s="2"/>
      <c r="F280" s="3" t="str">
        <f>IFERROR(__xludf.DUMMYFUNCTION("GOOGLETRANSLATE(A280, ""it"", ""en"")"),"279")</f>
        <v>279</v>
      </c>
      <c r="G280" s="3" t="str">
        <f>IFERROR(__xludf.DUMMYFUNCTION("GOOGLETRANSLATE(B280, ""it"", ""en"")"),"The cheese hits the finish line but slides back without stopping. What happens?")</f>
        <v>The cheese hits the finish line but slides back without stopping. What happens?</v>
      </c>
      <c r="H280" s="3" t="str">
        <f>IFERROR(__xludf.DUMMYFUNCTION("GOOGLETRANSLATE(C280, ""it"", ""en"")"),"A. The point is disallowed B. The point is awarded C. The shot is retaken D. The shot is disallowed")</f>
        <v>A. The point is disallowed B. The point is awarded C. The shot is retaken D. The shot is disallowed</v>
      </c>
      <c r="I280" s="3" t="str">
        <f>IFERROR(__xludf.DUMMYFUNCTION("GOOGLETRANSLATE(D280, ""it"", ""en"")"),"The point is cancelled")</f>
        <v>The point is cancelled</v>
      </c>
      <c r="J280" s="2"/>
      <c r="K280" s="2"/>
      <c r="L280" s="2"/>
      <c r="M280" s="2"/>
      <c r="N280" s="2"/>
      <c r="O280" s="2"/>
      <c r="P280" s="2"/>
      <c r="Q280" s="2"/>
      <c r="R280" s="2"/>
      <c r="S280" s="2"/>
      <c r="T280" s="2"/>
      <c r="U280" s="2"/>
      <c r="V280" s="2"/>
    </row>
    <row r="281" ht="22.5" customHeight="1">
      <c r="A281" s="3">
        <v>280.0</v>
      </c>
      <c r="B281" s="3" t="s">
        <v>1065</v>
      </c>
      <c r="C281" s="3" t="s">
        <v>1066</v>
      </c>
      <c r="D281" s="3" t="s">
        <v>511</v>
      </c>
      <c r="E281" s="2"/>
      <c r="F281" s="3" t="str">
        <f>IFERROR(__xludf.DUMMYFUNCTION("GOOGLETRANSLATE(A281, ""it"", ""en"")"),"280")</f>
        <v>280</v>
      </c>
      <c r="G281" s="3" t="str">
        <f>IFERROR(__xludf.DUMMYFUNCTION("GOOGLETRANSLATE(B281, ""it"", ""en"")"),"A player throws the cheese too hard and hits the judge. What happens?")</f>
        <v>A player throws the cheese too hard and hits the judge. What happens?</v>
      </c>
      <c r="H281" s="3" t="str">
        <f>IFERROR(__xludf.DUMMYFUNCTION("GOOGLETRANSLATE(C281, ""it"", ""en"")"),"A. The judge awards a penalty B. The point is cancelled C. The cheese is removed D. The shot is cancelled")</f>
        <v>A. The judge awards a penalty B. The point is cancelled C. The cheese is removed D. The shot is cancelled</v>
      </c>
      <c r="I281" s="3" t="str">
        <f>IFERROR(__xludf.DUMMYFUNCTION("GOOGLETRANSLATE(D281, ""it"", ""en"")"),"The judge awards a penalty")</f>
        <v>The judge awards a penalty</v>
      </c>
      <c r="J281" s="2"/>
      <c r="K281" s="2"/>
      <c r="L281" s="2"/>
      <c r="M281" s="2"/>
      <c r="N281" s="2"/>
      <c r="O281" s="2"/>
      <c r="P281" s="2"/>
      <c r="Q281" s="2"/>
      <c r="R281" s="2"/>
      <c r="S281" s="2"/>
      <c r="T281" s="2"/>
      <c r="U281" s="2"/>
      <c r="V281" s="2"/>
    </row>
    <row r="282" ht="22.5" customHeight="1">
      <c r="A282" s="3">
        <v>281.0</v>
      </c>
      <c r="B282" s="3" t="s">
        <v>1067</v>
      </c>
      <c r="C282" s="3" t="s">
        <v>1068</v>
      </c>
      <c r="D282" s="3" t="s">
        <v>976</v>
      </c>
      <c r="E282" s="2"/>
      <c r="F282" s="3" t="str">
        <f>IFERROR(__xludf.DUMMYFUNCTION("GOOGLETRANSLATE(A282, ""it"", ""en"")"),"281")</f>
        <v>281</v>
      </c>
      <c r="G282" s="3" t="str">
        <f>IFERROR(__xludf.DUMMYFUNCTION("GOOGLETRANSLATE(B282, ""it"", ""en"")"),"The cheese is thrown off the field but returns to play on its own. What happens?")</f>
        <v>The cheese is thrown off the field but returns to play on its own. What happens?</v>
      </c>
      <c r="H282" s="3" t="str">
        <f>IFERROR(__xludf.DUMMYFUNCTION("GOOGLETRANSLATE(C282, ""it"", ""en"")"),"A. The point is valid B. The point is cancelled C. The shot is retaken D. The judge awards a penalty")</f>
        <v>A. The point is valid B. The point is cancelled C. The shot is retaken D. The judge awards a penalty</v>
      </c>
      <c r="I282" s="3" t="str">
        <f>IFERROR(__xludf.DUMMYFUNCTION("GOOGLETRANSLATE(D282, ""it"", ""en"")"),"The point is valid")</f>
        <v>The point is valid</v>
      </c>
      <c r="J282" s="2"/>
      <c r="K282" s="2"/>
      <c r="L282" s="2"/>
      <c r="M282" s="2"/>
      <c r="N282" s="2"/>
      <c r="O282" s="2"/>
      <c r="P282" s="2"/>
      <c r="Q282" s="2"/>
      <c r="R282" s="2"/>
      <c r="S282" s="2"/>
      <c r="T282" s="2"/>
      <c r="U282" s="2"/>
      <c r="V282" s="2"/>
    </row>
    <row r="283" ht="22.5" customHeight="1">
      <c r="A283" s="3">
        <v>282.0</v>
      </c>
      <c r="B283" s="3" t="s">
        <v>1069</v>
      </c>
      <c r="C283" s="3" t="s">
        <v>1070</v>
      </c>
      <c r="D283" s="3" t="s">
        <v>494</v>
      </c>
      <c r="E283" s="2"/>
      <c r="F283" s="3" t="str">
        <f>IFERROR(__xludf.DUMMYFUNCTION("GOOGLETRANSLATE(A283, ""it"", ""en"")"),"282")</f>
        <v>282</v>
      </c>
      <c r="G283" s="3" t="str">
        <f>IFERROR(__xludf.DUMMYFUNCTION("GOOGLETRANSLATE(B283, ""it"", ""en"")"),"The thrown cheese hits another cheese but continues on its path. What happens?")</f>
        <v>The thrown cheese hits another cheese but continues on its path. What happens?</v>
      </c>
      <c r="H283" s="3" t="str">
        <f>IFERROR(__xludf.DUMMYFUNCTION("GOOGLETRANSLATE(C283, ""it"", ""en"")"),"A. The shot is valid B. The point is cancelled C. The touched cheese is moved D. The point is awarded")</f>
        <v>A. The shot is valid B. The point is cancelled C. The touched cheese is moved D. The point is awarded</v>
      </c>
      <c r="I283" s="3" t="str">
        <f>IFERROR(__xludf.DUMMYFUNCTION("GOOGLETRANSLATE(D283, ""it"", ""en"")"),"The shot is valid")</f>
        <v>The shot is valid</v>
      </c>
      <c r="J283" s="2"/>
      <c r="K283" s="2"/>
      <c r="L283" s="2"/>
      <c r="M283" s="2"/>
      <c r="N283" s="2"/>
      <c r="O283" s="2"/>
      <c r="P283" s="2"/>
      <c r="Q283" s="2"/>
      <c r="R283" s="2"/>
      <c r="S283" s="2"/>
      <c r="T283" s="2"/>
      <c r="U283" s="2"/>
      <c r="V283" s="2"/>
    </row>
    <row r="284" ht="22.5" customHeight="1">
      <c r="A284" s="3">
        <v>283.0</v>
      </c>
      <c r="B284" s="3" t="s">
        <v>1071</v>
      </c>
      <c r="C284" s="3" t="s">
        <v>1072</v>
      </c>
      <c r="D284" s="3" t="s">
        <v>956</v>
      </c>
      <c r="E284" s="2"/>
      <c r="F284" s="3" t="str">
        <f>IFERROR(__xludf.DUMMYFUNCTION("GOOGLETRANSLATE(A284, ""it"", ""en"")"),"283")</f>
        <v>283</v>
      </c>
      <c r="G284" s="3" t="str">
        <f>IFERROR(__xludf.DUMMYFUNCTION("GOOGLETRANSLATE(B284, ""it"", ""en"")"),"A player makes a mistake and throws the cheese in a direction opposite to the goal. What happens?")</f>
        <v>A player makes a mistake and throws the cheese in a direction opposite to the goal. What happens?</v>
      </c>
      <c r="H284" s="3" t="str">
        <f>IFERROR(__xludf.DUMMYFUNCTION("GOOGLETRANSLATE(C284, ""it"", ""en"")"),"A. The point is disallowed B. The shot is disallowed C. The player receives a penalty D. The shot is retaken")</f>
        <v>A. The point is disallowed B. The shot is disallowed C. The player receives a penalty D. The shot is retaken</v>
      </c>
      <c r="I284" s="3" t="str">
        <f>IFERROR(__xludf.DUMMYFUNCTION("GOOGLETRANSLATE(D284, ""it"", ""en"")"),"The point is cancelled")</f>
        <v>The point is cancelled</v>
      </c>
      <c r="J284" s="2"/>
      <c r="K284" s="2"/>
      <c r="L284" s="2"/>
      <c r="M284" s="2"/>
      <c r="N284" s="2"/>
      <c r="O284" s="2"/>
      <c r="P284" s="2"/>
      <c r="Q284" s="2"/>
      <c r="R284" s="2"/>
      <c r="S284" s="2"/>
      <c r="T284" s="2"/>
      <c r="U284" s="2"/>
      <c r="V284" s="2"/>
    </row>
    <row r="285" ht="22.5" customHeight="1">
      <c r="A285" s="3">
        <v>284.0</v>
      </c>
      <c r="B285" s="3" t="s">
        <v>688</v>
      </c>
      <c r="C285" s="3" t="s">
        <v>1073</v>
      </c>
      <c r="D285" s="3" t="s">
        <v>956</v>
      </c>
      <c r="E285" s="2"/>
      <c r="F285" s="3" t="str">
        <f>IFERROR(__xludf.DUMMYFUNCTION("GOOGLETRANSLATE(A285, ""it"", ""en"")"),"284")</f>
        <v>284</v>
      </c>
      <c r="G285" s="3" t="str">
        <f>IFERROR(__xludf.DUMMYFUNCTION("GOOGLETRANSLATE(B285, ""it"", ""en"")"),"The cheese crosses the finish line but doesn't stop. What happens?")</f>
        <v>The cheese crosses the finish line but doesn't stop. What happens?</v>
      </c>
      <c r="H285" s="3" t="str">
        <f>IFERROR(__xludf.DUMMYFUNCTION("GOOGLETRANSLATE(C285, ""it"", ""en"")"),"A. The point is cancelled B. The point is valid C. The shot is retaken D. The cheese is removed")</f>
        <v>A. The point is cancelled B. The point is valid C. The shot is retaken D. The cheese is removed</v>
      </c>
      <c r="I285" s="3" t="str">
        <f>IFERROR(__xludf.DUMMYFUNCTION("GOOGLETRANSLATE(D285, ""it"", ""en"")"),"The point is cancelled")</f>
        <v>The point is cancelled</v>
      </c>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0</v>
      </c>
      <c r="G1" s="1" t="s">
        <v>4</v>
      </c>
      <c r="H1" s="1" t="s">
        <v>5</v>
      </c>
      <c r="I1" s="1" t="s">
        <v>6</v>
      </c>
      <c r="J1" s="2"/>
      <c r="K1" s="2"/>
      <c r="L1" s="2"/>
      <c r="M1" s="2"/>
      <c r="N1" s="2"/>
      <c r="O1" s="2"/>
      <c r="P1" s="2"/>
      <c r="Q1" s="2"/>
      <c r="R1" s="2"/>
      <c r="S1" s="2"/>
      <c r="T1" s="2"/>
      <c r="U1" s="2"/>
      <c r="V1" s="2"/>
    </row>
    <row r="2" ht="22.5" customHeight="1">
      <c r="A2" s="3">
        <v>1.0</v>
      </c>
      <c r="B2" s="3" t="s">
        <v>1074</v>
      </c>
      <c r="C2" s="3" t="s">
        <v>1075</v>
      </c>
      <c r="D2" s="3" t="s">
        <v>1076</v>
      </c>
      <c r="E2" s="2"/>
      <c r="F2" s="3" t="str">
        <f>IFERROR(__xludf.DUMMYFUNCTION("GOOGLETRANSLATE(A2, ""it"", ""en"")"),"1")</f>
        <v>1</v>
      </c>
      <c r="G2" s="3" t="str">
        <f>IFERROR(__xludf.DUMMYFUNCTION("GOOGLETRANSLATE(B2, ""it"", ""en"")"),"The goalkeeper saves the ball but goes off the goal line. What's the decision?")</f>
        <v>The goalkeeper saves the ball but goes off the goal line. What's the decision?</v>
      </c>
      <c r="H2" s="3" t="str">
        <f>IFERROR(__xludf.DUMMYFUNCTION("GOOGLETRANSLATE(C2, ""it"", ""en"")"),"A. Free kick for the opposing team B. Valid goal C. Goal kick D. Resumption of play at neutral ground")</f>
        <v>A. Free kick for the opposing team B. Valid goal C. Goal kick D. Resumption of play at neutral ground</v>
      </c>
      <c r="I2" s="3" t="str">
        <f>IFERROR(__xludf.DUMMYFUNCTION("GOOGLETRANSLATE(D2, ""it"", ""en"")"),"Punishment for the opposing team")</f>
        <v>Punishment for the opposing team</v>
      </c>
      <c r="J2" s="2"/>
      <c r="K2" s="2"/>
      <c r="L2" s="2"/>
      <c r="M2" s="2"/>
      <c r="N2" s="2"/>
      <c r="O2" s="2"/>
      <c r="P2" s="2"/>
      <c r="Q2" s="2"/>
      <c r="R2" s="2"/>
      <c r="S2" s="2"/>
      <c r="T2" s="2"/>
      <c r="U2" s="2"/>
      <c r="V2" s="2"/>
    </row>
    <row r="3" ht="22.5" customHeight="1">
      <c r="A3" s="3">
        <v>2.0</v>
      </c>
      <c r="B3" s="3" t="s">
        <v>1077</v>
      </c>
      <c r="C3" s="3" t="s">
        <v>1078</v>
      </c>
      <c r="D3" s="3" t="s">
        <v>1079</v>
      </c>
      <c r="E3" s="2"/>
      <c r="F3" s="3" t="str">
        <f>IFERROR(__xludf.DUMMYFUNCTION("GOOGLETRANSLATE(A3, ""it"", ""en"")"),"2")</f>
        <v>2</v>
      </c>
      <c r="G3" s="3" t="str">
        <f>IFERROR(__xludf.DUMMYFUNCTION("GOOGLETRANSLATE(B3, ""it"", ""en"")"),"A player holds the ball underwater to protect himself from opponents. What happens?")</f>
        <v>A player holds the ball underwater to protect himself from opponents. What happens?</v>
      </c>
      <c r="H3" s="3" t="str">
        <f>IFERROR(__xludf.DUMMYFUNCTION("GOOGLETRANSLATE(C3, ""it"", ""en"")"),"A. Personal foul B. Goal for the opponent C. No penalty D. Resumption of play neutral")</f>
        <v>A. Personal foul B. Goal for the opponent C. No penalty D. Resumption of play neutral</v>
      </c>
      <c r="I3" s="3" t="str">
        <f>IFERROR(__xludf.DUMMYFUNCTION("GOOGLETRANSLATE(D3, ""it"", ""en"")"),"Personal foul")</f>
        <v>Personal foul</v>
      </c>
      <c r="J3" s="2"/>
      <c r="K3" s="2"/>
      <c r="L3" s="2"/>
      <c r="M3" s="2"/>
      <c r="N3" s="2"/>
      <c r="O3" s="2"/>
      <c r="P3" s="2"/>
      <c r="Q3" s="2"/>
      <c r="R3" s="2"/>
      <c r="S3" s="2"/>
      <c r="T3" s="2"/>
      <c r="U3" s="2"/>
      <c r="V3" s="2"/>
    </row>
    <row r="4" ht="22.5" customHeight="1">
      <c r="A4" s="3">
        <v>3.0</v>
      </c>
      <c r="B4" s="3" t="s">
        <v>1080</v>
      </c>
      <c r="C4" s="3" t="s">
        <v>1081</v>
      </c>
      <c r="D4" s="3" t="s">
        <v>1082</v>
      </c>
      <c r="E4" s="2"/>
      <c r="F4" s="3" t="str">
        <f>IFERROR(__xludf.DUMMYFUNCTION("GOOGLETRANSLATE(A4, ""it"", ""en"")"),"3")</f>
        <v>3</v>
      </c>
      <c r="G4" s="3" t="str">
        <f>IFERROR(__xludf.DUMMYFUNCTION("GOOGLETRANSLATE(B4, ""it"", ""en"")"),"A player enters the water before the substitute fully exits. What is the penalty?")</f>
        <v>A player enters the water before the substitute fully exits. What is the penalty?</v>
      </c>
      <c r="H4" s="3" t="str">
        <f>IFERROR(__xludf.DUMMYFUNCTION("GOOGLETRANSLATE(C4, ""it"", ""en"")"),"A. Neutral restart B. Penalty for the team C. Temporary expulsion for the player D. Goal for the opponent")</f>
        <v>A. Neutral restart B. Penalty for the team C. Temporary expulsion for the player D. Goal for the opponent</v>
      </c>
      <c r="I4" s="3" t="str">
        <f>IFERROR(__xludf.DUMMYFUNCTION("GOOGLETRANSLATE(D4, ""it"", ""en"")"),"Penalty for the team")</f>
        <v>Penalty for the team</v>
      </c>
      <c r="J4" s="2"/>
      <c r="K4" s="2"/>
      <c r="L4" s="2"/>
      <c r="M4" s="2"/>
      <c r="N4" s="2"/>
      <c r="O4" s="2"/>
      <c r="P4" s="2"/>
      <c r="Q4" s="2"/>
      <c r="R4" s="2"/>
      <c r="S4" s="2"/>
      <c r="T4" s="2"/>
      <c r="U4" s="2"/>
      <c r="V4" s="2"/>
    </row>
    <row r="5" ht="22.5" customHeight="1">
      <c r="A5" s="3">
        <v>4.0</v>
      </c>
      <c r="B5" s="3" t="s">
        <v>1083</v>
      </c>
      <c r="C5" s="3" t="s">
        <v>1084</v>
      </c>
      <c r="D5" s="3" t="s">
        <v>1085</v>
      </c>
      <c r="E5" s="2"/>
      <c r="F5" s="3" t="str">
        <f>IFERROR(__xludf.DUMMYFUNCTION("GOOGLETRANSLATE(A5, ""it"", ""en"")"),"4")</f>
        <v>4</v>
      </c>
      <c r="G5" s="3" t="str">
        <f>IFERROR(__xludf.DUMMYFUNCTION("GOOGLETRANSLATE(B5, ""it"", ""en"")"),"A shot is taken after the referee's whistle. What happens?")</f>
        <v>A shot is taken after the referee's whistle. What happens?</v>
      </c>
      <c r="H5" s="3" t="str">
        <f>IFERROR(__xludf.DUMMYFUNCTION("GOOGLETRANSLATE(C5, ""it"", ""en"")"),"A. The shot is valid B. Goal disallowed C. Free kick for the opponent D. Play continues")</f>
        <v>A. The shot is valid B. Goal disallowed C. Free kick for the opponent D. Play continues</v>
      </c>
      <c r="I5" s="3" t="str">
        <f>IFERROR(__xludf.DUMMYFUNCTION("GOOGLETRANSLATE(D5, ""it"", ""en"")"),"Goal disallowed")</f>
        <v>Goal disallowed</v>
      </c>
      <c r="J5" s="2"/>
      <c r="K5" s="2"/>
      <c r="L5" s="2"/>
      <c r="M5" s="2"/>
      <c r="N5" s="2"/>
      <c r="O5" s="2"/>
      <c r="P5" s="2"/>
      <c r="Q5" s="2"/>
      <c r="R5" s="2"/>
      <c r="S5" s="2"/>
      <c r="T5" s="2"/>
      <c r="U5" s="2"/>
      <c r="V5" s="2"/>
    </row>
    <row r="6" ht="22.5" customHeight="1">
      <c r="A6" s="3">
        <v>5.0</v>
      </c>
      <c r="B6" s="3" t="s">
        <v>1086</v>
      </c>
      <c r="C6" s="3" t="s">
        <v>1087</v>
      </c>
      <c r="D6" s="3" t="s">
        <v>1088</v>
      </c>
      <c r="E6" s="2"/>
      <c r="F6" s="3" t="str">
        <f>IFERROR(__xludf.DUMMYFUNCTION("GOOGLETRANSLATE(A6, ""it"", ""en"")"),"5")</f>
        <v>5</v>
      </c>
      <c r="G6" s="3" t="str">
        <f>IFERROR(__xludf.DUMMYFUNCTION("GOOGLETRANSLATE(B6, ""it"", ""en"")"),"A goalkeeper crosses the halfway line with the ball. What's the decision?")</f>
        <v>A goalkeeper crosses the halfway line with the ball. What's the decision?</v>
      </c>
      <c r="H6" s="3" t="str">
        <f>IFERROR(__xludf.DUMMYFUNCTION("GOOGLETRANSLATE(C6, ""it"", ""en"")"),"A. Technical foul B. Goal for the opponent C. No penalty D. Penalty for the opponent")</f>
        <v>A. Technical foul B. Goal for the opponent C. No penalty D. Penalty for the opponent</v>
      </c>
      <c r="I6" s="3" t="str">
        <f>IFERROR(__xludf.DUMMYFUNCTION("GOOGLETRANSLATE(D6, ""it"", ""en"")"),"No penalty")</f>
        <v>No penalty</v>
      </c>
      <c r="J6" s="2"/>
      <c r="K6" s="2"/>
      <c r="L6" s="2"/>
      <c r="M6" s="2"/>
      <c r="N6" s="2"/>
      <c r="O6" s="2"/>
      <c r="P6" s="2"/>
      <c r="Q6" s="2"/>
      <c r="R6" s="2"/>
      <c r="S6" s="2"/>
      <c r="T6" s="2"/>
      <c r="U6" s="2"/>
      <c r="V6" s="2"/>
    </row>
    <row r="7" ht="22.5" customHeight="1">
      <c r="A7" s="3">
        <v>6.0</v>
      </c>
      <c r="B7" s="3" t="s">
        <v>1089</v>
      </c>
      <c r="C7" s="3" t="s">
        <v>1090</v>
      </c>
      <c r="D7" s="3" t="s">
        <v>1091</v>
      </c>
      <c r="E7" s="2"/>
      <c r="F7" s="3" t="str">
        <f>IFERROR(__xludf.DUMMYFUNCTION("GOOGLETRANSLATE(A7, ""it"", ""en"")"),"6")</f>
        <v>6</v>
      </c>
      <c r="G7" s="3" t="str">
        <f>IFERROR(__xludf.DUMMYFUNCTION("GOOGLETRANSLATE(B7, ""it"", ""en"")"),"A player intentionally throws the ball out of bounds. What happens?")</f>
        <v>A player intentionally throws the ball out of bounds. What happens?</v>
      </c>
      <c r="H7" s="3" t="str">
        <f>IFERROR(__xludf.DUMMYFUNCTION("GOOGLETRANSLATE(C7, ""it"", ""en"")"),"A. Penalty for the opponent B. Neutral restart C. Goal for the opponent D. No penalty")</f>
        <v>A. Penalty for the opponent B. Neutral restart C. Goal for the opponent D. No penalty</v>
      </c>
      <c r="I7" s="3" t="str">
        <f>IFERROR(__xludf.DUMMYFUNCTION("GOOGLETRANSLATE(D7, ""it"", ""en"")"),"Punishment for the opponent")</f>
        <v>Punishment for the opponent</v>
      </c>
      <c r="J7" s="2"/>
      <c r="K7" s="2"/>
      <c r="L7" s="2"/>
      <c r="M7" s="2"/>
      <c r="N7" s="2"/>
      <c r="O7" s="2"/>
      <c r="P7" s="2"/>
      <c r="Q7" s="2"/>
      <c r="R7" s="2"/>
      <c r="S7" s="2"/>
      <c r="T7" s="2"/>
      <c r="U7" s="2"/>
      <c r="V7" s="2"/>
    </row>
    <row r="8" ht="22.5" customHeight="1">
      <c r="A8" s="3">
        <v>7.0</v>
      </c>
      <c r="B8" s="3" t="s">
        <v>1092</v>
      </c>
      <c r="C8" s="3" t="s">
        <v>1093</v>
      </c>
      <c r="D8" s="3" t="s">
        <v>1094</v>
      </c>
      <c r="E8" s="2"/>
      <c r="F8" s="3" t="str">
        <f>IFERROR(__xludf.DUMMYFUNCTION("GOOGLETRANSLATE(A8, ""it"", ""en"")"),"7")</f>
        <v>7</v>
      </c>
      <c r="G8" s="3" t="str">
        <f>IFERROR(__xludf.DUMMYFUNCTION("GOOGLETRANSLATE(B8, ""it"", ""en"")"),"A player receives a temporary red card. When can he return?")</f>
        <v>A player receives a temporary red card. When can he return?</v>
      </c>
      <c r="H8" s="3" t="str">
        <f>IFERROR(__xludf.DUMMYFUNCTION("GOOGLETRANSLATE(C8, ""it"", ""en"")"),"A. After one minute or after a goal B. After 30 seconds C. After 2 minutes D. After the end of the half")</f>
        <v>A. After one minute or after a goal B. After 30 seconds C. After 2 minutes D. After the end of the half</v>
      </c>
      <c r="I8" s="3" t="str">
        <f>IFERROR(__xludf.DUMMYFUNCTION("GOOGLETRANSLATE(D8, ""it"", ""en"")"),"After a minute or after a goal")</f>
        <v>After a minute or after a goal</v>
      </c>
      <c r="J8" s="2"/>
      <c r="K8" s="2"/>
      <c r="L8" s="2"/>
      <c r="M8" s="2"/>
      <c r="N8" s="2"/>
      <c r="O8" s="2"/>
      <c r="P8" s="2"/>
      <c r="Q8" s="2"/>
      <c r="R8" s="2"/>
      <c r="S8" s="2"/>
      <c r="T8" s="2"/>
      <c r="U8" s="2"/>
      <c r="V8" s="2"/>
    </row>
    <row r="9" ht="22.5" customHeight="1">
      <c r="A9" s="3">
        <v>8.0</v>
      </c>
      <c r="B9" s="3" t="s">
        <v>1095</v>
      </c>
      <c r="C9" s="3" t="s">
        <v>1096</v>
      </c>
      <c r="D9" s="3" t="s">
        <v>1079</v>
      </c>
      <c r="E9" s="2"/>
      <c r="F9" s="3" t="str">
        <f>IFERROR(__xludf.DUMMYFUNCTION("GOOGLETRANSLATE(A9, ""it"", ""en"")"),"8")</f>
        <v>8</v>
      </c>
      <c r="G9" s="3" t="str">
        <f>IFERROR(__xludf.DUMMYFUNCTION("GOOGLETRANSLATE(B9, ""it"", ""en"")"),"A player blocks the ball with his foot. What's the decision?")</f>
        <v>A player blocks the ball with his foot. What's the decision?</v>
      </c>
      <c r="H9" s="3" t="str">
        <f>IFERROR(__xludf.DUMMYFUNCTION("GOOGLETRANSLATE(C9, ""it"", ""en"")"),"A. Neutral restart B. Personal foul C. Only allowed to the goalkeeper D. No penalty")</f>
        <v>A. Neutral restart B. Personal foul C. Only allowed to the goalkeeper D. No penalty</v>
      </c>
      <c r="I9" s="3" t="str">
        <f>IFERROR(__xludf.DUMMYFUNCTION("GOOGLETRANSLATE(D9, ""it"", ""en"")"),"Personal foul")</f>
        <v>Personal foul</v>
      </c>
      <c r="J9" s="2"/>
      <c r="K9" s="2"/>
      <c r="L9" s="2"/>
      <c r="M9" s="2"/>
      <c r="N9" s="2"/>
      <c r="O9" s="2"/>
      <c r="P9" s="2"/>
      <c r="Q9" s="2"/>
      <c r="R9" s="2"/>
      <c r="S9" s="2"/>
      <c r="T9" s="2"/>
      <c r="U9" s="2"/>
      <c r="V9" s="2"/>
    </row>
    <row r="10" ht="22.5" customHeight="1">
      <c r="A10" s="3">
        <v>9.0</v>
      </c>
      <c r="B10" s="3" t="s">
        <v>1097</v>
      </c>
      <c r="C10" s="3" t="s">
        <v>1098</v>
      </c>
      <c r="D10" s="3" t="s">
        <v>1099</v>
      </c>
      <c r="E10" s="2"/>
      <c r="F10" s="3" t="str">
        <f>IFERROR(__xludf.DUMMYFUNCTION("GOOGLETRANSLATE(A10, ""it"", ""en"")"),"9")</f>
        <v>9</v>
      </c>
      <c r="G10" s="3" t="str">
        <f>IFERROR(__xludf.DUMMYFUNCTION("GOOGLETRANSLATE(B10, ""it"", ""en"")"),"The goalkeeper moves outside the goal area and commits a foul. What is the penalty?")</f>
        <v>The goalkeeper moves outside the goal area and commits a foul. What is the penalty?</v>
      </c>
      <c r="H10" s="3" t="str">
        <f>IFERROR(__xludf.DUMMYFUNCTION("GOOGLETRANSLATE(C10, ""it"", ""en"")"),"A. Permanent expulsion B. No penalty C. Penalty for the opponent D. Free kick for the opponent")</f>
        <v>A. Permanent expulsion B. No penalty C. Penalty for the opponent D. Free kick for the opponent</v>
      </c>
      <c r="I10" s="3" t="str">
        <f>IFERROR(__xludf.DUMMYFUNCTION("GOOGLETRANSLATE(D10, ""it"", ""en"")"),"Penalty for the opponent")</f>
        <v>Penalty for the opponent</v>
      </c>
      <c r="J10" s="2"/>
      <c r="K10" s="2"/>
      <c r="L10" s="2"/>
      <c r="M10" s="2"/>
      <c r="N10" s="2"/>
      <c r="O10" s="2"/>
      <c r="P10" s="2"/>
      <c r="Q10" s="2"/>
      <c r="R10" s="2"/>
      <c r="S10" s="2"/>
      <c r="T10" s="2"/>
      <c r="U10" s="2"/>
      <c r="V10" s="2"/>
    </row>
    <row r="11" ht="22.5" customHeight="1">
      <c r="A11" s="3">
        <v>10.0</v>
      </c>
      <c r="B11" s="3" t="s">
        <v>1100</v>
      </c>
      <c r="C11" s="3" t="s">
        <v>1101</v>
      </c>
      <c r="D11" s="3" t="s">
        <v>1102</v>
      </c>
      <c r="E11" s="2"/>
      <c r="F11" s="3" t="str">
        <f>IFERROR(__xludf.DUMMYFUNCTION("GOOGLETRANSLATE(A11, ""it"", ""en"")"),"10")</f>
        <v>10</v>
      </c>
      <c r="G11" s="3" t="str">
        <f>IFERROR(__xludf.DUMMYFUNCTION("GOOGLETRANSLATE(B11, ""it"", ""en"")"),"A player is fouled while in a shooting position. What is the ruling?")</f>
        <v>A player is fouled while in a shooting position. What is the ruling?</v>
      </c>
      <c r="H11" s="3" t="str">
        <f>IFERROR(__xludf.DUMMYFUNCTION("GOOGLETRANSLATE(C11, ""it"", ""en"")"),"A. Penalty B. Neutral restart C. Free kick for the attacker D. No penalty")</f>
        <v>A. Penalty B. Neutral restart C. Free kick for the attacker D. No penalty</v>
      </c>
      <c r="I11" s="3" t="str">
        <f>IFERROR(__xludf.DUMMYFUNCTION("GOOGLETRANSLATE(D11, ""it"", ""en"")"),"Rigour")</f>
        <v>Rigour</v>
      </c>
      <c r="J11" s="2"/>
      <c r="K11" s="2"/>
      <c r="L11" s="2"/>
      <c r="M11" s="2"/>
      <c r="N11" s="2"/>
      <c r="O11" s="2"/>
      <c r="P11" s="2"/>
      <c r="Q11" s="2"/>
      <c r="R11" s="2"/>
      <c r="S11" s="2"/>
      <c r="T11" s="2"/>
      <c r="U11" s="2"/>
      <c r="V11" s="2"/>
    </row>
    <row r="12" ht="22.5" customHeight="1">
      <c r="A12" s="3">
        <v>11.0</v>
      </c>
      <c r="B12" s="3" t="s">
        <v>1103</v>
      </c>
      <c r="C12" s="3" t="s">
        <v>1104</v>
      </c>
      <c r="D12" s="3" t="s">
        <v>1091</v>
      </c>
      <c r="E12" s="2"/>
      <c r="F12" s="3" t="str">
        <f>IFERROR(__xludf.DUMMYFUNCTION("GOOGLETRANSLATE(A12, ""it"", ""en"")"),"11")</f>
        <v>11</v>
      </c>
      <c r="G12" s="3" t="str">
        <f>IFERROR(__xludf.DUMMYFUNCTION("GOOGLETRANSLATE(B12, ""it"", ""en"")"),"A player tries to pass the ball but is under pressure. He holds it too long. What happens?")</f>
        <v>A player tries to pass the ball but is under pressure. He holds it too long. What happens?</v>
      </c>
      <c r="H12" s="3" t="str">
        <f>IFERROR(__xludf.DUMMYFUNCTION("GOOGLETRANSLATE(C12, ""it"", ""en"")"),"A. Penalty for the opponent B. No penalty C. Temporary expulsion D. Neutral restart")</f>
        <v>A. Penalty for the opponent B. No penalty C. Temporary expulsion D. Neutral restart</v>
      </c>
      <c r="I12" s="3" t="str">
        <f>IFERROR(__xludf.DUMMYFUNCTION("GOOGLETRANSLATE(D12, ""it"", ""en"")"),"Punishment for the opponent")</f>
        <v>Punishment for the opponent</v>
      </c>
      <c r="J12" s="2"/>
      <c r="K12" s="2"/>
      <c r="L12" s="2"/>
      <c r="M12" s="2"/>
      <c r="N12" s="2"/>
      <c r="O12" s="2"/>
      <c r="P12" s="2"/>
      <c r="Q12" s="2"/>
      <c r="R12" s="2"/>
      <c r="S12" s="2"/>
      <c r="T12" s="2"/>
      <c r="U12" s="2"/>
      <c r="V12" s="2"/>
    </row>
    <row r="13" ht="22.5" customHeight="1">
      <c r="A13" s="3">
        <v>12.0</v>
      </c>
      <c r="B13" s="3" t="s">
        <v>1105</v>
      </c>
      <c r="C13" s="3" t="s">
        <v>1106</v>
      </c>
      <c r="D13" s="3" t="s">
        <v>1107</v>
      </c>
      <c r="E13" s="2"/>
      <c r="F13" s="3" t="str">
        <f>IFERROR(__xludf.DUMMYFUNCTION("GOOGLETRANSLATE(A13, ""it"", ""en"")"),"12")</f>
        <v>12</v>
      </c>
      <c r="G13" s="3" t="str">
        <f>IFERROR(__xludf.DUMMYFUNCTION("GOOGLETRANSLATE(B13, ""it"", ""en"")"),"A player leaves the field without permission. What are the consequences?")</f>
        <v>A player leaves the field without permission. What are the consequences?</v>
      </c>
      <c r="H13" s="3" t="str">
        <f>IFERROR(__xludf.DUMMYFUNCTION("GOOGLETRANSLATE(C13, ""it"", ""en"")"),"A. Temporary expulsion B. Permanent expulsion C. Penalty for the opponent D. No penalty")</f>
        <v>A. Temporary expulsion B. Permanent expulsion C. Penalty for the opponent D. No penalty</v>
      </c>
      <c r="I13" s="3" t="str">
        <f>IFERROR(__xludf.DUMMYFUNCTION("GOOGLETRANSLATE(D13, ""it"", ""en"")"),"Temporary expulsion")</f>
        <v>Temporary expulsion</v>
      </c>
      <c r="J13" s="2"/>
      <c r="K13" s="2"/>
      <c r="L13" s="2"/>
      <c r="M13" s="2"/>
      <c r="N13" s="2"/>
      <c r="O13" s="2"/>
      <c r="P13" s="2"/>
      <c r="Q13" s="2"/>
      <c r="R13" s="2"/>
      <c r="S13" s="2"/>
      <c r="T13" s="2"/>
      <c r="U13" s="2"/>
      <c r="V13" s="2"/>
    </row>
    <row r="14" ht="22.5" customHeight="1">
      <c r="A14" s="3">
        <v>13.0</v>
      </c>
      <c r="B14" s="3" t="s">
        <v>1108</v>
      </c>
      <c r="C14" s="3" t="s">
        <v>1109</v>
      </c>
      <c r="D14" s="3" t="s">
        <v>1110</v>
      </c>
      <c r="E14" s="2"/>
      <c r="F14" s="3" t="str">
        <f>IFERROR(__xludf.DUMMYFUNCTION("GOOGLETRANSLATE(A14, ""it"", ""en"")"),"13")</f>
        <v>13</v>
      </c>
      <c r="G14" s="3" t="str">
        <f>IFERROR(__xludf.DUMMYFUNCTION("GOOGLETRANSLATE(B14, ""it"", ""en"")"),"A play is stopped by the referee due to an injury. How does the game restart?")</f>
        <v>A play is stopped by the referee due to an injury. How does the game restart?</v>
      </c>
      <c r="H14" s="3" t="str">
        <f>IFERROR(__xludf.DUMMYFUNCTION("GOOGLETRANSLATE(C14, ""it"", ""en"")"),"A. Neutral throw-in B. Restart with possession by the attacker C. Free kick for the opponent D. Goal throw-in")</f>
        <v>A. Neutral throw-in B. Restart with possession by the attacker C. Free kick for the opponent D. Goal throw-in</v>
      </c>
      <c r="I14" s="3" t="str">
        <f>IFERROR(__xludf.DUMMYFUNCTION("GOOGLETRANSLATE(D14, ""it"", ""en"")"),"Neutral throw-in")</f>
        <v>Neutral throw-in</v>
      </c>
      <c r="J14" s="2"/>
      <c r="K14" s="2"/>
      <c r="L14" s="2"/>
      <c r="M14" s="2"/>
      <c r="N14" s="2"/>
      <c r="O14" s="2"/>
      <c r="P14" s="2"/>
      <c r="Q14" s="2"/>
      <c r="R14" s="2"/>
      <c r="S14" s="2"/>
      <c r="T14" s="2"/>
      <c r="U14" s="2"/>
      <c r="V14" s="2"/>
    </row>
    <row r="15" ht="22.5" customHeight="1">
      <c r="A15" s="3">
        <v>14.0</v>
      </c>
      <c r="B15" s="3" t="s">
        <v>1111</v>
      </c>
      <c r="C15" s="3" t="s">
        <v>1112</v>
      </c>
      <c r="D15" s="3" t="s">
        <v>1091</v>
      </c>
      <c r="E15" s="2"/>
      <c r="F15" s="3" t="str">
        <f>IFERROR(__xludf.DUMMYFUNCTION("GOOGLETRANSLATE(A15, ""it"", ""en"")"),"14")</f>
        <v>14</v>
      </c>
      <c r="G15" s="3" t="str">
        <f>IFERROR(__xludf.DUMMYFUNCTION("GOOGLETRANSLATE(B15, ""it"", ""en"")"),"A player clings to the opponent's goal during a play. What is the penalty?")</f>
        <v>A player clings to the opponent's goal during a play. What is the penalty?</v>
      </c>
      <c r="H15" s="3" t="str">
        <f>IFERROR(__xludf.DUMMYFUNCTION("GOOGLETRANSLATE(C15, ""it"", ""en"")"),"A. Temporary expulsion B. Technical foul C. No penalty D. Penalty for the opponent")</f>
        <v>A. Temporary expulsion B. Technical foul C. No penalty D. Penalty for the opponent</v>
      </c>
      <c r="I15" s="3" t="str">
        <f>IFERROR(__xludf.DUMMYFUNCTION("GOOGLETRANSLATE(D15, ""it"", ""en"")"),"Punishment for the opponent")</f>
        <v>Punishment for the opponent</v>
      </c>
      <c r="J15" s="2"/>
      <c r="K15" s="2"/>
      <c r="L15" s="2"/>
      <c r="M15" s="2"/>
      <c r="N15" s="2"/>
      <c r="O15" s="2"/>
      <c r="P15" s="2"/>
      <c r="Q15" s="2"/>
      <c r="R15" s="2"/>
      <c r="S15" s="2"/>
      <c r="T15" s="2"/>
      <c r="U15" s="2"/>
      <c r="V15" s="2"/>
    </row>
    <row r="16" ht="22.5" customHeight="1">
      <c r="A16" s="3">
        <v>15.0</v>
      </c>
      <c r="B16" s="3" t="s">
        <v>1113</v>
      </c>
      <c r="C16" s="3" t="s">
        <v>1114</v>
      </c>
      <c r="D16" s="3" t="s">
        <v>1115</v>
      </c>
      <c r="E16" s="2"/>
      <c r="F16" s="3" t="str">
        <f>IFERROR(__xludf.DUMMYFUNCTION("GOOGLETRANSLATE(A16, ""it"", ""en"")"),"15")</f>
        <v>15</v>
      </c>
      <c r="G16" s="3" t="str">
        <f>IFERROR(__xludf.DUMMYFUNCTION("GOOGLETRANSLATE(B16, ""it"", ""en"")"),"A player is intentionally hit by an opponent while swimming. What is the decision?")</f>
        <v>A player is intentionally hit by an opponent while swimming. What is the decision?</v>
      </c>
      <c r="H16" s="3" t="str">
        <f>IFERROR(__xludf.DUMMYFUNCTION("GOOGLETRANSLATE(C16, ""it"", ""en"")"),"A. Penalty B. Temporary expulsion C. Permanent expulsion D. Neutral restart")</f>
        <v>A. Penalty B. Temporary expulsion C. Permanent expulsion D. Neutral restart</v>
      </c>
      <c r="I16" s="3" t="str">
        <f>IFERROR(__xludf.DUMMYFUNCTION("GOOGLETRANSLATE(D16, ""it"", ""en"")"),"Permanent expulsion")</f>
        <v>Permanent expulsion</v>
      </c>
      <c r="J16" s="2"/>
      <c r="K16" s="2"/>
      <c r="L16" s="2"/>
      <c r="M16" s="2"/>
      <c r="N16" s="2"/>
      <c r="O16" s="2"/>
      <c r="P16" s="2"/>
      <c r="Q16" s="2"/>
      <c r="R16" s="2"/>
      <c r="S16" s="2"/>
      <c r="T16" s="2"/>
      <c r="U16" s="2"/>
      <c r="V16" s="2"/>
    </row>
    <row r="17" ht="22.5" customHeight="1">
      <c r="A17" s="3">
        <v>16.0</v>
      </c>
      <c r="B17" s="3" t="s">
        <v>1116</v>
      </c>
      <c r="C17" s="3" t="s">
        <v>1117</v>
      </c>
      <c r="D17" s="3" t="s">
        <v>1115</v>
      </c>
      <c r="E17" s="2"/>
      <c r="F17" s="3" t="str">
        <f>IFERROR(__xludf.DUMMYFUNCTION("GOOGLETRANSLATE(A17, ""it"", ""en"")"),"16")</f>
        <v>16</v>
      </c>
      <c r="G17" s="3" t="str">
        <f>IFERROR(__xludf.DUMMYFUNCTION("GOOGLETRANSLATE(B17, ""it"", ""en"")"),"A player fouls for the third time. What is the consequence?")</f>
        <v>A player fouls for the third time. What is the consequence?</v>
      </c>
      <c r="H17" s="3" t="str">
        <f>IFERROR(__xludf.DUMMYFUNCTION("GOOGLETRANSLATE(C17, ""it"", ""en"")"),"A. Permanent expulsion B. Temporary expulsion C. Penalty for the opponent D. No penalty")</f>
        <v>A. Permanent expulsion B. Temporary expulsion C. Penalty for the opponent D. No penalty</v>
      </c>
      <c r="I17" s="3" t="str">
        <f>IFERROR(__xludf.DUMMYFUNCTION("GOOGLETRANSLATE(D17, ""it"", ""en"")"),"Permanent expulsion")</f>
        <v>Permanent expulsion</v>
      </c>
      <c r="J17" s="2"/>
      <c r="K17" s="2"/>
      <c r="L17" s="2"/>
      <c r="M17" s="2"/>
      <c r="N17" s="2"/>
      <c r="O17" s="2"/>
      <c r="P17" s="2"/>
      <c r="Q17" s="2"/>
      <c r="R17" s="2"/>
      <c r="S17" s="2"/>
      <c r="T17" s="2"/>
      <c r="U17" s="2"/>
      <c r="V17" s="2"/>
    </row>
    <row r="18" ht="22.5" customHeight="1">
      <c r="A18" s="3">
        <v>17.0</v>
      </c>
      <c r="B18" s="3" t="s">
        <v>1118</v>
      </c>
      <c r="C18" s="3" t="s">
        <v>1119</v>
      </c>
      <c r="D18" s="3" t="s">
        <v>1120</v>
      </c>
      <c r="E18" s="2"/>
      <c r="F18" s="3" t="str">
        <f>IFERROR(__xludf.DUMMYFUNCTION("GOOGLETRANSLATE(A18, ""it"", ""en"")"),"17")</f>
        <v>17</v>
      </c>
      <c r="G18" s="3" t="str">
        <f>IFERROR(__xludf.DUMMYFUNCTION("GOOGLETRANSLATE(B18, ""it"", ""en"")"),"A referee awards a penalty, but the goalkeeper protests vigorously. What happens?")</f>
        <v>A referee awards a penalty, but the goalkeeper protests vigorously. What happens?</v>
      </c>
      <c r="H18" s="3" t="str">
        <f>IFERROR(__xludf.DUMMYFUNCTION("GOOGLETRANSLATE(C18, ""it"", ""en"")"),"A. Penalty confirmed B. Temporary expulsion of the goalkeeper C. Automatic goal for the opponent D. Free kick for the goalkeeper")</f>
        <v>A. Penalty confirmed B. Temporary expulsion of the goalkeeper C. Automatic goal for the opponent D. Free kick for the goalkeeper</v>
      </c>
      <c r="I18" s="3" t="str">
        <f>IFERROR(__xludf.DUMMYFUNCTION("GOOGLETRANSLATE(D18, ""it"", ""en"")"),"Temporary expulsion of the goalkeeper")</f>
        <v>Temporary expulsion of the goalkeeper</v>
      </c>
      <c r="J18" s="2"/>
      <c r="K18" s="2"/>
      <c r="L18" s="2"/>
      <c r="M18" s="2"/>
      <c r="N18" s="2"/>
      <c r="O18" s="2"/>
      <c r="P18" s="2"/>
      <c r="Q18" s="2"/>
      <c r="R18" s="2"/>
      <c r="S18" s="2"/>
      <c r="T18" s="2"/>
      <c r="U18" s="2"/>
      <c r="V18" s="2"/>
    </row>
    <row r="19" ht="22.5" customHeight="1">
      <c r="A19" s="3">
        <v>18.0</v>
      </c>
      <c r="B19" s="3" t="s">
        <v>1121</v>
      </c>
      <c r="C19" s="3" t="s">
        <v>1122</v>
      </c>
      <c r="D19" s="3" t="s">
        <v>1123</v>
      </c>
      <c r="E19" s="2"/>
      <c r="F19" s="3" t="str">
        <f>IFERROR(__xludf.DUMMYFUNCTION("GOOGLETRANSLATE(A19, ""it"", ""en"")"),"18")</f>
        <v>18</v>
      </c>
      <c r="G19" s="3" t="str">
        <f>IFERROR(__xludf.DUMMYFUNCTION("GOOGLETRANSLATE(B19, ""it"", ""en"")"),"A player fakes a foul to earn a penalty. What is the referee's decision?")</f>
        <v>A player fakes a foul to earn a penalty. What is the referee's decision?</v>
      </c>
      <c r="H19" s="3" t="str">
        <f>IFERROR(__xludf.DUMMYFUNCTION("GOOGLETRANSLATE(C19, ""it"", ""en"")"),"A. Technical foul against him B. No penalty C. Neutral restart D. Penalty for the opponent")</f>
        <v>A. Technical foul against him B. No penalty C. Neutral restart D. Penalty for the opponent</v>
      </c>
      <c r="I19" s="3" t="str">
        <f>IFERROR(__xludf.DUMMYFUNCTION("GOOGLETRANSLATE(D19, ""it"", ""en"")"),"Technical foul against him")</f>
        <v>Technical foul against him</v>
      </c>
      <c r="J19" s="2"/>
      <c r="K19" s="2"/>
      <c r="L19" s="2"/>
      <c r="M19" s="2"/>
      <c r="N19" s="2"/>
      <c r="O19" s="2"/>
      <c r="P19" s="2"/>
      <c r="Q19" s="2"/>
      <c r="R19" s="2"/>
      <c r="S19" s="2"/>
      <c r="T19" s="2"/>
      <c r="U19" s="2"/>
      <c r="V19" s="2"/>
    </row>
    <row r="20" ht="22.5" customHeight="1">
      <c r="A20" s="3">
        <v>19.0</v>
      </c>
      <c r="B20" s="3" t="s">
        <v>1124</v>
      </c>
      <c r="C20" s="3" t="s">
        <v>1125</v>
      </c>
      <c r="D20" s="3" t="s">
        <v>1110</v>
      </c>
      <c r="E20" s="2"/>
      <c r="F20" s="3" t="str">
        <f>IFERROR(__xludf.DUMMYFUNCTION("GOOGLETRANSLATE(A20, ""it"", ""en"")"),"19")</f>
        <v>19</v>
      </c>
      <c r="G20" s="3" t="str">
        <f>IFERROR(__xludf.DUMMYFUNCTION("GOOGLETRANSLATE(B20, ""it"", ""en"")"),"The ball gets stuck between the hands of two players. What happens?")</f>
        <v>The ball gets stuck between the hands of two players. What happens?</v>
      </c>
      <c r="H20" s="3" t="str">
        <f>IFERROR(__xludf.DUMMYFUNCTION("GOOGLETRANSLATE(C20, ""it"", ""en"")"),"A. Neutral throw-in B. Possession by the attacker C. Free kick for the defender D. Restart by the goalkeeper")</f>
        <v>A. Neutral throw-in B. Possession by the attacker C. Free kick for the defender D. Restart by the goalkeeper</v>
      </c>
      <c r="I20" s="3" t="str">
        <f>IFERROR(__xludf.DUMMYFUNCTION("GOOGLETRANSLATE(D20, ""it"", ""en"")"),"Neutral throw-in")</f>
        <v>Neutral throw-in</v>
      </c>
      <c r="J20" s="2"/>
      <c r="K20" s="2"/>
      <c r="L20" s="2"/>
      <c r="M20" s="2"/>
      <c r="N20" s="2"/>
      <c r="O20" s="2"/>
      <c r="P20" s="2"/>
      <c r="Q20" s="2"/>
      <c r="R20" s="2"/>
      <c r="S20" s="2"/>
      <c r="T20" s="2"/>
      <c r="U20" s="2"/>
      <c r="V20" s="2"/>
    </row>
    <row r="21" ht="22.5" customHeight="1">
      <c r="A21" s="3">
        <v>20.0</v>
      </c>
      <c r="B21" s="3" t="s">
        <v>1126</v>
      </c>
      <c r="C21" s="3" t="s">
        <v>1127</v>
      </c>
      <c r="D21" s="3" t="s">
        <v>1128</v>
      </c>
      <c r="E21" s="2"/>
      <c r="F21" s="3" t="str">
        <f>IFERROR(__xludf.DUMMYFUNCTION("GOOGLETRANSLATE(A21, ""it"", ""en"")"),"20")</f>
        <v>20</v>
      </c>
      <c r="G21" s="3" t="str">
        <f>IFERROR(__xludf.DUMMYFUNCTION("GOOGLETRANSLATE(B21, ""it"", ""en"")"),"A referee blows his whistle during a play in progress. What should the team in possession do?")</f>
        <v>A referee blows his whistle during a play in progress. What should the team in possession do?</v>
      </c>
      <c r="H21" s="3" t="str">
        <f>IFERROR(__xludf.DUMMYFUNCTION("GOOGLETRANSLATE(C21, ""it"", ""en"")"),"A. Stop the game immediately B. Continue if the referee does not penalize C. Stop only if the opponent protests D. No penalty")</f>
        <v>A. Stop the game immediately B. Continue if the referee does not penalize C. Stop only if the opponent protests D. No penalty</v>
      </c>
      <c r="I21" s="3" t="str">
        <f>IFERROR(__xludf.DUMMYFUNCTION("GOOGLETRANSLATE(D21, ""it"", ""en"")"),"Stop the game immediately")</f>
        <v>Stop the game immediately</v>
      </c>
      <c r="J21" s="2"/>
      <c r="K21" s="2"/>
      <c r="L21" s="2"/>
      <c r="M21" s="2"/>
      <c r="N21" s="2"/>
      <c r="O21" s="2"/>
      <c r="P21" s="2"/>
      <c r="Q21" s="2"/>
      <c r="R21" s="2"/>
      <c r="S21" s="2"/>
      <c r="T21" s="2"/>
      <c r="U21" s="2"/>
      <c r="V21" s="2"/>
    </row>
    <row r="22" ht="22.5" customHeight="1">
      <c r="A22" s="3">
        <v>21.0</v>
      </c>
      <c r="B22" s="3" t="s">
        <v>1129</v>
      </c>
      <c r="C22" s="3" t="s">
        <v>1130</v>
      </c>
      <c r="D22" s="3" t="s">
        <v>1115</v>
      </c>
      <c r="E22" s="2"/>
      <c r="F22" s="3" t="str">
        <f>IFERROR(__xludf.DUMMYFUNCTION("GOOGLETRANSLATE(A22, ""it"", ""en"")"),"21")</f>
        <v>21</v>
      </c>
      <c r="G22" s="3" t="str">
        <f>IFERROR(__xludf.DUMMYFUNCTION("GOOGLETRANSLATE(B22, ""it"", ""en"")"),"A player violently throws the ball toward the referee in protest. What is the penalty?")</f>
        <v>A player violently throws the ball toward the referee in protest. What is the penalty?</v>
      </c>
      <c r="H22" s="3" t="str">
        <f>IFERROR(__xludf.DUMMYFUNCTION("GOOGLETRANSLATE(C22, ""it"", ""en"")"),"A. Permanent expulsion B. Temporary expulsion C. Technical foul D. Penalty for the opponent")</f>
        <v>A. Permanent expulsion B. Temporary expulsion C. Technical foul D. Penalty for the opponent</v>
      </c>
      <c r="I22" s="3" t="str">
        <f>IFERROR(__xludf.DUMMYFUNCTION("GOOGLETRANSLATE(D22, ""it"", ""en"")"),"Permanent expulsion")</f>
        <v>Permanent expulsion</v>
      </c>
      <c r="J22" s="2"/>
      <c r="K22" s="2"/>
      <c r="L22" s="2"/>
      <c r="M22" s="2"/>
      <c r="N22" s="2"/>
      <c r="O22" s="2"/>
      <c r="P22" s="2"/>
      <c r="Q22" s="2"/>
      <c r="R22" s="2"/>
      <c r="S22" s="2"/>
      <c r="T22" s="2"/>
      <c r="U22" s="2"/>
      <c r="V22" s="2"/>
    </row>
    <row r="23" ht="22.5" customHeight="1">
      <c r="A23" s="3">
        <v>22.0</v>
      </c>
      <c r="B23" s="3" t="s">
        <v>1131</v>
      </c>
      <c r="C23" s="3" t="s">
        <v>1132</v>
      </c>
      <c r="D23" s="3" t="s">
        <v>1107</v>
      </c>
      <c r="E23" s="2"/>
      <c r="F23" s="3" t="str">
        <f>IFERROR(__xludf.DUMMYFUNCTION("GOOGLETRANSLATE(A23, ""it"", ""en"")"),"22")</f>
        <v>22</v>
      </c>
      <c r="G23" s="3" t="str">
        <f>IFERROR(__xludf.DUMMYFUNCTION("GOOGLETRANSLATE(B23, ""it"", ""en"")"),"A player holds an opponent without the ball. What is the penalty?")</f>
        <v>A player holds an opponent without the ball. What is the penalty?</v>
      </c>
      <c r="H23" s="3" t="str">
        <f>IFERROR(__xludf.DUMMYFUNCTION("GOOGLETRANSLATE(C23, ""it"", ""en"")"),"A. Penalty for the opponent B. Temporary expulsion C. No penalty D. Penalty for the opponent")</f>
        <v>A. Penalty for the opponent B. Temporary expulsion C. No penalty D. Penalty for the opponent</v>
      </c>
      <c r="I23" s="3" t="str">
        <f>IFERROR(__xludf.DUMMYFUNCTION("GOOGLETRANSLATE(D23, ""it"", ""en"")"),"Temporary expulsion")</f>
        <v>Temporary expulsion</v>
      </c>
      <c r="J23" s="2"/>
      <c r="K23" s="2"/>
      <c r="L23" s="2"/>
      <c r="M23" s="2"/>
      <c r="N23" s="2"/>
      <c r="O23" s="2"/>
      <c r="P23" s="2"/>
      <c r="Q23" s="2"/>
      <c r="R23" s="2"/>
      <c r="S23" s="2"/>
      <c r="T23" s="2"/>
      <c r="U23" s="2"/>
      <c r="V23" s="2"/>
    </row>
    <row r="24" ht="22.5" customHeight="1">
      <c r="A24" s="3">
        <v>23.0</v>
      </c>
      <c r="B24" s="3" t="s">
        <v>1133</v>
      </c>
      <c r="C24" s="3" t="s">
        <v>1134</v>
      </c>
      <c r="D24" s="3" t="s">
        <v>1110</v>
      </c>
      <c r="E24" s="2"/>
      <c r="F24" s="3" t="str">
        <f>IFERROR(__xludf.DUMMYFUNCTION("GOOGLETRANSLATE(A24, ""it"", ""en"")"),"23")</f>
        <v>23</v>
      </c>
      <c r="G24" s="3" t="str">
        <f>IFERROR(__xludf.DUMMYFUNCTION("GOOGLETRANSLATE(B24, ""it"", ""en"")"),"The ball hits the ceiling of the pool during a play. What happens?")</f>
        <v>The ball hits the ceiling of the pool during a play. What happens?</v>
      </c>
      <c r="H24" s="3" t="str">
        <f>IFERROR(__xludf.DUMMYFUNCTION("GOOGLETRANSLATE(C24, ""it"", ""en"")"),"A. Neutral throw-in B. Restart by the goalkeeper C. Free kick for the opponent D. Throw-in")</f>
        <v>A. Neutral throw-in B. Restart by the goalkeeper C. Free kick for the opponent D. Throw-in</v>
      </c>
      <c r="I24" s="3" t="str">
        <f>IFERROR(__xludf.DUMMYFUNCTION("GOOGLETRANSLATE(D24, ""it"", ""en"")"),"Neutral throw-in")</f>
        <v>Neutral throw-in</v>
      </c>
      <c r="J24" s="2"/>
      <c r="K24" s="2"/>
      <c r="L24" s="2"/>
      <c r="M24" s="2"/>
      <c r="N24" s="2"/>
      <c r="O24" s="2"/>
      <c r="P24" s="2"/>
      <c r="Q24" s="2"/>
      <c r="R24" s="2"/>
      <c r="S24" s="2"/>
      <c r="T24" s="2"/>
      <c r="U24" s="2"/>
      <c r="V24" s="2"/>
    </row>
    <row r="25" ht="22.5" customHeight="1">
      <c r="A25" s="3">
        <v>24.0</v>
      </c>
      <c r="B25" s="3" t="s">
        <v>1135</v>
      </c>
      <c r="C25" s="3" t="s">
        <v>1136</v>
      </c>
      <c r="D25" s="3" t="s">
        <v>1115</v>
      </c>
      <c r="E25" s="2"/>
      <c r="F25" s="3" t="str">
        <f>IFERROR(__xludf.DUMMYFUNCTION("GOOGLETRANSLATE(A25, ""it"", ""en"")"),"24")</f>
        <v>24</v>
      </c>
      <c r="G25" s="3" t="str">
        <f>IFERROR(__xludf.DUMMYFUNCTION("GOOGLETRANSLATE(B25, ""it"", ""en"")"),"A referee issues a temporary suspension, but the player refuses to leave. What is the consequence?")</f>
        <v>A referee issues a temporary suspension, but the player refuses to leave. What is the consequence?</v>
      </c>
      <c r="H25" s="3" t="str">
        <f>IFERROR(__xludf.DUMMYFUNCTION("GOOGLETRANSLATE(C25, ""it"", ""en"")"),"A. Permanent expulsion B. Mandatory time-out C. Interruption of play D. Penalty for the opponent")</f>
        <v>A. Permanent expulsion B. Mandatory time-out C. Interruption of play D. Penalty for the opponent</v>
      </c>
      <c r="I25" s="3" t="str">
        <f>IFERROR(__xludf.DUMMYFUNCTION("GOOGLETRANSLATE(D25, ""it"", ""en"")"),"Permanent expulsion")</f>
        <v>Permanent expulsion</v>
      </c>
      <c r="J25" s="2"/>
      <c r="K25" s="2"/>
      <c r="L25" s="2"/>
      <c r="M25" s="2"/>
      <c r="N25" s="2"/>
      <c r="O25" s="2"/>
      <c r="P25" s="2"/>
      <c r="Q25" s="2"/>
      <c r="R25" s="2"/>
      <c r="S25" s="2"/>
      <c r="T25" s="2"/>
      <c r="U25" s="2"/>
      <c r="V25" s="2"/>
    </row>
    <row r="26" ht="22.5" customHeight="1">
      <c r="A26" s="3">
        <v>25.0</v>
      </c>
      <c r="B26" s="3" t="s">
        <v>1137</v>
      </c>
      <c r="C26" s="3" t="s">
        <v>1138</v>
      </c>
      <c r="D26" s="3" t="s">
        <v>1107</v>
      </c>
      <c r="E26" s="2"/>
      <c r="F26" s="3" t="str">
        <f>IFERROR(__xludf.DUMMYFUNCTION("GOOGLETRANSLATE(A26, ""it"", ""en"")"),"25")</f>
        <v>25</v>
      </c>
      <c r="G26" s="3" t="str">
        <f>IFERROR(__xludf.DUMMYFUNCTION("GOOGLETRANSLATE(B26, ""it"", ""en"")"),"A player continually protests the referee's decisions. What is the penalty?")</f>
        <v>A player continually protests the referee's decisions. What is the penalty?</v>
      </c>
      <c r="H26" s="3" t="str">
        <f>IFERROR(__xludf.DUMMYFUNCTION("GOOGLETRANSLATE(C26, ""it"", ""en"")"),"A. Permanent expulsion B. Verbal warning C. Temporary expulsion D. Punishment for the opponent")</f>
        <v>A. Permanent expulsion B. Verbal warning C. Temporary expulsion D. Punishment for the opponent</v>
      </c>
      <c r="I26" s="3" t="str">
        <f>IFERROR(__xludf.DUMMYFUNCTION("GOOGLETRANSLATE(D26, ""it"", ""en"")"),"Temporary expulsion")</f>
        <v>Temporary expulsion</v>
      </c>
      <c r="J26" s="2"/>
      <c r="K26" s="2"/>
      <c r="L26" s="2"/>
      <c r="M26" s="2"/>
      <c r="N26" s="2"/>
      <c r="O26" s="2"/>
      <c r="P26" s="2"/>
      <c r="Q26" s="2"/>
      <c r="R26" s="2"/>
      <c r="S26" s="2"/>
      <c r="T26" s="2"/>
      <c r="U26" s="2"/>
      <c r="V26" s="2"/>
    </row>
    <row r="27" ht="22.5" customHeight="1">
      <c r="A27" s="3">
        <v>26.0</v>
      </c>
      <c r="B27" s="3" t="s">
        <v>1139</v>
      </c>
      <c r="C27" s="3" t="s">
        <v>1140</v>
      </c>
      <c r="D27" s="3" t="s">
        <v>1141</v>
      </c>
      <c r="E27" s="2"/>
      <c r="F27" s="3" t="str">
        <f>IFERROR(__xludf.DUMMYFUNCTION("GOOGLETRANSLATE(A27, ""it"", ""en"")"),"26")</f>
        <v>26</v>
      </c>
      <c r="G27" s="3" t="str">
        <f>IFERROR(__xludf.DUMMYFUNCTION("GOOGLETRANSLATE(B27, ""it"", ""en"")"),"A serious foul is committed in the defensive area. What happens?")</f>
        <v>A serious foul is committed in the defensive area. What happens?</v>
      </c>
      <c r="H27" s="3" t="str">
        <f>IFERROR(__xludf.DUMMYFUNCTION("GOOGLETRANSLATE(C27, ""it"", ""en"")"),"A. Penalty for the opponent B. Temporary expulsion C. Throw-in D. Neutral restart")</f>
        <v>A. Penalty for the opponent B. Temporary expulsion C. Throw-in D. Neutral restart</v>
      </c>
      <c r="I27" s="3" t="str">
        <f>IFERROR(__xludf.DUMMYFUNCTION("GOOGLETRANSLATE(D27, ""it"", ""en"")"),"Penalty for the opponent")</f>
        <v>Penalty for the opponent</v>
      </c>
      <c r="J27" s="2"/>
      <c r="K27" s="2"/>
      <c r="L27" s="2"/>
      <c r="M27" s="2"/>
      <c r="N27" s="2"/>
      <c r="O27" s="2"/>
      <c r="P27" s="2"/>
      <c r="Q27" s="2"/>
      <c r="R27" s="2"/>
      <c r="S27" s="2"/>
      <c r="T27" s="2"/>
      <c r="U27" s="2"/>
      <c r="V27" s="2"/>
    </row>
    <row r="28" ht="22.5" customHeight="1">
      <c r="A28" s="3">
        <v>27.0</v>
      </c>
      <c r="B28" s="3" t="s">
        <v>1142</v>
      </c>
      <c r="C28" s="3" t="s">
        <v>1143</v>
      </c>
      <c r="D28" s="3" t="s">
        <v>1107</v>
      </c>
      <c r="E28" s="2"/>
      <c r="F28" s="3" t="str">
        <f>IFERROR(__xludf.DUMMYFUNCTION("GOOGLETRANSLATE(A28, ""it"", ""en"")"),"27")</f>
        <v>27</v>
      </c>
      <c r="G28" s="3" t="str">
        <f>IFERROR(__xludf.DUMMYFUNCTION("GOOGLETRANSLATE(B28, ""it"", ""en"")"),"A player lunges at an opponent without attempting to catch the ball. What's the decision?")</f>
        <v>A player lunges at an opponent without attempting to catch the ball. What's the decision?</v>
      </c>
      <c r="H28" s="3" t="str">
        <f>IFERROR(__xludf.DUMMYFUNCTION("GOOGLETRANSLATE(C28, ""it"", ""en"")"),"A. Temporary expulsion B. Penalty for the opponent C. Permanent expulsion D. No penalty")</f>
        <v>A. Temporary expulsion B. Penalty for the opponent C. Permanent expulsion D. No penalty</v>
      </c>
      <c r="I28" s="3" t="str">
        <f>IFERROR(__xludf.DUMMYFUNCTION("GOOGLETRANSLATE(D28, ""it"", ""en"")"),"Temporary expulsion")</f>
        <v>Temporary expulsion</v>
      </c>
      <c r="J28" s="2"/>
      <c r="K28" s="2"/>
      <c r="L28" s="2"/>
      <c r="M28" s="2"/>
      <c r="N28" s="2"/>
      <c r="O28" s="2"/>
      <c r="P28" s="2"/>
      <c r="Q28" s="2"/>
      <c r="R28" s="2"/>
      <c r="S28" s="2"/>
      <c r="T28" s="2"/>
      <c r="U28" s="2"/>
      <c r="V28" s="2"/>
    </row>
    <row r="29" ht="22.5" customHeight="1">
      <c r="A29" s="3">
        <v>28.0</v>
      </c>
      <c r="B29" s="3" t="s">
        <v>1144</v>
      </c>
      <c r="C29" s="3" t="s">
        <v>1145</v>
      </c>
      <c r="D29" s="3" t="s">
        <v>1141</v>
      </c>
      <c r="E29" s="2"/>
      <c r="F29" s="3" t="str">
        <f>IFERROR(__xludf.DUMMYFUNCTION("GOOGLETRANSLATE(A29, ""it"", ""en"")"),"28")</f>
        <v>28</v>
      </c>
      <c r="G29" s="3" t="str">
        <f>IFERROR(__xludf.DUMMYFUNCTION("GOOGLETRANSLATE(B29, ""it"", ""en"")"),"A goalkeeper commits a foul during a defensive play. What is the consequence?")</f>
        <v>A goalkeeper commits a foul during a defensive play. What is the consequence?</v>
      </c>
      <c r="H29" s="3" t="str">
        <f>IFERROR(__xludf.DUMMYFUNCTION("GOOGLETRANSLATE(C29, ""it"", ""en"")"),"A. Penalty for the opponent B. Temporary expulsion C. Verbal warning D. Free kick for the opponent")</f>
        <v>A. Penalty for the opponent B. Temporary expulsion C. Verbal warning D. Free kick for the opponent</v>
      </c>
      <c r="I29" s="3" t="str">
        <f>IFERROR(__xludf.DUMMYFUNCTION("GOOGLETRANSLATE(D29, ""it"", ""en"")"),"Penalty for the opponent")</f>
        <v>Penalty for the opponent</v>
      </c>
      <c r="J29" s="2"/>
      <c r="K29" s="2"/>
      <c r="L29" s="2"/>
      <c r="M29" s="2"/>
      <c r="N29" s="2"/>
      <c r="O29" s="2"/>
      <c r="P29" s="2"/>
      <c r="Q29" s="2"/>
      <c r="R29" s="2"/>
      <c r="S29" s="2"/>
      <c r="T29" s="2"/>
      <c r="U29" s="2"/>
      <c r="V29" s="2"/>
    </row>
    <row r="30" ht="22.5" customHeight="1">
      <c r="A30" s="3">
        <v>29.0</v>
      </c>
      <c r="B30" s="3" t="s">
        <v>1146</v>
      </c>
      <c r="C30" s="3" t="s">
        <v>1147</v>
      </c>
      <c r="D30" s="3" t="s">
        <v>1148</v>
      </c>
      <c r="E30" s="2"/>
      <c r="F30" s="3" t="str">
        <f>IFERROR(__xludf.DUMMYFUNCTION("GOOGLETRANSLATE(A30, ""it"", ""en"")"),"29")</f>
        <v>29</v>
      </c>
      <c r="G30" s="3" t="str">
        <f>IFERROR(__xludf.DUMMYFUNCTION("GOOGLETRANSLATE(B30, ""it"", ""en"")"),"A player touches the ball after the referee's whistle. What's the decision?")</f>
        <v>A player touches the ball after the referee's whistle. What's the decision?</v>
      </c>
      <c r="H30" s="3" t="str">
        <f>IFERROR(__xludf.DUMMYFUNCTION("GOOGLETRANSLATE(C30, ""it"", ""en"")"),"A. Neutral restart B. Temporary expulsion C. Technical foul D. Penalty for the opponent")</f>
        <v>A. Neutral restart B. Temporary expulsion C. Technical foul D. Penalty for the opponent</v>
      </c>
      <c r="I30" s="3" t="str">
        <f>IFERROR(__xludf.DUMMYFUNCTION("GOOGLETRANSLATE(D30, ""it"", ""en"")"),"Technical foul")</f>
        <v>Technical foul</v>
      </c>
      <c r="J30" s="2"/>
      <c r="K30" s="2"/>
      <c r="L30" s="2"/>
      <c r="M30" s="2"/>
      <c r="N30" s="2"/>
      <c r="O30" s="2"/>
      <c r="P30" s="2"/>
      <c r="Q30" s="2"/>
      <c r="R30" s="2"/>
      <c r="S30" s="2"/>
      <c r="T30" s="2"/>
      <c r="U30" s="2"/>
      <c r="V30" s="2"/>
    </row>
    <row r="31" ht="22.5" customHeight="1">
      <c r="A31" s="3">
        <v>30.0</v>
      </c>
      <c r="B31" s="3" t="s">
        <v>1149</v>
      </c>
      <c r="C31" s="3" t="s">
        <v>1150</v>
      </c>
      <c r="D31" s="3" t="s">
        <v>12</v>
      </c>
      <c r="E31" s="2"/>
      <c r="F31" s="3" t="str">
        <f>IFERROR(__xludf.DUMMYFUNCTION("GOOGLETRANSLATE(A31, ""it"", ""en"")"),"30")</f>
        <v>30</v>
      </c>
      <c r="G31" s="3" t="str">
        <f>IFERROR(__xludf.DUMMYFUNCTION("GOOGLETRANSLATE(B31, ""it"", ""en"")"),"The ball accidentally hits a referee and changes direction. What happens?")</f>
        <v>The ball accidentally hits a referee and changes direction. What happens?</v>
      </c>
      <c r="H31" s="3" t="str">
        <f>IFERROR(__xludf.DUMMYFUNCTION("GOOGLETRANSLATE(C31, ""it"", ""en"")"),"A. Neutral throw-in B. Free kick for the attacker C. Free kick for the defender D. Play continues")</f>
        <v>A. Neutral throw-in B. Free kick for the attacker C. Free kick for the defender D. Play continues</v>
      </c>
      <c r="I31" s="3" t="str">
        <f>IFERROR(__xludf.DUMMYFUNCTION("GOOGLETRANSLATE(D31, ""it"", ""en"")"),"The game continues")</f>
        <v>The game continues</v>
      </c>
      <c r="J31" s="2"/>
      <c r="K31" s="2"/>
      <c r="L31" s="2"/>
      <c r="M31" s="2"/>
      <c r="N31" s="2"/>
      <c r="O31" s="2"/>
      <c r="P31" s="2"/>
      <c r="Q31" s="2"/>
      <c r="R31" s="2"/>
      <c r="S31" s="2"/>
      <c r="T31" s="2"/>
      <c r="U31" s="2"/>
      <c r="V31" s="2"/>
    </row>
    <row r="32" ht="22.5" customHeight="1">
      <c r="A32" s="3">
        <v>31.0</v>
      </c>
      <c r="B32" s="3" t="s">
        <v>1151</v>
      </c>
      <c r="C32" s="3" t="s">
        <v>1152</v>
      </c>
      <c r="D32" s="3" t="s">
        <v>1153</v>
      </c>
      <c r="E32" s="2"/>
      <c r="F32" s="3" t="str">
        <f>IFERROR(__xludf.DUMMYFUNCTION("GOOGLETRANSLATE(A32, ""it"", ""en"")"),"31")</f>
        <v>31</v>
      </c>
      <c r="G32" s="3" t="str">
        <f>IFERROR(__xludf.DUMMYFUNCTION("GOOGLETRANSLATE(B32, ""it"", ""en"")"),"A goalkeeper holds the ball for more than 5 seconds. What's the decision?")</f>
        <v>A goalkeeper holds the ball for more than 5 seconds. What's the decision?</v>
      </c>
      <c r="H32" s="3" t="str">
        <f>IFERROR(__xludf.DUMMYFUNCTION("GOOGLETRANSLATE(C32, ""it"", ""en"")"),"A. Free kick for the opponent B. Penalty for the opponent C. Temporary expulsion D. Neutral restart")</f>
        <v>A. Free kick for the opponent B. Penalty for the opponent C. Temporary expulsion D. Neutral restart</v>
      </c>
      <c r="I32" s="3" t="str">
        <f>IFERROR(__xludf.DUMMYFUNCTION("GOOGLETRANSLATE(D32, ""it"", ""en"")"),"Punishment for the opponent")</f>
        <v>Punishment for the opponent</v>
      </c>
      <c r="J32" s="2"/>
      <c r="K32" s="2"/>
      <c r="L32" s="2"/>
      <c r="M32" s="2"/>
      <c r="N32" s="2"/>
      <c r="O32" s="2"/>
      <c r="P32" s="2"/>
      <c r="Q32" s="2"/>
      <c r="R32" s="2"/>
      <c r="S32" s="2"/>
      <c r="T32" s="2"/>
      <c r="U32" s="2"/>
      <c r="V32" s="2"/>
    </row>
    <row r="33" ht="22.5" customHeight="1">
      <c r="A33" s="3">
        <v>32.0</v>
      </c>
      <c r="B33" s="3" t="s">
        <v>1154</v>
      </c>
      <c r="C33" s="3" t="s">
        <v>1155</v>
      </c>
      <c r="D33" s="3" t="s">
        <v>1153</v>
      </c>
      <c r="E33" s="2"/>
      <c r="F33" s="3" t="str">
        <f>IFERROR(__xludf.DUMMYFUNCTION("GOOGLETRANSLATE(A33, ""it"", ""en"")"),"32")</f>
        <v>32</v>
      </c>
      <c r="G33" s="3" t="str">
        <f>IFERROR(__xludf.DUMMYFUNCTION("GOOGLETRANSLATE(B33, ""it"", ""en"")"),"A player fakes a foul during a defensive play. What is the penalty?")</f>
        <v>A player fakes a foul during a defensive play. What is the penalty?</v>
      </c>
      <c r="H33" s="3" t="str">
        <f>IFERROR(__xludf.DUMMYFUNCTION("GOOGLETRANSLATE(C33, ""it"", ""en"")"),"A. Verbal warning B. Temporary expulsion C. Penalty for the opponent D. Neutral throw-in")</f>
        <v>A. Verbal warning B. Temporary expulsion C. Penalty for the opponent D. Neutral throw-in</v>
      </c>
      <c r="I33" s="3" t="str">
        <f>IFERROR(__xludf.DUMMYFUNCTION("GOOGLETRANSLATE(D33, ""it"", ""en"")"),"Punishment for the opponent")</f>
        <v>Punishment for the opponent</v>
      </c>
      <c r="J33" s="2"/>
      <c r="K33" s="2"/>
      <c r="L33" s="2"/>
      <c r="M33" s="2"/>
      <c r="N33" s="2"/>
      <c r="O33" s="2"/>
      <c r="P33" s="2"/>
      <c r="Q33" s="2"/>
      <c r="R33" s="2"/>
      <c r="S33" s="2"/>
      <c r="T33" s="2"/>
      <c r="U33" s="2"/>
      <c r="V33" s="2"/>
    </row>
    <row r="34" ht="22.5" customHeight="1">
      <c r="A34" s="3">
        <v>33.0</v>
      </c>
      <c r="B34" s="3" t="s">
        <v>1156</v>
      </c>
      <c r="C34" s="3" t="s">
        <v>1157</v>
      </c>
      <c r="D34" s="3" t="s">
        <v>1158</v>
      </c>
      <c r="E34" s="2"/>
      <c r="F34" s="3" t="str">
        <f>IFERROR(__xludf.DUMMYFUNCTION("GOOGLETRANSLATE(A34, ""it"", ""en"")"),"33")</f>
        <v>33</v>
      </c>
      <c r="G34" s="3" t="str">
        <f>IFERROR(__xludf.DUMMYFUNCTION("GOOGLETRANSLATE(B34, ""it"", ""en"")"),"A foul is committed just before the end of the half. What is the decision?")</f>
        <v>A foul is committed just before the end of the half. What is the decision?</v>
      </c>
      <c r="H34" s="3" t="str">
        <f>IFERROR(__xludf.DUMMYFUNCTION("GOOGLETRANSLATE(C34, ""it"", ""en"")"),"A. The foul is ignored B. A free kick is awarded C. The time for the action is extended D. A penalty is given")</f>
        <v>A. The foul is ignored B. A free kick is awarded C. The time for the action is extended D. A penalty is given</v>
      </c>
      <c r="I34" s="3" t="str">
        <f>IFERROR(__xludf.DUMMYFUNCTION("GOOGLETRANSLATE(D34, ""it"", ""en"")"),"The time for action is extended")</f>
        <v>The time for action is extended</v>
      </c>
      <c r="J34" s="2"/>
      <c r="K34" s="2"/>
      <c r="L34" s="2"/>
      <c r="M34" s="2"/>
      <c r="N34" s="2"/>
      <c r="O34" s="2"/>
      <c r="P34" s="2"/>
      <c r="Q34" s="2"/>
      <c r="R34" s="2"/>
      <c r="S34" s="2"/>
      <c r="T34" s="2"/>
      <c r="U34" s="2"/>
      <c r="V34" s="2"/>
    </row>
    <row r="35" ht="22.5" customHeight="1">
      <c r="A35" s="3">
        <v>34.0</v>
      </c>
      <c r="B35" s="3" t="s">
        <v>1159</v>
      </c>
      <c r="C35" s="3" t="s">
        <v>1160</v>
      </c>
      <c r="D35" s="3" t="s">
        <v>1088</v>
      </c>
      <c r="E35" s="2"/>
      <c r="F35" s="3" t="str">
        <f>IFERROR(__xludf.DUMMYFUNCTION("GOOGLETRANSLATE(A35, ""it"", ""en"")"),"34")</f>
        <v>34</v>
      </c>
      <c r="G35" s="3" t="str">
        <f>IFERROR(__xludf.DUMMYFUNCTION("GOOGLETRANSLATE(B35, ""it"", ""en"")"),"A goalkeeper throws the ball directly over the halfway line. What's the decision?")</f>
        <v>A goalkeeper throws the ball directly over the halfway line. What's the decision?</v>
      </c>
      <c r="H35" s="3" t="str">
        <f>IFERROR(__xludf.DUMMYFUNCTION("GOOGLETRANSLATE(C35, ""it"", ""en"")"),"A. No penalty B. Penalty for the opponent C. Temporary exclusion D. Neutral throw-in")</f>
        <v>A. No penalty B. Penalty for the opponent C. Temporary exclusion D. Neutral throw-in</v>
      </c>
      <c r="I35" s="3" t="str">
        <f>IFERROR(__xludf.DUMMYFUNCTION("GOOGLETRANSLATE(D35, ""it"", ""en"")"),"No penalty")</f>
        <v>No penalty</v>
      </c>
      <c r="J35" s="2"/>
      <c r="K35" s="2"/>
      <c r="L35" s="2"/>
      <c r="M35" s="2"/>
      <c r="N35" s="2"/>
      <c r="O35" s="2"/>
      <c r="P35" s="2"/>
      <c r="Q35" s="2"/>
      <c r="R35" s="2"/>
      <c r="S35" s="2"/>
      <c r="T35" s="2"/>
      <c r="U35" s="2"/>
      <c r="V35" s="2"/>
    </row>
    <row r="36" ht="22.5" customHeight="1">
      <c r="A36" s="3">
        <v>35.0</v>
      </c>
      <c r="B36" s="3" t="s">
        <v>1161</v>
      </c>
      <c r="C36" s="3" t="s">
        <v>1162</v>
      </c>
      <c r="D36" s="3" t="s">
        <v>1163</v>
      </c>
      <c r="E36" s="2"/>
      <c r="F36" s="3" t="str">
        <f>IFERROR(__xludf.DUMMYFUNCTION("GOOGLETRANSLATE(A36, ""it"", ""en"")"),"35")</f>
        <v>35</v>
      </c>
      <c r="G36" s="3" t="str">
        <f>IFERROR(__xludf.DUMMYFUNCTION("GOOGLETRANSLATE(B36, ""it"", ""en"")"),"An offensive player commits a foul for pushing a defender. What happens?")</f>
        <v>An offensive player commits a foul for pushing a defender. What happens?</v>
      </c>
      <c r="H36" s="3" t="str">
        <f>IFERROR(__xludf.DUMMYFUNCTION("GOOGLETRANSLATE(C36, ""it"", ""en"")"),"A. Penalty for the defender B. Temporary expulsion C. Penalty for the opponent D. No penalty")</f>
        <v>A. Penalty for the defender B. Temporary expulsion C. Penalty for the opponent D. No penalty</v>
      </c>
      <c r="I36" s="3" t="str">
        <f>IFERROR(__xludf.DUMMYFUNCTION("GOOGLETRANSLATE(D36, ""it"", ""en"")"),"Punishment for the defender")</f>
        <v>Punishment for the defender</v>
      </c>
      <c r="J36" s="2"/>
      <c r="K36" s="2"/>
      <c r="L36" s="2"/>
      <c r="M36" s="2"/>
      <c r="N36" s="2"/>
      <c r="O36" s="2"/>
      <c r="P36" s="2"/>
      <c r="Q36" s="2"/>
      <c r="R36" s="2"/>
      <c r="S36" s="2"/>
      <c r="T36" s="2"/>
      <c r="U36" s="2"/>
      <c r="V36" s="2"/>
    </row>
    <row r="37" ht="22.5" customHeight="1">
      <c r="A37" s="3">
        <v>36.0</v>
      </c>
      <c r="B37" s="3" t="s">
        <v>1164</v>
      </c>
      <c r="C37" s="3" t="s">
        <v>1165</v>
      </c>
      <c r="D37" s="3" t="s">
        <v>1166</v>
      </c>
      <c r="E37" s="2"/>
      <c r="F37" s="3" t="str">
        <f>IFERROR(__xludf.DUMMYFUNCTION("GOOGLETRANSLATE(A37, ""it"", ""en"")"),"36")</f>
        <v>36</v>
      </c>
      <c r="G37" s="3" t="str">
        <f>IFERROR(__xludf.DUMMYFUNCTION("GOOGLETRANSLATE(B37, ""it"", ""en"")"),"A defensive player holds the ball to prevent a shot. What's the decision?")</f>
        <v>A defensive player holds the ball to prevent a shot. What's the decision?</v>
      </c>
      <c r="H37" s="3" t="str">
        <f>IFERROR(__xludf.DUMMYFUNCTION("GOOGLETRANSLATE(C37, ""it"", ""en"")"),"A. Free kick for attacking B. Penalty for attacking C. Temporary expulsion D. Neutral throw-in")</f>
        <v>A. Free kick for attacking B. Penalty for attacking C. Temporary expulsion D. Neutral throw-in</v>
      </c>
      <c r="I37" s="3" t="str">
        <f>IFERROR(__xludf.DUMMYFUNCTION("GOOGLETRANSLATE(D37, ""it"", ""en"")"),"Penalty for the attack")</f>
        <v>Penalty for the attack</v>
      </c>
      <c r="J37" s="2"/>
      <c r="K37" s="2"/>
      <c r="L37" s="2"/>
      <c r="M37" s="2"/>
      <c r="N37" s="2"/>
      <c r="O37" s="2"/>
      <c r="P37" s="2"/>
      <c r="Q37" s="2"/>
      <c r="R37" s="2"/>
      <c r="S37" s="2"/>
      <c r="T37" s="2"/>
      <c r="U37" s="2"/>
      <c r="V37" s="2"/>
    </row>
    <row r="38" ht="22.5" customHeight="1">
      <c r="A38" s="3">
        <v>37.0</v>
      </c>
      <c r="B38" s="3" t="s">
        <v>1167</v>
      </c>
      <c r="C38" s="3" t="s">
        <v>1168</v>
      </c>
      <c r="D38" s="3" t="s">
        <v>1091</v>
      </c>
      <c r="E38" s="2"/>
      <c r="F38" s="3" t="str">
        <f>IFERROR(__xludf.DUMMYFUNCTION("GOOGLETRANSLATE(A38, ""it"", ""en"")"),"37")</f>
        <v>37</v>
      </c>
      <c r="G38" s="3" t="str">
        <f>IFERROR(__xludf.DUMMYFUNCTION("GOOGLETRANSLATE(B38, ""it"", ""en"")"),"A technical foul is called during a timeout. What is the consequence?")</f>
        <v>A technical foul is called during a timeout. What is the consequence?</v>
      </c>
      <c r="H38" s="3" t="str">
        <f>IFERROR(__xludf.DUMMYFUNCTION("GOOGLETRANSLATE(C38, ""it"", ""en"")"),"A. Neutral throw-in B. Penalty for the opponent C. Temporary expulsion D. Free kick for the opponent")</f>
        <v>A. Neutral throw-in B. Penalty for the opponent C. Temporary expulsion D. Free kick for the opponent</v>
      </c>
      <c r="I38" s="3" t="str">
        <f>IFERROR(__xludf.DUMMYFUNCTION("GOOGLETRANSLATE(D38, ""it"", ""en"")"),"Punishment for the opponent")</f>
        <v>Punishment for the opponent</v>
      </c>
      <c r="J38" s="2"/>
      <c r="K38" s="2"/>
      <c r="L38" s="2"/>
      <c r="M38" s="2"/>
      <c r="N38" s="2"/>
      <c r="O38" s="2"/>
      <c r="P38" s="2"/>
      <c r="Q38" s="2"/>
      <c r="R38" s="2"/>
      <c r="S38" s="2"/>
      <c r="T38" s="2"/>
      <c r="U38" s="2"/>
      <c r="V38" s="2"/>
    </row>
    <row r="39" ht="22.5" customHeight="1">
      <c r="A39" s="3">
        <v>38.0</v>
      </c>
      <c r="B39" s="3" t="s">
        <v>1169</v>
      </c>
      <c r="C39" s="3" t="s">
        <v>1170</v>
      </c>
      <c r="D39" s="3" t="s">
        <v>1148</v>
      </c>
      <c r="E39" s="2"/>
      <c r="F39" s="3" t="str">
        <f>IFERROR(__xludf.DUMMYFUNCTION("GOOGLETRANSLATE(A39, ""it"", ""en"")"),"38")</f>
        <v>38</v>
      </c>
      <c r="G39" s="3" t="str">
        <f>IFERROR(__xludf.DUMMYFUNCTION("GOOGLETRANSLATE(B39, ""it"", ""en"")"),"A referee blows his whistle for a foul, but the team doesn't stop the play. What's the penalty?")</f>
        <v>A referee blows his whistle for a foul, but the team doesn't stop the play. What's the penalty?</v>
      </c>
      <c r="H39" s="3" t="str">
        <f>IFERROR(__xludf.DUMMYFUNCTION("GOOGLETRANSLATE(C39, ""it"", ""en"")"),"A. Neutral restart B. Technical foul C. Temporary expulsion D. Penalty for the opponent")</f>
        <v>A. Neutral restart B. Technical foul C. Temporary expulsion D. Penalty for the opponent</v>
      </c>
      <c r="I39" s="3" t="str">
        <f>IFERROR(__xludf.DUMMYFUNCTION("GOOGLETRANSLATE(D39, ""it"", ""en"")"),"Technical foul")</f>
        <v>Technical foul</v>
      </c>
      <c r="J39" s="2"/>
      <c r="K39" s="2"/>
      <c r="L39" s="2"/>
      <c r="M39" s="2"/>
      <c r="N39" s="2"/>
      <c r="O39" s="2"/>
      <c r="P39" s="2"/>
      <c r="Q39" s="2"/>
      <c r="R39" s="2"/>
      <c r="S39" s="2"/>
      <c r="T39" s="2"/>
      <c r="U39" s="2"/>
      <c r="V39" s="2"/>
    </row>
    <row r="40" ht="22.5" customHeight="1">
      <c r="A40" s="3">
        <v>39.0</v>
      </c>
      <c r="B40" s="3" t="s">
        <v>1171</v>
      </c>
      <c r="C40" s="3" t="s">
        <v>1172</v>
      </c>
      <c r="D40" s="3" t="s">
        <v>1153</v>
      </c>
      <c r="E40" s="2"/>
      <c r="F40" s="3" t="str">
        <f>IFERROR(__xludf.DUMMYFUNCTION("GOOGLETRANSLATE(A40, ""it"", ""en"")"),"39")</f>
        <v>39</v>
      </c>
      <c r="G40" s="3" t="str">
        <f>IFERROR(__xludf.DUMMYFUNCTION("GOOGLETRANSLATE(B40, ""it"", ""en"")"),"A referee awards a free kick, but the protesting team fails to respect the distance. What is the penalty?")</f>
        <v>A referee awards a free kick, but the protesting team fails to respect the distance. What is the penalty?</v>
      </c>
      <c r="H40" s="3" t="str">
        <f>IFERROR(__xludf.DUMMYFUNCTION("GOOGLETRANSLATE(C40, ""it"", ""en"")"),"A. Neutral restart B. Penalty against C. Temporary expulsion D. Free kick for the opponent")</f>
        <v>A. Neutral restart B. Penalty against C. Temporary expulsion D. Free kick for the opponent</v>
      </c>
      <c r="I40" s="3" t="str">
        <f>IFERROR(__xludf.DUMMYFUNCTION("GOOGLETRANSLATE(D40, ""it"", ""en"")"),"Punishment for the opponent")</f>
        <v>Punishment for the opponent</v>
      </c>
      <c r="J40" s="2"/>
      <c r="K40" s="2"/>
      <c r="L40" s="2"/>
      <c r="M40" s="2"/>
      <c r="N40" s="2"/>
      <c r="O40" s="2"/>
      <c r="P40" s="2"/>
      <c r="Q40" s="2"/>
      <c r="R40" s="2"/>
      <c r="S40" s="2"/>
      <c r="T40" s="2"/>
      <c r="U40" s="2"/>
      <c r="V40" s="2"/>
    </row>
    <row r="41" ht="22.5" customHeight="1">
      <c r="A41" s="3">
        <v>40.0</v>
      </c>
      <c r="B41" s="3" t="s">
        <v>1173</v>
      </c>
      <c r="C41" s="3" t="s">
        <v>1174</v>
      </c>
      <c r="D41" s="3" t="s">
        <v>1102</v>
      </c>
      <c r="E41" s="2"/>
      <c r="F41" s="3" t="str">
        <f>IFERROR(__xludf.DUMMYFUNCTION("GOOGLETRANSLATE(A41, ""it"", ""en"")"),"40")</f>
        <v>40</v>
      </c>
      <c r="G41" s="3" t="str">
        <f>IFERROR(__xludf.DUMMYFUNCTION("GOOGLETRANSLATE(B41, ""it"", ""en"")"),"A foul is committed while the goalkeeper is out of the goal. What is the decision?")</f>
        <v>A foul is committed while the goalkeeper is out of the goal. What is the decision?</v>
      </c>
      <c r="H41" s="3" t="str">
        <f>IFERROR(__xludf.DUMMYFUNCTION("GOOGLETRANSLATE(C41, ""it"", ""en"")"),"A. Penalty B. Temporary expulsion C. Penalty for attacking D. Neutral restart")</f>
        <v>A. Penalty B. Temporary expulsion C. Penalty for attacking D. Neutral restart</v>
      </c>
      <c r="I41" s="3" t="str">
        <f>IFERROR(__xludf.DUMMYFUNCTION("GOOGLETRANSLATE(D41, ""it"", ""en"")"),"Rigour")</f>
        <v>Rigour</v>
      </c>
      <c r="J41" s="2"/>
      <c r="K41" s="2"/>
      <c r="L41" s="2"/>
      <c r="M41" s="2"/>
      <c r="N41" s="2"/>
      <c r="O41" s="2"/>
      <c r="P41" s="2"/>
      <c r="Q41" s="2"/>
      <c r="R41" s="2"/>
      <c r="S41" s="2"/>
      <c r="T41" s="2"/>
      <c r="U41" s="2"/>
      <c r="V41" s="2"/>
    </row>
    <row r="42" ht="22.5" customHeight="1">
      <c r="A42" s="3">
        <v>41.0</v>
      </c>
      <c r="B42" s="3" t="s">
        <v>1175</v>
      </c>
      <c r="C42" s="3" t="s">
        <v>1176</v>
      </c>
      <c r="D42" s="3" t="s">
        <v>1177</v>
      </c>
      <c r="E42" s="2"/>
      <c r="F42" s="3" t="str">
        <f>IFERROR(__xludf.DUMMYFUNCTION("GOOGLETRANSLATE(A42, ""it"", ""en"")"),"41")</f>
        <v>41</v>
      </c>
      <c r="G42" s="3" t="str">
        <f>IFERROR(__xludf.DUMMYFUNCTION("GOOGLETRANSLATE(B42, ""it"", ""en"")"),"A player holds an opponent who is in possession of the ball. What is the penalty?")</f>
        <v>A player holds an opponent who is in possession of the ball. What is the penalty?</v>
      </c>
      <c r="H42" s="3" t="str">
        <f>IFERROR(__xludf.DUMMYFUNCTION("GOOGLETRANSLATE(C42, ""it"", ""en"")"),"A. Temporary expulsion B. Punishment for attacking C. Penalty D. Verbal warning")</f>
        <v>A. Temporary expulsion B. Punishment for attacking C. Penalty D. Verbal warning</v>
      </c>
      <c r="I42" s="3" t="str">
        <f>IFERROR(__xludf.DUMMYFUNCTION("GOOGLETRANSLATE(D42, ""it"", ""en"")"),"Punishment for the attack")</f>
        <v>Punishment for the attack</v>
      </c>
      <c r="J42" s="2"/>
      <c r="K42" s="2"/>
      <c r="L42" s="2"/>
      <c r="M42" s="2"/>
      <c r="N42" s="2"/>
      <c r="O42" s="2"/>
      <c r="P42" s="2"/>
      <c r="Q42" s="2"/>
      <c r="R42" s="2"/>
      <c r="S42" s="2"/>
      <c r="T42" s="2"/>
      <c r="U42" s="2"/>
      <c r="V42" s="2"/>
    </row>
    <row r="43" ht="22.5" customHeight="1">
      <c r="A43" s="3">
        <v>42.0</v>
      </c>
      <c r="B43" s="3" t="s">
        <v>1178</v>
      </c>
      <c r="C43" s="3" t="s">
        <v>1179</v>
      </c>
      <c r="D43" s="3" t="s">
        <v>1180</v>
      </c>
      <c r="E43" s="2"/>
      <c r="F43" s="3" t="str">
        <f>IFERROR(__xludf.DUMMYFUNCTION("GOOGLETRANSLATE(A43, ""it"", ""en"")"),"42")</f>
        <v>42</v>
      </c>
      <c r="G43" s="3" t="str">
        <f>IFERROR(__xludf.DUMMYFUNCTION("GOOGLETRANSLATE(B43, ""it"", ""en"")"),"A foul is committed but play continues. When does the referee intervene?")</f>
        <v>A foul is committed but play continues. When does the referee intervene?</v>
      </c>
      <c r="H43" s="3" t="str">
        <f>IFERROR(__xludf.DUMMYFUNCTION("GOOGLETRANSLATE(C43, ""it"", ""en"")"),"A. Immediately B. At the first interruption C. Only if the foul is serious D. No penalty")</f>
        <v>A. Immediately B. At the first interruption C. Only if the foul is serious D. No penalty</v>
      </c>
      <c r="I43" s="3" t="str">
        <f>IFERROR(__xludf.DUMMYFUNCTION("GOOGLETRANSLATE(D43, ""it"", ""en"")"),"At the first interruption")</f>
        <v>At the first interruption</v>
      </c>
      <c r="J43" s="2"/>
      <c r="K43" s="2"/>
      <c r="L43" s="2"/>
      <c r="M43" s="2"/>
      <c r="N43" s="2"/>
      <c r="O43" s="2"/>
      <c r="P43" s="2"/>
      <c r="Q43" s="2"/>
      <c r="R43" s="2"/>
      <c r="S43" s="2"/>
      <c r="T43" s="2"/>
      <c r="U43" s="2"/>
      <c r="V43" s="2"/>
    </row>
    <row r="44" ht="22.5" customHeight="1">
      <c r="A44" s="3">
        <v>43.0</v>
      </c>
      <c r="B44" s="3" t="s">
        <v>1181</v>
      </c>
      <c r="C44" s="3" t="s">
        <v>1182</v>
      </c>
      <c r="D44" s="3" t="s">
        <v>1091</v>
      </c>
      <c r="E44" s="2"/>
      <c r="F44" s="3" t="str">
        <f>IFERROR(__xludf.DUMMYFUNCTION("GOOGLETRANSLATE(A44, ""it"", ""en"")"),"43")</f>
        <v>43</v>
      </c>
      <c r="G44" s="3" t="str">
        <f>IFERROR(__xludf.DUMMYFUNCTION("GOOGLETRANSLATE(B44, ""it"", ""en"")"),"A technical foul is committed while the clock is stopped. What is the consequence?")</f>
        <v>A technical foul is committed while the clock is stopped. What is the consequence?</v>
      </c>
      <c r="H44" s="3" t="str">
        <f>IFERROR(__xludf.DUMMYFUNCTION("GOOGLETRANSLATE(C44, ""it"", ""en"")"),"A. Neutral restart B. Penalty against C. Free kick for the opponent D. Temporary expulsion")</f>
        <v>A. Neutral restart B. Penalty against C. Free kick for the opponent D. Temporary expulsion</v>
      </c>
      <c r="I44" s="3" t="str">
        <f>IFERROR(__xludf.DUMMYFUNCTION("GOOGLETRANSLATE(D44, ""it"", ""en"")"),"Punishment for the opponent")</f>
        <v>Punishment for the opponent</v>
      </c>
      <c r="J44" s="2"/>
      <c r="K44" s="2"/>
      <c r="L44" s="2"/>
      <c r="M44" s="2"/>
      <c r="N44" s="2"/>
      <c r="O44" s="2"/>
      <c r="P44" s="2"/>
      <c r="Q44" s="2"/>
      <c r="R44" s="2"/>
      <c r="S44" s="2"/>
      <c r="T44" s="2"/>
      <c r="U44" s="2"/>
      <c r="V44" s="2"/>
    </row>
    <row r="45" ht="22.5" customHeight="1">
      <c r="A45" s="3">
        <v>44.0</v>
      </c>
      <c r="B45" s="3" t="s">
        <v>1183</v>
      </c>
      <c r="C45" s="3" t="s">
        <v>1184</v>
      </c>
      <c r="D45" s="3" t="s">
        <v>1185</v>
      </c>
      <c r="E45" s="2"/>
      <c r="F45" s="3" t="str">
        <f>IFERROR(__xludf.DUMMYFUNCTION("GOOGLETRANSLATE(A45, ""it"", ""en"")"),"44")</f>
        <v>44</v>
      </c>
      <c r="G45" s="3" t="str">
        <f>IFERROR(__xludf.DUMMYFUNCTION("GOOGLETRANSLATE(B45, ""it"", ""en"")"),"A referee awards a free kick for an attacking foul. Where does play restart?")</f>
        <v>A referee awards a free kick for an attacking foul. Where does play restart?</v>
      </c>
      <c r="H45" s="3" t="str">
        <f>IFERROR(__xludf.DUMMYFUNCTION("GOOGLETRANSLATE(C45, ""it"", ""en"")"),"A. Where the foul occurred B. On the 5-meter line C. On the halfway line D. No penalty")</f>
        <v>A. Where the foul occurred B. On the 5-meter line C. On the halfway line D. No penalty</v>
      </c>
      <c r="I45" s="3" t="str">
        <f>IFERROR(__xludf.DUMMYFUNCTION("GOOGLETRANSLATE(D45, ""it"", ""en"")"),"Where the foul occurred")</f>
        <v>Where the foul occurred</v>
      </c>
      <c r="J45" s="2"/>
      <c r="K45" s="2"/>
      <c r="L45" s="2"/>
      <c r="M45" s="2"/>
      <c r="N45" s="2"/>
      <c r="O45" s="2"/>
      <c r="P45" s="2"/>
      <c r="Q45" s="2"/>
      <c r="R45" s="2"/>
      <c r="S45" s="2"/>
      <c r="T45" s="2"/>
      <c r="U45" s="2"/>
      <c r="V45" s="2"/>
    </row>
    <row r="46" ht="22.5" customHeight="1">
      <c r="A46" s="3">
        <v>45.0</v>
      </c>
      <c r="B46" s="3" t="s">
        <v>1186</v>
      </c>
      <c r="C46" s="3" t="s">
        <v>1187</v>
      </c>
      <c r="D46" s="3" t="s">
        <v>1107</v>
      </c>
      <c r="E46" s="2"/>
      <c r="F46" s="3" t="str">
        <f>IFERROR(__xludf.DUMMYFUNCTION("GOOGLETRANSLATE(A46, ""it"", ""en"")"),"45")</f>
        <v>45</v>
      </c>
      <c r="G46" s="3" t="str">
        <f>IFERROR(__xludf.DUMMYFUNCTION("GOOGLETRANSLATE(B46, ""it"", ""en"")"),"A player leaves the water without permission during the game. What is the consequence?")</f>
        <v>A player leaves the water without permission during the game. What is the consequence?</v>
      </c>
      <c r="H46" s="3" t="str">
        <f>IFERROR(__xludf.DUMMYFUNCTION("GOOGLETRANSLATE(C46, ""it"", ""en"")"),"A. Temporary expulsion B. Neutral throw-in C. Free kick for the opponent D. Penalty against")</f>
        <v>A. Temporary expulsion B. Neutral throw-in C. Free kick for the opponent D. Penalty against</v>
      </c>
      <c r="I46" s="3" t="str">
        <f>IFERROR(__xludf.DUMMYFUNCTION("GOOGLETRANSLATE(D46, ""it"", ""en"")"),"Temporary expulsion")</f>
        <v>Temporary expulsion</v>
      </c>
      <c r="J46" s="2"/>
      <c r="K46" s="2"/>
      <c r="L46" s="2"/>
      <c r="M46" s="2"/>
      <c r="N46" s="2"/>
      <c r="O46" s="2"/>
      <c r="P46" s="2"/>
      <c r="Q46" s="2"/>
      <c r="R46" s="2"/>
      <c r="S46" s="2"/>
      <c r="T46" s="2"/>
      <c r="U46" s="2"/>
      <c r="V46" s="2"/>
    </row>
    <row r="47" ht="22.5" customHeight="1">
      <c r="A47" s="3">
        <v>46.0</v>
      </c>
      <c r="B47" s="3" t="s">
        <v>1188</v>
      </c>
      <c r="C47" s="3" t="s">
        <v>1189</v>
      </c>
      <c r="D47" s="3" t="s">
        <v>1107</v>
      </c>
      <c r="E47" s="2"/>
      <c r="F47" s="3" t="str">
        <f>IFERROR(__xludf.DUMMYFUNCTION("GOOGLETRANSLATE(A47, ""it"", ""en"")"),"46")</f>
        <v>46</v>
      </c>
      <c r="G47" s="3" t="str">
        <f>IFERROR(__xludf.DUMMYFUNCTION("GOOGLETRANSLATE(B47, ""it"", ""en"")"),"A player holds onto the ball to prevent an opponent from retrieving it. What's the decision?")</f>
        <v>A player holds onto the ball to prevent an opponent from retrieving it. What's the decision?</v>
      </c>
      <c r="H47" s="3" t="str">
        <f>IFERROR(__xludf.DUMMYFUNCTION("GOOGLETRANSLATE(C47, ""it"", ""en"")"),"A. Temporary expulsion B. Free kick for the opponent C. Penalty D. Verbal warning")</f>
        <v>A. Temporary expulsion B. Free kick for the opponent C. Penalty D. Verbal warning</v>
      </c>
      <c r="I47" s="3" t="str">
        <f>IFERROR(__xludf.DUMMYFUNCTION("GOOGLETRANSLATE(D47, ""it"", ""en"")"),"Temporary expulsion")</f>
        <v>Temporary expulsion</v>
      </c>
      <c r="J47" s="2"/>
      <c r="K47" s="2"/>
      <c r="L47" s="2"/>
      <c r="M47" s="2"/>
      <c r="N47" s="2"/>
      <c r="O47" s="2"/>
      <c r="P47" s="2"/>
      <c r="Q47" s="2"/>
      <c r="R47" s="2"/>
      <c r="S47" s="2"/>
      <c r="T47" s="2"/>
      <c r="U47" s="2"/>
      <c r="V47" s="2"/>
    </row>
    <row r="48" ht="22.5" customHeight="1">
      <c r="A48" s="3">
        <v>47.0</v>
      </c>
      <c r="B48" s="3" t="s">
        <v>1190</v>
      </c>
      <c r="C48" s="3" t="s">
        <v>1191</v>
      </c>
      <c r="D48" s="3" t="s">
        <v>1163</v>
      </c>
      <c r="E48" s="2"/>
      <c r="F48" s="3" t="str">
        <f>IFERROR(__xludf.DUMMYFUNCTION("GOOGLETRANSLATE(A48, ""it"", ""en"")"),"47")</f>
        <v>47</v>
      </c>
      <c r="G48" s="3" t="str">
        <f>IFERROR(__xludf.DUMMYFUNCTION("GOOGLETRANSLATE(B48, ""it"", ""en"")"),"An attacker uses the ball to push a defender away. What's the decision?")</f>
        <v>An attacker uses the ball to push a defender away. What's the decision?</v>
      </c>
      <c r="H48" s="3" t="str">
        <f>IFERROR(__xludf.DUMMYFUNCTION("GOOGLETRANSLATE(C48, ""it"", ""en"")"),"A. Penalty for the defender B. Temporary expulsion C. Penalty D. No penalty")</f>
        <v>A. Penalty for the defender B. Temporary expulsion C. Penalty D. No penalty</v>
      </c>
      <c r="I48" s="3" t="str">
        <f>IFERROR(__xludf.DUMMYFUNCTION("GOOGLETRANSLATE(D48, ""it"", ""en"")"),"Punishment for the defender")</f>
        <v>Punishment for the defender</v>
      </c>
      <c r="J48" s="2"/>
      <c r="K48" s="2"/>
      <c r="L48" s="2"/>
      <c r="M48" s="2"/>
      <c r="N48" s="2"/>
      <c r="O48" s="2"/>
      <c r="P48" s="2"/>
      <c r="Q48" s="2"/>
      <c r="R48" s="2"/>
      <c r="S48" s="2"/>
      <c r="T48" s="2"/>
      <c r="U48" s="2"/>
      <c r="V48" s="2"/>
    </row>
    <row r="49" ht="22.5" customHeight="1">
      <c r="A49" s="3">
        <v>48.0</v>
      </c>
      <c r="B49" s="3" t="s">
        <v>1192</v>
      </c>
      <c r="C49" s="3" t="s">
        <v>1193</v>
      </c>
      <c r="D49" s="3" t="s">
        <v>1194</v>
      </c>
      <c r="E49" s="2"/>
      <c r="F49" s="3" t="str">
        <f>IFERROR(__xludf.DUMMYFUNCTION("GOOGLETRANSLATE(A49, ""it"", ""en"")"),"48")</f>
        <v>48</v>
      </c>
      <c r="G49" s="3" t="str">
        <f>IFERROR(__xludf.DUMMYFUNCTION("GOOGLETRANSLATE(B49, ""it"", ""en"")"),"A technical foul is committed while a team has a man advantage. What is the penalty?")</f>
        <v>A technical foul is committed while a team has a man advantage. What is the penalty?</v>
      </c>
      <c r="H49" s="3" t="str">
        <f>IFERROR(__xludf.DUMMYFUNCTION("GOOGLETRANSLATE(C49, ""it"", ""en"")"),"A. Free kick against B. Temporary expulsion C. Penalty D. Neutral throw-in")</f>
        <v>A. Free kick against B. Temporary expulsion C. Penalty D. Neutral throw-in</v>
      </c>
      <c r="I49" s="3" t="str">
        <f>IFERROR(__xludf.DUMMYFUNCTION("GOOGLETRANSLATE(D49, ""it"", ""en"")"),"Punishment against")</f>
        <v>Punishment against</v>
      </c>
      <c r="J49" s="2"/>
      <c r="K49" s="2"/>
      <c r="L49" s="2"/>
      <c r="M49" s="2"/>
      <c r="N49" s="2"/>
      <c r="O49" s="2"/>
      <c r="P49" s="2"/>
      <c r="Q49" s="2"/>
      <c r="R49" s="2"/>
      <c r="S49" s="2"/>
      <c r="T49" s="2"/>
      <c r="U49" s="2"/>
      <c r="V49" s="2"/>
    </row>
    <row r="50" ht="22.5" customHeight="1">
      <c r="A50" s="3">
        <v>49.0</v>
      </c>
      <c r="B50" s="3" t="s">
        <v>1195</v>
      </c>
      <c r="C50" s="3" t="s">
        <v>1184</v>
      </c>
      <c r="D50" s="3" t="s">
        <v>1185</v>
      </c>
      <c r="E50" s="2"/>
      <c r="F50" s="3" t="str">
        <f>IFERROR(__xludf.DUMMYFUNCTION("GOOGLETRANSLATE(A50, ""it"", ""en"")"),"49")</f>
        <v>49</v>
      </c>
      <c r="G50" s="3" t="str">
        <f>IFERROR(__xludf.DUMMYFUNCTION("GOOGLETRANSLATE(B50, ""it"", ""en"")"),"A referee awards a free kick while the attacker is in the defensive area. Where is the free kick taken?")</f>
        <v>A referee awards a free kick while the attacker is in the defensive area. Where is the free kick taken?</v>
      </c>
      <c r="H50" s="3" t="str">
        <f>IFERROR(__xludf.DUMMYFUNCTION("GOOGLETRANSLATE(C50, ""it"", ""en"")"),"A. Where the foul occurred B. On the 5-meter line C. On the halfway line D. No penalty")</f>
        <v>A. Where the foul occurred B. On the 5-meter line C. On the halfway line D. No penalty</v>
      </c>
      <c r="I50" s="3" t="str">
        <f>IFERROR(__xludf.DUMMYFUNCTION("GOOGLETRANSLATE(D50, ""it"", ""en"")"),"Where the foul occurred")</f>
        <v>Where the foul occurred</v>
      </c>
      <c r="J50" s="2"/>
      <c r="K50" s="2"/>
      <c r="L50" s="2"/>
      <c r="M50" s="2"/>
      <c r="N50" s="2"/>
      <c r="O50" s="2"/>
      <c r="P50" s="2"/>
      <c r="Q50" s="2"/>
      <c r="R50" s="2"/>
      <c r="S50" s="2"/>
      <c r="T50" s="2"/>
      <c r="U50" s="2"/>
      <c r="V50" s="2"/>
    </row>
    <row r="51" ht="22.5" customHeight="1">
      <c r="A51" s="3">
        <v>50.0</v>
      </c>
      <c r="B51" s="3" t="s">
        <v>1196</v>
      </c>
      <c r="C51" s="3" t="s">
        <v>1193</v>
      </c>
      <c r="D51" s="3" t="s">
        <v>1107</v>
      </c>
      <c r="E51" s="2"/>
      <c r="F51" s="3" t="str">
        <f>IFERROR(__xludf.DUMMYFUNCTION("GOOGLETRANSLATE(A51, ""it"", ""en"")"),"50")</f>
        <v>50</v>
      </c>
      <c r="G51" s="3" t="str">
        <f>IFERROR(__xludf.DUMMYFUNCTION("GOOGLETRANSLATE(B51, ""it"", ""en"")"),"A referee blows his whistle for a free kick, but the protesting team refuses to comply. What is the consequence?")</f>
        <v>A referee blows his whistle for a free kick, but the protesting team refuses to comply. What is the consequence?</v>
      </c>
      <c r="H51" s="3" t="str">
        <f>IFERROR(__xludf.DUMMYFUNCTION("GOOGLETRANSLATE(C51, ""it"", ""en"")"),"A. Free kick against B. Temporary expulsion C. Penalty D. Neutral throw-in")</f>
        <v>A. Free kick against B. Temporary expulsion C. Penalty D. Neutral throw-in</v>
      </c>
      <c r="I51" s="3" t="str">
        <f>IFERROR(__xludf.DUMMYFUNCTION("GOOGLETRANSLATE(D51, ""it"", ""en"")"),"Temporary expulsion")</f>
        <v>Temporary expulsion</v>
      </c>
      <c r="J51" s="2"/>
      <c r="K51" s="2"/>
      <c r="L51" s="2"/>
      <c r="M51" s="2"/>
      <c r="N51" s="2"/>
      <c r="O51" s="2"/>
      <c r="P51" s="2"/>
      <c r="Q51" s="2"/>
      <c r="R51" s="2"/>
      <c r="S51" s="2"/>
      <c r="T51" s="2"/>
      <c r="U51" s="2"/>
      <c r="V51" s="2"/>
    </row>
    <row r="52" ht="22.5" customHeight="1">
      <c r="A52" s="3">
        <v>51.0</v>
      </c>
      <c r="B52" s="3" t="s">
        <v>1197</v>
      </c>
      <c r="C52" s="3" t="s">
        <v>1198</v>
      </c>
      <c r="D52" s="3" t="s">
        <v>1199</v>
      </c>
      <c r="E52" s="2"/>
      <c r="F52" s="3" t="str">
        <f>IFERROR(__xludf.DUMMYFUNCTION("GOOGLETRANSLATE(A52, ""it"", ""en"")"),"51")</f>
        <v>51</v>
      </c>
      <c r="G52" s="3" t="str">
        <f>IFERROR(__xludf.DUMMYFUNCTION("GOOGLETRANSLATE(B52, ""it"", ""en"")"),"A serious foul is committed in the neutral zone. Where is the penalty taken?")</f>
        <v>A serious foul is committed in the neutral zone. Where is the penalty taken?</v>
      </c>
      <c r="H52" s="3" t="str">
        <f>IFERROR(__xludf.DUMMYFUNCTION("GOOGLETRANSLATE(C52, ""it"", ""en"")"),"A. At the spot of the foul B. At the halfway line C. Where the ball is located D. No penalty")</f>
        <v>A. At the spot of the foul B. At the halfway line C. Where the ball is located D. No penalty</v>
      </c>
      <c r="I52" s="3" t="str">
        <f>IFERROR(__xludf.DUMMYFUNCTION("GOOGLETRANSLATE(D52, ""it"", ""en"")"),"At the point of foul")</f>
        <v>At the point of foul</v>
      </c>
      <c r="J52" s="2"/>
      <c r="K52" s="2"/>
      <c r="L52" s="2"/>
      <c r="M52" s="2"/>
      <c r="N52" s="2"/>
      <c r="O52" s="2"/>
      <c r="P52" s="2"/>
      <c r="Q52" s="2"/>
      <c r="R52" s="2"/>
      <c r="S52" s="2"/>
      <c r="T52" s="2"/>
      <c r="U52" s="2"/>
      <c r="V52" s="2"/>
    </row>
    <row r="53" ht="22.5" customHeight="1">
      <c r="A53" s="3">
        <v>52.0</v>
      </c>
      <c r="B53" s="3" t="s">
        <v>1200</v>
      </c>
      <c r="C53" s="3" t="s">
        <v>1201</v>
      </c>
      <c r="D53" s="3" t="s">
        <v>1115</v>
      </c>
      <c r="E53" s="2"/>
      <c r="F53" s="3" t="str">
        <f>IFERROR(__xludf.DUMMYFUNCTION("GOOGLETRANSLATE(A53, ""it"", ""en"")"),"52")</f>
        <v>52</v>
      </c>
      <c r="G53" s="3" t="str">
        <f>IFERROR(__xludf.DUMMYFUNCTION("GOOGLETRANSLATE(B53, ""it"", ""en"")"),"A player remains in the water after a temporary suspension. What is the consequence?")</f>
        <v>A player remains in the water after a temporary suspension. What is the consequence?</v>
      </c>
      <c r="H53" s="3" t="str">
        <f>IFERROR(__xludf.DUMMYFUNCTION("GOOGLETRANSLATE(C53, ""it"", ""en"")"),"A. Permanent expulsion B. Penalty C. Neutral throw-in D. Free kick for the opponent")</f>
        <v>A. Permanent expulsion B. Penalty C. Neutral throw-in D. Free kick for the opponent</v>
      </c>
      <c r="I53" s="3" t="str">
        <f>IFERROR(__xludf.DUMMYFUNCTION("GOOGLETRANSLATE(D53, ""it"", ""en"")"),"Permanent expulsion")</f>
        <v>Permanent expulsion</v>
      </c>
      <c r="J53" s="2"/>
      <c r="K53" s="2"/>
      <c r="L53" s="2"/>
      <c r="M53" s="2"/>
      <c r="N53" s="2"/>
      <c r="O53" s="2"/>
      <c r="P53" s="2"/>
      <c r="Q53" s="2"/>
      <c r="R53" s="2"/>
      <c r="S53" s="2"/>
      <c r="T53" s="2"/>
      <c r="U53" s="2"/>
      <c r="V53" s="2"/>
    </row>
    <row r="54" ht="22.5" customHeight="1">
      <c r="A54" s="3">
        <v>53.0</v>
      </c>
      <c r="B54" s="3" t="s">
        <v>1202</v>
      </c>
      <c r="C54" s="3" t="s">
        <v>1203</v>
      </c>
      <c r="D54" s="3" t="s">
        <v>1199</v>
      </c>
      <c r="E54" s="2"/>
      <c r="F54" s="3" t="str">
        <f>IFERROR(__xludf.DUMMYFUNCTION("GOOGLETRANSLATE(A54, ""it"", ""en"")"),"53")</f>
        <v>53</v>
      </c>
      <c r="G54" s="3" t="str">
        <f>IFERROR(__xludf.DUMMYFUNCTION("GOOGLETRANSLATE(B54, ""it"", ""en"")"),"A referee signals a foul during a counterattack. Where does play restart?")</f>
        <v>A referee signals a foul during a counterattack. Where does play restart?</v>
      </c>
      <c r="H54" s="3" t="str">
        <f>IFERROR(__xludf.DUMMYFUNCTION("GOOGLETRANSLATE(C54, ""it"", ""en"")"),"A. At the spot of the foul B. On the 5-meter line C. Where the ball is located D. No penalty")</f>
        <v>A. At the spot of the foul B. On the 5-meter line C. Where the ball is located D. No penalty</v>
      </c>
      <c r="I54" s="3" t="str">
        <f>IFERROR(__xludf.DUMMYFUNCTION("GOOGLETRANSLATE(D54, ""it"", ""en"")"),"At the point of foul")</f>
        <v>At the point of foul</v>
      </c>
      <c r="J54" s="2"/>
      <c r="K54" s="2"/>
      <c r="L54" s="2"/>
      <c r="M54" s="2"/>
      <c r="N54" s="2"/>
      <c r="O54" s="2"/>
      <c r="P54" s="2"/>
      <c r="Q54" s="2"/>
      <c r="R54" s="2"/>
      <c r="S54" s="2"/>
      <c r="T54" s="2"/>
      <c r="U54" s="2"/>
      <c r="V54" s="2"/>
    </row>
    <row r="55" ht="22.5" customHeight="1">
      <c r="A55" s="3">
        <v>54.0</v>
      </c>
      <c r="B55" s="3" t="s">
        <v>1204</v>
      </c>
      <c r="C55" s="3" t="s">
        <v>1205</v>
      </c>
      <c r="D55" s="3" t="s">
        <v>1194</v>
      </c>
      <c r="E55" s="2"/>
      <c r="F55" s="3" t="str">
        <f>IFERROR(__xludf.DUMMYFUNCTION("GOOGLETRANSLATE(A55, ""it"", ""en"")"),"54")</f>
        <v>54</v>
      </c>
      <c r="G55" s="3" t="str">
        <f>IFERROR(__xludf.DUMMYFUNCTION("GOOGLETRANSLATE(B55, ""it"", ""en"")"),"A goalkeeper blocks a shot outside the penalty area and holds the ball for more than five seconds. What is the penalty?")</f>
        <v>A goalkeeper blocks a shot outside the penalty area and holds the ball for more than five seconds. What is the penalty?</v>
      </c>
      <c r="H55" s="3" t="str">
        <f>IFERROR(__xludf.DUMMYFUNCTION("GOOGLETRANSLATE(C55, ""it"", ""en"")"),"A. Free kick against B. Penalty C. Temporary expulsion D. Neutral throw-in")</f>
        <v>A. Free kick against B. Penalty C. Temporary expulsion D. Neutral throw-in</v>
      </c>
      <c r="I55" s="3" t="str">
        <f>IFERROR(__xludf.DUMMYFUNCTION("GOOGLETRANSLATE(D55, ""it"", ""en"")"),"Punishment against")</f>
        <v>Punishment against</v>
      </c>
      <c r="J55" s="2"/>
      <c r="K55" s="2"/>
      <c r="L55" s="2"/>
      <c r="M55" s="2"/>
      <c r="N55" s="2"/>
      <c r="O55" s="2"/>
      <c r="P55" s="2"/>
      <c r="Q55" s="2"/>
      <c r="R55" s="2"/>
      <c r="S55" s="2"/>
      <c r="T55" s="2"/>
      <c r="U55" s="2"/>
      <c r="V55" s="2"/>
    </row>
    <row r="56" ht="22.5" customHeight="1">
      <c r="A56" s="3">
        <v>55.0</v>
      </c>
      <c r="B56" s="3" t="s">
        <v>1206</v>
      </c>
      <c r="C56" s="3" t="s">
        <v>1207</v>
      </c>
      <c r="D56" s="3" t="s">
        <v>1107</v>
      </c>
      <c r="E56" s="2"/>
      <c r="F56" s="3" t="str">
        <f>IFERROR(__xludf.DUMMYFUNCTION("GOOGLETRANSLATE(A56, ""it"", ""en"")"),"55")</f>
        <v>55</v>
      </c>
      <c r="G56" s="3" t="str">
        <f>IFERROR(__xludf.DUMMYFUNCTION("GOOGLETRANSLATE(B56, ""it"", ""en"")"),"A referee awards a penalty, but the defending team protests en masse. What's the penalty?")</f>
        <v>A referee awards a penalty, but the defending team protests en masse. What's the penalty?</v>
      </c>
      <c r="H56" s="3" t="str">
        <f>IFERROR(__xludf.DUMMYFUNCTION("GOOGLETRANSLATE(C56, ""it"", ""en"")"),"A. Neutral throw-in B. Penalty C. Free kick against D. Temporary expulsion")</f>
        <v>A. Neutral throw-in B. Penalty C. Free kick against D. Temporary expulsion</v>
      </c>
      <c r="I56" s="3" t="str">
        <f>IFERROR(__xludf.DUMMYFUNCTION("GOOGLETRANSLATE(D56, ""it"", ""en"")"),"Temporary expulsion")</f>
        <v>Temporary expulsion</v>
      </c>
      <c r="J56" s="2"/>
      <c r="K56" s="2"/>
      <c r="L56" s="2"/>
      <c r="M56" s="2"/>
      <c r="N56" s="2"/>
      <c r="O56" s="2"/>
      <c r="P56" s="2"/>
      <c r="Q56" s="2"/>
      <c r="R56" s="2"/>
      <c r="S56" s="2"/>
      <c r="T56" s="2"/>
      <c r="U56" s="2"/>
      <c r="V56" s="2"/>
    </row>
    <row r="57" ht="22.5" customHeight="1">
      <c r="A57" s="3">
        <v>56.0</v>
      </c>
      <c r="B57" s="3" t="s">
        <v>1208</v>
      </c>
      <c r="C57" s="3" t="s">
        <v>1209</v>
      </c>
      <c r="D57" s="3" t="s">
        <v>1199</v>
      </c>
      <c r="E57" s="2"/>
      <c r="F57" s="3" t="str">
        <f>IFERROR(__xludf.DUMMYFUNCTION("GOOGLETRANSLATE(A57, ""it"", ""en"")"),"56")</f>
        <v>56</v>
      </c>
      <c r="G57" s="3" t="str">
        <f>IFERROR(__xludf.DUMMYFUNCTION("GOOGLETRANSLATE(B57, ""it"", ""en"")"),"A technical foul is committed during a throw-in. Where does play restart?")</f>
        <v>A technical foul is committed during a throw-in. Where does play restart?</v>
      </c>
      <c r="H57" s="3" t="str">
        <f>IFERROR(__xludf.DUMMYFUNCTION("GOOGLETRANSLATE(C57, ""it"", ""en"")"),"A. At the spot of the foul B. On the 5-meter line C. On the halfway line D. No penalty")</f>
        <v>A. At the spot of the foul B. On the 5-meter line C. On the halfway line D. No penalty</v>
      </c>
      <c r="I57" s="3" t="str">
        <f>IFERROR(__xludf.DUMMYFUNCTION("GOOGLETRANSLATE(D57, ""it"", ""en"")"),"At the point of foul")</f>
        <v>At the point of foul</v>
      </c>
      <c r="J57" s="2"/>
      <c r="K57" s="2"/>
      <c r="L57" s="2"/>
      <c r="M57" s="2"/>
      <c r="N57" s="2"/>
      <c r="O57" s="2"/>
      <c r="P57" s="2"/>
      <c r="Q57" s="2"/>
      <c r="R57" s="2"/>
      <c r="S57" s="2"/>
      <c r="T57" s="2"/>
      <c r="U57" s="2"/>
      <c r="V57" s="2"/>
    </row>
    <row r="58" ht="22.5" customHeight="1">
      <c r="A58" s="3">
        <v>57.0</v>
      </c>
      <c r="B58" s="3" t="s">
        <v>1210</v>
      </c>
      <c r="C58" s="3" t="s">
        <v>1211</v>
      </c>
      <c r="D58" s="3" t="s">
        <v>1107</v>
      </c>
      <c r="E58" s="2"/>
      <c r="F58" s="3" t="str">
        <f>IFERROR(__xludf.DUMMYFUNCTION("GOOGLETRANSLATE(A58, ""it"", ""en"")"),"57")</f>
        <v>57</v>
      </c>
      <c r="G58" s="3" t="str">
        <f>IFERROR(__xludf.DUMMYFUNCTION("GOOGLETRANSLATE(B58, ""it"", ""en"")"),"A player commits a foul during a quick restart. What is the penalty?")</f>
        <v>A player commits a foul during a quick restart. What is the penalty?</v>
      </c>
      <c r="H58" s="3" t="str">
        <f>IFERROR(__xludf.DUMMYFUNCTION("GOOGLETRANSLATE(C58, ""it"", ""en"")"),"A. Temporary expulsion B. Penalty C. Neutral throw-in D. Free kick against")</f>
        <v>A. Temporary expulsion B. Penalty C. Neutral throw-in D. Free kick against</v>
      </c>
      <c r="I58" s="3" t="str">
        <f>IFERROR(__xludf.DUMMYFUNCTION("GOOGLETRANSLATE(D58, ""it"", ""en"")"),"Temporary expulsion")</f>
        <v>Temporary expulsion</v>
      </c>
      <c r="J58" s="2"/>
      <c r="K58" s="2"/>
      <c r="L58" s="2"/>
      <c r="M58" s="2"/>
      <c r="N58" s="2"/>
      <c r="O58" s="2"/>
      <c r="P58" s="2"/>
      <c r="Q58" s="2"/>
      <c r="R58" s="2"/>
      <c r="S58" s="2"/>
      <c r="T58" s="2"/>
      <c r="U58" s="2"/>
      <c r="V58" s="2"/>
    </row>
    <row r="59" ht="22.5" customHeight="1">
      <c r="A59" s="3">
        <v>58.0</v>
      </c>
      <c r="B59" s="3" t="s">
        <v>1212</v>
      </c>
      <c r="C59" s="3" t="s">
        <v>1213</v>
      </c>
      <c r="D59" s="3" t="s">
        <v>1107</v>
      </c>
      <c r="E59" s="2"/>
      <c r="F59" s="3" t="str">
        <f>IFERROR(__xludf.DUMMYFUNCTION("GOOGLETRANSLATE(A59, ""it"", ""en"")"),"58")</f>
        <v>58</v>
      </c>
      <c r="G59" s="3" t="str">
        <f>IFERROR(__xludf.DUMMYFUNCTION("GOOGLETRANSLATE(B59, ""it"", ""en"")"),"A referee calls a foul, but the offending player continues to hold the ball. What's the decision?")</f>
        <v>A referee calls a foul, but the offending player continues to hold the ball. What's the decision?</v>
      </c>
      <c r="H59" s="3" t="str">
        <f>IFERROR(__xludf.DUMMYFUNCTION("GOOGLETRANSLATE(C59, ""it"", ""en"")"),"A. Temporary expulsion B. Neutral throw-in C. Free kick against D. Penalty")</f>
        <v>A. Temporary expulsion B. Neutral throw-in C. Free kick against D. Penalty</v>
      </c>
      <c r="I59" s="3" t="str">
        <f>IFERROR(__xludf.DUMMYFUNCTION("GOOGLETRANSLATE(D59, ""it"", ""en"")"),"Temporary expulsion")</f>
        <v>Temporary expulsion</v>
      </c>
      <c r="J59" s="2"/>
      <c r="K59" s="2"/>
      <c r="L59" s="2"/>
      <c r="M59" s="2"/>
      <c r="N59" s="2"/>
      <c r="O59" s="2"/>
      <c r="P59" s="2"/>
      <c r="Q59" s="2"/>
      <c r="R59" s="2"/>
      <c r="S59" s="2"/>
      <c r="T59" s="2"/>
      <c r="U59" s="2"/>
      <c r="V59" s="2"/>
    </row>
    <row r="60" ht="22.5" customHeight="1">
      <c r="A60" s="3">
        <v>59.0</v>
      </c>
      <c r="B60" s="3" t="s">
        <v>1214</v>
      </c>
      <c r="C60" s="3" t="s">
        <v>1215</v>
      </c>
      <c r="D60" s="3" t="s">
        <v>1194</v>
      </c>
      <c r="E60" s="2"/>
      <c r="F60" s="3" t="str">
        <f>IFERROR(__xludf.DUMMYFUNCTION("GOOGLETRANSLATE(A60, ""it"", ""en"")"),"59")</f>
        <v>59</v>
      </c>
      <c r="G60" s="3" t="str">
        <f>IFERROR(__xludf.DUMMYFUNCTION("GOOGLETRANSLATE(B60, ""it"", ""en"")"),"An attacker moves beyond the 5-meter line before the ball is touched. What is the penalty?")</f>
        <v>An attacker moves beyond the 5-meter line before the ball is touched. What is the penalty?</v>
      </c>
      <c r="H60" s="3" t="str">
        <f>IFERROR(__xludf.DUMMYFUNCTION("GOOGLETRANSLATE(C60, ""it"", ""en"")"),"A. Free kick against B. Penalty C. Temporary expulsion D. No penalty")</f>
        <v>A. Free kick against B. Penalty C. Temporary expulsion D. No penalty</v>
      </c>
      <c r="I60" s="3" t="str">
        <f>IFERROR(__xludf.DUMMYFUNCTION("GOOGLETRANSLATE(D60, ""it"", ""en"")"),"Punishment against")</f>
        <v>Punishment against</v>
      </c>
      <c r="J60" s="2"/>
      <c r="K60" s="2"/>
      <c r="L60" s="2"/>
      <c r="M60" s="2"/>
      <c r="N60" s="2"/>
      <c r="O60" s="2"/>
      <c r="P60" s="2"/>
      <c r="Q60" s="2"/>
      <c r="R60" s="2"/>
      <c r="S60" s="2"/>
      <c r="T60" s="2"/>
      <c r="U60" s="2"/>
      <c r="V60" s="2"/>
    </row>
    <row r="61" ht="22.5" customHeight="1">
      <c r="A61" s="3">
        <v>60.0</v>
      </c>
      <c r="B61" s="3" t="s">
        <v>1216</v>
      </c>
      <c r="C61" s="3" t="s">
        <v>1217</v>
      </c>
      <c r="D61" s="3" t="s">
        <v>1218</v>
      </c>
      <c r="E61" s="2"/>
      <c r="F61" s="3" t="str">
        <f>IFERROR(__xludf.DUMMYFUNCTION("GOOGLETRANSLATE(A61, ""it"", ""en"")"),"60")</f>
        <v>60</v>
      </c>
      <c r="G61" s="3" t="str">
        <f>IFERROR(__xludf.DUMMYFUNCTION("GOOGLETRANSLATE(B61, ""it"", ""en"")"),"A referee awards a free kick, but the player takes it from a different spot. What's the decision?")</f>
        <v>A referee awards a free kick, but the player takes it from a different spot. What's the decision?</v>
      </c>
      <c r="H61" s="3" t="str">
        <f>IFERROR(__xludf.DUMMYFUNCTION("GOOGLETRANSLATE(C61, ""it"", ""en"")"),"A. Repetition of the penalty B. Penalty against C. Neutral throw D. Temporary expulsion")</f>
        <v>A. Repetition of the penalty B. Penalty against C. Neutral throw D. Temporary expulsion</v>
      </c>
      <c r="I61" s="3" t="str">
        <f>IFERROR(__xludf.DUMMYFUNCTION("GOOGLETRANSLATE(D61, ""it"", ""en"")"),"Repetition of punishment")</f>
        <v>Repetition of punishment</v>
      </c>
      <c r="J61" s="2"/>
      <c r="K61" s="2"/>
      <c r="L61" s="2"/>
      <c r="M61" s="2"/>
      <c r="N61" s="2"/>
      <c r="O61" s="2"/>
      <c r="P61" s="2"/>
      <c r="Q61" s="2"/>
      <c r="R61" s="2"/>
      <c r="S61" s="2"/>
      <c r="T61" s="2"/>
      <c r="U61" s="2"/>
      <c r="V61" s="2"/>
    </row>
    <row r="62" ht="22.5" customHeight="1">
      <c r="A62" s="3">
        <v>61.0</v>
      </c>
      <c r="B62" s="3" t="s">
        <v>1219</v>
      </c>
      <c r="C62" s="3" t="s">
        <v>1220</v>
      </c>
      <c r="D62" s="3" t="s">
        <v>1102</v>
      </c>
      <c r="E62" s="2"/>
      <c r="F62" s="3" t="str">
        <f>IFERROR(__xludf.DUMMYFUNCTION("GOOGLETRANSLATE(A62, ""it"", ""en"")"),"61")</f>
        <v>61</v>
      </c>
      <c r="G62" s="3" t="str">
        <f>IFERROR(__xludf.DUMMYFUNCTION("GOOGLETRANSLATE(B62, ""it"", ""en"")"),"A defender intentionally enters the goal to block a shot. What's the decision?")</f>
        <v>A defender intentionally enters the goal to block a shot. What's the decision?</v>
      </c>
      <c r="H62" s="3" t="str">
        <f>IFERROR(__xludf.DUMMYFUNCTION("GOOGLETRANSLATE(C62, ""it"", ""en"")"),"A. Penalty B. Temporary expulsion C. Free kick against D. Neutral throw-in")</f>
        <v>A. Penalty B. Temporary expulsion C. Free kick against D. Neutral throw-in</v>
      </c>
      <c r="I62" s="3" t="str">
        <f>IFERROR(__xludf.DUMMYFUNCTION("GOOGLETRANSLATE(D62, ""it"", ""en"")"),"Rigour")</f>
        <v>Rigour</v>
      </c>
      <c r="J62" s="2"/>
      <c r="K62" s="2"/>
      <c r="L62" s="2"/>
      <c r="M62" s="2"/>
      <c r="N62" s="2"/>
      <c r="O62" s="2"/>
      <c r="P62" s="2"/>
      <c r="Q62" s="2"/>
      <c r="R62" s="2"/>
      <c r="S62" s="2"/>
      <c r="T62" s="2"/>
      <c r="U62" s="2"/>
      <c r="V62" s="2"/>
    </row>
    <row r="63" ht="22.5" customHeight="1">
      <c r="A63" s="3">
        <v>62.0</v>
      </c>
      <c r="B63" s="3" t="s">
        <v>1221</v>
      </c>
      <c r="C63" s="3" t="s">
        <v>1222</v>
      </c>
      <c r="D63" s="3" t="s">
        <v>1194</v>
      </c>
      <c r="E63" s="2"/>
      <c r="F63" s="3" t="str">
        <f>IFERROR(__xludf.DUMMYFUNCTION("GOOGLETRANSLATE(A63, ""it"", ""en"")"),"62")</f>
        <v>62</v>
      </c>
      <c r="G63" s="3" t="str">
        <f>IFERROR(__xludf.DUMMYFUNCTION("GOOGLETRANSLATE(B63, ""it"", ""en"")"),"A player grabs an opponent to gain position. What's the decision?")</f>
        <v>A player grabs an opponent to gain position. What's the decision?</v>
      </c>
      <c r="H63" s="3" t="str">
        <f>IFERROR(__xludf.DUMMYFUNCTION("GOOGLETRANSLATE(C63, ""it"", ""en"")"),"A. Free kick against B. Temporary expulsion C. Neutral throw-in D. Penalty")</f>
        <v>A. Free kick against B. Temporary expulsion C. Neutral throw-in D. Penalty</v>
      </c>
      <c r="I63" s="3" t="str">
        <f>IFERROR(__xludf.DUMMYFUNCTION("GOOGLETRANSLATE(D63, ""it"", ""en"")"),"Punishment against")</f>
        <v>Punishment against</v>
      </c>
      <c r="J63" s="2"/>
      <c r="K63" s="2"/>
      <c r="L63" s="2"/>
      <c r="M63" s="2"/>
      <c r="N63" s="2"/>
      <c r="O63" s="2"/>
      <c r="P63" s="2"/>
      <c r="Q63" s="2"/>
      <c r="R63" s="2"/>
      <c r="S63" s="2"/>
      <c r="T63" s="2"/>
      <c r="U63" s="2"/>
      <c r="V63" s="2"/>
    </row>
    <row r="64" ht="22.5" customHeight="1">
      <c r="A64" s="3">
        <v>63.0</v>
      </c>
      <c r="B64" s="3" t="s">
        <v>1223</v>
      </c>
      <c r="C64" s="3" t="s">
        <v>1224</v>
      </c>
      <c r="D64" s="3" t="s">
        <v>1088</v>
      </c>
      <c r="E64" s="2"/>
      <c r="F64" s="3" t="str">
        <f>IFERROR(__xludf.DUMMYFUNCTION("GOOGLETRANSLATE(A64, ""it"", ""en"")"),"63")</f>
        <v>63</v>
      </c>
      <c r="G64" s="3" t="str">
        <f>IFERROR(__xludf.DUMMYFUNCTION("GOOGLETRANSLATE(B64, ""it"", ""en"")"),"A goalkeeper leaves the net to play the ball and is hit by a counterattack. What is the consequence?")</f>
        <v>A goalkeeper leaves the net to play the ball and is hit by a counterattack. What is the consequence?</v>
      </c>
      <c r="H64" s="3" t="str">
        <f>IFERROR(__xludf.DUMMYFUNCTION("GOOGLETRANSLATE(C64, ""it"", ""en"")"),"A. No penalty B. Penalty C. Free kick against D. Temporary expulsion")</f>
        <v>A. No penalty B. Penalty C. Free kick against D. Temporary expulsion</v>
      </c>
      <c r="I64" s="3" t="str">
        <f>IFERROR(__xludf.DUMMYFUNCTION("GOOGLETRANSLATE(D64, ""it"", ""en"")"),"No penalty")</f>
        <v>No penalty</v>
      </c>
      <c r="J64" s="2"/>
      <c r="K64" s="2"/>
      <c r="L64" s="2"/>
      <c r="M64" s="2"/>
      <c r="N64" s="2"/>
      <c r="O64" s="2"/>
      <c r="P64" s="2"/>
      <c r="Q64" s="2"/>
      <c r="R64" s="2"/>
      <c r="S64" s="2"/>
      <c r="T64" s="2"/>
      <c r="U64" s="2"/>
      <c r="V64" s="2"/>
    </row>
    <row r="65" ht="22.5" customHeight="1">
      <c r="A65" s="3">
        <v>64.0</v>
      </c>
      <c r="B65" s="3" t="s">
        <v>1225</v>
      </c>
      <c r="C65" s="3" t="s">
        <v>1226</v>
      </c>
      <c r="D65" s="3" t="s">
        <v>1107</v>
      </c>
      <c r="E65" s="2"/>
      <c r="F65" s="3" t="str">
        <f>IFERROR(__xludf.DUMMYFUNCTION("GOOGLETRANSLATE(A65, ""it"", ""en"")"),"64")</f>
        <v>64</v>
      </c>
      <c r="G65" s="3" t="str">
        <f>IFERROR(__xludf.DUMMYFUNCTION("GOOGLETRANSLATE(B65, ""it"", ""en"")"),"A player catches the ball and holds it under the water to protect himself. What's the penalty?")</f>
        <v>A player catches the ball and holds it under the water to protect himself. What's the penalty?</v>
      </c>
      <c r="H65" s="3" t="str">
        <f>IFERROR(__xludf.DUMMYFUNCTION("GOOGLETRANSLATE(C65, ""it"", ""en"")"),"A. Temporary expulsion B. Free kick against C. Penalty D. Neutral throw-in")</f>
        <v>A. Temporary expulsion B. Free kick against C. Penalty D. Neutral throw-in</v>
      </c>
      <c r="I65" s="3" t="str">
        <f>IFERROR(__xludf.DUMMYFUNCTION("GOOGLETRANSLATE(D65, ""it"", ""en"")"),"Temporary expulsion")</f>
        <v>Temporary expulsion</v>
      </c>
      <c r="J65" s="2"/>
      <c r="K65" s="2"/>
      <c r="L65" s="2"/>
      <c r="M65" s="2"/>
      <c r="N65" s="2"/>
      <c r="O65" s="2"/>
      <c r="P65" s="2"/>
      <c r="Q65" s="2"/>
      <c r="R65" s="2"/>
      <c r="S65" s="2"/>
      <c r="T65" s="2"/>
      <c r="U65" s="2"/>
      <c r="V65" s="2"/>
    </row>
    <row r="66" ht="22.5" customHeight="1">
      <c r="A66" s="3">
        <v>65.0</v>
      </c>
      <c r="B66" s="3" t="s">
        <v>1227</v>
      </c>
      <c r="C66" s="3" t="s">
        <v>1207</v>
      </c>
      <c r="D66" s="3" t="s">
        <v>1102</v>
      </c>
      <c r="E66" s="2"/>
      <c r="F66" s="3" t="str">
        <f>IFERROR(__xludf.DUMMYFUNCTION("GOOGLETRANSLATE(A66, ""it"", ""en"")"),"65")</f>
        <v>65</v>
      </c>
      <c r="G66" s="3" t="str">
        <f>IFERROR(__xludf.DUMMYFUNCTION("GOOGLETRANSLATE(B66, ""it"", ""en"")"),"A referee calls a technical foul during a free throw. What happens?")</f>
        <v>A referee calls a technical foul during a free throw. What happens?</v>
      </c>
      <c r="H66" s="3" t="str">
        <f>IFERROR(__xludf.DUMMYFUNCTION("GOOGLETRANSLATE(C66, ""it"", ""en"")"),"A. Neutral throw-in B. Penalty C. Free kick against D. Temporary expulsion")</f>
        <v>A. Neutral throw-in B. Penalty C. Free kick against D. Temporary expulsion</v>
      </c>
      <c r="I66" s="3" t="str">
        <f>IFERROR(__xludf.DUMMYFUNCTION("GOOGLETRANSLATE(D66, ""it"", ""en"")"),"Rigour")</f>
        <v>Rigour</v>
      </c>
      <c r="J66" s="2"/>
      <c r="K66" s="2"/>
      <c r="L66" s="2"/>
      <c r="M66" s="2"/>
      <c r="N66" s="2"/>
      <c r="O66" s="2"/>
      <c r="P66" s="2"/>
      <c r="Q66" s="2"/>
      <c r="R66" s="2"/>
      <c r="S66" s="2"/>
      <c r="T66" s="2"/>
      <c r="U66" s="2"/>
      <c r="V66" s="2"/>
    </row>
    <row r="67" ht="22.5" customHeight="1">
      <c r="A67" s="3">
        <v>66.0</v>
      </c>
      <c r="B67" s="3" t="s">
        <v>1228</v>
      </c>
      <c r="C67" s="3" t="s">
        <v>1222</v>
      </c>
      <c r="D67" s="3" t="s">
        <v>1194</v>
      </c>
      <c r="E67" s="2"/>
      <c r="F67" s="3" t="str">
        <f>IFERROR(__xludf.DUMMYFUNCTION("GOOGLETRANSLATE(A67, ""it"", ""en"")"),"66")</f>
        <v>66</v>
      </c>
      <c r="G67" s="3" t="str">
        <f>IFERROR(__xludf.DUMMYFUNCTION("GOOGLETRANSLATE(B67, ""it"", ""en"")"),"A defender uses his arm to block an attacker's movement. What's the decision?")</f>
        <v>A defender uses his arm to block an attacker's movement. What's the decision?</v>
      </c>
      <c r="H67" s="3" t="str">
        <f>IFERROR(__xludf.DUMMYFUNCTION("GOOGLETRANSLATE(C67, ""it"", ""en"")"),"A. Free kick against B. Temporary expulsion C. Neutral throw-in D. Penalty")</f>
        <v>A. Free kick against B. Temporary expulsion C. Neutral throw-in D. Penalty</v>
      </c>
      <c r="I67" s="3" t="str">
        <f>IFERROR(__xludf.DUMMYFUNCTION("GOOGLETRANSLATE(D67, ""it"", ""en"")"),"Punishment against")</f>
        <v>Punishment against</v>
      </c>
      <c r="J67" s="2"/>
      <c r="K67" s="2"/>
      <c r="L67" s="2"/>
      <c r="M67" s="2"/>
      <c r="N67" s="2"/>
      <c r="O67" s="2"/>
      <c r="P67" s="2"/>
      <c r="Q67" s="2"/>
      <c r="R67" s="2"/>
      <c r="S67" s="2"/>
      <c r="T67" s="2"/>
      <c r="U67" s="2"/>
      <c r="V67" s="2"/>
    </row>
    <row r="68" ht="22.5" customHeight="1">
      <c r="A68" s="3">
        <v>67.0</v>
      </c>
      <c r="B68" s="3" t="s">
        <v>1229</v>
      </c>
      <c r="C68" s="3" t="s">
        <v>1230</v>
      </c>
      <c r="D68" s="3" t="s">
        <v>1194</v>
      </c>
      <c r="E68" s="2"/>
      <c r="F68" s="3" t="str">
        <f>IFERROR(__xludf.DUMMYFUNCTION("GOOGLETRANSLATE(A68, ""it"", ""en"")"),"67")</f>
        <v>67</v>
      </c>
      <c r="G68" s="3" t="str">
        <f>IFERROR(__xludf.DUMMYFUNCTION("GOOGLETRANSLATE(B68, ""it"", ""en"")"),"A goalkeeper holds the ball for more than 10 seconds. What's the penalty?")</f>
        <v>A goalkeeper holds the ball for more than 10 seconds. What's the penalty?</v>
      </c>
      <c r="H68" s="3" t="str">
        <f>IFERROR(__xludf.DUMMYFUNCTION("GOOGLETRANSLATE(C68, ""it"", ""en"")"),"A. Free kick against B. Neutral throw C. Penalty D. Temporary expulsion")</f>
        <v>A. Free kick against B. Neutral throw C. Penalty D. Temporary expulsion</v>
      </c>
      <c r="I68" s="3" t="str">
        <f>IFERROR(__xludf.DUMMYFUNCTION("GOOGLETRANSLATE(D68, ""it"", ""en"")"),"Punishment against")</f>
        <v>Punishment against</v>
      </c>
      <c r="J68" s="2"/>
      <c r="K68" s="2"/>
      <c r="L68" s="2"/>
      <c r="M68" s="2"/>
      <c r="N68" s="2"/>
      <c r="O68" s="2"/>
      <c r="P68" s="2"/>
      <c r="Q68" s="2"/>
      <c r="R68" s="2"/>
      <c r="S68" s="2"/>
      <c r="T68" s="2"/>
      <c r="U68" s="2"/>
      <c r="V68" s="2"/>
    </row>
    <row r="69" ht="22.5" customHeight="1">
      <c r="A69" s="3">
        <v>68.0</v>
      </c>
      <c r="B69" s="3" t="s">
        <v>1231</v>
      </c>
      <c r="C69" s="3" t="s">
        <v>1230</v>
      </c>
      <c r="D69" s="3" t="s">
        <v>1194</v>
      </c>
      <c r="E69" s="2"/>
      <c r="F69" s="3" t="str">
        <f>IFERROR(__xludf.DUMMYFUNCTION("GOOGLETRANSLATE(A69, ""it"", ""en"")"),"68")</f>
        <v>68</v>
      </c>
      <c r="G69" s="3" t="str">
        <f>IFERROR(__xludf.DUMMYFUNCTION("GOOGLETRANSLATE(B69, ""it"", ""en"")"),"A foul is committed while the ball is out of play. What happens?")</f>
        <v>A foul is committed while the ball is out of play. What happens?</v>
      </c>
      <c r="H69" s="3" t="str">
        <f>IFERROR(__xludf.DUMMYFUNCTION("GOOGLETRANSLATE(C69, ""it"", ""en"")"),"A. Free kick against B. Neutral throw C. Penalty D. Temporary expulsion")</f>
        <v>A. Free kick against B. Neutral throw C. Penalty D. Temporary expulsion</v>
      </c>
      <c r="I69" s="3" t="str">
        <f>IFERROR(__xludf.DUMMYFUNCTION("GOOGLETRANSLATE(D69, ""it"", ""en"")"),"Punishment against")</f>
        <v>Punishment against</v>
      </c>
      <c r="J69" s="2"/>
      <c r="K69" s="2"/>
      <c r="L69" s="2"/>
      <c r="M69" s="2"/>
      <c r="N69" s="2"/>
      <c r="O69" s="2"/>
      <c r="P69" s="2"/>
      <c r="Q69" s="2"/>
      <c r="R69" s="2"/>
      <c r="S69" s="2"/>
      <c r="T69" s="2"/>
      <c r="U69" s="2"/>
      <c r="V69" s="2"/>
    </row>
    <row r="70" ht="22.5" customHeight="1">
      <c r="A70" s="3">
        <v>69.0</v>
      </c>
      <c r="B70" s="3" t="s">
        <v>1232</v>
      </c>
      <c r="C70" s="3" t="s">
        <v>1233</v>
      </c>
      <c r="D70" s="3" t="s">
        <v>1115</v>
      </c>
      <c r="E70" s="2"/>
      <c r="F70" s="3" t="str">
        <f>IFERROR(__xludf.DUMMYFUNCTION("GOOGLETRANSLATE(A70, ""it"", ""en"")"),"69")</f>
        <v>69</v>
      </c>
      <c r="G70" s="3" t="str">
        <f>IFERROR(__xludf.DUMMYFUNCTION("GOOGLETRANSLATE(B70, ""it"", ""en"")"),"A goalkeeper leaves the water during play to protest. What is the consequence?")</f>
        <v>A goalkeeper leaves the water during play to protest. What is the consequence?</v>
      </c>
      <c r="H70" s="3" t="str">
        <f>IFERROR(__xludf.DUMMYFUNCTION("GOOGLETRANSLATE(C70, ""it"", ""en"")"),"A. Permanent expulsion B. Neutral throw-in C. Penalty D. Free kick against")</f>
        <v>A. Permanent expulsion B. Neutral throw-in C. Penalty D. Free kick against</v>
      </c>
      <c r="I70" s="3" t="str">
        <f>IFERROR(__xludf.DUMMYFUNCTION("GOOGLETRANSLATE(D70, ""it"", ""en"")"),"Permanent expulsion")</f>
        <v>Permanent expulsion</v>
      </c>
      <c r="J70" s="2"/>
      <c r="K70" s="2"/>
      <c r="L70" s="2"/>
      <c r="M70" s="2"/>
      <c r="N70" s="2"/>
      <c r="O70" s="2"/>
      <c r="P70" s="2"/>
      <c r="Q70" s="2"/>
      <c r="R70" s="2"/>
      <c r="S70" s="2"/>
      <c r="T70" s="2"/>
      <c r="U70" s="2"/>
      <c r="V70" s="2"/>
    </row>
    <row r="71" ht="22.5" customHeight="1">
      <c r="A71" s="3">
        <v>70.0</v>
      </c>
      <c r="B71" s="3" t="s">
        <v>1234</v>
      </c>
      <c r="C71" s="3" t="s">
        <v>1235</v>
      </c>
      <c r="D71" s="3" t="s">
        <v>1218</v>
      </c>
      <c r="E71" s="2"/>
      <c r="F71" s="3" t="str">
        <f>IFERROR(__xludf.DUMMYFUNCTION("GOOGLETRANSLATE(A71, ""it"", ""en"")"),"70")</f>
        <v>70</v>
      </c>
      <c r="G71" s="3" t="str">
        <f>IFERROR(__xludf.DUMMYFUNCTION("GOOGLETRANSLATE(B71, ""it"", ""en"")"),"A referee awards a free kick, but the ball isn't positioned correctly. What happens?")</f>
        <v>A referee awards a free kick, but the ball isn't positioned correctly. What happens?</v>
      </c>
      <c r="H71" s="3" t="str">
        <f>IFERROR(__xludf.DUMMYFUNCTION("GOOGLETRANSLATE(C71, ""it"", ""en"")"),"A. Retake of the free kick B. Free kick against C. Penalty D. Neutral throw-in")</f>
        <v>A. Retake of the free kick B. Free kick against C. Penalty D. Neutral throw-in</v>
      </c>
      <c r="I71" s="3" t="str">
        <f>IFERROR(__xludf.DUMMYFUNCTION("GOOGLETRANSLATE(D71, ""it"", ""en"")"),"Repetition of punishment")</f>
        <v>Repetition of punishment</v>
      </c>
      <c r="J71" s="2"/>
      <c r="K71" s="2"/>
      <c r="L71" s="2"/>
      <c r="M71" s="2"/>
      <c r="N71" s="2"/>
      <c r="O71" s="2"/>
      <c r="P71" s="2"/>
      <c r="Q71" s="2"/>
      <c r="R71" s="2"/>
      <c r="S71" s="2"/>
      <c r="T71" s="2"/>
      <c r="U71" s="2"/>
      <c r="V71" s="2"/>
    </row>
    <row r="72" ht="22.5" customHeight="1">
      <c r="A72" s="3">
        <v>71.0</v>
      </c>
      <c r="B72" s="3" t="s">
        <v>1236</v>
      </c>
      <c r="C72" s="3" t="s">
        <v>1222</v>
      </c>
      <c r="D72" s="3" t="s">
        <v>1194</v>
      </c>
      <c r="E72" s="2"/>
      <c r="F72" s="3" t="str">
        <f>IFERROR(__xludf.DUMMYFUNCTION("GOOGLETRANSLATE(A72, ""it"", ""en"")"),"71")</f>
        <v>71</v>
      </c>
      <c r="G72" s="3" t="str">
        <f>IFERROR(__xludf.DUMMYFUNCTION("GOOGLETRANSLATE(B72, ""it"", ""en"")"),"A defender blocks a shot with both hands outside his own penalty area. What's the decision?")</f>
        <v>A defender blocks a shot with both hands outside his own penalty area. What's the decision?</v>
      </c>
      <c r="H72" s="3" t="str">
        <f>IFERROR(__xludf.DUMMYFUNCTION("GOOGLETRANSLATE(C72, ""it"", ""en"")"),"A. Free kick against B. Temporary expulsion C. Neutral throw-in D. Penalty")</f>
        <v>A. Free kick against B. Temporary expulsion C. Neutral throw-in D. Penalty</v>
      </c>
      <c r="I72" s="3" t="str">
        <f>IFERROR(__xludf.DUMMYFUNCTION("GOOGLETRANSLATE(D72, ""it"", ""en"")"),"Punishment against")</f>
        <v>Punishment against</v>
      </c>
      <c r="J72" s="2"/>
      <c r="K72" s="2"/>
      <c r="L72" s="2"/>
      <c r="M72" s="2"/>
      <c r="N72" s="2"/>
      <c r="O72" s="2"/>
      <c r="P72" s="2"/>
      <c r="Q72" s="2"/>
      <c r="R72" s="2"/>
      <c r="S72" s="2"/>
      <c r="T72" s="2"/>
      <c r="U72" s="2"/>
      <c r="V72" s="2"/>
    </row>
    <row r="73" ht="22.5" customHeight="1">
      <c r="A73" s="3">
        <v>72.0</v>
      </c>
      <c r="B73" s="3" t="s">
        <v>1237</v>
      </c>
      <c r="C73" s="3" t="s">
        <v>1209</v>
      </c>
      <c r="D73" s="3" t="s">
        <v>1199</v>
      </c>
      <c r="E73" s="2"/>
      <c r="F73" s="3" t="str">
        <f>IFERROR(__xludf.DUMMYFUNCTION("GOOGLETRANSLATE(A73, ""it"", ""en"")"),"72")</f>
        <v>72</v>
      </c>
      <c r="G73" s="3" t="str">
        <f>IFERROR(__xludf.DUMMYFUNCTION("GOOGLETRANSLATE(B73, ""it"", ""en"")"),"A technical foul is committed near the 5-meter line. Where is the penalty taken?")</f>
        <v>A technical foul is committed near the 5-meter line. Where is the penalty taken?</v>
      </c>
      <c r="H73" s="3" t="str">
        <f>IFERROR(__xludf.DUMMYFUNCTION("GOOGLETRANSLATE(C73, ""it"", ""en"")"),"A. At the spot of the foul B. On the 5-meter line C. On the halfway line D. No penalty")</f>
        <v>A. At the spot of the foul B. On the 5-meter line C. On the halfway line D. No penalty</v>
      </c>
      <c r="I73" s="3" t="str">
        <f>IFERROR(__xludf.DUMMYFUNCTION("GOOGLETRANSLATE(D73, ""it"", ""en"")"),"At the point of foul")</f>
        <v>At the point of foul</v>
      </c>
      <c r="J73" s="2"/>
      <c r="K73" s="2"/>
      <c r="L73" s="2"/>
      <c r="M73" s="2"/>
      <c r="N73" s="2"/>
      <c r="O73" s="2"/>
      <c r="P73" s="2"/>
      <c r="Q73" s="2"/>
      <c r="R73" s="2"/>
      <c r="S73" s="2"/>
      <c r="T73" s="2"/>
      <c r="U73" s="2"/>
      <c r="V73" s="2"/>
    </row>
    <row r="74" ht="22.5" customHeight="1">
      <c r="A74" s="3">
        <v>73.0</v>
      </c>
      <c r="B74" s="3" t="s">
        <v>1238</v>
      </c>
      <c r="C74" s="3" t="s">
        <v>1239</v>
      </c>
      <c r="D74" s="3" t="s">
        <v>1194</v>
      </c>
      <c r="E74" s="2"/>
      <c r="F74" s="3" t="str">
        <f>IFERROR(__xludf.DUMMYFUNCTION("GOOGLETRANSLATE(A74, ""it"", ""en"")"),"73")</f>
        <v>73</v>
      </c>
      <c r="G74" s="3" t="str">
        <f>IFERROR(__xludf.DUMMYFUNCTION("GOOGLETRANSLATE(B74, ""it"", ""en"")"),"A referee awards a penalty, but the shooter misses the time limit. What happens?")</f>
        <v>A referee awards a penalty, but the shooter misses the time limit. What happens?</v>
      </c>
      <c r="H74" s="3" t="str">
        <f>IFERROR(__xludf.DUMMYFUNCTION("GOOGLETRANSLATE(C74, ""it"", ""en"")"),"A. Free kick against B. Neutral throw C. Repeated penalty D. Temporary expulsion")</f>
        <v>A. Free kick against B. Neutral throw C. Repeated penalty D. Temporary expulsion</v>
      </c>
      <c r="I74" s="3" t="str">
        <f>IFERROR(__xludf.DUMMYFUNCTION("GOOGLETRANSLATE(D74, ""it"", ""en"")"),"Punishment against")</f>
        <v>Punishment against</v>
      </c>
      <c r="J74" s="2"/>
      <c r="K74" s="2"/>
      <c r="L74" s="2"/>
      <c r="M74" s="2"/>
      <c r="N74" s="2"/>
      <c r="O74" s="2"/>
      <c r="P74" s="2"/>
      <c r="Q74" s="2"/>
      <c r="R74" s="2"/>
      <c r="S74" s="2"/>
      <c r="T74" s="2"/>
      <c r="U74" s="2"/>
      <c r="V74" s="2"/>
    </row>
    <row r="75" ht="22.5" customHeight="1">
      <c r="A75" s="3">
        <v>74.0</v>
      </c>
      <c r="B75" s="3" t="s">
        <v>1240</v>
      </c>
      <c r="C75" s="3" t="s">
        <v>1241</v>
      </c>
      <c r="D75" s="3" t="s">
        <v>1194</v>
      </c>
      <c r="E75" s="2"/>
      <c r="F75" s="3" t="str">
        <f>IFERROR(__xludf.DUMMYFUNCTION("GOOGLETRANSLATE(A75, ""it"", ""en"")"),"74")</f>
        <v>74</v>
      </c>
      <c r="G75" s="3" t="str">
        <f>IFERROR(__xludf.DUMMYFUNCTION("GOOGLETRANSLATE(B75, ""it"", ""en"")"),"An attacker moves into the penalty area before the ball is passed. What is the consequence?")</f>
        <v>An attacker moves into the penalty area before the ball is passed. What is the consequence?</v>
      </c>
      <c r="H75" s="3" t="str">
        <f>IFERROR(__xludf.DUMMYFUNCTION("GOOGLETRANSLATE(C75, ""it"", ""en"")"),"A. Penalty against B. Temporary expulsion C. Neutral throw-in D. No penalty")</f>
        <v>A. Penalty against B. Temporary expulsion C. Neutral throw-in D. No penalty</v>
      </c>
      <c r="I75" s="3" t="str">
        <f>IFERROR(__xludf.DUMMYFUNCTION("GOOGLETRANSLATE(D75, ""it"", ""en"")"),"Punishment against")</f>
        <v>Punishment against</v>
      </c>
      <c r="J75" s="2"/>
      <c r="K75" s="2"/>
      <c r="L75" s="2"/>
      <c r="M75" s="2"/>
      <c r="N75" s="2"/>
      <c r="O75" s="2"/>
      <c r="P75" s="2"/>
      <c r="Q75" s="2"/>
      <c r="R75" s="2"/>
      <c r="S75" s="2"/>
      <c r="T75" s="2"/>
      <c r="U75" s="2"/>
      <c r="V75" s="2"/>
    </row>
    <row r="76" ht="22.5" customHeight="1">
      <c r="A76" s="3">
        <v>75.0</v>
      </c>
      <c r="B76" s="3" t="s">
        <v>1242</v>
      </c>
      <c r="C76" s="3" t="s">
        <v>1243</v>
      </c>
      <c r="D76" s="3" t="s">
        <v>1115</v>
      </c>
      <c r="E76" s="2"/>
      <c r="F76" s="3" t="str">
        <f>IFERROR(__xludf.DUMMYFUNCTION("GOOGLETRANSLATE(A76, ""it"", ""en"")"),"75")</f>
        <v>75</v>
      </c>
      <c r="G76" s="3" t="str">
        <f>IFERROR(__xludf.DUMMYFUNCTION("GOOGLETRANSLATE(B76, ""it"", ""en"")"),"A player re-enters the water without the referee's permission. What is the decision?")</f>
        <v>A player re-enters the water without the referee's permission. What is the decision?</v>
      </c>
      <c r="H76" s="3" t="str">
        <f>IFERROR(__xludf.DUMMYFUNCTION("GOOGLETRANSLATE(C76, ""it"", ""en"")"),"A. Permanent expulsion B. Penalty C. Free kick against D. Neutral throw-in")</f>
        <v>A. Permanent expulsion B. Penalty C. Free kick against D. Neutral throw-in</v>
      </c>
      <c r="I76" s="3" t="str">
        <f>IFERROR(__xludf.DUMMYFUNCTION("GOOGLETRANSLATE(D76, ""it"", ""en"")"),"Permanent expulsion")</f>
        <v>Permanent expulsion</v>
      </c>
      <c r="J76" s="2"/>
      <c r="K76" s="2"/>
      <c r="L76" s="2"/>
      <c r="M76" s="2"/>
      <c r="N76" s="2"/>
      <c r="O76" s="2"/>
      <c r="P76" s="2"/>
      <c r="Q76" s="2"/>
      <c r="R76" s="2"/>
      <c r="S76" s="2"/>
      <c r="T76" s="2"/>
      <c r="U76" s="2"/>
      <c r="V76" s="2"/>
    </row>
    <row r="77" ht="22.5" customHeight="1">
      <c r="A77" s="3">
        <v>76.0</v>
      </c>
      <c r="B77" s="3" t="s">
        <v>1244</v>
      </c>
      <c r="C77" s="3" t="s">
        <v>1205</v>
      </c>
      <c r="D77" s="3" t="s">
        <v>1194</v>
      </c>
      <c r="E77" s="2"/>
      <c r="F77" s="3" t="str">
        <f>IFERROR(__xludf.DUMMYFUNCTION("GOOGLETRANSLATE(A77, ""it"", ""en"")"),"76")</f>
        <v>76</v>
      </c>
      <c r="G77" s="3" t="str">
        <f>IFERROR(__xludf.DUMMYFUNCTION("GOOGLETRANSLATE(B77, ""it"", ""en"")"),"A goalkeeper blocks the ball and holds it for more than 5 seconds. What is the penalty?")</f>
        <v>A goalkeeper blocks the ball and holds it for more than 5 seconds. What is the penalty?</v>
      </c>
      <c r="H77" s="3" t="str">
        <f>IFERROR(__xludf.DUMMYFUNCTION("GOOGLETRANSLATE(C77, ""it"", ""en"")"),"A. Free kick against B. Penalty C. Temporary expulsion D. Neutral throw-in")</f>
        <v>A. Free kick against B. Penalty C. Temporary expulsion D. Neutral throw-in</v>
      </c>
      <c r="I77" s="3" t="str">
        <f>IFERROR(__xludf.DUMMYFUNCTION("GOOGLETRANSLATE(D77, ""it"", ""en"")"),"Punishment against")</f>
        <v>Punishment against</v>
      </c>
      <c r="J77" s="2"/>
      <c r="K77" s="2"/>
      <c r="L77" s="2"/>
      <c r="M77" s="2"/>
      <c r="N77" s="2"/>
      <c r="O77" s="2"/>
      <c r="P77" s="2"/>
      <c r="Q77" s="2"/>
      <c r="R77" s="2"/>
      <c r="S77" s="2"/>
      <c r="T77" s="2"/>
      <c r="U77" s="2"/>
      <c r="V77" s="2"/>
    </row>
    <row r="78" ht="22.5" customHeight="1">
      <c r="A78" s="3">
        <v>77.0</v>
      </c>
      <c r="B78" s="3" t="s">
        <v>1245</v>
      </c>
      <c r="C78" s="3" t="s">
        <v>1246</v>
      </c>
      <c r="D78" s="3" t="s">
        <v>1199</v>
      </c>
      <c r="E78" s="2"/>
      <c r="F78" s="3" t="str">
        <f>IFERROR(__xludf.DUMMYFUNCTION("GOOGLETRANSLATE(A78, ""it"", ""en"")"),"77")</f>
        <v>77</v>
      </c>
      <c r="G78" s="3" t="str">
        <f>IFERROR(__xludf.DUMMYFUNCTION("GOOGLETRANSLATE(B78, ""it"", ""en"")"),"A referee calls a technical foul in the neutral zone. Where does play resume?")</f>
        <v>A referee calls a technical foul in the neutral zone. Where does play resume?</v>
      </c>
      <c r="H78" s="3" t="str">
        <f>IFERROR(__xludf.DUMMYFUNCTION("GOOGLETRANSLATE(C78, ""it"", ""en"")"),"A. At the spot of the foul B. On the halfway line C. On the 5-meter line D. No penalty")</f>
        <v>A. At the spot of the foul B. On the halfway line C. On the 5-meter line D. No penalty</v>
      </c>
      <c r="I78" s="3" t="str">
        <f>IFERROR(__xludf.DUMMYFUNCTION("GOOGLETRANSLATE(D78, ""it"", ""en"")"),"At the point of foul")</f>
        <v>At the point of foul</v>
      </c>
      <c r="J78" s="2"/>
      <c r="K78" s="2"/>
      <c r="L78" s="2"/>
      <c r="M78" s="2"/>
      <c r="N78" s="2"/>
      <c r="O78" s="2"/>
      <c r="P78" s="2"/>
      <c r="Q78" s="2"/>
      <c r="R78" s="2"/>
      <c r="S78" s="2"/>
      <c r="T78" s="2"/>
      <c r="U78" s="2"/>
      <c r="V78" s="2"/>
    </row>
    <row r="79" ht="22.5" customHeight="1">
      <c r="A79" s="3">
        <v>78.0</v>
      </c>
      <c r="B79" s="3" t="s">
        <v>1247</v>
      </c>
      <c r="C79" s="3" t="s">
        <v>1248</v>
      </c>
      <c r="D79" s="3" t="s">
        <v>1110</v>
      </c>
      <c r="E79" s="2"/>
      <c r="F79" s="3" t="str">
        <f>IFERROR(__xludf.DUMMYFUNCTION("GOOGLETRANSLATE(A79, ""it"", ""en"")"),"78")</f>
        <v>78</v>
      </c>
      <c r="G79" s="3" t="str">
        <f>IFERROR(__xludf.DUMMYFUNCTION("GOOGLETRANSLATE(B79, ""it"", ""en"")"),"A player shoots, but the ball hits the post and bounces out of the water. What happens?")</f>
        <v>A player shoots, but the ball hits the post and bounces out of the water. What happens?</v>
      </c>
      <c r="H79" s="3" t="str">
        <f>IFERROR(__xludf.DUMMYFUNCTION("GOOGLETRANSLATE(C79, ""it"", ""en"")"),"A. Neutral throw-in B. Free kick against C. Penalty D. No penalty")</f>
        <v>A. Neutral throw-in B. Free kick against C. Penalty D. No penalty</v>
      </c>
      <c r="I79" s="3" t="str">
        <f>IFERROR(__xludf.DUMMYFUNCTION("GOOGLETRANSLATE(D79, ""it"", ""en"")"),"Neutral throw-in")</f>
        <v>Neutral throw-in</v>
      </c>
      <c r="J79" s="2"/>
      <c r="K79" s="2"/>
      <c r="L79" s="2"/>
      <c r="M79" s="2"/>
      <c r="N79" s="2"/>
      <c r="O79" s="2"/>
      <c r="P79" s="2"/>
      <c r="Q79" s="2"/>
      <c r="R79" s="2"/>
      <c r="S79" s="2"/>
      <c r="T79" s="2"/>
      <c r="U79" s="2"/>
      <c r="V79" s="2"/>
    </row>
    <row r="80" ht="22.5" customHeight="1">
      <c r="A80" s="3">
        <v>79.0</v>
      </c>
      <c r="B80" s="3" t="s">
        <v>1249</v>
      </c>
      <c r="C80" s="3" t="s">
        <v>1226</v>
      </c>
      <c r="D80" s="3" t="s">
        <v>1107</v>
      </c>
      <c r="E80" s="2"/>
      <c r="F80" s="3" t="str">
        <f>IFERROR(__xludf.DUMMYFUNCTION("GOOGLETRANSLATE(A80, ""it"", ""en"")"),"79")</f>
        <v>79</v>
      </c>
      <c r="G80" s="3" t="str">
        <f>IFERROR(__xludf.DUMMYFUNCTION("GOOGLETRANSLATE(B80, ""it"", ""en"")"),"A referee awards a free kick, but a player holds the ball underwater. What's the penalty?")</f>
        <v>A referee awards a free kick, but a player holds the ball underwater. What's the penalty?</v>
      </c>
      <c r="H80" s="3" t="str">
        <f>IFERROR(__xludf.DUMMYFUNCTION("GOOGLETRANSLATE(C80, ""it"", ""en"")"),"A. Temporary expulsion B. Free kick against C. Penalty D. Neutral throw-in")</f>
        <v>A. Temporary expulsion B. Free kick against C. Penalty D. Neutral throw-in</v>
      </c>
      <c r="I80" s="3" t="str">
        <f>IFERROR(__xludf.DUMMYFUNCTION("GOOGLETRANSLATE(D80, ""it"", ""en"")"),"Temporary expulsion")</f>
        <v>Temporary expulsion</v>
      </c>
      <c r="J80" s="2"/>
      <c r="K80" s="2"/>
      <c r="L80" s="2"/>
      <c r="M80" s="2"/>
      <c r="N80" s="2"/>
      <c r="O80" s="2"/>
      <c r="P80" s="2"/>
      <c r="Q80" s="2"/>
      <c r="R80" s="2"/>
      <c r="S80" s="2"/>
      <c r="T80" s="2"/>
      <c r="U80" s="2"/>
      <c r="V80" s="2"/>
    </row>
    <row r="81" ht="22.5" customHeight="1">
      <c r="A81" s="3">
        <v>80.0</v>
      </c>
      <c r="B81" s="3" t="s">
        <v>1250</v>
      </c>
      <c r="C81" s="3" t="s">
        <v>1251</v>
      </c>
      <c r="D81" s="3" t="s">
        <v>1107</v>
      </c>
      <c r="E81" s="2"/>
      <c r="F81" s="3" t="str">
        <f>IFERROR(__xludf.DUMMYFUNCTION("GOOGLETRANSLATE(A81, ""it"", ""en"")"),"80")</f>
        <v>80</v>
      </c>
      <c r="G81" s="3" t="str">
        <f>IFERROR(__xludf.DUMMYFUNCTION("GOOGLETRANSLATE(B81, ""it"", ""en"")"),"A player vigorously protests a referee's decision. What is the consequence?")</f>
        <v>A player vigorously protests a referee's decision. What is the consequence?</v>
      </c>
      <c r="H81" s="3" t="str">
        <f>IFERROR(__xludf.DUMMYFUNCTION("GOOGLETRANSLATE(C81, ""it"", ""en"")"),"A. Temporary expulsion B. Penalty C. Free kick against D. Neutral throw-in")</f>
        <v>A. Temporary expulsion B. Penalty C. Free kick against D. Neutral throw-in</v>
      </c>
      <c r="I81" s="3" t="str">
        <f>IFERROR(__xludf.DUMMYFUNCTION("GOOGLETRANSLATE(D81, ""it"", ""en"")"),"Temporary expulsion")</f>
        <v>Temporary expulsion</v>
      </c>
      <c r="J81" s="2"/>
      <c r="K81" s="2"/>
      <c r="L81" s="2"/>
      <c r="M81" s="2"/>
      <c r="N81" s="2"/>
      <c r="O81" s="2"/>
      <c r="P81" s="2"/>
      <c r="Q81" s="2"/>
      <c r="R81" s="2"/>
      <c r="S81" s="2"/>
      <c r="T81" s="2"/>
      <c r="U81" s="2"/>
      <c r="V81" s="2"/>
    </row>
    <row r="82" ht="22.5" customHeight="1">
      <c r="A82" s="3">
        <v>81.0</v>
      </c>
      <c r="B82" s="3" t="s">
        <v>1252</v>
      </c>
      <c r="C82" s="3" t="s">
        <v>1193</v>
      </c>
      <c r="D82" s="3" t="s">
        <v>1194</v>
      </c>
      <c r="E82" s="2"/>
      <c r="F82" s="3" t="str">
        <f>IFERROR(__xludf.DUMMYFUNCTION("GOOGLETRANSLATE(A82, ""it"", ""en"")"),"81")</f>
        <v>81</v>
      </c>
      <c r="G82" s="3" t="str">
        <f>IFERROR(__xludf.DUMMYFUNCTION("GOOGLETRANSLATE(B82, ""it"", ""en"")"),"A defender holds an opponent who is moving free for a shot. What's the ruling?")</f>
        <v>A defender holds an opponent who is moving free for a shot. What's the ruling?</v>
      </c>
      <c r="H82" s="3" t="str">
        <f>IFERROR(__xludf.DUMMYFUNCTION("GOOGLETRANSLATE(C82, ""it"", ""en"")"),"A. Free kick against B. Temporary expulsion C. Penalty D. Neutral throw-in")</f>
        <v>A. Free kick against B. Temporary expulsion C. Penalty D. Neutral throw-in</v>
      </c>
      <c r="I82" s="3" t="str">
        <f>IFERROR(__xludf.DUMMYFUNCTION("GOOGLETRANSLATE(D82, ""it"", ""en"")"),"Punishment against")</f>
        <v>Punishment against</v>
      </c>
      <c r="J82" s="2"/>
      <c r="K82" s="2"/>
      <c r="L82" s="2"/>
      <c r="M82" s="2"/>
      <c r="N82" s="2"/>
      <c r="O82" s="2"/>
      <c r="P82" s="2"/>
      <c r="Q82" s="2"/>
      <c r="R82" s="2"/>
      <c r="S82" s="2"/>
      <c r="T82" s="2"/>
      <c r="U82" s="2"/>
      <c r="V82" s="2"/>
    </row>
    <row r="83" ht="22.5" customHeight="1">
      <c r="A83" s="3">
        <v>82.0</v>
      </c>
      <c r="B83" s="3" t="s">
        <v>1253</v>
      </c>
      <c r="C83" s="3" t="s">
        <v>1235</v>
      </c>
      <c r="D83" s="3" t="s">
        <v>1218</v>
      </c>
      <c r="E83" s="2"/>
      <c r="F83" s="3" t="str">
        <f>IFERROR(__xludf.DUMMYFUNCTION("GOOGLETRANSLATE(A83, ""it"", ""en"")"),"82")</f>
        <v>82</v>
      </c>
      <c r="G83" s="3" t="str">
        <f>IFERROR(__xludf.DUMMYFUNCTION("GOOGLETRANSLATE(B83, ""it"", ""en"")"),"A referee awards a free kick, but the player takes it from the wrong position. What happens?")</f>
        <v>A referee awards a free kick, but the player takes it from the wrong position. What happens?</v>
      </c>
      <c r="H83" s="3" t="str">
        <f>IFERROR(__xludf.DUMMYFUNCTION("GOOGLETRANSLATE(C83, ""it"", ""en"")"),"A. Retake of the free kick B. Free kick against C. Penalty D. Neutral throw-in")</f>
        <v>A. Retake of the free kick B. Free kick against C. Penalty D. Neutral throw-in</v>
      </c>
      <c r="I83" s="3" t="str">
        <f>IFERROR(__xludf.DUMMYFUNCTION("GOOGLETRANSLATE(D83, ""it"", ""en"")"),"Repetition of punishment")</f>
        <v>Repetition of punishment</v>
      </c>
      <c r="J83" s="2"/>
      <c r="K83" s="2"/>
      <c r="L83" s="2"/>
      <c r="M83" s="2"/>
      <c r="N83" s="2"/>
      <c r="O83" s="2"/>
      <c r="P83" s="2"/>
      <c r="Q83" s="2"/>
      <c r="R83" s="2"/>
      <c r="S83" s="2"/>
      <c r="T83" s="2"/>
      <c r="U83" s="2"/>
      <c r="V83" s="2"/>
    </row>
    <row r="84" ht="22.5" customHeight="1">
      <c r="A84" s="3">
        <v>83.0</v>
      </c>
      <c r="B84" s="3" t="s">
        <v>1254</v>
      </c>
      <c r="C84" s="3" t="s">
        <v>1193</v>
      </c>
      <c r="D84" s="3" t="s">
        <v>1194</v>
      </c>
      <c r="E84" s="2"/>
      <c r="F84" s="3" t="str">
        <f>IFERROR(__xludf.DUMMYFUNCTION("GOOGLETRANSLATE(A84, ""it"", ""en"")"),"83")</f>
        <v>83</v>
      </c>
      <c r="G84" s="3" t="str">
        <f>IFERROR(__xludf.DUMMYFUNCTION("GOOGLETRANSLATE(B84, ""it"", ""en"")"),"An attacker clings to a defender to gain position near the goal. What's the decision?")</f>
        <v>An attacker clings to a defender to gain position near the goal. What's the decision?</v>
      </c>
      <c r="H84" s="3" t="str">
        <f>IFERROR(__xludf.DUMMYFUNCTION("GOOGLETRANSLATE(C84, ""it"", ""en"")"),"A. Free kick against B. Temporary expulsion C. Penalty D. Neutral throw-in")</f>
        <v>A. Free kick against B. Temporary expulsion C. Penalty D. Neutral throw-in</v>
      </c>
      <c r="I84" s="3" t="str">
        <f>IFERROR(__xludf.DUMMYFUNCTION("GOOGLETRANSLATE(D84, ""it"", ""en"")"),"Punishment against")</f>
        <v>Punishment against</v>
      </c>
      <c r="J84" s="2"/>
      <c r="K84" s="2"/>
      <c r="L84" s="2"/>
      <c r="M84" s="2"/>
      <c r="N84" s="2"/>
      <c r="O84" s="2"/>
      <c r="P84" s="2"/>
      <c r="Q84" s="2"/>
      <c r="R84" s="2"/>
      <c r="S84" s="2"/>
      <c r="T84" s="2"/>
      <c r="U84" s="2"/>
      <c r="V84" s="2"/>
    </row>
    <row r="85" ht="22.5" customHeight="1">
      <c r="A85" s="3">
        <v>84.0</v>
      </c>
      <c r="B85" s="3" t="s">
        <v>1255</v>
      </c>
      <c r="C85" s="3" t="s">
        <v>1226</v>
      </c>
      <c r="D85" s="3" t="s">
        <v>1107</v>
      </c>
      <c r="E85" s="2"/>
      <c r="F85" s="3" t="str">
        <f>IFERROR(__xludf.DUMMYFUNCTION("GOOGLETRANSLATE(A85, ""it"", ""en"")"),"84")</f>
        <v>84</v>
      </c>
      <c r="G85" s="3" t="str">
        <f>IFERROR(__xludf.DUMMYFUNCTION("GOOGLETRANSLATE(B85, ""it"", ""en"")"),"A defender holds the ball underwater to prevent an opponent from shooting. What is the penalty?")</f>
        <v>A defender holds the ball underwater to prevent an opponent from shooting. What is the penalty?</v>
      </c>
      <c r="H85" s="3" t="str">
        <f>IFERROR(__xludf.DUMMYFUNCTION("GOOGLETRANSLATE(C85, ""it"", ""en"")"),"A. Temporary expulsion B. Free kick against C. Penalty D. Neutral throw-in")</f>
        <v>A. Temporary expulsion B. Free kick against C. Penalty D. Neutral throw-in</v>
      </c>
      <c r="I85" s="3" t="str">
        <f>IFERROR(__xludf.DUMMYFUNCTION("GOOGLETRANSLATE(D85, ""it"", ""en"")"),"Temporary expulsion")</f>
        <v>Temporary expulsion</v>
      </c>
      <c r="J85" s="2"/>
      <c r="K85" s="2"/>
      <c r="L85" s="2"/>
      <c r="M85" s="2"/>
      <c r="N85" s="2"/>
      <c r="O85" s="2"/>
      <c r="P85" s="2"/>
      <c r="Q85" s="2"/>
      <c r="R85" s="2"/>
      <c r="S85" s="2"/>
      <c r="T85" s="2"/>
      <c r="U85" s="2"/>
      <c r="V85" s="2"/>
    </row>
    <row r="86" ht="22.5" customHeight="1">
      <c r="A86" s="3">
        <v>85.0</v>
      </c>
      <c r="B86" s="3" t="s">
        <v>1256</v>
      </c>
      <c r="C86" s="3" t="s">
        <v>1257</v>
      </c>
      <c r="D86" s="3" t="s">
        <v>1194</v>
      </c>
      <c r="E86" s="2"/>
      <c r="F86" s="3" t="str">
        <f>IFERROR(__xludf.DUMMYFUNCTION("GOOGLETRANSLATE(A86, ""it"", ""en"")"),"85")</f>
        <v>85</v>
      </c>
      <c r="G86" s="3" t="str">
        <f>IFERROR(__xludf.DUMMYFUNCTION("GOOGLETRANSLATE(B86, ""it"", ""en"")"),"A player enters the penalty area without the ball during an attacking move. What's the decision?")</f>
        <v>A player enters the penalty area without the ball during an attacking move. What's the decision?</v>
      </c>
      <c r="H86" s="3" t="str">
        <f>IFERROR(__xludf.DUMMYFUNCTION("GOOGLETRANSLATE(C86, ""it"", ""en"")"),"A. Free kick against B. Temporary expulsion C. Penalty D. No penalty")</f>
        <v>A. Free kick against B. Temporary expulsion C. Penalty D. No penalty</v>
      </c>
      <c r="I86" s="3" t="str">
        <f>IFERROR(__xludf.DUMMYFUNCTION("GOOGLETRANSLATE(D86, ""it"", ""en"")"),"Punishment against")</f>
        <v>Punishment against</v>
      </c>
      <c r="J86" s="2"/>
      <c r="K86" s="2"/>
      <c r="L86" s="2"/>
      <c r="M86" s="2"/>
      <c r="N86" s="2"/>
      <c r="O86" s="2"/>
      <c r="P86" s="2"/>
      <c r="Q86" s="2"/>
      <c r="R86" s="2"/>
      <c r="S86" s="2"/>
      <c r="T86" s="2"/>
      <c r="U86" s="2"/>
      <c r="V86" s="2"/>
    </row>
    <row r="87" ht="22.5" customHeight="1">
      <c r="A87" s="3">
        <v>86.0</v>
      </c>
      <c r="B87" s="3" t="s">
        <v>1258</v>
      </c>
      <c r="C87" s="3" t="s">
        <v>1259</v>
      </c>
      <c r="D87" s="3" t="s">
        <v>1194</v>
      </c>
      <c r="E87" s="2"/>
      <c r="F87" s="3" t="str">
        <f>IFERROR(__xludf.DUMMYFUNCTION("GOOGLETRANSLATE(A87, ""it"", ""en"")"),"86")</f>
        <v>86</v>
      </c>
      <c r="G87" s="3" t="str">
        <f>IFERROR(__xludf.DUMMYFUNCTION("GOOGLETRANSLATE(B87, ""it"", ""en"")"),"A referee awards a penalty, but the taker misses the time limit. What's the decision?")</f>
        <v>A referee awards a penalty, but the taker misses the time limit. What's the decision?</v>
      </c>
      <c r="H87" s="3" t="str">
        <f>IFERROR(__xludf.DUMMYFUNCTION("GOOGLETRANSLATE(C87, ""it"", ""en"")"),"A. Free kick against B. Repeated penalty C. Temporary expulsion D. Neutral throw-in")</f>
        <v>A. Free kick against B. Repeated penalty C. Temporary expulsion D. Neutral throw-in</v>
      </c>
      <c r="I87" s="3" t="str">
        <f>IFERROR(__xludf.DUMMYFUNCTION("GOOGLETRANSLATE(D87, ""it"", ""en"")"),"Punishment against")</f>
        <v>Punishment against</v>
      </c>
      <c r="J87" s="2"/>
      <c r="K87" s="2"/>
      <c r="L87" s="2"/>
      <c r="M87" s="2"/>
      <c r="N87" s="2"/>
      <c r="O87" s="2"/>
      <c r="P87" s="2"/>
      <c r="Q87" s="2"/>
      <c r="R87" s="2"/>
      <c r="S87" s="2"/>
      <c r="T87" s="2"/>
      <c r="U87" s="2"/>
      <c r="V87" s="2"/>
    </row>
    <row r="88" ht="22.5" customHeight="1">
      <c r="A88" s="3">
        <v>87.0</v>
      </c>
      <c r="B88" s="3" t="s">
        <v>1260</v>
      </c>
      <c r="C88" s="3" t="s">
        <v>1193</v>
      </c>
      <c r="D88" s="3" t="s">
        <v>1194</v>
      </c>
      <c r="E88" s="2"/>
      <c r="F88" s="3" t="str">
        <f>IFERROR(__xludf.DUMMYFUNCTION("GOOGLETRANSLATE(A88, ""it"", ""en"")"),"87")</f>
        <v>87</v>
      </c>
      <c r="G88" s="3" t="str">
        <f>IFERROR(__xludf.DUMMYFUNCTION("GOOGLETRANSLATE(B88, ""it"", ""en"")"),"A defender blocks a shot with both hands outside the box. What's the decision?")</f>
        <v>A defender blocks a shot with both hands outside the box. What's the decision?</v>
      </c>
      <c r="H88" s="3" t="str">
        <f>IFERROR(__xludf.DUMMYFUNCTION("GOOGLETRANSLATE(C88, ""it"", ""en"")"),"A. Free kick against B. Temporary expulsion C. Penalty D. Neutral throw-in")</f>
        <v>A. Free kick against B. Temporary expulsion C. Penalty D. Neutral throw-in</v>
      </c>
      <c r="I88" s="3" t="str">
        <f>IFERROR(__xludf.DUMMYFUNCTION("GOOGLETRANSLATE(D88, ""it"", ""en"")"),"Punishment against")</f>
        <v>Punishment against</v>
      </c>
      <c r="J88" s="2"/>
      <c r="K88" s="2"/>
      <c r="L88" s="2"/>
      <c r="M88" s="2"/>
      <c r="N88" s="2"/>
      <c r="O88" s="2"/>
      <c r="P88" s="2"/>
      <c r="Q88" s="2"/>
      <c r="R88" s="2"/>
      <c r="S88" s="2"/>
      <c r="T88" s="2"/>
      <c r="U88" s="2"/>
      <c r="V88" s="2"/>
    </row>
    <row r="89" ht="22.5" customHeight="1">
      <c r="A89" s="3">
        <v>88.0</v>
      </c>
      <c r="B89" s="3" t="s">
        <v>1261</v>
      </c>
      <c r="C89" s="3" t="s">
        <v>1257</v>
      </c>
      <c r="D89" s="3" t="s">
        <v>1194</v>
      </c>
      <c r="E89" s="2"/>
      <c r="F89" s="3" t="str">
        <f>IFERROR(__xludf.DUMMYFUNCTION("GOOGLETRANSLATE(A89, ""it"", ""en"")"),"88")</f>
        <v>88</v>
      </c>
      <c r="G89" s="3" t="str">
        <f>IFERROR(__xludf.DUMMYFUNCTION("GOOGLETRANSLATE(B89, ""it"", ""en"")"),"An attacker positions himself in front of the goalkeeper, blocking his view during a shot. What's the decision?")</f>
        <v>An attacker positions himself in front of the goalkeeper, blocking his view during a shot. What's the decision?</v>
      </c>
      <c r="H89" s="3" t="str">
        <f>IFERROR(__xludf.DUMMYFUNCTION("GOOGLETRANSLATE(C89, ""it"", ""en"")"),"A. Free kick against B. Temporary expulsion C. Penalty D. No penalty")</f>
        <v>A. Free kick against B. Temporary expulsion C. Penalty D. No penalty</v>
      </c>
      <c r="I89" s="3" t="str">
        <f>IFERROR(__xludf.DUMMYFUNCTION("GOOGLETRANSLATE(D89, ""it"", ""en"")"),"Punishment against")</f>
        <v>Punishment against</v>
      </c>
      <c r="J89" s="2"/>
      <c r="K89" s="2"/>
      <c r="L89" s="2"/>
      <c r="M89" s="2"/>
      <c r="N89" s="2"/>
      <c r="O89" s="2"/>
      <c r="P89" s="2"/>
      <c r="Q89" s="2"/>
      <c r="R89" s="2"/>
      <c r="S89" s="2"/>
      <c r="T89" s="2"/>
      <c r="U89" s="2"/>
      <c r="V89" s="2"/>
    </row>
    <row r="90" ht="22.5" customHeight="1">
      <c r="A90" s="3">
        <v>89.0</v>
      </c>
      <c r="B90" s="3" t="s">
        <v>1262</v>
      </c>
      <c r="C90" s="3" t="s">
        <v>1230</v>
      </c>
      <c r="D90" s="3" t="s">
        <v>1194</v>
      </c>
      <c r="E90" s="2"/>
      <c r="F90" s="3" t="str">
        <f>IFERROR(__xludf.DUMMYFUNCTION("GOOGLETRANSLATE(A90, ""it"", ""en"")"),"89")</f>
        <v>89</v>
      </c>
      <c r="G90" s="3" t="str">
        <f>IFERROR(__xludf.DUMMYFUNCTION("GOOGLETRANSLATE(B90, ""it"", ""en"")"),"A goalkeeper intentionally kicks the ball out of bounds. What's the decision?")</f>
        <v>A goalkeeper intentionally kicks the ball out of bounds. What's the decision?</v>
      </c>
      <c r="H90" s="3" t="str">
        <f>IFERROR(__xludf.DUMMYFUNCTION("GOOGLETRANSLATE(C90, ""it"", ""en"")"),"A. Free kick against B. Neutral throw C. Penalty D. Temporary expulsion")</f>
        <v>A. Free kick against B. Neutral throw C. Penalty D. Temporary expulsion</v>
      </c>
      <c r="I90" s="3" t="str">
        <f>IFERROR(__xludf.DUMMYFUNCTION("GOOGLETRANSLATE(D90, ""it"", ""en"")"),"Punishment against")</f>
        <v>Punishment against</v>
      </c>
      <c r="J90" s="2"/>
      <c r="K90" s="2"/>
      <c r="L90" s="2"/>
      <c r="M90" s="2"/>
      <c r="N90" s="2"/>
      <c r="O90" s="2"/>
      <c r="P90" s="2"/>
      <c r="Q90" s="2"/>
      <c r="R90" s="2"/>
      <c r="S90" s="2"/>
      <c r="T90" s="2"/>
      <c r="U90" s="2"/>
      <c r="V90" s="2"/>
    </row>
    <row r="91" ht="22.5" customHeight="1">
      <c r="A91" s="3">
        <v>90.0</v>
      </c>
      <c r="B91" s="3" t="s">
        <v>1263</v>
      </c>
      <c r="C91" s="3" t="s">
        <v>1217</v>
      </c>
      <c r="D91" s="3" t="s">
        <v>1218</v>
      </c>
      <c r="E91" s="2"/>
      <c r="F91" s="3" t="str">
        <f>IFERROR(__xludf.DUMMYFUNCTION("GOOGLETRANSLATE(A91, ""it"", ""en"")"),"90")</f>
        <v>90</v>
      </c>
      <c r="G91" s="3" t="str">
        <f>IFERROR(__xludf.DUMMYFUNCTION("GOOGLETRANSLATE(B91, ""it"", ""en"")"),"A referee awards a free kick, but a player shoots before the whistle. What happens?")</f>
        <v>A referee awards a free kick, but a player shoots before the whistle. What happens?</v>
      </c>
      <c r="H91" s="3" t="str">
        <f>IFERROR(__xludf.DUMMYFUNCTION("GOOGLETRANSLATE(C91, ""it"", ""en"")"),"A. Repetition of the penalty B. Penalty against C. Neutral throw D. Temporary expulsion")</f>
        <v>A. Repetition of the penalty B. Penalty against C. Neutral throw D. Temporary expulsion</v>
      </c>
      <c r="I91" s="3" t="str">
        <f>IFERROR(__xludf.DUMMYFUNCTION("GOOGLETRANSLATE(D91, ""it"", ""en"")"),"Repetition of punishment")</f>
        <v>Repetition of punishment</v>
      </c>
      <c r="J91" s="2"/>
      <c r="K91" s="2"/>
      <c r="L91" s="2"/>
      <c r="M91" s="2"/>
      <c r="N91" s="2"/>
      <c r="O91" s="2"/>
      <c r="P91" s="2"/>
      <c r="Q91" s="2"/>
      <c r="R91" s="2"/>
      <c r="S91" s="2"/>
      <c r="T91" s="2"/>
      <c r="U91" s="2"/>
      <c r="V91" s="2"/>
    </row>
    <row r="92" ht="22.5" customHeight="1">
      <c r="A92" s="3">
        <v>91.0</v>
      </c>
      <c r="B92" s="3" t="s">
        <v>1264</v>
      </c>
      <c r="C92" s="3" t="s">
        <v>1222</v>
      </c>
      <c r="D92" s="3" t="s">
        <v>1194</v>
      </c>
      <c r="E92" s="2"/>
      <c r="F92" s="3" t="str">
        <f>IFERROR(__xludf.DUMMYFUNCTION("GOOGLETRANSLATE(A92, ""it"", ""en"")"),"91")</f>
        <v>91</v>
      </c>
      <c r="G92" s="3" t="str">
        <f>IFERROR(__xludf.DUMMYFUNCTION("GOOGLETRANSLATE(B92, ""it"", ""en"")"),"An attacker blocks a defender by grabbing his shoulder. What's the decision?")</f>
        <v>An attacker blocks a defender by grabbing his shoulder. What's the decision?</v>
      </c>
      <c r="H92" s="3" t="str">
        <f>IFERROR(__xludf.DUMMYFUNCTION("GOOGLETRANSLATE(C92, ""it"", ""en"")"),"A. Free kick against B. Temporary expulsion C. Neutral throw-in D. Penalty")</f>
        <v>A. Free kick against B. Temporary expulsion C. Neutral throw-in D. Penalty</v>
      </c>
      <c r="I92" s="3" t="str">
        <f>IFERROR(__xludf.DUMMYFUNCTION("GOOGLETRANSLATE(D92, ""it"", ""en"")"),"Punishment against")</f>
        <v>Punishment against</v>
      </c>
      <c r="J92" s="2"/>
      <c r="K92" s="2"/>
      <c r="L92" s="2"/>
      <c r="M92" s="2"/>
      <c r="N92" s="2"/>
      <c r="O92" s="2"/>
      <c r="P92" s="2"/>
      <c r="Q92" s="2"/>
      <c r="R92" s="2"/>
      <c r="S92" s="2"/>
      <c r="T92" s="2"/>
      <c r="U92" s="2"/>
      <c r="V92" s="2"/>
    </row>
    <row r="93" ht="22.5" customHeight="1">
      <c r="A93" s="3">
        <v>92.0</v>
      </c>
      <c r="B93" s="3" t="s">
        <v>1265</v>
      </c>
      <c r="C93" s="3" t="s">
        <v>1213</v>
      </c>
      <c r="D93" s="3" t="s">
        <v>1107</v>
      </c>
      <c r="E93" s="2"/>
      <c r="F93" s="3" t="str">
        <f>IFERROR(__xludf.DUMMYFUNCTION("GOOGLETRANSLATE(A93, ""it"", ""en"")"),"92")</f>
        <v>92</v>
      </c>
      <c r="G93" s="3" t="str">
        <f>IFERROR(__xludf.DUMMYFUNCTION("GOOGLETRANSLATE(B93, ""it"", ""en"")"),"A goalkeeper completely emerges from the water during play. What is the consequence?")</f>
        <v>A goalkeeper completely emerges from the water during play. What is the consequence?</v>
      </c>
      <c r="H93" s="3" t="str">
        <f>IFERROR(__xludf.DUMMYFUNCTION("GOOGLETRANSLATE(C93, ""it"", ""en"")"),"A. Temporary expulsion B. Neutral throw-in C. Free kick against D. Penalty")</f>
        <v>A. Temporary expulsion B. Neutral throw-in C. Free kick against D. Penalty</v>
      </c>
      <c r="I93" s="3" t="str">
        <f>IFERROR(__xludf.DUMMYFUNCTION("GOOGLETRANSLATE(D93, ""it"", ""en"")"),"Temporary expulsion")</f>
        <v>Temporary expulsion</v>
      </c>
      <c r="J93" s="2"/>
      <c r="K93" s="2"/>
      <c r="L93" s="2"/>
      <c r="M93" s="2"/>
      <c r="N93" s="2"/>
      <c r="O93" s="2"/>
      <c r="P93" s="2"/>
      <c r="Q93" s="2"/>
      <c r="R93" s="2"/>
      <c r="S93" s="2"/>
      <c r="T93" s="2"/>
      <c r="U93" s="2"/>
      <c r="V93" s="2"/>
    </row>
    <row r="94" ht="22.5" customHeight="1">
      <c r="A94" s="3">
        <v>93.0</v>
      </c>
      <c r="B94" s="3" t="s">
        <v>1266</v>
      </c>
      <c r="C94" s="3" t="s">
        <v>1220</v>
      </c>
      <c r="D94" s="3" t="s">
        <v>1102</v>
      </c>
      <c r="E94" s="2"/>
      <c r="F94" s="3" t="str">
        <f>IFERROR(__xludf.DUMMYFUNCTION("GOOGLETRANSLATE(A94, ""it"", ""en"")"),"93")</f>
        <v>93</v>
      </c>
      <c r="G94" s="3" t="str">
        <f>IFERROR(__xludf.DUMMYFUNCTION("GOOGLETRANSLATE(B94, ""it"", ""en"")"),"A defender holds an opponent who's preparing to shoot. What's the decision?")</f>
        <v>A defender holds an opponent who's preparing to shoot. What's the decision?</v>
      </c>
      <c r="H94" s="3" t="str">
        <f>IFERROR(__xludf.DUMMYFUNCTION("GOOGLETRANSLATE(C94, ""it"", ""en"")"),"A. Penalty B. Temporary expulsion C. Free kick against D. Neutral throw-in")</f>
        <v>A. Penalty B. Temporary expulsion C. Free kick against D. Neutral throw-in</v>
      </c>
      <c r="I94" s="3" t="str">
        <f>IFERROR(__xludf.DUMMYFUNCTION("GOOGLETRANSLATE(D94, ""it"", ""en"")"),"Rigour")</f>
        <v>Rigour</v>
      </c>
      <c r="J94" s="2"/>
      <c r="K94" s="2"/>
      <c r="L94" s="2"/>
      <c r="M94" s="2"/>
      <c r="N94" s="2"/>
      <c r="O94" s="2"/>
      <c r="P94" s="2"/>
      <c r="Q94" s="2"/>
      <c r="R94" s="2"/>
      <c r="S94" s="2"/>
      <c r="T94" s="2"/>
      <c r="U94" s="2"/>
      <c r="V94" s="2"/>
    </row>
    <row r="95" ht="22.5" customHeight="1">
      <c r="A95" s="3">
        <v>94.0</v>
      </c>
      <c r="B95" s="3" t="s">
        <v>1267</v>
      </c>
      <c r="C95" s="3" t="s">
        <v>1268</v>
      </c>
      <c r="D95" s="3" t="s">
        <v>1218</v>
      </c>
      <c r="E95" s="2"/>
      <c r="F95" s="3" t="str">
        <f>IFERROR(__xludf.DUMMYFUNCTION("GOOGLETRANSLATE(A95, ""it"", ""en"")"),"94")</f>
        <v>94</v>
      </c>
      <c r="G95" s="3" t="str">
        <f>IFERROR(__xludf.DUMMYFUNCTION("GOOGLETRANSLATE(B95, ""it"", ""en"")"),"A referee awards a free kick, but the ball is played without respecting the distance. What happens?")</f>
        <v>A referee awards a free kick, but the ball is played without respecting the distance. What happens?</v>
      </c>
      <c r="H95" s="3" t="str">
        <f>IFERROR(__xludf.DUMMYFUNCTION("GOOGLETRANSLATE(C95, ""it"", ""en"")"),"A. Retake of the free kick B. Free kick against C. Penalty D. Temporary expulsion")</f>
        <v>A. Retake of the free kick B. Free kick against C. Penalty D. Temporary expulsion</v>
      </c>
      <c r="I95" s="3" t="str">
        <f>IFERROR(__xludf.DUMMYFUNCTION("GOOGLETRANSLATE(D95, ""it"", ""en"")"),"Repetition of punishment")</f>
        <v>Repetition of punishment</v>
      </c>
      <c r="J95" s="2"/>
      <c r="K95" s="2"/>
      <c r="L95" s="2"/>
      <c r="M95" s="2"/>
      <c r="N95" s="2"/>
      <c r="O95" s="2"/>
      <c r="P95" s="2"/>
      <c r="Q95" s="2"/>
      <c r="R95" s="2"/>
      <c r="S95" s="2"/>
      <c r="T95" s="2"/>
      <c r="U95" s="2"/>
      <c r="V95" s="2"/>
    </row>
    <row r="96" ht="22.5" customHeight="1">
      <c r="A96" s="3">
        <v>95.0</v>
      </c>
      <c r="B96" s="3" t="s">
        <v>1269</v>
      </c>
      <c r="C96" s="3" t="s">
        <v>1233</v>
      </c>
      <c r="D96" s="3" t="s">
        <v>1115</v>
      </c>
      <c r="E96" s="2"/>
      <c r="F96" s="3" t="str">
        <f>IFERROR(__xludf.DUMMYFUNCTION("GOOGLETRANSLATE(A96, ""it"", ""en"")"),"95")</f>
        <v>95</v>
      </c>
      <c r="G96" s="3" t="str">
        <f>IFERROR(__xludf.DUMMYFUNCTION("GOOGLETRANSLATE(B96, ""it"", ""en"")"),"A player protests a referee's decision and leaves the field. What are the consequences?")</f>
        <v>A player protests a referee's decision and leaves the field. What are the consequences?</v>
      </c>
      <c r="H96" s="3" t="str">
        <f>IFERROR(__xludf.DUMMYFUNCTION("GOOGLETRANSLATE(C96, ""it"", ""en"")"),"A. Permanent expulsion B. Neutral throw-in C. Penalty D. Free kick against")</f>
        <v>A. Permanent expulsion B. Neutral throw-in C. Penalty D. Free kick against</v>
      </c>
      <c r="I96" s="3" t="str">
        <f>IFERROR(__xludf.DUMMYFUNCTION("GOOGLETRANSLATE(D96, ""it"", ""en"")"),"Permanent expulsion")</f>
        <v>Permanent expulsion</v>
      </c>
      <c r="J96" s="2"/>
      <c r="K96" s="2"/>
      <c r="L96" s="2"/>
      <c r="M96" s="2"/>
      <c r="N96" s="2"/>
      <c r="O96" s="2"/>
      <c r="P96" s="2"/>
      <c r="Q96" s="2"/>
      <c r="R96" s="2"/>
      <c r="S96" s="2"/>
      <c r="T96" s="2"/>
      <c r="U96" s="2"/>
      <c r="V96" s="2"/>
    </row>
    <row r="97" ht="22.5" customHeight="1">
      <c r="A97" s="3">
        <v>96.0</v>
      </c>
      <c r="B97" s="3" t="s">
        <v>1270</v>
      </c>
      <c r="C97" s="3" t="s">
        <v>1230</v>
      </c>
      <c r="D97" s="3" t="s">
        <v>1194</v>
      </c>
      <c r="E97" s="2"/>
      <c r="F97" s="3" t="str">
        <f>IFERROR(__xludf.DUMMYFUNCTION("GOOGLETRANSLATE(A97, ""it"", ""en"")"),"96")</f>
        <v>96</v>
      </c>
      <c r="G97" s="3" t="str">
        <f>IFERROR(__xludf.DUMMYFUNCTION("GOOGLETRANSLATE(B97, ""it"", ""en"")"),"A goalkeeper saves a shot but pushes the ball out of bounds. What's the decision?")</f>
        <v>A goalkeeper saves a shot but pushes the ball out of bounds. What's the decision?</v>
      </c>
      <c r="H97" s="3" t="str">
        <f>IFERROR(__xludf.DUMMYFUNCTION("GOOGLETRANSLATE(C97, ""it"", ""en"")"),"A. Free kick against B. Neutral throw C. Penalty D. Temporary expulsion")</f>
        <v>A. Free kick against B. Neutral throw C. Penalty D. Temporary expulsion</v>
      </c>
      <c r="I97" s="3" t="str">
        <f>IFERROR(__xludf.DUMMYFUNCTION("GOOGLETRANSLATE(D97, ""it"", ""en"")"),"Punishment against")</f>
        <v>Punishment against</v>
      </c>
      <c r="J97" s="2"/>
      <c r="K97" s="2"/>
      <c r="L97" s="2"/>
      <c r="M97" s="2"/>
      <c r="N97" s="2"/>
      <c r="O97" s="2"/>
      <c r="P97" s="2"/>
      <c r="Q97" s="2"/>
      <c r="R97" s="2"/>
      <c r="S97" s="2"/>
      <c r="T97" s="2"/>
      <c r="U97" s="2"/>
      <c r="V97" s="2"/>
    </row>
    <row r="98" ht="22.5" customHeight="1">
      <c r="A98" s="3">
        <v>97.0</v>
      </c>
      <c r="B98" s="3" t="s">
        <v>1271</v>
      </c>
      <c r="C98" s="3" t="s">
        <v>1193</v>
      </c>
      <c r="D98" s="3" t="s">
        <v>1194</v>
      </c>
      <c r="E98" s="2"/>
      <c r="F98" s="3" t="str">
        <f>IFERROR(__xludf.DUMMYFUNCTION("GOOGLETRANSLATE(A98, ""it"", ""en"")"),"97")</f>
        <v>97</v>
      </c>
      <c r="G98" s="3" t="str">
        <f>IFERROR(__xludf.DUMMYFUNCTION("GOOGLETRANSLATE(B98, ""it"", ""en"")"),"A defender deflects a shot with his arm while outside the penalty area. What is the penalty?")</f>
        <v>A defender deflects a shot with his arm while outside the penalty area. What is the penalty?</v>
      </c>
      <c r="H98" s="3" t="str">
        <f>IFERROR(__xludf.DUMMYFUNCTION("GOOGLETRANSLATE(C98, ""it"", ""en"")"),"A. Free kick against B. Temporary expulsion C. Penalty D. Neutral throw-in")</f>
        <v>A. Free kick against B. Temporary expulsion C. Penalty D. Neutral throw-in</v>
      </c>
      <c r="I98" s="3" t="str">
        <f>IFERROR(__xludf.DUMMYFUNCTION("GOOGLETRANSLATE(D98, ""it"", ""en"")"),"Punishment against")</f>
        <v>Punishment against</v>
      </c>
      <c r="J98" s="2"/>
      <c r="K98" s="2"/>
      <c r="L98" s="2"/>
      <c r="M98" s="2"/>
      <c r="N98" s="2"/>
      <c r="O98" s="2"/>
      <c r="P98" s="2"/>
      <c r="Q98" s="2"/>
      <c r="R98" s="2"/>
      <c r="S98" s="2"/>
      <c r="T98" s="2"/>
      <c r="U98" s="2"/>
      <c r="V98" s="2"/>
    </row>
    <row r="99" ht="22.5" customHeight="1">
      <c r="A99" s="3">
        <v>98.0</v>
      </c>
      <c r="B99" s="3" t="s">
        <v>1272</v>
      </c>
      <c r="C99" s="3" t="s">
        <v>1257</v>
      </c>
      <c r="D99" s="3" t="s">
        <v>1194</v>
      </c>
      <c r="E99" s="2"/>
      <c r="F99" s="3" t="str">
        <f>IFERROR(__xludf.DUMMYFUNCTION("GOOGLETRANSLATE(A99, ""it"", ""en"")"),"98")</f>
        <v>98</v>
      </c>
      <c r="G99" s="3" t="str">
        <f>IFERROR(__xludf.DUMMYFUNCTION("GOOGLETRANSLATE(B99, ""it"", ""en"")"),"An attacker is in the penalty area without the ball during a move. What is the consequence?")</f>
        <v>An attacker is in the penalty area without the ball during a move. What is the consequence?</v>
      </c>
      <c r="H99" s="3" t="str">
        <f>IFERROR(__xludf.DUMMYFUNCTION("GOOGLETRANSLATE(C99, ""it"", ""en"")"),"A. Free kick against B. Temporary expulsion C. Penalty D. No penalty")</f>
        <v>A. Free kick against B. Temporary expulsion C. Penalty D. No penalty</v>
      </c>
      <c r="I99" s="3" t="str">
        <f>IFERROR(__xludf.DUMMYFUNCTION("GOOGLETRANSLATE(D99, ""it"", ""en"")"),"Punishment against")</f>
        <v>Punishment against</v>
      </c>
      <c r="J99" s="2"/>
      <c r="K99" s="2"/>
      <c r="L99" s="2"/>
      <c r="M99" s="2"/>
      <c r="N99" s="2"/>
      <c r="O99" s="2"/>
      <c r="P99" s="2"/>
      <c r="Q99" s="2"/>
      <c r="R99" s="2"/>
      <c r="S99" s="2"/>
      <c r="T99" s="2"/>
      <c r="U99" s="2"/>
      <c r="V99" s="2"/>
    </row>
    <row r="100" ht="22.5" customHeight="1">
      <c r="A100" s="3">
        <v>99.0</v>
      </c>
      <c r="B100" s="3" t="s">
        <v>1273</v>
      </c>
      <c r="C100" s="3" t="s">
        <v>1207</v>
      </c>
      <c r="D100" s="3" t="s">
        <v>1194</v>
      </c>
      <c r="E100" s="2"/>
      <c r="F100" s="3" t="str">
        <f>IFERROR(__xludf.DUMMYFUNCTION("GOOGLETRANSLATE(A100, ""it"", ""en"")"),"99")</f>
        <v>99</v>
      </c>
      <c r="G100" s="3" t="str">
        <f>IFERROR(__xludf.DUMMYFUNCTION("GOOGLETRANSLATE(B100, ""it"", ""en"")"),"A referee calls a technical foul while the ball is in play. What happens?")</f>
        <v>A referee calls a technical foul while the ball is in play. What happens?</v>
      </c>
      <c r="H100" s="3" t="str">
        <f>IFERROR(__xludf.DUMMYFUNCTION("GOOGLETRANSLATE(C100, ""it"", ""en"")"),"A. Neutral throw-in B. Penalty C. Free kick against D. Temporary expulsion")</f>
        <v>A. Neutral throw-in B. Penalty C. Free kick against D. Temporary expulsion</v>
      </c>
      <c r="I100" s="3" t="str">
        <f>IFERROR(__xludf.DUMMYFUNCTION("GOOGLETRANSLATE(D100, ""it"", ""en"")"),"Punishment against")</f>
        <v>Punishment against</v>
      </c>
      <c r="J100" s="2"/>
      <c r="K100" s="2"/>
      <c r="L100" s="2"/>
      <c r="M100" s="2"/>
      <c r="N100" s="2"/>
      <c r="O100" s="2"/>
      <c r="P100" s="2"/>
      <c r="Q100" s="2"/>
      <c r="R100" s="2"/>
      <c r="S100" s="2"/>
      <c r="T100" s="2"/>
      <c r="U100" s="2"/>
      <c r="V100" s="2"/>
    </row>
    <row r="101" ht="22.5" customHeight="1">
      <c r="A101" s="3">
        <v>100.0</v>
      </c>
      <c r="B101" s="3" t="s">
        <v>1274</v>
      </c>
      <c r="C101" s="3" t="s">
        <v>1248</v>
      </c>
      <c r="D101" s="3" t="s">
        <v>1110</v>
      </c>
      <c r="E101" s="2"/>
      <c r="F101" s="3" t="str">
        <f>IFERROR(__xludf.DUMMYFUNCTION("GOOGLETRANSLATE(A101, ""it"", ""en"")"),"100")</f>
        <v>100</v>
      </c>
      <c r="G101" s="3" t="str">
        <f>IFERROR(__xludf.DUMMYFUNCTION("GOOGLETRANSLATE(B101, ""it"", ""en"")"),"A striker shoots directly from a free kick and hits the post. What happens?")</f>
        <v>A striker shoots directly from a free kick and hits the post. What happens?</v>
      </c>
      <c r="H101" s="3" t="str">
        <f>IFERROR(__xludf.DUMMYFUNCTION("GOOGLETRANSLATE(C101, ""it"", ""en"")"),"A. Neutral throw-in B. Free kick against C. Penalty D. No penalty")</f>
        <v>A. Neutral throw-in B. Free kick against C. Penalty D. No penalty</v>
      </c>
      <c r="I101" s="3" t="str">
        <f>IFERROR(__xludf.DUMMYFUNCTION("GOOGLETRANSLATE(D101, ""it"", ""en"")"),"Neutral throw-in")</f>
        <v>Neutral throw-in</v>
      </c>
      <c r="J101" s="2"/>
      <c r="K101" s="2"/>
      <c r="L101" s="2"/>
      <c r="M101" s="2"/>
      <c r="N101" s="2"/>
      <c r="O101" s="2"/>
      <c r="P101" s="2"/>
      <c r="Q101" s="2"/>
      <c r="R101" s="2"/>
      <c r="S101" s="2"/>
      <c r="T101" s="2"/>
      <c r="U101" s="2"/>
      <c r="V101" s="2"/>
    </row>
    <row r="102" ht="22.5" customHeight="1">
      <c r="A102" s="3">
        <v>101.0</v>
      </c>
      <c r="B102" s="3" t="s">
        <v>1275</v>
      </c>
      <c r="C102" s="3" t="s">
        <v>1222</v>
      </c>
      <c r="D102" s="3" t="s">
        <v>1194</v>
      </c>
      <c r="E102" s="2"/>
      <c r="F102" s="3" t="str">
        <f>IFERROR(__xludf.DUMMYFUNCTION("GOOGLETRANSLATE(A102, ""it"", ""en"")"),"101")</f>
        <v>101</v>
      </c>
      <c r="G102" s="3" t="str">
        <f>IFERROR(__xludf.DUMMYFUNCTION("GOOGLETRANSLATE(B102, ""it"", ""en"")"),"A defender dives underwater to block a pass. What's the decision?")</f>
        <v>A defender dives underwater to block a pass. What's the decision?</v>
      </c>
      <c r="H102" s="3" t="str">
        <f>IFERROR(__xludf.DUMMYFUNCTION("GOOGLETRANSLATE(C102, ""it"", ""en"")"),"A. Free kick against B. Temporary expulsion C. Neutral throw-in D. Penalty")</f>
        <v>A. Free kick against B. Temporary expulsion C. Neutral throw-in D. Penalty</v>
      </c>
      <c r="I102" s="3" t="str">
        <f>IFERROR(__xludf.DUMMYFUNCTION("GOOGLETRANSLATE(D102, ""it"", ""en"")"),"Punishment against")</f>
        <v>Punishment against</v>
      </c>
      <c r="J102" s="2"/>
      <c r="K102" s="2"/>
      <c r="L102" s="2"/>
      <c r="M102" s="2"/>
      <c r="N102" s="2"/>
      <c r="O102" s="2"/>
      <c r="P102" s="2"/>
      <c r="Q102" s="2"/>
      <c r="R102" s="2"/>
      <c r="S102" s="2"/>
      <c r="T102" s="2"/>
      <c r="U102" s="2"/>
      <c r="V102" s="2"/>
    </row>
    <row r="103" ht="22.5" customHeight="1">
      <c r="A103" s="3">
        <v>102.0</v>
      </c>
      <c r="B103" s="3" t="s">
        <v>1276</v>
      </c>
      <c r="C103" s="3" t="s">
        <v>1277</v>
      </c>
      <c r="D103" s="3" t="s">
        <v>1218</v>
      </c>
      <c r="E103" s="2"/>
      <c r="F103" s="3" t="str">
        <f>IFERROR(__xludf.DUMMYFUNCTION("GOOGLETRANSLATE(A103, ""it"", ""en"")"),"102")</f>
        <v>102</v>
      </c>
      <c r="G103" s="3" t="str">
        <f>IFERROR(__xludf.DUMMYFUNCTION("GOOGLETRANSLATE(B103, ""it"", ""en"")"),"A referee awards a free kick, but the goalkeeper blocks the ball before it can be taken. What happens?")</f>
        <v>A referee awards a free kick, but the goalkeeper blocks the ball before it can be taken. What happens?</v>
      </c>
      <c r="H103" s="3" t="str">
        <f>IFERROR(__xludf.DUMMYFUNCTION("GOOGLETRANSLATE(C103, ""it"", ""en"")"),"A. Retake of the free kick B. Free kick against C. Penalty D. No penalty")</f>
        <v>A. Retake of the free kick B. Free kick against C. Penalty D. No penalty</v>
      </c>
      <c r="I103" s="3" t="str">
        <f>IFERROR(__xludf.DUMMYFUNCTION("GOOGLETRANSLATE(D103, ""it"", ""en"")"),"Repetition of punishment")</f>
        <v>Repetition of punishment</v>
      </c>
      <c r="J103" s="2"/>
      <c r="K103" s="2"/>
      <c r="L103" s="2"/>
      <c r="M103" s="2"/>
      <c r="N103" s="2"/>
      <c r="O103" s="2"/>
      <c r="P103" s="2"/>
      <c r="Q103" s="2"/>
      <c r="R103" s="2"/>
      <c r="S103" s="2"/>
      <c r="T103" s="2"/>
      <c r="U103" s="2"/>
      <c r="V103" s="2"/>
    </row>
    <row r="104" ht="22.5" customHeight="1">
      <c r="A104" s="3">
        <v>103.0</v>
      </c>
      <c r="B104" s="3" t="s">
        <v>1278</v>
      </c>
      <c r="C104" s="3" t="s">
        <v>1193</v>
      </c>
      <c r="D104" s="3" t="s">
        <v>1194</v>
      </c>
      <c r="E104" s="2"/>
      <c r="F104" s="3" t="str">
        <f>IFERROR(__xludf.DUMMYFUNCTION("GOOGLETRANSLATE(A104, ""it"", ""en"")"),"103")</f>
        <v>103</v>
      </c>
      <c r="G104" s="3" t="str">
        <f>IFERROR(__xludf.DUMMYFUNCTION("GOOGLETRANSLATE(B104, ""it"", ""en"")"),"A defender approaches the opposing goalkeeper during a shot. What's the decision?")</f>
        <v>A defender approaches the opposing goalkeeper during a shot. What's the decision?</v>
      </c>
      <c r="H104" s="3" t="str">
        <f>IFERROR(__xludf.DUMMYFUNCTION("GOOGLETRANSLATE(C104, ""it"", ""en"")"),"A. Free kick against B. Temporary expulsion C. Penalty D. Neutral throw-in")</f>
        <v>A. Free kick against B. Temporary expulsion C. Penalty D. Neutral throw-in</v>
      </c>
      <c r="I104" s="3" t="str">
        <f>IFERROR(__xludf.DUMMYFUNCTION("GOOGLETRANSLATE(D104, ""it"", ""en"")"),"Punishment against")</f>
        <v>Punishment against</v>
      </c>
      <c r="J104" s="2"/>
      <c r="K104" s="2"/>
      <c r="L104" s="2"/>
      <c r="M104" s="2"/>
      <c r="N104" s="2"/>
      <c r="O104" s="2"/>
      <c r="P104" s="2"/>
      <c r="Q104" s="2"/>
      <c r="R104" s="2"/>
      <c r="S104" s="2"/>
      <c r="T104" s="2"/>
      <c r="U104" s="2"/>
      <c r="V104" s="2"/>
    </row>
    <row r="105" ht="22.5" customHeight="1">
      <c r="A105" s="3">
        <v>104.0</v>
      </c>
      <c r="B105" s="3" t="s">
        <v>1279</v>
      </c>
      <c r="C105" s="3" t="s">
        <v>1280</v>
      </c>
      <c r="D105" s="3" t="s">
        <v>1194</v>
      </c>
      <c r="E105" s="2"/>
      <c r="F105" s="3" t="str">
        <f>IFERROR(__xludf.DUMMYFUNCTION("GOOGLETRANSLATE(A105, ""it"", ""en"")"),"104")</f>
        <v>104</v>
      </c>
      <c r="G105" s="3" t="str">
        <f>IFERROR(__xludf.DUMMYFUNCTION("GOOGLETRANSLATE(B105, ""it"", ""en"")"),"A referee awards a penalty, but the taker takes it too late. What's the decision?")</f>
        <v>A referee awards a penalty, but the taker takes it too late. What's the decision?</v>
      </c>
      <c r="H105" s="3" t="str">
        <f>IFERROR(__xludf.DUMMYFUNCTION("GOOGLETRANSLATE(C105, ""it"", ""en"")"),"A. Retake of the penalty B. Free kick against C. Penalty cancelled D. No penalty")</f>
        <v>A. Retake of the penalty B. Free kick against C. Penalty cancelled D. No penalty</v>
      </c>
      <c r="I105" s="3" t="str">
        <f>IFERROR(__xludf.DUMMYFUNCTION("GOOGLETRANSLATE(D105, ""it"", ""en"")"),"Punishment against")</f>
        <v>Punishment against</v>
      </c>
      <c r="J105" s="2"/>
      <c r="K105" s="2"/>
      <c r="L105" s="2"/>
      <c r="M105" s="2"/>
      <c r="N105" s="2"/>
      <c r="O105" s="2"/>
      <c r="P105" s="2"/>
      <c r="Q105" s="2"/>
      <c r="R105" s="2"/>
      <c r="S105" s="2"/>
      <c r="T105" s="2"/>
      <c r="U105" s="2"/>
      <c r="V105" s="2"/>
    </row>
    <row r="106" ht="22.5" customHeight="1">
      <c r="A106" s="3">
        <v>105.0</v>
      </c>
      <c r="B106" s="3" t="s">
        <v>1281</v>
      </c>
      <c r="C106" s="3" t="s">
        <v>1193</v>
      </c>
      <c r="D106" s="3" t="s">
        <v>1194</v>
      </c>
      <c r="E106" s="2"/>
      <c r="F106" s="3" t="str">
        <f>IFERROR(__xludf.DUMMYFUNCTION("GOOGLETRANSLATE(A106, ""it"", ""en"")"),"105")</f>
        <v>105</v>
      </c>
      <c r="G106" s="3" t="str">
        <f>IFERROR(__xludf.DUMMYFUNCTION("GOOGLETRANSLATE(B106, ""it"", ""en"")"),"A defender holds an attacker while the latter attempts a pass. What is the penalty?")</f>
        <v>A defender holds an attacker while the latter attempts a pass. What is the penalty?</v>
      </c>
      <c r="H106" s="3" t="str">
        <f>IFERROR(__xludf.DUMMYFUNCTION("GOOGLETRANSLATE(C106, ""it"", ""en"")"),"A. Free kick against B. Temporary expulsion C. Penalty D. Neutral throw-in")</f>
        <v>A. Free kick against B. Temporary expulsion C. Penalty D. Neutral throw-in</v>
      </c>
      <c r="I106" s="3" t="str">
        <f>IFERROR(__xludf.DUMMYFUNCTION("GOOGLETRANSLATE(D106, ""it"", ""en"")"),"Punishment against")</f>
        <v>Punishment against</v>
      </c>
      <c r="J106" s="2"/>
      <c r="K106" s="2"/>
      <c r="L106" s="2"/>
      <c r="M106" s="2"/>
      <c r="N106" s="2"/>
      <c r="O106" s="2"/>
      <c r="P106" s="2"/>
      <c r="Q106" s="2"/>
      <c r="R106" s="2"/>
      <c r="S106" s="2"/>
      <c r="T106" s="2"/>
      <c r="U106" s="2"/>
      <c r="V106" s="2"/>
    </row>
    <row r="107" ht="22.5" customHeight="1">
      <c r="A107" s="3">
        <v>106.0</v>
      </c>
      <c r="B107" s="3" t="s">
        <v>1282</v>
      </c>
      <c r="C107" s="3" t="s">
        <v>1226</v>
      </c>
      <c r="D107" s="3" t="s">
        <v>1107</v>
      </c>
      <c r="E107" s="2"/>
      <c r="F107" s="3" t="str">
        <f>IFERROR(__xludf.DUMMYFUNCTION("GOOGLETRANSLATE(A107, ""it"", ""en"")"),"106")</f>
        <v>106</v>
      </c>
      <c r="G107" s="3" t="str">
        <f>IFERROR(__xludf.DUMMYFUNCTION("GOOGLETRANSLATE(B107, ""it"", ""en"")"),"A player protests and ignores the referee's instructions. What is the consequence?")</f>
        <v>A player protests and ignores the referee's instructions. What is the consequence?</v>
      </c>
      <c r="H107" s="3" t="str">
        <f>IFERROR(__xludf.DUMMYFUNCTION("GOOGLETRANSLATE(C107, ""it"", ""en"")"),"A. Temporary expulsion B. Free kick against C. Penalty D. Neutral throw-in")</f>
        <v>A. Temporary expulsion B. Free kick against C. Penalty D. Neutral throw-in</v>
      </c>
      <c r="I107" s="3" t="str">
        <f>IFERROR(__xludf.DUMMYFUNCTION("GOOGLETRANSLATE(D107, ""it"", ""en"")"),"Temporary expulsion")</f>
        <v>Temporary expulsion</v>
      </c>
      <c r="J107" s="2"/>
      <c r="K107" s="2"/>
      <c r="L107" s="2"/>
      <c r="M107" s="2"/>
      <c r="N107" s="2"/>
      <c r="O107" s="2"/>
      <c r="P107" s="2"/>
      <c r="Q107" s="2"/>
      <c r="R107" s="2"/>
      <c r="S107" s="2"/>
      <c r="T107" s="2"/>
      <c r="U107" s="2"/>
      <c r="V107" s="2"/>
    </row>
    <row r="108" ht="22.5" customHeight="1">
      <c r="A108" s="3">
        <v>107.0</v>
      </c>
      <c r="B108" s="3" t="s">
        <v>1283</v>
      </c>
      <c r="C108" s="3" t="s">
        <v>1207</v>
      </c>
      <c r="D108" s="3" t="s">
        <v>1110</v>
      </c>
      <c r="E108" s="2"/>
      <c r="F108" s="3" t="str">
        <f>IFERROR(__xludf.DUMMYFUNCTION("GOOGLETRANSLATE(A108, ""it"", ""en"")"),"107")</f>
        <v>107</v>
      </c>
      <c r="G108" s="3" t="str">
        <f>IFERROR(__xludf.DUMMYFUNCTION("GOOGLETRANSLATE(B108, ""it"", ""en"")"),"A referee calls a foul while the ball is in motion. What happens?")</f>
        <v>A referee calls a foul while the ball is in motion. What happens?</v>
      </c>
      <c r="H108" s="3" t="str">
        <f>IFERROR(__xludf.DUMMYFUNCTION("GOOGLETRANSLATE(C108, ""it"", ""en"")"),"A. Neutral throw-in B. Penalty C. Free kick against D. Temporary expulsion")</f>
        <v>A. Neutral throw-in B. Penalty C. Free kick against D. Temporary expulsion</v>
      </c>
      <c r="I108" s="3" t="str">
        <f>IFERROR(__xludf.DUMMYFUNCTION("GOOGLETRANSLATE(D108, ""it"", ""en"")"),"Neutral throw-in")</f>
        <v>Neutral throw-in</v>
      </c>
      <c r="J108" s="2"/>
      <c r="K108" s="2"/>
      <c r="L108" s="2"/>
      <c r="M108" s="2"/>
      <c r="N108" s="2"/>
      <c r="O108" s="2"/>
      <c r="P108" s="2"/>
      <c r="Q108" s="2"/>
      <c r="R108" s="2"/>
      <c r="S108" s="2"/>
      <c r="T108" s="2"/>
      <c r="U108" s="2"/>
      <c r="V108" s="2"/>
    </row>
    <row r="109" ht="22.5" customHeight="1">
      <c r="A109" s="3">
        <v>108.0</v>
      </c>
      <c r="B109" s="3" t="s">
        <v>1284</v>
      </c>
      <c r="C109" s="3" t="s">
        <v>1257</v>
      </c>
      <c r="D109" s="3" t="s">
        <v>1194</v>
      </c>
      <c r="E109" s="2"/>
      <c r="F109" s="3" t="str">
        <f>IFERROR(__xludf.DUMMYFUNCTION("GOOGLETRANSLATE(A109, ""it"", ""en"")"),"108")</f>
        <v>108</v>
      </c>
      <c r="G109" s="3" t="str">
        <f>IFERROR(__xludf.DUMMYFUNCTION("GOOGLETRANSLATE(B109, ""it"", ""en"")"),"A defender blocks the ball with his body but isn't in the penalty area. What's the decision?")</f>
        <v>A defender blocks the ball with his body but isn't in the penalty area. What's the decision?</v>
      </c>
      <c r="H109" s="3" t="str">
        <f>IFERROR(__xludf.DUMMYFUNCTION("GOOGLETRANSLATE(C109, ""it"", ""en"")"),"A. Free kick against B. Temporary expulsion C. Penalty D. No penalty")</f>
        <v>A. Free kick against B. Temporary expulsion C. Penalty D. No penalty</v>
      </c>
      <c r="I109" s="3" t="str">
        <f>IFERROR(__xludf.DUMMYFUNCTION("GOOGLETRANSLATE(D109, ""it"", ""en"")"),"Punishment against")</f>
        <v>Punishment against</v>
      </c>
      <c r="J109" s="2"/>
      <c r="K109" s="2"/>
      <c r="L109" s="2"/>
      <c r="M109" s="2"/>
      <c r="N109" s="2"/>
      <c r="O109" s="2"/>
      <c r="P109" s="2"/>
      <c r="Q109" s="2"/>
      <c r="R109" s="2"/>
      <c r="S109" s="2"/>
      <c r="T109" s="2"/>
      <c r="U109" s="2"/>
      <c r="V109" s="2"/>
    </row>
    <row r="110" ht="22.5" customHeight="1">
      <c r="A110" s="3">
        <v>109.0</v>
      </c>
      <c r="B110" s="3" t="s">
        <v>1285</v>
      </c>
      <c r="C110" s="3" t="s">
        <v>1257</v>
      </c>
      <c r="D110" s="3" t="s">
        <v>1194</v>
      </c>
      <c r="E110" s="2"/>
      <c r="F110" s="3" t="str">
        <f>IFERROR(__xludf.DUMMYFUNCTION("GOOGLETRANSLATE(A110, ""it"", ""en"")"),"109")</f>
        <v>109</v>
      </c>
      <c r="G110" s="3" t="str">
        <f>IFERROR(__xludf.DUMMYFUNCTION("GOOGLETRANSLATE(B110, ""it"", ""en"")"),"An attacker is on the five-meter line without the ball. What is the consequence?")</f>
        <v>An attacker is on the five-meter line without the ball. What is the consequence?</v>
      </c>
      <c r="H110" s="3" t="str">
        <f>IFERROR(__xludf.DUMMYFUNCTION("GOOGLETRANSLATE(C110, ""it"", ""en"")"),"A. Free kick against B. Temporary expulsion C. Penalty D. No penalty")</f>
        <v>A. Free kick against B. Temporary expulsion C. Penalty D. No penalty</v>
      </c>
      <c r="I110" s="3" t="str">
        <f>IFERROR(__xludf.DUMMYFUNCTION("GOOGLETRANSLATE(D110, ""it"", ""en"")"),"Punishment against")</f>
        <v>Punishment against</v>
      </c>
      <c r="J110" s="2"/>
      <c r="K110" s="2"/>
      <c r="L110" s="2"/>
      <c r="M110" s="2"/>
      <c r="N110" s="2"/>
      <c r="O110" s="2"/>
      <c r="P110" s="2"/>
      <c r="Q110" s="2"/>
      <c r="R110" s="2"/>
      <c r="S110" s="2"/>
      <c r="T110" s="2"/>
      <c r="U110" s="2"/>
      <c r="V110" s="2"/>
    </row>
    <row r="111" ht="22.5" customHeight="1">
      <c r="A111" s="3">
        <v>110.0</v>
      </c>
      <c r="B111" s="3" t="s">
        <v>1286</v>
      </c>
      <c r="C111" s="3" t="s">
        <v>1193</v>
      </c>
      <c r="D111" s="3" t="s">
        <v>1194</v>
      </c>
      <c r="E111" s="2"/>
      <c r="F111" s="3" t="str">
        <f>IFERROR(__xludf.DUMMYFUNCTION("GOOGLETRANSLATE(A111, ""it"", ""en"")"),"110")</f>
        <v>110</v>
      </c>
      <c r="G111" s="3" t="str">
        <f>IFERROR(__xludf.DUMMYFUNCTION("GOOGLETRANSLATE(B111, ""it"", ""en"")"),"A player holds an opponent to prevent him from passing. What is the penalty?")</f>
        <v>A player holds an opponent to prevent him from passing. What is the penalty?</v>
      </c>
      <c r="H111" s="3" t="str">
        <f>IFERROR(__xludf.DUMMYFUNCTION("GOOGLETRANSLATE(C111, ""it"", ""en"")"),"A. Free kick against B. Temporary expulsion C. Penalty D. Neutral throw-in")</f>
        <v>A. Free kick against B. Temporary expulsion C. Penalty D. Neutral throw-in</v>
      </c>
      <c r="I111" s="3" t="str">
        <f>IFERROR(__xludf.DUMMYFUNCTION("GOOGLETRANSLATE(D111, ""it"", ""en"")"),"Punishment against")</f>
        <v>Punishment against</v>
      </c>
      <c r="J111" s="2"/>
      <c r="K111" s="2"/>
      <c r="L111" s="2"/>
      <c r="M111" s="2"/>
      <c r="N111" s="2"/>
      <c r="O111" s="2"/>
      <c r="P111" s="2"/>
      <c r="Q111" s="2"/>
      <c r="R111" s="2"/>
      <c r="S111" s="2"/>
      <c r="T111" s="2"/>
      <c r="U111" s="2"/>
      <c r="V111" s="2"/>
    </row>
    <row r="112" ht="22.5" customHeight="1">
      <c r="A112" s="3">
        <v>111.0</v>
      </c>
      <c r="B112" s="3" t="s">
        <v>1287</v>
      </c>
      <c r="C112" s="3" t="s">
        <v>1280</v>
      </c>
      <c r="D112" s="3" t="s">
        <v>1288</v>
      </c>
      <c r="E112" s="2"/>
      <c r="F112" s="3" t="str">
        <f>IFERROR(__xludf.DUMMYFUNCTION("GOOGLETRANSLATE(A112, ""it"", ""en"")"),"111")</f>
        <v>111</v>
      </c>
      <c r="G112" s="3" t="str">
        <f>IFERROR(__xludf.DUMMYFUNCTION("GOOGLETRANSLATE(B112, ""it"", ""en"")"),"A referee awards a penalty, but a player enters the penalty area before the shot can be taken. What happens?")</f>
        <v>A referee awards a penalty, but a player enters the penalty area before the shot can be taken. What happens?</v>
      </c>
      <c r="H112" s="3" t="str">
        <f>IFERROR(__xludf.DUMMYFUNCTION("GOOGLETRANSLATE(C112, ""it"", ""en"")"),"A. Retake of the penalty B. Free kick against C. Penalty cancelled D. No penalty")</f>
        <v>A. Retake of the penalty B. Free kick against C. Penalty cancelled D. No penalty</v>
      </c>
      <c r="I112" s="3" t="str">
        <f>IFERROR(__xludf.DUMMYFUNCTION("GOOGLETRANSLATE(D112, ""it"", ""en"")"),"Retake of the penalty")</f>
        <v>Retake of the penalty</v>
      </c>
      <c r="J112" s="2"/>
      <c r="K112" s="2"/>
      <c r="L112" s="2"/>
      <c r="M112" s="2"/>
      <c r="N112" s="2"/>
      <c r="O112" s="2"/>
      <c r="P112" s="2"/>
      <c r="Q112" s="2"/>
      <c r="R112" s="2"/>
      <c r="S112" s="2"/>
      <c r="T112" s="2"/>
      <c r="U112" s="2"/>
      <c r="V112" s="2"/>
    </row>
    <row r="113" ht="22.5" customHeight="1">
      <c r="A113" s="3">
        <v>112.0</v>
      </c>
      <c r="B113" s="3" t="s">
        <v>1289</v>
      </c>
      <c r="C113" s="3" t="s">
        <v>1226</v>
      </c>
      <c r="D113" s="3" t="s">
        <v>1107</v>
      </c>
      <c r="E113" s="2"/>
      <c r="F113" s="3" t="str">
        <f>IFERROR(__xludf.DUMMYFUNCTION("GOOGLETRANSLATE(A113, ""it"", ""en"")"),"112")</f>
        <v>112</v>
      </c>
      <c r="G113" s="3" t="str">
        <f>IFERROR(__xludf.DUMMYFUNCTION("GOOGLETRANSLATE(B113, ""it"", ""en"")"),"A defender intentionally hits the ball with his elbow. What is the penalty?")</f>
        <v>A defender intentionally hits the ball with his elbow. What is the penalty?</v>
      </c>
      <c r="H113" s="3" t="str">
        <f>IFERROR(__xludf.DUMMYFUNCTION("GOOGLETRANSLATE(C113, ""it"", ""en"")"),"A. Temporary expulsion B. Free kick against C. Penalty D. Neutral throw-in")</f>
        <v>A. Temporary expulsion B. Free kick against C. Penalty D. Neutral throw-in</v>
      </c>
      <c r="I113" s="3" t="str">
        <f>IFERROR(__xludf.DUMMYFUNCTION("GOOGLETRANSLATE(D113, ""it"", ""en"")"),"Temporary expulsion")</f>
        <v>Temporary expulsion</v>
      </c>
      <c r="J113" s="2"/>
      <c r="K113" s="2"/>
      <c r="L113" s="2"/>
      <c r="M113" s="2"/>
      <c r="N113" s="2"/>
      <c r="O113" s="2"/>
      <c r="P113" s="2"/>
      <c r="Q113" s="2"/>
      <c r="R113" s="2"/>
      <c r="S113" s="2"/>
      <c r="T113" s="2"/>
      <c r="U113" s="2"/>
      <c r="V113" s="2"/>
    </row>
    <row r="114" ht="22.5" customHeight="1">
      <c r="A114" s="3">
        <v>113.0</v>
      </c>
      <c r="B114" s="3" t="s">
        <v>1290</v>
      </c>
      <c r="C114" s="3" t="s">
        <v>1277</v>
      </c>
      <c r="D114" s="3" t="s">
        <v>1218</v>
      </c>
      <c r="E114" s="2"/>
      <c r="F114" s="3" t="str">
        <f>IFERROR(__xludf.DUMMYFUNCTION("GOOGLETRANSLATE(A114, ""it"", ""en"")"),"113")</f>
        <v>113</v>
      </c>
      <c r="G114" s="3" t="str">
        <f>IFERROR(__xludf.DUMMYFUNCTION("GOOGLETRANSLATE(B114, ""it"", ""en"")"),"A referee awards a free kick, but the goalkeeper takes it illegally. What happens?")</f>
        <v>A referee awards a free kick, but the goalkeeper takes it illegally. What happens?</v>
      </c>
      <c r="H114" s="3" t="str">
        <f>IFERROR(__xludf.DUMMYFUNCTION("GOOGLETRANSLATE(C114, ""it"", ""en"")"),"A. Retake of the free kick B. Free kick against C. Penalty D. No penalty")</f>
        <v>A. Retake of the free kick B. Free kick against C. Penalty D. No penalty</v>
      </c>
      <c r="I114" s="3" t="str">
        <f>IFERROR(__xludf.DUMMYFUNCTION("GOOGLETRANSLATE(D114, ""it"", ""en"")"),"Repetition of punishment")</f>
        <v>Repetition of punishment</v>
      </c>
      <c r="J114" s="2"/>
      <c r="K114" s="2"/>
      <c r="L114" s="2"/>
      <c r="M114" s="2"/>
      <c r="N114" s="2"/>
      <c r="O114" s="2"/>
      <c r="P114" s="2"/>
      <c r="Q114" s="2"/>
      <c r="R114" s="2"/>
      <c r="S114" s="2"/>
      <c r="T114" s="2"/>
      <c r="U114" s="2"/>
      <c r="V114" s="2"/>
    </row>
    <row r="115" ht="22.5" customHeight="1">
      <c r="A115" s="3">
        <v>114.0</v>
      </c>
      <c r="B115" s="3" t="s">
        <v>1291</v>
      </c>
      <c r="C115" s="3" t="s">
        <v>1205</v>
      </c>
      <c r="D115" s="3" t="s">
        <v>1194</v>
      </c>
      <c r="E115" s="2"/>
      <c r="F115" s="3" t="str">
        <f>IFERROR(__xludf.DUMMYFUNCTION("GOOGLETRANSLATE(A115, ""it"", ""en"")"),"114")</f>
        <v>114</v>
      </c>
      <c r="G115" s="3" t="str">
        <f>IFERROR(__xludf.DUMMYFUNCTION("GOOGLETRANSLATE(B115, ""it"", ""en"")"),"A goalkeeper holds the ball for more than 5 seconds in the penalty area. What is the penalty?")</f>
        <v>A goalkeeper holds the ball for more than 5 seconds in the penalty area. What is the penalty?</v>
      </c>
      <c r="H115" s="3" t="str">
        <f>IFERROR(__xludf.DUMMYFUNCTION("GOOGLETRANSLATE(C115, ""it"", ""en"")"),"A. Free kick against B. Penalty C. Temporary expulsion D. Neutral throw-in")</f>
        <v>A. Free kick against B. Penalty C. Temporary expulsion D. Neutral throw-in</v>
      </c>
      <c r="I115" s="3" t="str">
        <f>IFERROR(__xludf.DUMMYFUNCTION("GOOGLETRANSLATE(D115, ""it"", ""en"")"),"Punishment against")</f>
        <v>Punishment against</v>
      </c>
      <c r="J115" s="2"/>
      <c r="K115" s="2"/>
      <c r="L115" s="2"/>
      <c r="M115" s="2"/>
      <c r="N115" s="2"/>
      <c r="O115" s="2"/>
      <c r="P115" s="2"/>
      <c r="Q115" s="2"/>
      <c r="R115" s="2"/>
      <c r="S115" s="2"/>
      <c r="T115" s="2"/>
      <c r="U115" s="2"/>
      <c r="V115" s="2"/>
    </row>
    <row r="116" ht="22.5" customHeight="1">
      <c r="A116" s="3">
        <v>115.0</v>
      </c>
      <c r="B116" s="3" t="s">
        <v>1292</v>
      </c>
      <c r="C116" s="3" t="s">
        <v>1226</v>
      </c>
      <c r="D116" s="3" t="s">
        <v>1107</v>
      </c>
      <c r="E116" s="2"/>
      <c r="F116" s="3" t="str">
        <f>IFERROR(__xludf.DUMMYFUNCTION("GOOGLETRANSLATE(A116, ""it"", ""en"")"),"115")</f>
        <v>115</v>
      </c>
      <c r="G116" s="3" t="str">
        <f>IFERROR(__xludf.DUMMYFUNCTION("GOOGLETRANSLATE(B116, ""it"", ""en"")"),"A player verbally protests against an opponent. What is the consequence?")</f>
        <v>A player verbally protests against an opponent. What is the consequence?</v>
      </c>
      <c r="H116" s="3" t="str">
        <f>IFERROR(__xludf.DUMMYFUNCTION("GOOGLETRANSLATE(C116, ""it"", ""en"")"),"A. Temporary expulsion B. Free kick against C. Penalty D. Neutral throw-in")</f>
        <v>A. Temporary expulsion B. Free kick against C. Penalty D. Neutral throw-in</v>
      </c>
      <c r="I116" s="3" t="str">
        <f>IFERROR(__xludf.DUMMYFUNCTION("GOOGLETRANSLATE(D116, ""it"", ""en"")"),"Temporary expulsion")</f>
        <v>Temporary expulsion</v>
      </c>
      <c r="J116" s="2"/>
      <c r="K116" s="2"/>
      <c r="L116" s="2"/>
      <c r="M116" s="2"/>
      <c r="N116" s="2"/>
      <c r="O116" s="2"/>
      <c r="P116" s="2"/>
      <c r="Q116" s="2"/>
      <c r="R116" s="2"/>
      <c r="S116" s="2"/>
      <c r="T116" s="2"/>
      <c r="U116" s="2"/>
      <c r="V116" s="2"/>
    </row>
    <row r="117" ht="22.5" customHeight="1">
      <c r="A117" s="3">
        <v>116.0</v>
      </c>
      <c r="B117" s="3" t="s">
        <v>1293</v>
      </c>
      <c r="C117" s="3" t="s">
        <v>1280</v>
      </c>
      <c r="D117" s="3" t="s">
        <v>1288</v>
      </c>
      <c r="E117" s="2"/>
      <c r="F117" s="3" t="str">
        <f>IFERROR(__xludf.DUMMYFUNCTION("GOOGLETRANSLATE(A117, ""it"", ""en"")"),"116")</f>
        <v>116</v>
      </c>
      <c r="G117" s="3" t="str">
        <f>IFERROR(__xludf.DUMMYFUNCTION("GOOGLETRANSLATE(B117, ""it"", ""en"")"),"A referee awards a penalty, but the goalkeeper moves before the shot. What happens?")</f>
        <v>A referee awards a penalty, but the goalkeeper moves before the shot. What happens?</v>
      </c>
      <c r="H117" s="3" t="str">
        <f>IFERROR(__xludf.DUMMYFUNCTION("GOOGLETRANSLATE(C117, ""it"", ""en"")"),"A. Retake of the penalty B. Free kick against C. Penalty cancelled D. No penalty")</f>
        <v>A. Retake of the penalty B. Free kick against C. Penalty cancelled D. No penalty</v>
      </c>
      <c r="I117" s="3" t="str">
        <f>IFERROR(__xludf.DUMMYFUNCTION("GOOGLETRANSLATE(D117, ""it"", ""en"")"),"Retake of the penalty")</f>
        <v>Retake of the penalty</v>
      </c>
      <c r="J117" s="2"/>
      <c r="K117" s="2"/>
      <c r="L117" s="2"/>
      <c r="M117" s="2"/>
      <c r="N117" s="2"/>
      <c r="O117" s="2"/>
      <c r="P117" s="2"/>
      <c r="Q117" s="2"/>
      <c r="R117" s="2"/>
      <c r="S117" s="2"/>
      <c r="T117" s="2"/>
      <c r="U117" s="2"/>
      <c r="V117" s="2"/>
    </row>
    <row r="118" ht="22.5" customHeight="1">
      <c r="A118" s="3">
        <v>117.0</v>
      </c>
      <c r="B118" s="3" t="s">
        <v>1294</v>
      </c>
      <c r="C118" s="3" t="s">
        <v>1193</v>
      </c>
      <c r="D118" s="3" t="s">
        <v>1194</v>
      </c>
      <c r="E118" s="2"/>
      <c r="F118" s="3" t="str">
        <f>IFERROR(__xludf.DUMMYFUNCTION("GOOGLETRANSLATE(A118, ""it"", ""en"")"),"117")</f>
        <v>117</v>
      </c>
      <c r="G118" s="3" t="str">
        <f>IFERROR(__xludf.DUMMYFUNCTION("GOOGLETRANSLATE(B118, ""it"", ""en"")"),"A defender holds an opponent to prevent a throw-in. What is the penalty?")</f>
        <v>A defender holds an opponent to prevent a throw-in. What is the penalty?</v>
      </c>
      <c r="H118" s="3" t="str">
        <f>IFERROR(__xludf.DUMMYFUNCTION("GOOGLETRANSLATE(C118, ""it"", ""en"")"),"A. Free kick against B. Temporary expulsion C. Penalty D. Neutral throw-in")</f>
        <v>A. Free kick against B. Temporary expulsion C. Penalty D. Neutral throw-in</v>
      </c>
      <c r="I118" s="3" t="str">
        <f>IFERROR(__xludf.DUMMYFUNCTION("GOOGLETRANSLATE(D118, ""it"", ""en"")"),"Punishment against")</f>
        <v>Punishment against</v>
      </c>
      <c r="J118" s="2"/>
      <c r="K118" s="2"/>
      <c r="L118" s="2"/>
      <c r="M118" s="2"/>
      <c r="N118" s="2"/>
      <c r="O118" s="2"/>
      <c r="P118" s="2"/>
      <c r="Q118" s="2"/>
      <c r="R118" s="2"/>
      <c r="S118" s="2"/>
      <c r="T118" s="2"/>
      <c r="U118" s="2"/>
      <c r="V118" s="2"/>
    </row>
    <row r="119" ht="22.5" customHeight="1">
      <c r="A119" s="3">
        <v>118.0</v>
      </c>
      <c r="B119" s="3" t="s">
        <v>1295</v>
      </c>
      <c r="C119" s="3" t="s">
        <v>1257</v>
      </c>
      <c r="D119" s="3" t="s">
        <v>1194</v>
      </c>
      <c r="E119" s="2"/>
      <c r="F119" s="3" t="str">
        <f>IFERROR(__xludf.DUMMYFUNCTION("GOOGLETRANSLATE(A119, ""it"", ""en"")"),"118")</f>
        <v>118</v>
      </c>
      <c r="G119" s="3" t="str">
        <f>IFERROR(__xludf.DUMMYFUNCTION("GOOGLETRANSLATE(B119, ""it"", ""en"")"),"An attacker approaches the opposing goalkeeper to disturb him during a throw-in. What is the penalty?")</f>
        <v>An attacker approaches the opposing goalkeeper to disturb him during a throw-in. What is the penalty?</v>
      </c>
      <c r="H119" s="3" t="str">
        <f>IFERROR(__xludf.DUMMYFUNCTION("GOOGLETRANSLATE(C119, ""it"", ""en"")"),"A. Free kick against B. Temporary expulsion C. Penalty D. No penalty")</f>
        <v>A. Free kick against B. Temporary expulsion C. Penalty D. No penalty</v>
      </c>
      <c r="I119" s="3" t="str">
        <f>IFERROR(__xludf.DUMMYFUNCTION("GOOGLETRANSLATE(D119, ""it"", ""en"")"),"Punishment against")</f>
        <v>Punishment against</v>
      </c>
      <c r="J119" s="2"/>
      <c r="K119" s="2"/>
      <c r="L119" s="2"/>
      <c r="M119" s="2"/>
      <c r="N119" s="2"/>
      <c r="O119" s="2"/>
      <c r="P119" s="2"/>
      <c r="Q119" s="2"/>
      <c r="R119" s="2"/>
      <c r="S119" s="2"/>
      <c r="T119" s="2"/>
      <c r="U119" s="2"/>
      <c r="V119" s="2"/>
    </row>
    <row r="120" ht="22.5" customHeight="1">
      <c r="A120" s="3">
        <v>119.0</v>
      </c>
      <c r="B120" s="3" t="s">
        <v>1296</v>
      </c>
      <c r="C120" s="3" t="s">
        <v>1193</v>
      </c>
      <c r="D120" s="3" t="s">
        <v>1107</v>
      </c>
      <c r="E120" s="2"/>
      <c r="F120" s="3" t="str">
        <f>IFERROR(__xludf.DUMMYFUNCTION("GOOGLETRANSLATE(A120, ""it"", ""en"")"),"119")</f>
        <v>119</v>
      </c>
      <c r="G120" s="3" t="str">
        <f>IFERROR(__xludf.DUMMYFUNCTION("GOOGLETRANSLATE(B120, ""it"", ""en"")"),"A goalkeeper throws the ball directly at an opponent. What's the decision?")</f>
        <v>A goalkeeper throws the ball directly at an opponent. What's the decision?</v>
      </c>
      <c r="H120" s="3" t="str">
        <f>IFERROR(__xludf.DUMMYFUNCTION("GOOGLETRANSLATE(C120, ""it"", ""en"")"),"A. Free kick against B. Temporary expulsion C. Penalty D. Neutral throw-in")</f>
        <v>A. Free kick against B. Temporary expulsion C. Penalty D. Neutral throw-in</v>
      </c>
      <c r="I120" s="3" t="str">
        <f>IFERROR(__xludf.DUMMYFUNCTION("GOOGLETRANSLATE(D120, ""it"", ""en"")"),"Temporary expulsion")</f>
        <v>Temporary expulsion</v>
      </c>
      <c r="J120" s="2"/>
      <c r="K120" s="2"/>
      <c r="L120" s="2"/>
      <c r="M120" s="2"/>
      <c r="N120" s="2"/>
      <c r="O120" s="2"/>
      <c r="P120" s="2"/>
      <c r="Q120" s="2"/>
      <c r="R120" s="2"/>
      <c r="S120" s="2"/>
      <c r="T120" s="2"/>
      <c r="U120" s="2"/>
      <c r="V120" s="2"/>
    </row>
    <row r="121" ht="22.5" customHeight="1">
      <c r="A121" s="3">
        <v>120.0</v>
      </c>
      <c r="B121" s="3" t="s">
        <v>1297</v>
      </c>
      <c r="C121" s="3" t="s">
        <v>1193</v>
      </c>
      <c r="D121" s="3" t="s">
        <v>1194</v>
      </c>
      <c r="E121" s="2"/>
      <c r="F121" s="3" t="str">
        <f>IFERROR(__xludf.DUMMYFUNCTION("GOOGLETRANSLATE(A121, ""it"", ""en"")"),"120")</f>
        <v>120</v>
      </c>
      <c r="G121" s="3" t="str">
        <f>IFERROR(__xludf.DUMMYFUNCTION("GOOGLETRANSLATE(B121, ""it"", ""en"")"),"A defender holds the ball while completely submerged. What is the penalty?")</f>
        <v>A defender holds the ball while completely submerged. What is the penalty?</v>
      </c>
      <c r="H121" s="3" t="str">
        <f>IFERROR(__xludf.DUMMYFUNCTION("GOOGLETRANSLATE(C121, ""it"", ""en"")"),"A. Free kick against B. Temporary expulsion C. Penalty D. Neutral throw-in")</f>
        <v>A. Free kick against B. Temporary expulsion C. Penalty D. Neutral throw-in</v>
      </c>
      <c r="I121" s="3" t="str">
        <f>IFERROR(__xludf.DUMMYFUNCTION("GOOGLETRANSLATE(D121, ""it"", ""en"")"),"Punishment against")</f>
        <v>Punishment against</v>
      </c>
      <c r="J121" s="2"/>
      <c r="K121" s="2"/>
      <c r="L121" s="2"/>
      <c r="M121" s="2"/>
      <c r="N121" s="2"/>
      <c r="O121" s="2"/>
      <c r="P121" s="2"/>
      <c r="Q121" s="2"/>
      <c r="R121" s="2"/>
      <c r="S121" s="2"/>
      <c r="T121" s="2"/>
      <c r="U121" s="2"/>
      <c r="V121" s="2"/>
    </row>
    <row r="122" ht="22.5" customHeight="1">
      <c r="A122" s="3">
        <v>121.0</v>
      </c>
      <c r="B122" s="3" t="s">
        <v>1298</v>
      </c>
      <c r="C122" s="3" t="s">
        <v>1226</v>
      </c>
      <c r="D122" s="3" t="s">
        <v>1107</v>
      </c>
      <c r="E122" s="2"/>
      <c r="F122" s="3" t="str">
        <f>IFERROR(__xludf.DUMMYFUNCTION("GOOGLETRANSLATE(A122, ""it"", ""en"")"),"121")</f>
        <v>121</v>
      </c>
      <c r="G122" s="3" t="str">
        <f>IFERROR(__xludf.DUMMYFUNCTION("GOOGLETRANSLATE(B122, ""it"", ""en"")"),"A goalkeeper leaves the penalty area to challenge a referee's decision. What is the consequence?")</f>
        <v>A goalkeeper leaves the penalty area to challenge a referee's decision. What is the consequence?</v>
      </c>
      <c r="H122" s="3" t="str">
        <f>IFERROR(__xludf.DUMMYFUNCTION("GOOGLETRANSLATE(C122, ""it"", ""en"")"),"A. Temporary expulsion B. Free kick against C. Penalty D. Neutral throw-in")</f>
        <v>A. Temporary expulsion B. Free kick against C. Penalty D. Neutral throw-in</v>
      </c>
      <c r="I122" s="3" t="str">
        <f>IFERROR(__xludf.DUMMYFUNCTION("GOOGLETRANSLATE(D122, ""it"", ""en"")"),"Temporary expulsion")</f>
        <v>Temporary expulsion</v>
      </c>
      <c r="J122" s="2"/>
      <c r="K122" s="2"/>
      <c r="L122" s="2"/>
      <c r="M122" s="2"/>
      <c r="N122" s="2"/>
      <c r="O122" s="2"/>
      <c r="P122" s="2"/>
      <c r="Q122" s="2"/>
      <c r="R122" s="2"/>
      <c r="S122" s="2"/>
      <c r="T122" s="2"/>
      <c r="U122" s="2"/>
      <c r="V122" s="2"/>
    </row>
    <row r="123" ht="22.5" customHeight="1">
      <c r="A123" s="3">
        <v>122.0</v>
      </c>
      <c r="B123" s="3" t="s">
        <v>1299</v>
      </c>
      <c r="C123" s="3" t="s">
        <v>1193</v>
      </c>
      <c r="D123" s="3" t="s">
        <v>1194</v>
      </c>
      <c r="E123" s="2"/>
      <c r="F123" s="3" t="str">
        <f>IFERROR(__xludf.DUMMYFUNCTION("GOOGLETRANSLATE(A123, ""it"", ""en"")"),"122")</f>
        <v>122</v>
      </c>
      <c r="G123" s="3" t="str">
        <f>IFERROR(__xludf.DUMMYFUNCTION("GOOGLETRANSLATE(B123, ""it"", ""en"")"),"A defender intentionally kicks the ball. What's the penalty?")</f>
        <v>A defender intentionally kicks the ball. What's the penalty?</v>
      </c>
      <c r="H123" s="3" t="str">
        <f>IFERROR(__xludf.DUMMYFUNCTION("GOOGLETRANSLATE(C123, ""it"", ""en"")"),"A. Free kick against B. Temporary expulsion C. Penalty D. Neutral throw-in")</f>
        <v>A. Free kick against B. Temporary expulsion C. Penalty D. Neutral throw-in</v>
      </c>
      <c r="I123" s="3" t="str">
        <f>IFERROR(__xludf.DUMMYFUNCTION("GOOGLETRANSLATE(D123, ""it"", ""en"")"),"Punishment against")</f>
        <v>Punishment against</v>
      </c>
      <c r="J123" s="2"/>
      <c r="K123" s="2"/>
      <c r="L123" s="2"/>
      <c r="M123" s="2"/>
      <c r="N123" s="2"/>
      <c r="O123" s="2"/>
      <c r="P123" s="2"/>
      <c r="Q123" s="2"/>
      <c r="R123" s="2"/>
      <c r="S123" s="2"/>
      <c r="T123" s="2"/>
      <c r="U123" s="2"/>
      <c r="V123" s="2"/>
    </row>
    <row r="124" ht="22.5" customHeight="1">
      <c r="A124" s="3">
        <v>123.0</v>
      </c>
      <c r="B124" s="3" t="s">
        <v>1300</v>
      </c>
      <c r="C124" s="3" t="s">
        <v>1301</v>
      </c>
      <c r="D124" s="3" t="s">
        <v>1110</v>
      </c>
      <c r="E124" s="2"/>
      <c r="F124" s="3" t="str">
        <f>IFERROR(__xludf.DUMMYFUNCTION("GOOGLETRANSLATE(A124, ""it"", ""en"")"),"123")</f>
        <v>123</v>
      </c>
      <c r="G124" s="3" t="str">
        <f>IFERROR(__xludf.DUMMYFUNCTION("GOOGLETRANSLATE(B124, ""it"", ""en"")"),"A referee calls a technical foul while a player is in possession of the ball. What happens?")</f>
        <v>A referee calls a technical foul while a player is in possession of the ball. What happens?</v>
      </c>
      <c r="H124" s="3" t="str">
        <f>IFERROR(__xludf.DUMMYFUNCTION("GOOGLETRANSLATE(C124, ""it"", ""en"")"),"A. Neutral throw-in B. Free kick against C. Penalty D. Temporary expulsion")</f>
        <v>A. Neutral throw-in B. Free kick against C. Penalty D. Temporary expulsion</v>
      </c>
      <c r="I124" s="3" t="str">
        <f>IFERROR(__xludf.DUMMYFUNCTION("GOOGLETRANSLATE(D124, ""it"", ""en"")"),"Neutral throw-in")</f>
        <v>Neutral throw-in</v>
      </c>
      <c r="J124" s="2"/>
      <c r="K124" s="2"/>
      <c r="L124" s="2"/>
      <c r="M124" s="2"/>
      <c r="N124" s="2"/>
      <c r="O124" s="2"/>
      <c r="P124" s="2"/>
      <c r="Q124" s="2"/>
      <c r="R124" s="2"/>
      <c r="S124" s="2"/>
      <c r="T124" s="2"/>
      <c r="U124" s="2"/>
      <c r="V124" s="2"/>
    </row>
    <row r="125" ht="22.5" customHeight="1">
      <c r="A125" s="3">
        <v>124.0</v>
      </c>
      <c r="B125" s="3" t="s">
        <v>1302</v>
      </c>
      <c r="C125" s="3" t="s">
        <v>1280</v>
      </c>
      <c r="D125" s="3" t="s">
        <v>1288</v>
      </c>
      <c r="E125" s="2"/>
      <c r="F125" s="3" t="str">
        <f>IFERROR(__xludf.DUMMYFUNCTION("GOOGLETRANSLATE(A125, ""it"", ""en"")"),"124")</f>
        <v>124</v>
      </c>
      <c r="G125" s="3" t="str">
        <f>IFERROR(__xludf.DUMMYFUNCTION("GOOGLETRANSLATE(B125, ""it"", ""en"")"),"An attacker takes a penalty but accidentally hits a teammate. What's the decision?")</f>
        <v>An attacker takes a penalty but accidentally hits a teammate. What's the decision?</v>
      </c>
      <c r="H125" s="3" t="str">
        <f>IFERROR(__xludf.DUMMYFUNCTION("GOOGLETRANSLATE(C125, ""it"", ""en"")"),"A. Retake of the penalty B. Free kick against C. Penalty cancelled D. No penalty")</f>
        <v>A. Retake of the penalty B. Free kick against C. Penalty cancelled D. No penalty</v>
      </c>
      <c r="I125" s="3" t="str">
        <f>IFERROR(__xludf.DUMMYFUNCTION("GOOGLETRANSLATE(D125, ""it"", ""en"")"),"Retake of the penalty")</f>
        <v>Retake of the penalty</v>
      </c>
      <c r="J125" s="2"/>
      <c r="K125" s="2"/>
      <c r="L125" s="2"/>
      <c r="M125" s="2"/>
      <c r="N125" s="2"/>
      <c r="O125" s="2"/>
      <c r="P125" s="2"/>
      <c r="Q125" s="2"/>
      <c r="R125" s="2"/>
      <c r="S125" s="2"/>
      <c r="T125" s="2"/>
      <c r="U125" s="2"/>
      <c r="V125" s="2"/>
    </row>
    <row r="126" ht="22.5" customHeight="1">
      <c r="A126" s="3">
        <v>125.0</v>
      </c>
      <c r="B126" s="3" t="s">
        <v>1303</v>
      </c>
      <c r="C126" s="3" t="s">
        <v>1193</v>
      </c>
      <c r="D126" s="3" t="s">
        <v>1194</v>
      </c>
      <c r="E126" s="2"/>
      <c r="F126" s="3" t="str">
        <f>IFERROR(__xludf.DUMMYFUNCTION("GOOGLETRANSLATE(A126, ""it"", ""en"")"),"125")</f>
        <v>125</v>
      </c>
      <c r="G126" s="3" t="str">
        <f>IFERROR(__xludf.DUMMYFUNCTION("GOOGLETRANSLATE(B126, ""it"", ""en"")"),"A goalkeeper blocks a shot but uses both hands outside the penalty area. What is the penalty?")</f>
        <v>A goalkeeper blocks a shot but uses both hands outside the penalty area. What is the penalty?</v>
      </c>
      <c r="H126" s="3" t="str">
        <f>IFERROR(__xludf.DUMMYFUNCTION("GOOGLETRANSLATE(C126, ""it"", ""en"")"),"A. Free kick against B. Temporary expulsion C. Penalty D. Neutral throw-in")</f>
        <v>A. Free kick against B. Temporary expulsion C. Penalty D. Neutral throw-in</v>
      </c>
      <c r="I126" s="3" t="str">
        <f>IFERROR(__xludf.DUMMYFUNCTION("GOOGLETRANSLATE(D126, ""it"", ""en"")"),"Punishment against")</f>
        <v>Punishment against</v>
      </c>
      <c r="J126" s="2"/>
      <c r="K126" s="2"/>
      <c r="L126" s="2"/>
      <c r="M126" s="2"/>
      <c r="N126" s="2"/>
      <c r="O126" s="2"/>
      <c r="P126" s="2"/>
      <c r="Q126" s="2"/>
      <c r="R126" s="2"/>
      <c r="S126" s="2"/>
      <c r="T126" s="2"/>
      <c r="U126" s="2"/>
      <c r="V126" s="2"/>
    </row>
    <row r="127" ht="22.5" customHeight="1">
      <c r="A127" s="3">
        <v>126.0</v>
      </c>
      <c r="B127" s="3" t="s">
        <v>1304</v>
      </c>
      <c r="C127" s="3" t="s">
        <v>1193</v>
      </c>
      <c r="D127" s="3" t="s">
        <v>1194</v>
      </c>
      <c r="E127" s="2"/>
      <c r="F127" s="3" t="str">
        <f>IFERROR(__xludf.DUMMYFUNCTION("GOOGLETRANSLATE(A127, ""it"", ""en"")"),"126")</f>
        <v>126</v>
      </c>
      <c r="G127" s="3" t="str">
        <f>IFERROR(__xludf.DUMMYFUNCTION("GOOGLETRANSLATE(B127, ""it"", ""en"")"),"An attacker pushes against an opponent's body to reach the ball. What is the penalty?")</f>
        <v>An attacker pushes against an opponent's body to reach the ball. What is the penalty?</v>
      </c>
      <c r="H127" s="3" t="str">
        <f>IFERROR(__xludf.DUMMYFUNCTION("GOOGLETRANSLATE(C127, ""it"", ""en"")"),"A. Free kick against B. Temporary expulsion C. Penalty D. Neutral throw-in")</f>
        <v>A. Free kick against B. Temporary expulsion C. Penalty D. Neutral throw-in</v>
      </c>
      <c r="I127" s="3" t="str">
        <f>IFERROR(__xludf.DUMMYFUNCTION("GOOGLETRANSLATE(D127, ""it"", ""en"")"),"Punishment against")</f>
        <v>Punishment against</v>
      </c>
      <c r="J127" s="2"/>
      <c r="K127" s="2"/>
      <c r="L127" s="2"/>
      <c r="M127" s="2"/>
      <c r="N127" s="2"/>
      <c r="O127" s="2"/>
      <c r="P127" s="2"/>
      <c r="Q127" s="2"/>
      <c r="R127" s="2"/>
      <c r="S127" s="2"/>
      <c r="T127" s="2"/>
      <c r="U127" s="2"/>
      <c r="V127" s="2"/>
    </row>
    <row r="128" ht="22.5" customHeight="1">
      <c r="A128" s="3">
        <v>127.0</v>
      </c>
      <c r="B128" s="3" t="s">
        <v>1305</v>
      </c>
      <c r="C128" s="3" t="s">
        <v>1226</v>
      </c>
      <c r="D128" s="3" t="s">
        <v>1107</v>
      </c>
      <c r="E128" s="2"/>
      <c r="F128" s="3" t="str">
        <f>IFERROR(__xludf.DUMMYFUNCTION("GOOGLETRANSLATE(A128, ""it"", ""en"")"),"127")</f>
        <v>127</v>
      </c>
      <c r="G128" s="3" t="str">
        <f>IFERROR(__xludf.DUMMYFUNCTION("GOOGLETRANSLATE(B128, ""it"", ""en"")"),"A defender intentionally elbows the ball. What's the penalty?")</f>
        <v>A defender intentionally elbows the ball. What's the penalty?</v>
      </c>
      <c r="H128" s="3" t="str">
        <f>IFERROR(__xludf.DUMMYFUNCTION("GOOGLETRANSLATE(C128, ""it"", ""en"")"),"A. Temporary expulsion B. Free kick against C. Penalty D. Neutral throw-in")</f>
        <v>A. Temporary expulsion B. Free kick against C. Penalty D. Neutral throw-in</v>
      </c>
      <c r="I128" s="3" t="str">
        <f>IFERROR(__xludf.DUMMYFUNCTION("GOOGLETRANSLATE(D128, ""it"", ""en"")"),"Temporary expulsion")</f>
        <v>Temporary expulsion</v>
      </c>
      <c r="J128" s="2"/>
      <c r="K128" s="2"/>
      <c r="L128" s="2"/>
      <c r="M128" s="2"/>
      <c r="N128" s="2"/>
      <c r="O128" s="2"/>
      <c r="P128" s="2"/>
      <c r="Q128" s="2"/>
      <c r="R128" s="2"/>
      <c r="S128" s="2"/>
      <c r="T128" s="2"/>
      <c r="U128" s="2"/>
      <c r="V128" s="2"/>
    </row>
    <row r="129" ht="22.5" customHeight="1">
      <c r="A129" s="3">
        <v>128.0</v>
      </c>
      <c r="B129" s="3" t="s">
        <v>1306</v>
      </c>
      <c r="C129" s="3" t="s">
        <v>1307</v>
      </c>
      <c r="D129" s="3" t="s">
        <v>1088</v>
      </c>
      <c r="E129" s="2"/>
      <c r="F129" s="3" t="str">
        <f>IFERROR(__xludf.DUMMYFUNCTION("GOOGLETRANSLATE(A129, ""it"", ""en"")"),"128")</f>
        <v>128</v>
      </c>
      <c r="G129" s="3" t="str">
        <f>IFERROR(__xludf.DUMMYFUNCTION("GOOGLETRANSLATE(B129, ""it"", ""en"")"),"A striker shoots after the final whistle. What's the decision?")</f>
        <v>A striker shoots after the final whistle. What's the decision?</v>
      </c>
      <c r="H129" s="3" t="str">
        <f>IFERROR(__xludf.DUMMYFUNCTION("GOOGLETRANSLATE(C129, ""it"", ""en"")"),"A. No penalty B. Temporary expulsion C. Penalty D. Free kick against")</f>
        <v>A. No penalty B. Temporary expulsion C. Penalty D. Free kick against</v>
      </c>
      <c r="I129" s="3" t="str">
        <f>IFERROR(__xludf.DUMMYFUNCTION("GOOGLETRANSLATE(D129, ""it"", ""en"")"),"No penalty")</f>
        <v>No penalty</v>
      </c>
      <c r="J129" s="2"/>
      <c r="K129" s="2"/>
      <c r="L129" s="2"/>
      <c r="M129" s="2"/>
      <c r="N129" s="2"/>
      <c r="O129" s="2"/>
      <c r="P129" s="2"/>
      <c r="Q129" s="2"/>
      <c r="R129" s="2"/>
      <c r="S129" s="2"/>
      <c r="T129" s="2"/>
      <c r="U129" s="2"/>
      <c r="V129" s="2"/>
    </row>
    <row r="130" ht="22.5" customHeight="1">
      <c r="A130" s="3">
        <v>129.0</v>
      </c>
      <c r="B130" s="3" t="s">
        <v>1308</v>
      </c>
      <c r="C130" s="3" t="s">
        <v>1226</v>
      </c>
      <c r="D130" s="3" t="s">
        <v>1107</v>
      </c>
      <c r="E130" s="2"/>
      <c r="F130" s="3" t="str">
        <f>IFERROR(__xludf.DUMMYFUNCTION("GOOGLETRANSLATE(A130, ""it"", ""en"")"),"129")</f>
        <v>129</v>
      </c>
      <c r="G130" s="3" t="str">
        <f>IFERROR(__xludf.DUMMYFUNCTION("GOOGLETRANSLATE(B130, ""it"", ""en"")"),"A goalkeeper completely exits the pool during play. What is the consequence?")</f>
        <v>A goalkeeper completely exits the pool during play. What is the consequence?</v>
      </c>
      <c r="H130" s="3" t="str">
        <f>IFERROR(__xludf.DUMMYFUNCTION("GOOGLETRANSLATE(C130, ""it"", ""en"")"),"A. Temporary expulsion B. Free kick against C. Penalty D. Neutral throw-in")</f>
        <v>A. Temporary expulsion B. Free kick against C. Penalty D. Neutral throw-in</v>
      </c>
      <c r="I130" s="3" t="str">
        <f>IFERROR(__xludf.DUMMYFUNCTION("GOOGLETRANSLATE(D130, ""it"", ""en"")"),"Temporary expulsion")</f>
        <v>Temporary expulsion</v>
      </c>
      <c r="J130" s="2"/>
      <c r="K130" s="2"/>
      <c r="L130" s="2"/>
      <c r="M130" s="2"/>
      <c r="N130" s="2"/>
      <c r="O130" s="2"/>
      <c r="P130" s="2"/>
      <c r="Q130" s="2"/>
      <c r="R130" s="2"/>
      <c r="S130" s="2"/>
      <c r="T130" s="2"/>
      <c r="U130" s="2"/>
      <c r="V130" s="2"/>
    </row>
    <row r="131" ht="22.5" customHeight="1">
      <c r="A131" s="3">
        <v>130.0</v>
      </c>
      <c r="B131" s="3" t="s">
        <v>1309</v>
      </c>
      <c r="C131" s="3" t="s">
        <v>1310</v>
      </c>
      <c r="D131" s="3" t="s">
        <v>1115</v>
      </c>
      <c r="E131" s="2"/>
      <c r="F131" s="3" t="str">
        <f>IFERROR(__xludf.DUMMYFUNCTION("GOOGLETRANSLATE(A131, ""it"", ""en"")"),"130")</f>
        <v>130</v>
      </c>
      <c r="G131" s="3" t="str">
        <f>IFERROR(__xludf.DUMMYFUNCTION("GOOGLETRANSLATE(B131, ""it"", ""en"")"),"A player protests with offensive gestures toward the referee. What is the consequence?")</f>
        <v>A player protests with offensive gestures toward the referee. What is the consequence?</v>
      </c>
      <c r="H131" s="3" t="str">
        <f>IFERROR(__xludf.DUMMYFUNCTION("GOOGLETRANSLATE(C131, ""it"", ""en"")"),"A. Permanent expulsion B. Temporary expulsion C. Free kick against D. Penalty")</f>
        <v>A. Permanent expulsion B. Temporary expulsion C. Free kick against D. Penalty</v>
      </c>
      <c r="I131" s="3" t="str">
        <f>IFERROR(__xludf.DUMMYFUNCTION("GOOGLETRANSLATE(D131, ""it"", ""en"")"),"Permanent expulsion")</f>
        <v>Permanent expulsion</v>
      </c>
      <c r="J131" s="2"/>
      <c r="K131" s="2"/>
      <c r="L131" s="2"/>
      <c r="M131" s="2"/>
      <c r="N131" s="2"/>
      <c r="O131" s="2"/>
      <c r="P131" s="2"/>
      <c r="Q131" s="2"/>
      <c r="R131" s="2"/>
      <c r="S131" s="2"/>
      <c r="T131" s="2"/>
      <c r="U131" s="2"/>
      <c r="V131" s="2"/>
    </row>
    <row r="132" ht="22.5" customHeight="1">
      <c r="A132" s="3">
        <v>131.0</v>
      </c>
      <c r="B132" s="3" t="s">
        <v>1311</v>
      </c>
      <c r="C132" s="3" t="s">
        <v>1280</v>
      </c>
      <c r="D132" s="3" t="s">
        <v>1288</v>
      </c>
      <c r="E132" s="2"/>
      <c r="F132" s="3" t="str">
        <f>IFERROR(__xludf.DUMMYFUNCTION("GOOGLETRANSLATE(A132, ""it"", ""en"")"),"131")</f>
        <v>131</v>
      </c>
      <c r="G132" s="3" t="str">
        <f>IFERROR(__xludf.DUMMYFUNCTION("GOOGLETRANSLATE(B132, ""it"", ""en"")"),"A referee awards a penalty, but the shooter stops during his approach. What happens?")</f>
        <v>A referee awards a penalty, but the shooter stops during his approach. What happens?</v>
      </c>
      <c r="H132" s="3" t="str">
        <f>IFERROR(__xludf.DUMMYFUNCTION("GOOGLETRANSLATE(C132, ""it"", ""en"")"),"A. Retake of the penalty B. Free kick against C. Penalty cancelled D. No penalty")</f>
        <v>A. Retake of the penalty B. Free kick against C. Penalty cancelled D. No penalty</v>
      </c>
      <c r="I132" s="3" t="str">
        <f>IFERROR(__xludf.DUMMYFUNCTION("GOOGLETRANSLATE(D132, ""it"", ""en"")"),"Retake of the penalty")</f>
        <v>Retake of the penalty</v>
      </c>
      <c r="J132" s="2"/>
      <c r="K132" s="2"/>
      <c r="L132" s="2"/>
      <c r="M132" s="2"/>
      <c r="N132" s="2"/>
      <c r="O132" s="2"/>
      <c r="P132" s="2"/>
      <c r="Q132" s="2"/>
      <c r="R132" s="2"/>
      <c r="S132" s="2"/>
      <c r="T132" s="2"/>
      <c r="U132" s="2"/>
      <c r="V132" s="2"/>
    </row>
    <row r="133" ht="22.5" customHeight="1">
      <c r="A133" s="3">
        <v>132.0</v>
      </c>
      <c r="B133" s="3" t="s">
        <v>1312</v>
      </c>
      <c r="C133" s="3" t="s">
        <v>1193</v>
      </c>
      <c r="D133" s="3" t="s">
        <v>1194</v>
      </c>
      <c r="E133" s="2"/>
      <c r="F133" s="3" t="str">
        <f>IFERROR(__xludf.DUMMYFUNCTION("GOOGLETRANSLATE(A133, ""it"", ""en"")"),"132")</f>
        <v>132</v>
      </c>
      <c r="G133" s="3" t="str">
        <f>IFERROR(__xludf.DUMMYFUNCTION("GOOGLETRANSLATE(B133, ""it"", ""en"")"),"An attacker grabs an opponent to prevent him from defending. What is the penalty?")</f>
        <v>An attacker grabs an opponent to prevent him from defending. What is the penalty?</v>
      </c>
      <c r="H133" s="3" t="str">
        <f>IFERROR(__xludf.DUMMYFUNCTION("GOOGLETRANSLATE(C133, ""it"", ""en"")"),"A. Free kick against B. Temporary expulsion C. Penalty D. Neutral throw-in")</f>
        <v>A. Free kick against B. Temporary expulsion C. Penalty D. Neutral throw-in</v>
      </c>
      <c r="I133" s="3" t="str">
        <f>IFERROR(__xludf.DUMMYFUNCTION("GOOGLETRANSLATE(D133, ""it"", ""en"")"),"Punishment against")</f>
        <v>Punishment against</v>
      </c>
      <c r="J133" s="2"/>
      <c r="K133" s="2"/>
      <c r="L133" s="2"/>
      <c r="M133" s="2"/>
      <c r="N133" s="2"/>
      <c r="O133" s="2"/>
      <c r="P133" s="2"/>
      <c r="Q133" s="2"/>
      <c r="R133" s="2"/>
      <c r="S133" s="2"/>
      <c r="T133" s="2"/>
      <c r="U133" s="2"/>
      <c r="V133" s="2"/>
    </row>
    <row r="134" ht="22.5" customHeight="1">
      <c r="A134" s="3">
        <v>133.0</v>
      </c>
      <c r="B134" s="3" t="s">
        <v>1313</v>
      </c>
      <c r="C134" s="3" t="s">
        <v>1277</v>
      </c>
      <c r="D134" s="3" t="s">
        <v>1218</v>
      </c>
      <c r="E134" s="2"/>
      <c r="F134" s="3" t="str">
        <f>IFERROR(__xludf.DUMMYFUNCTION("GOOGLETRANSLATE(A134, ""it"", ""en"")"),"133")</f>
        <v>133</v>
      </c>
      <c r="G134" s="3" t="str">
        <f>IFERROR(__xludf.DUMMYFUNCTION("GOOGLETRANSLATE(B134, ""it"", ""en"")"),"A referee awards a free kick, but the ball is played by another player. What happens?")</f>
        <v>A referee awards a free kick, but the ball is played by another player. What happens?</v>
      </c>
      <c r="H134" s="3" t="str">
        <f>IFERROR(__xludf.DUMMYFUNCTION("GOOGLETRANSLATE(C134, ""it"", ""en"")"),"A. Retake of the free kick B. Free kick against C. Penalty D. No penalty")</f>
        <v>A. Retake of the free kick B. Free kick against C. Penalty D. No penalty</v>
      </c>
      <c r="I134" s="3" t="str">
        <f>IFERROR(__xludf.DUMMYFUNCTION("GOOGLETRANSLATE(D134, ""it"", ""en"")"),"Repetition of punishment")</f>
        <v>Repetition of punishment</v>
      </c>
      <c r="J134" s="2"/>
      <c r="K134" s="2"/>
      <c r="L134" s="2"/>
      <c r="M134" s="2"/>
      <c r="N134" s="2"/>
      <c r="O134" s="2"/>
      <c r="P134" s="2"/>
      <c r="Q134" s="2"/>
      <c r="R134" s="2"/>
      <c r="S134" s="2"/>
      <c r="T134" s="2"/>
      <c r="U134" s="2"/>
      <c r="V134" s="2"/>
    </row>
    <row r="135" ht="22.5" customHeight="1">
      <c r="A135" s="3">
        <v>134.0</v>
      </c>
      <c r="B135" s="3" t="s">
        <v>1314</v>
      </c>
      <c r="C135" s="3" t="s">
        <v>1226</v>
      </c>
      <c r="D135" s="3" t="s">
        <v>1107</v>
      </c>
      <c r="E135" s="2"/>
      <c r="F135" s="3" t="str">
        <f>IFERROR(__xludf.DUMMYFUNCTION("GOOGLETRANSLATE(A135, ""it"", ""en"")"),"134")</f>
        <v>134</v>
      </c>
      <c r="G135" s="3" t="str">
        <f>IFERROR(__xludf.DUMMYFUNCTION("GOOGLETRANSLATE(B135, ""it"", ""en"")"),"An attacker intentionally shoots and hits an opponent. What is the consequence?")</f>
        <v>An attacker intentionally shoots and hits an opponent. What is the consequence?</v>
      </c>
      <c r="H135" s="3" t="str">
        <f>IFERROR(__xludf.DUMMYFUNCTION("GOOGLETRANSLATE(C135, ""it"", ""en"")"),"A. Temporary expulsion B. Free kick against C. Penalty D. Neutral throw-in")</f>
        <v>A. Temporary expulsion B. Free kick against C. Penalty D. Neutral throw-in</v>
      </c>
      <c r="I135" s="3" t="str">
        <f>IFERROR(__xludf.DUMMYFUNCTION("GOOGLETRANSLATE(D135, ""it"", ""en"")"),"Temporary expulsion")</f>
        <v>Temporary expulsion</v>
      </c>
      <c r="J135" s="2"/>
      <c r="K135" s="2"/>
      <c r="L135" s="2"/>
      <c r="M135" s="2"/>
      <c r="N135" s="2"/>
      <c r="O135" s="2"/>
      <c r="P135" s="2"/>
      <c r="Q135" s="2"/>
      <c r="R135" s="2"/>
      <c r="S135" s="2"/>
      <c r="T135" s="2"/>
      <c r="U135" s="2"/>
      <c r="V135" s="2"/>
    </row>
    <row r="136" ht="22.5" customHeight="1">
      <c r="A136" s="3">
        <v>135.0</v>
      </c>
      <c r="B136" s="3" t="s">
        <v>1315</v>
      </c>
      <c r="C136" s="3" t="s">
        <v>1257</v>
      </c>
      <c r="D136" s="3" t="s">
        <v>1194</v>
      </c>
      <c r="E136" s="2"/>
      <c r="F136" s="3" t="str">
        <f>IFERROR(__xludf.DUMMYFUNCTION("GOOGLETRANSLATE(A136, ""it"", ""en"")"),"135")</f>
        <v>135</v>
      </c>
      <c r="G136" s="3" t="str">
        <f>IFERROR(__xludf.DUMMYFUNCTION("GOOGLETRANSLATE(B136, ""it"", ""en"")"),"A defender blocks a shot with both hands outside the crease. What's the decision?")</f>
        <v>A defender blocks a shot with both hands outside the crease. What's the decision?</v>
      </c>
      <c r="H136" s="3" t="str">
        <f>IFERROR(__xludf.DUMMYFUNCTION("GOOGLETRANSLATE(C136, ""it"", ""en"")"),"A. Free kick against B. Temporary expulsion C. Penalty D. No penalty")</f>
        <v>A. Free kick against B. Temporary expulsion C. Penalty D. No penalty</v>
      </c>
      <c r="I136" s="3" t="str">
        <f>IFERROR(__xludf.DUMMYFUNCTION("GOOGLETRANSLATE(D136, ""it"", ""en"")"),"Punishment against")</f>
        <v>Punishment against</v>
      </c>
      <c r="J136" s="2"/>
      <c r="K136" s="2"/>
      <c r="L136" s="2"/>
      <c r="M136" s="2"/>
      <c r="N136" s="2"/>
      <c r="O136" s="2"/>
      <c r="P136" s="2"/>
      <c r="Q136" s="2"/>
      <c r="R136" s="2"/>
      <c r="S136" s="2"/>
      <c r="T136" s="2"/>
      <c r="U136" s="2"/>
      <c r="V136" s="2"/>
    </row>
    <row r="137" ht="22.5" customHeight="1">
      <c r="A137" s="3">
        <v>136.0</v>
      </c>
      <c r="B137" s="3" t="s">
        <v>1316</v>
      </c>
      <c r="C137" s="3" t="s">
        <v>1193</v>
      </c>
      <c r="D137" s="3" t="s">
        <v>1194</v>
      </c>
      <c r="E137" s="2"/>
      <c r="F137" s="3" t="str">
        <f>IFERROR(__xludf.DUMMYFUNCTION("GOOGLETRANSLATE(A137, ""it"", ""en"")"),"136")</f>
        <v>136</v>
      </c>
      <c r="G137" s="3" t="str">
        <f>IFERROR(__xludf.DUMMYFUNCTION("GOOGLETRANSLATE(B137, ""it"", ""en"")"),"An attacker pushes an opponent away to gain position. What is the penalty?")</f>
        <v>An attacker pushes an opponent away to gain position. What is the penalty?</v>
      </c>
      <c r="H137" s="3" t="str">
        <f>IFERROR(__xludf.DUMMYFUNCTION("GOOGLETRANSLATE(C137, ""it"", ""en"")"),"A. Free kick against B. Temporary expulsion C. Penalty D. Neutral throw-in")</f>
        <v>A. Free kick against B. Temporary expulsion C. Penalty D. Neutral throw-in</v>
      </c>
      <c r="I137" s="3" t="str">
        <f>IFERROR(__xludf.DUMMYFUNCTION("GOOGLETRANSLATE(D137, ""it"", ""en"")"),"Punishment against")</f>
        <v>Punishment against</v>
      </c>
      <c r="J137" s="2"/>
      <c r="K137" s="2"/>
      <c r="L137" s="2"/>
      <c r="M137" s="2"/>
      <c r="N137" s="2"/>
      <c r="O137" s="2"/>
      <c r="P137" s="2"/>
      <c r="Q137" s="2"/>
      <c r="R137" s="2"/>
      <c r="S137" s="2"/>
      <c r="T137" s="2"/>
      <c r="U137" s="2"/>
      <c r="V137" s="2"/>
    </row>
    <row r="138" ht="22.5" customHeight="1">
      <c r="A138" s="3">
        <v>137.0</v>
      </c>
      <c r="B138" s="3" t="s">
        <v>1317</v>
      </c>
      <c r="C138" s="3" t="s">
        <v>1257</v>
      </c>
      <c r="D138" s="3" t="s">
        <v>1194</v>
      </c>
      <c r="E138" s="2"/>
      <c r="F138" s="3" t="str">
        <f>IFERROR(__xludf.DUMMYFUNCTION("GOOGLETRANSLATE(A138, ""it"", ""en"")"),"137")</f>
        <v>137</v>
      </c>
      <c r="G138" s="3" t="str">
        <f>IFERROR(__xludf.DUMMYFUNCTION("GOOGLETRANSLATE(B138, ""it"", ""en"")"),"A goalkeeper holds the ball for more than 10 seconds. What's the decision?")</f>
        <v>A goalkeeper holds the ball for more than 10 seconds. What's the decision?</v>
      </c>
      <c r="H138" s="3" t="str">
        <f>IFERROR(__xludf.DUMMYFUNCTION("GOOGLETRANSLATE(C138, ""it"", ""en"")"),"A. Free kick against B. Temporary expulsion C. Penalty D. No penalty")</f>
        <v>A. Free kick against B. Temporary expulsion C. Penalty D. No penalty</v>
      </c>
      <c r="I138" s="3" t="str">
        <f>IFERROR(__xludf.DUMMYFUNCTION("GOOGLETRANSLATE(D138, ""it"", ""en"")"),"Punishment against")</f>
        <v>Punishment against</v>
      </c>
      <c r="J138" s="2"/>
      <c r="K138" s="2"/>
      <c r="L138" s="2"/>
      <c r="M138" s="2"/>
      <c r="N138" s="2"/>
      <c r="O138" s="2"/>
      <c r="P138" s="2"/>
      <c r="Q138" s="2"/>
      <c r="R138" s="2"/>
      <c r="S138" s="2"/>
      <c r="T138" s="2"/>
      <c r="U138" s="2"/>
      <c r="V138" s="2"/>
    </row>
    <row r="139" ht="22.5" customHeight="1">
      <c r="A139" s="3">
        <v>138.0</v>
      </c>
      <c r="B139" s="3" t="s">
        <v>1318</v>
      </c>
      <c r="C139" s="3" t="s">
        <v>1226</v>
      </c>
      <c r="D139" s="3" t="s">
        <v>1107</v>
      </c>
      <c r="E139" s="2"/>
      <c r="F139" s="3" t="str">
        <f>IFERROR(__xludf.DUMMYFUNCTION("GOOGLETRANSLATE(A139, ""it"", ""en"")"),"138")</f>
        <v>138</v>
      </c>
      <c r="G139" s="3" t="str">
        <f>IFERROR(__xludf.DUMMYFUNCTION("GOOGLETRANSLATE(B139, ""it"", ""en"")"),"A defender uses his elbow to block a shot. What is the consequence?")</f>
        <v>A defender uses his elbow to block a shot. What is the consequence?</v>
      </c>
      <c r="H139" s="3" t="str">
        <f>IFERROR(__xludf.DUMMYFUNCTION("GOOGLETRANSLATE(C139, ""it"", ""en"")"),"A. Temporary expulsion B. Free kick against C. Penalty D. Neutral throw-in")</f>
        <v>A. Temporary expulsion B. Free kick against C. Penalty D. Neutral throw-in</v>
      </c>
      <c r="I139" s="3" t="str">
        <f>IFERROR(__xludf.DUMMYFUNCTION("GOOGLETRANSLATE(D139, ""it"", ""en"")"),"Temporary expulsion")</f>
        <v>Temporary expulsion</v>
      </c>
      <c r="J139" s="2"/>
      <c r="K139" s="2"/>
      <c r="L139" s="2"/>
      <c r="M139" s="2"/>
      <c r="N139" s="2"/>
      <c r="O139" s="2"/>
      <c r="P139" s="2"/>
      <c r="Q139" s="2"/>
      <c r="R139" s="2"/>
      <c r="S139" s="2"/>
      <c r="T139" s="2"/>
      <c r="U139" s="2"/>
      <c r="V139" s="2"/>
    </row>
    <row r="140" ht="22.5" customHeight="1">
      <c r="A140" s="3">
        <v>139.0</v>
      </c>
      <c r="B140" s="3" t="s">
        <v>1319</v>
      </c>
      <c r="C140" s="3" t="s">
        <v>1320</v>
      </c>
      <c r="D140" s="3" t="s">
        <v>1107</v>
      </c>
      <c r="E140" s="2"/>
      <c r="F140" s="3" t="str">
        <f>IFERROR(__xludf.DUMMYFUNCTION("GOOGLETRANSLATE(A140, ""it"", ""en"")"),"139")</f>
        <v>139</v>
      </c>
      <c r="G140" s="3" t="str">
        <f>IFERROR(__xludf.DUMMYFUNCTION("GOOGLETRANSLATE(B140, ""it"", ""en"")"),"A referee awards a penalty, but the goalkeeper protests and refuses to take his position. What happens?")</f>
        <v>A referee awards a penalty, but the goalkeeper protests and refuses to take his position. What happens?</v>
      </c>
      <c r="H140" s="3" t="str">
        <f>IFERROR(__xludf.DUMMYFUNCTION("GOOGLETRANSLATE(C140, ""it"", ""en"")"),"A. Temporary expulsion B. Free kick against C. Penalty cancelled D. No penalty")</f>
        <v>A. Temporary expulsion B. Free kick against C. Penalty cancelled D. No penalty</v>
      </c>
      <c r="I140" s="3" t="str">
        <f>IFERROR(__xludf.DUMMYFUNCTION("GOOGLETRANSLATE(D140, ""it"", ""en"")"),"Temporary expulsion")</f>
        <v>Temporary expulsion</v>
      </c>
      <c r="J140" s="2"/>
      <c r="K140" s="2"/>
      <c r="L140" s="2"/>
      <c r="M140" s="2"/>
      <c r="N140" s="2"/>
      <c r="O140" s="2"/>
      <c r="P140" s="2"/>
      <c r="Q140" s="2"/>
      <c r="R140" s="2"/>
      <c r="S140" s="2"/>
      <c r="T140" s="2"/>
      <c r="U140" s="2"/>
      <c r="V140" s="2"/>
    </row>
    <row r="141" ht="22.5" customHeight="1">
      <c r="A141" s="3">
        <v>140.0</v>
      </c>
      <c r="B141" s="3" t="s">
        <v>1321</v>
      </c>
      <c r="C141" s="3" t="s">
        <v>1193</v>
      </c>
      <c r="D141" s="3" t="s">
        <v>1194</v>
      </c>
      <c r="E141" s="2"/>
      <c r="F141" s="3" t="str">
        <f>IFERROR(__xludf.DUMMYFUNCTION("GOOGLETRANSLATE(A141, ""it"", ""en"")"),"140")</f>
        <v>140</v>
      </c>
      <c r="G141" s="3" t="str">
        <f>IFERROR(__xludf.DUMMYFUNCTION("GOOGLETRANSLATE(B141, ""it"", ""en"")"),"A defender holds the ball under water to prevent a shot. What's the decision?")</f>
        <v>A defender holds the ball under water to prevent a shot. What's the decision?</v>
      </c>
      <c r="H141" s="3" t="str">
        <f>IFERROR(__xludf.DUMMYFUNCTION("GOOGLETRANSLATE(C141, ""it"", ""en"")"),"A. Free kick against B. Temporary expulsion C. Penalty D. Neutral throw-in")</f>
        <v>A. Free kick against B. Temporary expulsion C. Penalty D. Neutral throw-in</v>
      </c>
      <c r="I141" s="3" t="str">
        <f>IFERROR(__xludf.DUMMYFUNCTION("GOOGLETRANSLATE(D141, ""it"", ""en"")"),"Punishment against")</f>
        <v>Punishment against</v>
      </c>
      <c r="J141" s="2"/>
      <c r="K141" s="2"/>
      <c r="L141" s="2"/>
      <c r="M141" s="2"/>
      <c r="N141" s="2"/>
      <c r="O141" s="2"/>
      <c r="P141" s="2"/>
      <c r="Q141" s="2"/>
      <c r="R141" s="2"/>
      <c r="S141" s="2"/>
      <c r="T141" s="2"/>
      <c r="U141" s="2"/>
      <c r="V141" s="2"/>
    </row>
    <row r="142" ht="22.5" customHeight="1">
      <c r="A142" s="3">
        <v>141.0</v>
      </c>
      <c r="B142" s="3" t="s">
        <v>1322</v>
      </c>
      <c r="C142" s="3" t="s">
        <v>1193</v>
      </c>
      <c r="D142" s="3" t="s">
        <v>1194</v>
      </c>
      <c r="E142" s="2"/>
      <c r="F142" s="3" t="str">
        <f>IFERROR(__xludf.DUMMYFUNCTION("GOOGLETRANSLATE(A142, ""it"", ""en"")"),"141")</f>
        <v>141</v>
      </c>
      <c r="G142" s="3" t="str">
        <f>IFERROR(__xludf.DUMMYFUNCTION("GOOGLETRANSLATE(B142, ""it"", ""en"")"),"An attacker grabs an opponent to gain space. What's the penalty?")</f>
        <v>An attacker grabs an opponent to gain space. What's the penalty?</v>
      </c>
      <c r="H142" s="3" t="str">
        <f>IFERROR(__xludf.DUMMYFUNCTION("GOOGLETRANSLATE(C142, ""it"", ""en"")"),"A. Free kick against B. Temporary expulsion C. Penalty D. Neutral throw-in")</f>
        <v>A. Free kick against B. Temporary expulsion C. Penalty D. Neutral throw-in</v>
      </c>
      <c r="I142" s="3" t="str">
        <f>IFERROR(__xludf.DUMMYFUNCTION("GOOGLETRANSLATE(D142, ""it"", ""en"")"),"Punishment against")</f>
        <v>Punishment against</v>
      </c>
      <c r="J142" s="2"/>
      <c r="K142" s="2"/>
      <c r="L142" s="2"/>
      <c r="M142" s="2"/>
      <c r="N142" s="2"/>
      <c r="O142" s="2"/>
      <c r="P142" s="2"/>
      <c r="Q142" s="2"/>
      <c r="R142" s="2"/>
      <c r="S142" s="2"/>
      <c r="T142" s="2"/>
      <c r="U142" s="2"/>
      <c r="V142" s="2"/>
    </row>
    <row r="143" ht="22.5" customHeight="1">
      <c r="A143" s="3">
        <v>142.0</v>
      </c>
      <c r="B143" s="3" t="s">
        <v>1323</v>
      </c>
      <c r="C143" s="3" t="s">
        <v>1277</v>
      </c>
      <c r="D143" s="3" t="s">
        <v>1218</v>
      </c>
      <c r="E143" s="2"/>
      <c r="F143" s="3" t="str">
        <f>IFERROR(__xludf.DUMMYFUNCTION("GOOGLETRANSLATE(A143, ""it"", ""en"")"),"142")</f>
        <v>142</v>
      </c>
      <c r="G143" s="3" t="str">
        <f>IFERROR(__xludf.DUMMYFUNCTION("GOOGLETRANSLATE(B143, ""it"", ""en"")"),"A referee whistles for a free kick, but the ball is played before the signal. What happens?")</f>
        <v>A referee whistles for a free kick, but the ball is played before the signal. What happens?</v>
      </c>
      <c r="H143" s="3" t="str">
        <f>IFERROR(__xludf.DUMMYFUNCTION("GOOGLETRANSLATE(C143, ""it"", ""en"")"),"A. Retake of the free kick B. Free kick against C. Penalty D. No penalty")</f>
        <v>A. Retake of the free kick B. Free kick against C. Penalty D. No penalty</v>
      </c>
      <c r="I143" s="3" t="str">
        <f>IFERROR(__xludf.DUMMYFUNCTION("GOOGLETRANSLATE(D143, ""it"", ""en"")"),"Repetition of punishment")</f>
        <v>Repetition of punishment</v>
      </c>
      <c r="J143" s="2"/>
      <c r="K143" s="2"/>
      <c r="L143" s="2"/>
      <c r="M143" s="2"/>
      <c r="N143" s="2"/>
      <c r="O143" s="2"/>
      <c r="P143" s="2"/>
      <c r="Q143" s="2"/>
      <c r="R143" s="2"/>
      <c r="S143" s="2"/>
      <c r="T143" s="2"/>
      <c r="U143" s="2"/>
      <c r="V143" s="2"/>
    </row>
    <row r="144" ht="22.5" customHeight="1">
      <c r="A144" s="3">
        <v>143.0</v>
      </c>
      <c r="B144" s="3" t="s">
        <v>1324</v>
      </c>
      <c r="C144" s="3" t="s">
        <v>1220</v>
      </c>
      <c r="D144" s="3" t="s">
        <v>1102</v>
      </c>
      <c r="E144" s="2"/>
      <c r="F144" s="3" t="str">
        <f>IFERROR(__xludf.DUMMYFUNCTION("GOOGLETRANSLATE(A144, ""it"", ""en"")"),"143")</f>
        <v>143</v>
      </c>
      <c r="G144" s="3" t="str">
        <f>IFERROR(__xludf.DUMMYFUNCTION("GOOGLETRANSLATE(B144, ""it"", ""en"")"),"An attacker shoots while an opponent holds him by his costume. What's the decision?")</f>
        <v>An attacker shoots while an opponent holds him by his costume. What's the decision?</v>
      </c>
      <c r="H144" s="3" t="str">
        <f>IFERROR(__xludf.DUMMYFUNCTION("GOOGLETRANSLATE(C144, ""it"", ""en"")"),"A. Penalty B. Temporary expulsion C. Free kick against D. Neutral throw-in")</f>
        <v>A. Penalty B. Temporary expulsion C. Free kick against D. Neutral throw-in</v>
      </c>
      <c r="I144" s="3" t="str">
        <f>IFERROR(__xludf.DUMMYFUNCTION("GOOGLETRANSLATE(D144, ""it"", ""en"")"),"Rigour")</f>
        <v>Rigour</v>
      </c>
      <c r="J144" s="2"/>
      <c r="K144" s="2"/>
      <c r="L144" s="2"/>
      <c r="M144" s="2"/>
      <c r="N144" s="2"/>
      <c r="O144" s="2"/>
      <c r="P144" s="2"/>
      <c r="Q144" s="2"/>
      <c r="R144" s="2"/>
      <c r="S144" s="2"/>
      <c r="T144" s="2"/>
      <c r="U144" s="2"/>
      <c r="V144" s="2"/>
    </row>
    <row r="145" ht="22.5" customHeight="1">
      <c r="A145" s="3">
        <v>144.0</v>
      </c>
      <c r="B145" s="3" t="s">
        <v>1325</v>
      </c>
      <c r="C145" s="3" t="s">
        <v>1193</v>
      </c>
      <c r="D145" s="3" t="s">
        <v>1194</v>
      </c>
      <c r="E145" s="2"/>
      <c r="F145" s="3" t="str">
        <f>IFERROR(__xludf.DUMMYFUNCTION("GOOGLETRANSLATE(A145, ""it"", ""en"")"),"144")</f>
        <v>144</v>
      </c>
      <c r="G145" s="3" t="str">
        <f>IFERROR(__xludf.DUMMYFUNCTION("GOOGLETRANSLATE(B145, ""it"", ""en"")"),"A defender deflects a shot on goal with his foot. What is the penalty?")</f>
        <v>A defender deflects a shot on goal with his foot. What is the penalty?</v>
      </c>
      <c r="H145" s="3" t="str">
        <f>IFERROR(__xludf.DUMMYFUNCTION("GOOGLETRANSLATE(C145, ""it"", ""en"")"),"A. Free kick against B. Temporary expulsion C. Penalty D. Neutral throw-in")</f>
        <v>A. Free kick against B. Temporary expulsion C. Penalty D. Neutral throw-in</v>
      </c>
      <c r="I145" s="3" t="str">
        <f>IFERROR(__xludf.DUMMYFUNCTION("GOOGLETRANSLATE(D145, ""it"", ""en"")"),"Punishment against")</f>
        <v>Punishment against</v>
      </c>
      <c r="J145" s="2"/>
      <c r="K145" s="2"/>
      <c r="L145" s="2"/>
      <c r="M145" s="2"/>
      <c r="N145" s="2"/>
      <c r="O145" s="2"/>
      <c r="P145" s="2"/>
      <c r="Q145" s="2"/>
      <c r="R145" s="2"/>
      <c r="S145" s="2"/>
      <c r="T145" s="2"/>
      <c r="U145" s="2"/>
      <c r="V145" s="2"/>
    </row>
    <row r="146" ht="22.5" customHeight="1">
      <c r="A146" s="3">
        <v>145.0</v>
      </c>
      <c r="B146" s="3" t="s">
        <v>1326</v>
      </c>
      <c r="C146" s="3" t="s">
        <v>1280</v>
      </c>
      <c r="D146" s="3" t="s">
        <v>1288</v>
      </c>
      <c r="E146" s="2"/>
      <c r="F146" s="3" t="str">
        <f>IFERROR(__xludf.DUMMYFUNCTION("GOOGLETRANSLATE(A146, ""it"", ""en"")"),"145")</f>
        <v>145</v>
      </c>
      <c r="G146" s="3" t="str">
        <f>IFERROR(__xludf.DUMMYFUNCTION("GOOGLETRANSLATE(B146, ""it"", ""en"")"),"A referee awards a penalty, but a teammate of the shooter enters the penalty area before the shot. What happens?")</f>
        <v>A referee awards a penalty, but a teammate of the shooter enters the penalty area before the shot. What happens?</v>
      </c>
      <c r="H146" s="3" t="str">
        <f>IFERROR(__xludf.DUMMYFUNCTION("GOOGLETRANSLATE(C146, ""it"", ""en"")"),"A. Retake of the penalty B. Free kick against C. Penalty cancelled D. No penalty")</f>
        <v>A. Retake of the penalty B. Free kick against C. Penalty cancelled D. No penalty</v>
      </c>
      <c r="I146" s="3" t="str">
        <f>IFERROR(__xludf.DUMMYFUNCTION("GOOGLETRANSLATE(D146, ""it"", ""en"")"),"Retake of the penalty")</f>
        <v>Retake of the penalty</v>
      </c>
      <c r="J146" s="2"/>
      <c r="K146" s="2"/>
      <c r="L146" s="2"/>
      <c r="M146" s="2"/>
      <c r="N146" s="2"/>
      <c r="O146" s="2"/>
      <c r="P146" s="2"/>
      <c r="Q146" s="2"/>
      <c r="R146" s="2"/>
      <c r="S146" s="2"/>
      <c r="T146" s="2"/>
      <c r="U146" s="2"/>
      <c r="V146" s="2"/>
    </row>
    <row r="147" ht="22.5" customHeight="1">
      <c r="A147" s="3">
        <v>146.0</v>
      </c>
      <c r="B147" s="3" t="s">
        <v>1327</v>
      </c>
      <c r="C147" s="3" t="s">
        <v>1193</v>
      </c>
      <c r="D147" s="3" t="s">
        <v>1194</v>
      </c>
      <c r="E147" s="2"/>
      <c r="F147" s="3" t="str">
        <f>IFERROR(__xludf.DUMMYFUNCTION("GOOGLETRANSLATE(A147, ""it"", ""en"")"),"146")</f>
        <v>146</v>
      </c>
      <c r="G147" s="3" t="str">
        <f>IFERROR(__xludf.DUMMYFUNCTION("GOOGLETRANSLATE(B147, ""it"", ""en"")"),"A goalkeeper blocks the ball with one hand but leaves the penalty area. What's the penalty?")</f>
        <v>A goalkeeper blocks the ball with one hand but leaves the penalty area. What's the penalty?</v>
      </c>
      <c r="H147" s="3" t="str">
        <f>IFERROR(__xludf.DUMMYFUNCTION("GOOGLETRANSLATE(C147, ""it"", ""en"")"),"A. Free kick against B. Temporary expulsion C. Penalty D. Neutral throw-in")</f>
        <v>A. Free kick against B. Temporary expulsion C. Penalty D. Neutral throw-in</v>
      </c>
      <c r="I147" s="3" t="str">
        <f>IFERROR(__xludf.DUMMYFUNCTION("GOOGLETRANSLATE(D147, ""it"", ""en"")"),"Punishment against")</f>
        <v>Punishment against</v>
      </c>
      <c r="J147" s="2"/>
      <c r="K147" s="2"/>
      <c r="L147" s="2"/>
      <c r="M147" s="2"/>
      <c r="N147" s="2"/>
      <c r="O147" s="2"/>
      <c r="P147" s="2"/>
      <c r="Q147" s="2"/>
      <c r="R147" s="2"/>
      <c r="S147" s="2"/>
      <c r="T147" s="2"/>
      <c r="U147" s="2"/>
      <c r="V147" s="2"/>
    </row>
    <row r="148" ht="22.5" customHeight="1">
      <c r="A148" s="3">
        <v>147.0</v>
      </c>
      <c r="B148" s="3" t="s">
        <v>1328</v>
      </c>
      <c r="C148" s="3" t="s">
        <v>1257</v>
      </c>
      <c r="D148" s="3" t="s">
        <v>1194</v>
      </c>
      <c r="E148" s="2"/>
      <c r="F148" s="3" t="str">
        <f>IFERROR(__xludf.DUMMYFUNCTION("GOOGLETRANSLATE(A148, ""it"", ""en"")"),"147")</f>
        <v>147</v>
      </c>
      <c r="G148" s="3" t="str">
        <f>IFERROR(__xludf.DUMMYFUNCTION("GOOGLETRANSLATE(B148, ""it"", ""en"")"),"An attacker shoots with the ball completely submerged. What's the decision?")</f>
        <v>An attacker shoots with the ball completely submerged. What's the decision?</v>
      </c>
      <c r="H148" s="3" t="str">
        <f>IFERROR(__xludf.DUMMYFUNCTION("GOOGLETRANSLATE(C148, ""it"", ""en"")"),"A. Free kick against B. Temporary expulsion C. Penalty D. No penalty")</f>
        <v>A. Free kick against B. Temporary expulsion C. Penalty D. No penalty</v>
      </c>
      <c r="I148" s="3" t="str">
        <f>IFERROR(__xludf.DUMMYFUNCTION("GOOGLETRANSLATE(D148, ""it"", ""en"")"),"Punishment against")</f>
        <v>Punishment against</v>
      </c>
      <c r="J148" s="2"/>
      <c r="K148" s="2"/>
      <c r="L148" s="2"/>
      <c r="M148" s="2"/>
      <c r="N148" s="2"/>
      <c r="O148" s="2"/>
      <c r="P148" s="2"/>
      <c r="Q148" s="2"/>
      <c r="R148" s="2"/>
      <c r="S148" s="2"/>
      <c r="T148" s="2"/>
      <c r="U148" s="2"/>
      <c r="V148" s="2"/>
    </row>
    <row r="149" ht="22.5" customHeight="1">
      <c r="A149" s="3">
        <v>148.0</v>
      </c>
      <c r="B149" s="3" t="s">
        <v>1329</v>
      </c>
      <c r="C149" s="3" t="s">
        <v>1226</v>
      </c>
      <c r="D149" s="3" t="s">
        <v>1107</v>
      </c>
      <c r="E149" s="2"/>
      <c r="F149" s="3" t="str">
        <f>IFERROR(__xludf.DUMMYFUNCTION("GOOGLETRANSLATE(A149, ""it"", ""en"")"),"148")</f>
        <v>148</v>
      </c>
      <c r="G149" s="3" t="str">
        <f>IFERROR(__xludf.DUMMYFUNCTION("GOOGLETRANSLATE(B149, ""it"", ""en"")"),"A defender hits an opponent with his arm while shielding the ball. What is the consequence?")</f>
        <v>A defender hits an opponent with his arm while shielding the ball. What is the consequence?</v>
      </c>
      <c r="H149" s="3" t="str">
        <f>IFERROR(__xludf.DUMMYFUNCTION("GOOGLETRANSLATE(C149, ""it"", ""en"")"),"A. Temporary expulsion B. Free kick against C. Penalty D. Neutral throw-in")</f>
        <v>A. Temporary expulsion B. Free kick against C. Penalty D. Neutral throw-in</v>
      </c>
      <c r="I149" s="3" t="str">
        <f>IFERROR(__xludf.DUMMYFUNCTION("GOOGLETRANSLATE(D149, ""it"", ""en"")"),"Temporary expulsion")</f>
        <v>Temporary expulsion</v>
      </c>
      <c r="J149" s="2"/>
      <c r="K149" s="2"/>
      <c r="L149" s="2"/>
      <c r="M149" s="2"/>
      <c r="N149" s="2"/>
      <c r="O149" s="2"/>
      <c r="P149" s="2"/>
      <c r="Q149" s="2"/>
      <c r="R149" s="2"/>
      <c r="S149" s="2"/>
      <c r="T149" s="2"/>
      <c r="U149" s="2"/>
      <c r="V149" s="2"/>
    </row>
    <row r="150" ht="22.5" customHeight="1">
      <c r="A150" s="3">
        <v>149.0</v>
      </c>
      <c r="B150" s="3" t="s">
        <v>1330</v>
      </c>
      <c r="C150" s="3" t="s">
        <v>1226</v>
      </c>
      <c r="D150" s="3" t="s">
        <v>1107</v>
      </c>
      <c r="E150" s="2"/>
      <c r="F150" s="3" t="str">
        <f>IFERROR(__xludf.DUMMYFUNCTION("GOOGLETRANSLATE(A150, ""it"", ""en"")"),"149")</f>
        <v>149</v>
      </c>
      <c r="G150" s="3" t="str">
        <f>IFERROR(__xludf.DUMMYFUNCTION("GOOGLETRANSLATE(B150, ""it"", ""en"")"),"An attacker verbally protests against a referee. What is the penalty?")</f>
        <v>An attacker verbally protests against a referee. What is the penalty?</v>
      </c>
      <c r="H150" s="3" t="str">
        <f>IFERROR(__xludf.DUMMYFUNCTION("GOOGLETRANSLATE(C150, ""it"", ""en"")"),"A. Temporary expulsion B. Free kick against C. Penalty D. Neutral throw-in")</f>
        <v>A. Temporary expulsion B. Free kick against C. Penalty D. Neutral throw-in</v>
      </c>
      <c r="I150" s="3" t="str">
        <f>IFERROR(__xludf.DUMMYFUNCTION("GOOGLETRANSLATE(D150, ""it"", ""en"")"),"Temporary expulsion")</f>
        <v>Temporary expulsion</v>
      </c>
      <c r="J150" s="2"/>
      <c r="K150" s="2"/>
      <c r="L150" s="2"/>
      <c r="M150" s="2"/>
      <c r="N150" s="2"/>
      <c r="O150" s="2"/>
      <c r="P150" s="2"/>
      <c r="Q150" s="2"/>
      <c r="R150" s="2"/>
      <c r="S150" s="2"/>
      <c r="T150" s="2"/>
      <c r="U150" s="2"/>
      <c r="V150" s="2"/>
    </row>
    <row r="151" ht="22.5" customHeight="1">
      <c r="A151" s="3">
        <v>150.0</v>
      </c>
      <c r="B151" s="3" t="s">
        <v>1331</v>
      </c>
      <c r="C151" s="3" t="s">
        <v>1277</v>
      </c>
      <c r="D151" s="3" t="s">
        <v>1218</v>
      </c>
      <c r="E151" s="2"/>
      <c r="F151" s="3" t="str">
        <f>IFERROR(__xludf.DUMMYFUNCTION("GOOGLETRANSLATE(A151, ""it"", ""en"")"),"150")</f>
        <v>150</v>
      </c>
      <c r="G151" s="3" t="str">
        <f>IFERROR(__xludf.DUMMYFUNCTION("GOOGLETRANSLATE(B151, ""it"", ""en"")"),"A referee awards a free kick, but the ball is passed to a player who's already moving. What happens?")</f>
        <v>A referee awards a free kick, but the ball is passed to a player who's already moving. What happens?</v>
      </c>
      <c r="H151" s="3" t="str">
        <f>IFERROR(__xludf.DUMMYFUNCTION("GOOGLETRANSLATE(C151, ""it"", ""en"")"),"A. Retake of the free kick B. Free kick against C. Penalty D. No penalty")</f>
        <v>A. Retake of the free kick B. Free kick against C. Penalty D. No penalty</v>
      </c>
      <c r="I151" s="3" t="str">
        <f>IFERROR(__xludf.DUMMYFUNCTION("GOOGLETRANSLATE(D151, ""it"", ""en"")"),"Repetition of punishment")</f>
        <v>Repetition of punishment</v>
      </c>
      <c r="J151" s="2"/>
      <c r="K151" s="2"/>
      <c r="L151" s="2"/>
      <c r="M151" s="2"/>
      <c r="N151" s="2"/>
      <c r="O151" s="2"/>
      <c r="P151" s="2"/>
      <c r="Q151" s="2"/>
      <c r="R151" s="2"/>
      <c r="S151" s="2"/>
      <c r="T151" s="2"/>
      <c r="U151" s="2"/>
      <c r="V151" s="2"/>
    </row>
    <row r="152" ht="22.5" customHeight="1">
      <c r="A152" s="3">
        <v>151.0</v>
      </c>
      <c r="B152" s="3" t="s">
        <v>1332</v>
      </c>
      <c r="C152" s="3" t="s">
        <v>1193</v>
      </c>
      <c r="D152" s="3" t="s">
        <v>1194</v>
      </c>
      <c r="E152" s="2"/>
      <c r="F152" s="3" t="str">
        <f>IFERROR(__xludf.DUMMYFUNCTION("GOOGLETRANSLATE(A152, ""it"", ""en"")"),"151")</f>
        <v>151</v>
      </c>
      <c r="G152" s="3" t="str">
        <f>IFERROR(__xludf.DUMMYFUNCTION("GOOGLETRANSLATE(B152, ""it"", ""en"")"),"A goalkeeper blocks a shot with both hands outside the penalty area. What is the penalty?")</f>
        <v>A goalkeeper blocks a shot with both hands outside the penalty area. What is the penalty?</v>
      </c>
      <c r="H152" s="3" t="str">
        <f>IFERROR(__xludf.DUMMYFUNCTION("GOOGLETRANSLATE(C152, ""it"", ""en"")"),"A. Free kick against B. Temporary expulsion C. Penalty D. Neutral throw-in")</f>
        <v>A. Free kick against B. Temporary expulsion C. Penalty D. Neutral throw-in</v>
      </c>
      <c r="I152" s="3" t="str">
        <f>IFERROR(__xludf.DUMMYFUNCTION("GOOGLETRANSLATE(D152, ""it"", ""en"")"),"Punishment against")</f>
        <v>Punishment against</v>
      </c>
      <c r="J152" s="2"/>
      <c r="K152" s="2"/>
      <c r="L152" s="2"/>
      <c r="M152" s="2"/>
      <c r="N152" s="2"/>
      <c r="O152" s="2"/>
      <c r="P152" s="2"/>
      <c r="Q152" s="2"/>
      <c r="R152" s="2"/>
      <c r="S152" s="2"/>
      <c r="T152" s="2"/>
      <c r="U152" s="2"/>
      <c r="V152" s="2"/>
    </row>
    <row r="153" ht="22.5" customHeight="1">
      <c r="A153" s="3">
        <v>152.0</v>
      </c>
      <c r="B153" s="3" t="s">
        <v>1333</v>
      </c>
      <c r="C153" s="3" t="s">
        <v>1226</v>
      </c>
      <c r="D153" s="3" t="s">
        <v>1107</v>
      </c>
      <c r="E153" s="2"/>
      <c r="F153" s="3" t="str">
        <f>IFERROR(__xludf.DUMMYFUNCTION("GOOGLETRANSLATE(A153, ""it"", ""en"")"),"152")</f>
        <v>152</v>
      </c>
      <c r="G153" s="3" t="str">
        <f>IFERROR(__xludf.DUMMYFUNCTION("GOOGLETRANSLATE(B153, ""it"", ""en"")"),"An attacker intentionally shoots and hits an opponent. What is the consequence?")</f>
        <v>An attacker intentionally shoots and hits an opponent. What is the consequence?</v>
      </c>
      <c r="H153" s="3" t="str">
        <f>IFERROR(__xludf.DUMMYFUNCTION("GOOGLETRANSLATE(C153, ""it"", ""en"")"),"A. Temporary expulsion B. Free kick against C. Penalty D. Neutral throw-in")</f>
        <v>A. Temporary expulsion B. Free kick against C. Penalty D. Neutral throw-in</v>
      </c>
      <c r="I153" s="3" t="str">
        <f>IFERROR(__xludf.DUMMYFUNCTION("GOOGLETRANSLATE(D153, ""it"", ""en"")"),"Temporary expulsion")</f>
        <v>Temporary expulsion</v>
      </c>
      <c r="J153" s="2"/>
      <c r="K153" s="2"/>
      <c r="L153" s="2"/>
      <c r="M153" s="2"/>
      <c r="N153" s="2"/>
      <c r="O153" s="2"/>
      <c r="P153" s="2"/>
      <c r="Q153" s="2"/>
      <c r="R153" s="2"/>
      <c r="S153" s="2"/>
      <c r="T153" s="2"/>
      <c r="U153" s="2"/>
      <c r="V153" s="2"/>
    </row>
    <row r="154" ht="22.5" customHeight="1">
      <c r="A154" s="3">
        <v>153.0</v>
      </c>
      <c r="B154" s="3" t="s">
        <v>1334</v>
      </c>
      <c r="C154" s="3" t="s">
        <v>1280</v>
      </c>
      <c r="D154" s="3" t="s">
        <v>1288</v>
      </c>
      <c r="E154" s="2"/>
      <c r="F154" s="3" t="str">
        <f>IFERROR(__xludf.DUMMYFUNCTION("GOOGLETRANSLATE(A154, ""it"", ""en"")"),"153")</f>
        <v>153</v>
      </c>
      <c r="G154" s="3" t="str">
        <f>IFERROR(__xludf.DUMMYFUNCTION("GOOGLETRANSLATE(B154, ""it"", ""en"")"),"A referee awards a penalty, but the shooter stops during his approach. What's the decision?")</f>
        <v>A referee awards a penalty, but the shooter stops during his approach. What's the decision?</v>
      </c>
      <c r="H154" s="3" t="str">
        <f>IFERROR(__xludf.DUMMYFUNCTION("GOOGLETRANSLATE(C154, ""it"", ""en"")"),"A. Retake of the penalty B. Free kick against C. Penalty cancelled D. No penalty")</f>
        <v>A. Retake of the penalty B. Free kick against C. Penalty cancelled D. No penalty</v>
      </c>
      <c r="I154" s="3" t="str">
        <f>IFERROR(__xludf.DUMMYFUNCTION("GOOGLETRANSLATE(D154, ""it"", ""en"")"),"Retake of the penalty")</f>
        <v>Retake of the penalty</v>
      </c>
      <c r="J154" s="2"/>
      <c r="K154" s="2"/>
      <c r="L154" s="2"/>
      <c r="M154" s="2"/>
      <c r="N154" s="2"/>
      <c r="O154" s="2"/>
      <c r="P154" s="2"/>
      <c r="Q154" s="2"/>
      <c r="R154" s="2"/>
      <c r="S154" s="2"/>
      <c r="T154" s="2"/>
      <c r="U154" s="2"/>
      <c r="V154" s="2"/>
    </row>
    <row r="155" ht="22.5" customHeight="1">
      <c r="A155" s="3">
        <v>154.0</v>
      </c>
      <c r="B155" s="3" t="s">
        <v>1335</v>
      </c>
      <c r="C155" s="3" t="s">
        <v>1193</v>
      </c>
      <c r="D155" s="3" t="s">
        <v>1194</v>
      </c>
      <c r="E155" s="2"/>
      <c r="F155" s="3" t="str">
        <f>IFERROR(__xludf.DUMMYFUNCTION("GOOGLETRANSLATE(A155, ""it"", ""en"")"),"154")</f>
        <v>154</v>
      </c>
      <c r="G155" s="3" t="str">
        <f>IFERROR(__xludf.DUMMYFUNCTION("GOOGLETRANSLATE(B155, ""it"", ""en"")"),"A defender holds an opponent to prevent him from passing. What is the penalty?")</f>
        <v>A defender holds an opponent to prevent him from passing. What is the penalty?</v>
      </c>
      <c r="H155" s="3" t="str">
        <f>IFERROR(__xludf.DUMMYFUNCTION("GOOGLETRANSLATE(C155, ""it"", ""en"")"),"A. Free kick against B. Temporary expulsion C. Penalty D. Neutral throw-in")</f>
        <v>A. Free kick against B. Temporary expulsion C. Penalty D. Neutral throw-in</v>
      </c>
      <c r="I155" s="3" t="str">
        <f>IFERROR(__xludf.DUMMYFUNCTION("GOOGLETRANSLATE(D155, ""it"", ""en"")"),"Punishment against")</f>
        <v>Punishment against</v>
      </c>
      <c r="J155" s="2"/>
      <c r="K155" s="2"/>
      <c r="L155" s="2"/>
      <c r="M155" s="2"/>
      <c r="N155" s="2"/>
      <c r="O155" s="2"/>
      <c r="P155" s="2"/>
      <c r="Q155" s="2"/>
      <c r="R155" s="2"/>
      <c r="S155" s="2"/>
      <c r="T155" s="2"/>
      <c r="U155" s="2"/>
      <c r="V155" s="2"/>
    </row>
    <row r="156" ht="22.5" customHeight="1">
      <c r="A156" s="3">
        <v>155.0</v>
      </c>
      <c r="B156" s="3" t="s">
        <v>1292</v>
      </c>
      <c r="C156" s="3" t="s">
        <v>1226</v>
      </c>
      <c r="D156" s="3" t="s">
        <v>1107</v>
      </c>
      <c r="E156" s="2"/>
      <c r="F156" s="3" t="str">
        <f>IFERROR(__xludf.DUMMYFUNCTION("GOOGLETRANSLATE(A156, ""it"", ""en"")"),"155")</f>
        <v>155</v>
      </c>
      <c r="G156" s="3" t="str">
        <f>IFERROR(__xludf.DUMMYFUNCTION("GOOGLETRANSLATE(B156, ""it"", ""en"")"),"A player verbally protests against an opponent. What is the consequence?")</f>
        <v>A player verbally protests against an opponent. What is the consequence?</v>
      </c>
      <c r="H156" s="3" t="str">
        <f>IFERROR(__xludf.DUMMYFUNCTION("GOOGLETRANSLATE(C156, ""it"", ""en"")"),"A. Temporary expulsion B. Free kick against C. Penalty D. Neutral throw-in")</f>
        <v>A. Temporary expulsion B. Free kick against C. Penalty D. Neutral throw-in</v>
      </c>
      <c r="I156" s="3" t="str">
        <f>IFERROR(__xludf.DUMMYFUNCTION("GOOGLETRANSLATE(D156, ""it"", ""en"")"),"Temporary expulsion")</f>
        <v>Temporary expulsion</v>
      </c>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0</v>
      </c>
      <c r="G1" s="1" t="s">
        <v>4</v>
      </c>
      <c r="H1" s="1" t="s">
        <v>5</v>
      </c>
      <c r="I1" s="1" t="s">
        <v>6</v>
      </c>
      <c r="J1" s="2"/>
      <c r="K1" s="2"/>
      <c r="L1" s="2"/>
      <c r="M1" s="2"/>
      <c r="N1" s="2"/>
      <c r="O1" s="2"/>
      <c r="P1" s="2"/>
      <c r="Q1" s="2"/>
      <c r="R1" s="2"/>
      <c r="S1" s="2"/>
      <c r="T1" s="2"/>
      <c r="U1" s="2"/>
      <c r="V1" s="2"/>
    </row>
    <row r="2" ht="22.5" customHeight="1">
      <c r="A2" s="3">
        <v>1.0</v>
      </c>
      <c r="B2" s="3" t="s">
        <v>1336</v>
      </c>
      <c r="C2" s="3" t="s">
        <v>1337</v>
      </c>
      <c r="D2" s="3" t="s">
        <v>1338</v>
      </c>
      <c r="E2" s="2"/>
      <c r="F2" s="3" t="str">
        <f>IFERROR(__xludf.DUMMYFUNCTION("GOOGLETRANSLATE(A2, ""it"", ""en"")"),"1")</f>
        <v>1</v>
      </c>
      <c r="G2" s="3" t="str">
        <f>IFERROR(__xludf.DUMMYFUNCTION("GOOGLETRANSLATE(B2, ""it"", ""en"")"),"A player serves but the ball hits the top of the net and goes over. What happens?")</f>
        <v>A player serves but the ball hits the top of the net and goes over. What happens?</v>
      </c>
      <c r="H2" s="3" t="str">
        <f>IFERROR(__xludf.DUMMYFUNCTION("GOOGLETRANSLATE(C2, ""it"", ""en"")"),"A. The service is valid B. The service is repeated C. The point is awarded to the other team D. The service is cancelled")</f>
        <v>A. The service is valid B. The service is repeated C. The point is awarded to the other team D. The service is cancelled</v>
      </c>
      <c r="I2" s="3" t="str">
        <f>IFERROR(__xludf.DUMMYFUNCTION("GOOGLETRANSLATE(D2, ""it"", ""en"")"),"The service is valid")</f>
        <v>The service is valid</v>
      </c>
      <c r="J2" s="2"/>
      <c r="K2" s="2"/>
      <c r="L2" s="2"/>
      <c r="M2" s="2"/>
      <c r="N2" s="2"/>
      <c r="O2" s="2"/>
      <c r="P2" s="2"/>
      <c r="Q2" s="2"/>
      <c r="R2" s="2"/>
      <c r="S2" s="2"/>
      <c r="T2" s="2"/>
      <c r="U2" s="2"/>
      <c r="V2" s="2"/>
    </row>
    <row r="3" ht="22.5" customHeight="1">
      <c r="A3" s="3">
        <v>2.0</v>
      </c>
      <c r="B3" s="3" t="s">
        <v>1339</v>
      </c>
      <c r="C3" s="3" t="s">
        <v>1340</v>
      </c>
      <c r="D3" s="3" t="s">
        <v>12</v>
      </c>
      <c r="E3" s="2"/>
      <c r="F3" s="3" t="str">
        <f>IFERROR(__xludf.DUMMYFUNCTION("GOOGLETRANSLATE(A3, ""it"", ""en"")"),"2")</f>
        <v>2</v>
      </c>
      <c r="G3" s="3" t="str">
        <f>IFERROR(__xludf.DUMMYFUNCTION("GOOGLETRANSLATE(B3, ""it"", ""en"")"),"A player kicks the ball during play. What happens?")</f>
        <v>A player kicks the ball during play. What happens?</v>
      </c>
      <c r="H3" s="3" t="str">
        <f>IFERROR(__xludf.DUMMYFUNCTION("GOOGLETRANSLATE(C3, ""it"", ""en"")"),"A. The game continues B. The point goes to the other team C. The shot is repeated D. The player is penalized")</f>
        <v>A. The game continues B. The point goes to the other team C. The shot is repeated D. The player is penalized</v>
      </c>
      <c r="I3" s="3" t="str">
        <f>IFERROR(__xludf.DUMMYFUNCTION("GOOGLETRANSLATE(D3, ""it"", ""en"")"),"The game continues")</f>
        <v>The game continues</v>
      </c>
      <c r="J3" s="2"/>
      <c r="K3" s="2"/>
      <c r="L3" s="2"/>
      <c r="M3" s="2"/>
      <c r="N3" s="2"/>
      <c r="O3" s="2"/>
      <c r="P3" s="2"/>
      <c r="Q3" s="2"/>
      <c r="R3" s="2"/>
      <c r="S3" s="2"/>
      <c r="T3" s="2"/>
      <c r="U3" s="2"/>
      <c r="V3" s="2"/>
    </row>
    <row r="4" ht="22.5" customHeight="1">
      <c r="A4" s="3">
        <v>3.0</v>
      </c>
      <c r="B4" s="3" t="s">
        <v>1341</v>
      </c>
      <c r="C4" s="3" t="s">
        <v>1342</v>
      </c>
      <c r="D4" s="3" t="s">
        <v>1343</v>
      </c>
      <c r="E4" s="2"/>
      <c r="F4" s="3" t="str">
        <f>IFERROR(__xludf.DUMMYFUNCTION("GOOGLETRANSLATE(A4, ""it"", ""en"")"),"3")</f>
        <v>3</v>
      </c>
      <c r="G4" s="3" t="str">
        <f>IFERROR(__xludf.DUMMYFUNCTION("GOOGLETRANSLATE(B4, ""it"", ""en"")"),"A service is performed beyond the time limit. What happens?")</f>
        <v>A service is performed beyond the time limit. What happens?</v>
      </c>
      <c r="H4" s="3" t="str">
        <f>IFERROR(__xludf.DUMMYFUNCTION("GOOGLETRANSLATE(C4, ""it"", ""en"")"),"A. The point is awarded to the other team B. The service is repeated C. The service is valid D. The player is warned")</f>
        <v>A. The point is awarded to the other team B. The service is repeated C. The service is valid D. The player is warned</v>
      </c>
      <c r="I4" s="3" t="str">
        <f>IFERROR(__xludf.DUMMYFUNCTION("GOOGLETRANSLATE(D4, ""it"", ""en"")"),"The point is awarded to the other team")</f>
        <v>The point is awarded to the other team</v>
      </c>
      <c r="J4" s="2"/>
      <c r="K4" s="2"/>
      <c r="L4" s="2"/>
      <c r="M4" s="2"/>
      <c r="N4" s="2"/>
      <c r="O4" s="2"/>
      <c r="P4" s="2"/>
      <c r="Q4" s="2"/>
      <c r="R4" s="2"/>
      <c r="S4" s="2"/>
      <c r="T4" s="2"/>
      <c r="U4" s="2"/>
      <c r="V4" s="2"/>
    </row>
    <row r="5" ht="22.5" customHeight="1">
      <c r="A5" s="3">
        <v>4.0</v>
      </c>
      <c r="B5" s="3" t="s">
        <v>1344</v>
      </c>
      <c r="C5" s="3" t="s">
        <v>1345</v>
      </c>
      <c r="D5" s="3" t="s">
        <v>1346</v>
      </c>
      <c r="E5" s="2"/>
      <c r="F5" s="3" t="str">
        <f>IFERROR(__xludf.DUMMYFUNCTION("GOOGLETRANSLATE(A5, ""it"", ""en"")"),"4")</f>
        <v>4</v>
      </c>
      <c r="G5" s="3" t="str">
        <f>IFERROR(__xludf.DUMMYFUNCTION("GOOGLETRANSLATE(B5, ""it"", ""en"")"),"A player makes four consecutive touches in the same action. What is the ruling?")</f>
        <v>A player makes four consecutive touches in the same action. What is the ruling?</v>
      </c>
      <c r="H5" s="3" t="str">
        <f>IFERROR(__xludf.DUMMYFUNCTION("GOOGLETRANSLATE(C5, ""it"", ""en"")"),"A. The point goes to the other team B. The game continues C. The point is retaken D. The player is penalized")</f>
        <v>A. The point goes to the other team B. The game continues C. The point is retaken D. The player is penalized</v>
      </c>
      <c r="I5" s="3" t="str">
        <f>IFERROR(__xludf.DUMMYFUNCTION("GOOGLETRANSLATE(D5, ""it"", ""en"")"),"The point goes to the other team")</f>
        <v>The point goes to the other team</v>
      </c>
      <c r="J5" s="2"/>
      <c r="K5" s="2"/>
      <c r="L5" s="2"/>
      <c r="M5" s="2"/>
      <c r="N5" s="2"/>
      <c r="O5" s="2"/>
      <c r="P5" s="2"/>
      <c r="Q5" s="2"/>
      <c r="R5" s="2"/>
      <c r="S5" s="2"/>
      <c r="T5" s="2"/>
      <c r="U5" s="2"/>
      <c r="V5" s="2"/>
    </row>
    <row r="6" ht="22.5" customHeight="1">
      <c r="A6" s="3">
        <v>5.0</v>
      </c>
      <c r="B6" s="3" t="s">
        <v>1347</v>
      </c>
      <c r="C6" s="3" t="s">
        <v>1348</v>
      </c>
      <c r="D6" s="3" t="s">
        <v>12</v>
      </c>
      <c r="E6" s="2"/>
      <c r="F6" s="3" t="str">
        <f>IFERROR(__xludf.DUMMYFUNCTION("GOOGLETRANSLATE(A6, ""it"", ""en"")"),"5")</f>
        <v>5</v>
      </c>
      <c r="G6" s="3" t="str">
        <f>IFERROR(__xludf.DUMMYFUNCTION("GOOGLETRANSLATE(B6, ""it"", ""en"")"),"The ball hits the wall and returns to the attacker's half of the court. What happens?")</f>
        <v>The ball hits the wall and returns to the attacker's half of the court. What happens?</v>
      </c>
      <c r="H6" s="3" t="str">
        <f>IFERROR(__xludf.DUMMYFUNCTION("GOOGLETRANSLATE(C6, ""it"", ""en"")"),"A. The game continues B. The point is awarded to the other team C. The point is retaken D. The player is penalized")</f>
        <v>A. The game continues B. The point is awarded to the other team C. The point is retaken D. The player is penalized</v>
      </c>
      <c r="I6" s="3" t="str">
        <f>IFERROR(__xludf.DUMMYFUNCTION("GOOGLETRANSLATE(D6, ""it"", ""en"")"),"The game continues")</f>
        <v>The game continues</v>
      </c>
      <c r="J6" s="2"/>
      <c r="K6" s="2"/>
      <c r="L6" s="2"/>
      <c r="M6" s="2"/>
      <c r="N6" s="2"/>
      <c r="O6" s="2"/>
      <c r="P6" s="2"/>
      <c r="Q6" s="2"/>
      <c r="R6" s="2"/>
      <c r="S6" s="2"/>
      <c r="T6" s="2"/>
      <c r="U6" s="2"/>
      <c r="V6" s="2"/>
    </row>
    <row r="7" ht="22.5" customHeight="1">
      <c r="A7" s="3">
        <v>6.0</v>
      </c>
      <c r="B7" s="3" t="s">
        <v>1349</v>
      </c>
      <c r="C7" s="3" t="s">
        <v>1350</v>
      </c>
      <c r="D7" s="3" t="s">
        <v>1346</v>
      </c>
      <c r="E7" s="2"/>
      <c r="F7" s="3" t="str">
        <f>IFERROR(__xludf.DUMMYFUNCTION("GOOGLETRANSLATE(A7, ""it"", ""en"")"),"6")</f>
        <v>6</v>
      </c>
      <c r="G7" s="3" t="str">
        <f>IFERROR(__xludf.DUMMYFUNCTION("GOOGLETRANSLATE(B7, ""it"", ""en"")"),"A player crosses the center line during a play. What happens?")</f>
        <v>A player crosses the center line during a play. What happens?</v>
      </c>
      <c r="H7" s="3" t="str">
        <f>IFERROR(__xludf.DUMMYFUNCTION("GOOGLETRANSLATE(C7, ""it"", ""en"")"),"A. The point goes to the other team B. The game continues C. The player is cautioned D. The point is repeated")</f>
        <v>A. The point goes to the other team B. The game continues C. The player is cautioned D. The point is repeated</v>
      </c>
      <c r="I7" s="3" t="str">
        <f>IFERROR(__xludf.DUMMYFUNCTION("GOOGLETRANSLATE(D7, ""it"", ""en"")"),"The point goes to the other team")</f>
        <v>The point goes to the other team</v>
      </c>
      <c r="J7" s="2"/>
      <c r="K7" s="2"/>
      <c r="L7" s="2"/>
      <c r="M7" s="2"/>
      <c r="N7" s="2"/>
      <c r="O7" s="2"/>
      <c r="P7" s="2"/>
      <c r="Q7" s="2"/>
      <c r="R7" s="2"/>
      <c r="S7" s="2"/>
      <c r="T7" s="2"/>
      <c r="U7" s="2"/>
      <c r="V7" s="2"/>
    </row>
    <row r="8" ht="22.5" customHeight="1">
      <c r="A8" s="3">
        <v>7.0</v>
      </c>
      <c r="B8" s="3" t="s">
        <v>1351</v>
      </c>
      <c r="C8" s="3" t="s">
        <v>1352</v>
      </c>
      <c r="D8" s="3" t="s">
        <v>1353</v>
      </c>
      <c r="E8" s="2"/>
      <c r="F8" s="3" t="str">
        <f>IFERROR(__xludf.DUMMYFUNCTION("GOOGLETRANSLATE(A8, ""it"", ""en"")"),"7")</f>
        <v>7</v>
      </c>
      <c r="G8" s="3" t="str">
        <f>IFERROR(__xludf.DUMMYFUNCTION("GOOGLETRANSLATE(B8, ""it"", ""en"")"),"The ball hits the referee during play. What happens?")</f>
        <v>The ball hits the referee during play. What happens?</v>
      </c>
      <c r="H8" s="3" t="str">
        <f>IFERROR(__xludf.DUMMYFUNCTION("GOOGLETRANSLATE(C8, ""it"", ""en"")"),"A. The game stops and the point is repeated B. The game continues C. The point goes to the other team D. The point is cancelled")</f>
        <v>A. The game stops and the point is repeated B. The game continues C. The point goes to the other team D. The point is cancelled</v>
      </c>
      <c r="I8" s="3" t="str">
        <f>IFERROR(__xludf.DUMMYFUNCTION("GOOGLETRANSLATE(D8, ""it"", ""en"")"),"The game stops and the point is repeated")</f>
        <v>The game stops and the point is repeated</v>
      </c>
      <c r="J8" s="2"/>
      <c r="K8" s="2"/>
      <c r="L8" s="2"/>
      <c r="M8" s="2"/>
      <c r="N8" s="2"/>
      <c r="O8" s="2"/>
      <c r="P8" s="2"/>
      <c r="Q8" s="2"/>
      <c r="R8" s="2"/>
      <c r="S8" s="2"/>
      <c r="T8" s="2"/>
      <c r="U8" s="2"/>
      <c r="V8" s="2"/>
    </row>
    <row r="9" ht="22.5" customHeight="1">
      <c r="A9" s="3">
        <v>8.0</v>
      </c>
      <c r="B9" s="3" t="s">
        <v>1354</v>
      </c>
      <c r="C9" s="3" t="s">
        <v>1355</v>
      </c>
      <c r="D9" s="3" t="s">
        <v>1356</v>
      </c>
      <c r="E9" s="2"/>
      <c r="F9" s="3" t="str">
        <f>IFERROR(__xludf.DUMMYFUNCTION("GOOGLETRANSLATE(A9, ""it"", ""en"")"),"8")</f>
        <v>8</v>
      </c>
      <c r="G9" s="3" t="str">
        <f>IFERROR(__xludf.DUMMYFUNCTION("GOOGLETRANSLATE(B9, ""it"", ""en"")"),"The ball hits the ceiling and bounces back. What happens?")</f>
        <v>The ball hits the ceiling and bounces back. What happens?</v>
      </c>
      <c r="H9" s="3" t="str">
        <f>IFERROR(__xludf.DUMMYFUNCTION("GOOGLETRANSLATE(C9, ""it"", ""en"")"),"A. The point goes to the other team B. The game continues if the ball is in the same half of the court C. The point is retaken D. The game is stopped")</f>
        <v>A. The point goes to the other team B. The game continues if the ball is in the same half of the court C. The point is retaken D. The game is stopped</v>
      </c>
      <c r="I9" s="3" t="str">
        <f>IFERROR(__xludf.DUMMYFUNCTION("GOOGLETRANSLATE(D9, ""it"", ""en"")"),"The game continues if the ball is in the same half of the field")</f>
        <v>The game continues if the ball is in the same half of the field</v>
      </c>
      <c r="J9" s="2"/>
      <c r="K9" s="2"/>
      <c r="L9" s="2"/>
      <c r="M9" s="2"/>
      <c r="N9" s="2"/>
      <c r="O9" s="2"/>
      <c r="P9" s="2"/>
      <c r="Q9" s="2"/>
      <c r="R9" s="2"/>
      <c r="S9" s="2"/>
      <c r="T9" s="2"/>
      <c r="U9" s="2"/>
      <c r="V9" s="2"/>
    </row>
    <row r="10" ht="22.5" customHeight="1">
      <c r="A10" s="3">
        <v>9.0</v>
      </c>
      <c r="B10" s="3" t="s">
        <v>1357</v>
      </c>
      <c r="C10" s="3" t="s">
        <v>1358</v>
      </c>
      <c r="D10" s="3" t="s">
        <v>1346</v>
      </c>
      <c r="E10" s="2"/>
      <c r="F10" s="3" t="str">
        <f>IFERROR(__xludf.DUMMYFUNCTION("GOOGLETRANSLATE(A10, ""it"", ""en"")"),"9")</f>
        <v>9</v>
      </c>
      <c r="G10" s="3" t="str">
        <f>IFERROR(__xludf.DUMMYFUNCTION("GOOGLETRANSLATE(B10, ""it"", ""en"")"),"The ball goes out of bounds, but none of the players touch it. What happens?")</f>
        <v>The ball goes out of bounds, but none of the players touch it. What happens?</v>
      </c>
      <c r="H10" s="3" t="str">
        <f>IFERROR(__xludf.DUMMYFUNCTION("GOOGLETRANSLATE(C10, ""it"", ""en"")"),"A. The point goes to the other team B. The game is repeated C. The point is awarded to the defending team D. The point is cancelled")</f>
        <v>A. The point goes to the other team B. The game is repeated C. The point is awarded to the defending team D. The point is cancelled</v>
      </c>
      <c r="I10" s="3" t="str">
        <f>IFERROR(__xludf.DUMMYFUNCTION("GOOGLETRANSLATE(D10, ""it"", ""en"")"),"The point goes to the other team")</f>
        <v>The point goes to the other team</v>
      </c>
      <c r="J10" s="2"/>
      <c r="K10" s="2"/>
      <c r="L10" s="2"/>
      <c r="M10" s="2"/>
      <c r="N10" s="2"/>
      <c r="O10" s="2"/>
      <c r="P10" s="2"/>
      <c r="Q10" s="2"/>
      <c r="R10" s="2"/>
      <c r="S10" s="2"/>
      <c r="T10" s="2"/>
      <c r="U10" s="2"/>
      <c r="V10" s="2"/>
    </row>
    <row r="11" ht="22.5" customHeight="1">
      <c r="A11" s="3">
        <v>10.0</v>
      </c>
      <c r="B11" s="3" t="s">
        <v>1359</v>
      </c>
      <c r="C11" s="3" t="s">
        <v>1360</v>
      </c>
      <c r="D11" s="3" t="s">
        <v>1346</v>
      </c>
      <c r="E11" s="2"/>
      <c r="F11" s="3" t="str">
        <f>IFERROR(__xludf.DUMMYFUNCTION("GOOGLETRANSLATE(A11, ""it"", ""en"")"),"10")</f>
        <v>10</v>
      </c>
      <c r="G11" s="3" t="str">
        <f>IFERROR(__xludf.DUMMYFUNCTION("GOOGLETRANSLATE(B11, ""it"", ""en"")"),"A player double-taps the ball while receiving. What's the decision?")</f>
        <v>A player double-taps the ball while receiving. What's the decision?</v>
      </c>
      <c r="H11" s="3" t="str">
        <f>IFERROR(__xludf.DUMMYFUNCTION("GOOGLETRANSLATE(C11, ""it"", ""en"")"),"A. The point goes to the other team B. The game continues C. The point is retaken D. The player is cautioned")</f>
        <v>A. The point goes to the other team B. The game continues C. The point is retaken D. The player is cautioned</v>
      </c>
      <c r="I11" s="3" t="str">
        <f>IFERROR(__xludf.DUMMYFUNCTION("GOOGLETRANSLATE(D11, ""it"", ""en"")"),"The point goes to the other team")</f>
        <v>The point goes to the other team</v>
      </c>
      <c r="J11" s="2"/>
      <c r="K11" s="2"/>
      <c r="L11" s="2"/>
      <c r="M11" s="2"/>
      <c r="N11" s="2"/>
      <c r="O11" s="2"/>
      <c r="P11" s="2"/>
      <c r="Q11" s="2"/>
      <c r="R11" s="2"/>
      <c r="S11" s="2"/>
      <c r="T11" s="2"/>
      <c r="U11" s="2"/>
      <c r="V11" s="2"/>
    </row>
    <row r="12" ht="22.5" customHeight="1">
      <c r="A12" s="3">
        <v>11.0</v>
      </c>
      <c r="B12" s="3" t="s">
        <v>1361</v>
      </c>
      <c r="C12" s="3" t="s">
        <v>1362</v>
      </c>
      <c r="D12" s="3" t="s">
        <v>707</v>
      </c>
      <c r="E12" s="2"/>
      <c r="F12" s="3" t="str">
        <f>IFERROR(__xludf.DUMMYFUNCTION("GOOGLETRANSLATE(A12, ""it"", ""en"")"),"11")</f>
        <v>11</v>
      </c>
      <c r="G12" s="3" t="str">
        <f>IFERROR(__xludf.DUMMYFUNCTION("GOOGLETRANSLATE(B12, ""it"", ""en"")"),"A player protests excessively against a referee's decision. What happens?")</f>
        <v>A player protests excessively against a referee's decision. What happens?</v>
      </c>
      <c r="H12" s="3" t="str">
        <f>IFERROR(__xludf.DUMMYFUNCTION("GOOGLETRANSLATE(C12, ""it"", ""en"")"),"A. The player is cautioned B. The point is retaken C. The point is awarded to the opposing team D. The game continues")</f>
        <v>A. The player is cautioned B. The point is retaken C. The point is awarded to the opposing team D. The game continues</v>
      </c>
      <c r="I12" s="3" t="str">
        <f>IFERROR(__xludf.DUMMYFUNCTION("GOOGLETRANSLATE(D12, ""it"", ""en"")"),"The player is cautioned")</f>
        <v>The player is cautioned</v>
      </c>
      <c r="J12" s="2"/>
      <c r="K12" s="2"/>
      <c r="L12" s="2"/>
      <c r="M12" s="2"/>
      <c r="N12" s="2"/>
      <c r="O12" s="2"/>
      <c r="P12" s="2"/>
      <c r="Q12" s="2"/>
      <c r="R12" s="2"/>
      <c r="S12" s="2"/>
      <c r="T12" s="2"/>
      <c r="U12" s="2"/>
      <c r="V12" s="2"/>
    </row>
    <row r="13" ht="22.5" customHeight="1">
      <c r="A13" s="3">
        <v>12.0</v>
      </c>
      <c r="B13" s="3" t="s">
        <v>1363</v>
      </c>
      <c r="C13" s="3" t="s">
        <v>1364</v>
      </c>
      <c r="D13" s="3" t="s">
        <v>1346</v>
      </c>
      <c r="E13" s="2"/>
      <c r="F13" s="3" t="str">
        <f>IFERROR(__xludf.DUMMYFUNCTION("GOOGLETRANSLATE(A13, ""it"", ""en"")"),"12")</f>
        <v>12</v>
      </c>
      <c r="G13" s="3" t="str">
        <f>IFERROR(__xludf.DUMMYFUNCTION("GOOGLETRANSLATE(B13, ""it"", ""en"")"),"The ball hits a side flag during a serve. What's the ruling?")</f>
        <v>The ball hits a side flag during a serve. What's the ruling?</v>
      </c>
      <c r="H13" s="3" t="str">
        <f>IFERROR(__xludf.DUMMYFUNCTION("GOOGLETRANSLATE(C13, ""it"", ""en"")"),"A. The point goes to the other team B. The service is valid C. The point is retaken D. The service is retaken")</f>
        <v>A. The point goes to the other team B. The service is valid C. The point is retaken D. The service is retaken</v>
      </c>
      <c r="I13" s="3" t="str">
        <f>IFERROR(__xludf.DUMMYFUNCTION("GOOGLETRANSLATE(D13, ""it"", ""en"")"),"The point goes to the other team")</f>
        <v>The point goes to the other team</v>
      </c>
      <c r="J13" s="2"/>
      <c r="K13" s="2"/>
      <c r="L13" s="2"/>
      <c r="M13" s="2"/>
      <c r="N13" s="2"/>
      <c r="O13" s="2"/>
      <c r="P13" s="2"/>
      <c r="Q13" s="2"/>
      <c r="R13" s="2"/>
      <c r="S13" s="2"/>
      <c r="T13" s="2"/>
      <c r="U13" s="2"/>
      <c r="V13" s="2"/>
    </row>
    <row r="14" ht="22.5" customHeight="1">
      <c r="A14" s="3">
        <v>13.0</v>
      </c>
      <c r="B14" s="3" t="s">
        <v>1365</v>
      </c>
      <c r="C14" s="3" t="s">
        <v>1366</v>
      </c>
      <c r="D14" s="3" t="s">
        <v>1367</v>
      </c>
      <c r="E14" s="2"/>
      <c r="F14" s="3" t="str">
        <f>IFERROR(__xludf.DUMMYFUNCTION("GOOGLETRANSLATE(A14, ""it"", ""en"")"),"13")</f>
        <v>13</v>
      </c>
      <c r="G14" s="3" t="str">
        <f>IFERROR(__xludf.DUMMYFUNCTION("GOOGLETRANSLATE(B14, ""it"", ""en"")"),"A player enters the field wearing non-regulation footwear. What happens?")</f>
        <v>A player enters the field wearing non-regulation footwear. What happens?</v>
      </c>
      <c r="H14" s="3" t="str">
        <f>IFERROR(__xludf.DUMMYFUNCTION("GOOGLETRANSLATE(C14, ""it"", ""en"")"),"A. The player must change shoes B. The point is awarded to the other team C. The game continues D. The player is sent off")</f>
        <v>A. The player must change shoes B. The point is awarded to the other team C. The game continues D. The player is sent off</v>
      </c>
      <c r="I14" s="3" t="str">
        <f>IFERROR(__xludf.DUMMYFUNCTION("GOOGLETRANSLATE(D14, ""it"", ""en"")"),"The player must change his shoes")</f>
        <v>The player must change his shoes</v>
      </c>
      <c r="J14" s="2"/>
      <c r="K14" s="2"/>
      <c r="L14" s="2"/>
      <c r="M14" s="2"/>
      <c r="N14" s="2"/>
      <c r="O14" s="2"/>
      <c r="P14" s="2"/>
      <c r="Q14" s="2"/>
      <c r="R14" s="2"/>
      <c r="S14" s="2"/>
      <c r="T14" s="2"/>
      <c r="U14" s="2"/>
      <c r="V14" s="2"/>
    </row>
    <row r="15" ht="22.5" customHeight="1">
      <c r="A15" s="3">
        <v>14.0</v>
      </c>
      <c r="B15" s="3" t="s">
        <v>1368</v>
      </c>
      <c r="C15" s="3" t="s">
        <v>1369</v>
      </c>
      <c r="D15" s="3" t="s">
        <v>1346</v>
      </c>
      <c r="E15" s="2"/>
      <c r="F15" s="3" t="str">
        <f>IFERROR(__xludf.DUMMYFUNCTION("GOOGLETRANSLATE(A15, ""it"", ""en"")"),"14")</f>
        <v>14</v>
      </c>
      <c r="G15" s="3" t="str">
        <f>IFERROR(__xludf.DUMMYFUNCTION("GOOGLETRANSLATE(B15, ""it"", ""en"")"),"A player attacks from the second line but crosses the attack line. What's the decision?")</f>
        <v>A player attacks from the second line but crosses the attack line. What's the decision?</v>
      </c>
      <c r="H15" s="3" t="str">
        <f>IFERROR(__xludf.DUMMYFUNCTION("GOOGLETRANSLATE(C15, ""it"", ""en"")"),"A. The point goes to the other team B. The point is retaken C. The game continues D. The player is cautioned")</f>
        <v>A. The point goes to the other team B. The point is retaken C. The game continues D. The player is cautioned</v>
      </c>
      <c r="I15" s="3" t="str">
        <f>IFERROR(__xludf.DUMMYFUNCTION("GOOGLETRANSLATE(D15, ""it"", ""en"")"),"The point goes to the other team")</f>
        <v>The point goes to the other team</v>
      </c>
      <c r="J15" s="2"/>
      <c r="K15" s="2"/>
      <c r="L15" s="2"/>
      <c r="M15" s="2"/>
      <c r="N15" s="2"/>
      <c r="O15" s="2"/>
      <c r="P15" s="2"/>
      <c r="Q15" s="2"/>
      <c r="R15" s="2"/>
      <c r="S15" s="2"/>
      <c r="T15" s="2"/>
      <c r="U15" s="2"/>
      <c r="V15" s="2"/>
    </row>
    <row r="16" ht="22.5" customHeight="1">
      <c r="A16" s="3">
        <v>15.0</v>
      </c>
      <c r="B16" s="3" t="s">
        <v>1370</v>
      </c>
      <c r="C16" s="3" t="s">
        <v>1371</v>
      </c>
      <c r="D16" s="3" t="s">
        <v>12</v>
      </c>
      <c r="E16" s="2"/>
      <c r="F16" s="3" t="str">
        <f>IFERROR(__xludf.DUMMYFUNCTION("GOOGLETRANSLATE(A16, ""it"", ""en"")"),"15")</f>
        <v>15</v>
      </c>
      <c r="G16" s="3" t="str">
        <f>IFERROR(__xludf.DUMMYFUNCTION("GOOGLETRANSLATE(B16, ""it"", ""en"")"),"The ball hits a player in the face and goes through the net. What happens?")</f>
        <v>The ball hits a player in the face and goes through the net. What happens?</v>
      </c>
      <c r="H16" s="3" t="str">
        <f>IFERROR(__xludf.DUMMYFUNCTION("GOOGLETRANSLATE(C16, ""it"", ""en"")"),"A. The game continues B. The point is awarded to the other team C. The point is retaken D. The game is stopped")</f>
        <v>A. The game continues B. The point is awarded to the other team C. The point is retaken D. The game is stopped</v>
      </c>
      <c r="I16" s="3" t="str">
        <f>IFERROR(__xludf.DUMMYFUNCTION("GOOGLETRANSLATE(D16, ""it"", ""en"")"),"The game continues")</f>
        <v>The game continues</v>
      </c>
      <c r="J16" s="2"/>
      <c r="K16" s="2"/>
      <c r="L16" s="2"/>
      <c r="M16" s="2"/>
      <c r="N16" s="2"/>
      <c r="O16" s="2"/>
      <c r="P16" s="2"/>
      <c r="Q16" s="2"/>
      <c r="R16" s="2"/>
      <c r="S16" s="2"/>
      <c r="T16" s="2"/>
      <c r="U16" s="2"/>
      <c r="V16" s="2"/>
    </row>
    <row r="17" ht="22.5" customHeight="1">
      <c r="A17" s="3">
        <v>16.0</v>
      </c>
      <c r="B17" s="3" t="s">
        <v>1372</v>
      </c>
      <c r="C17" s="3" t="s">
        <v>1373</v>
      </c>
      <c r="D17" s="3" t="s">
        <v>1353</v>
      </c>
      <c r="E17" s="2"/>
      <c r="F17" s="3" t="str">
        <f>IFERROR(__xludf.DUMMYFUNCTION("GOOGLETRANSLATE(A17, ""it"", ""en"")"),"16")</f>
        <v>16</v>
      </c>
      <c r="G17" s="3" t="str">
        <f>IFERROR(__xludf.DUMMYFUNCTION("GOOGLETRANSLATE(B17, ""it"", ""en"")"),"A player gets injured during a play. What happens?")</f>
        <v>A player gets injured during a play. What happens?</v>
      </c>
      <c r="H17" s="3" t="str">
        <f>IFERROR(__xludf.DUMMYFUNCTION("GOOGLETRANSLATE(C17, ""it"", ""en"")"),"A. The game stops and the point is repeated B. The game continues C. The point is awarded to the other team D. The player is automatically replaced")</f>
        <v>A. The game stops and the point is repeated B. The game continues C. The point is awarded to the other team D. The player is automatically replaced</v>
      </c>
      <c r="I17" s="3" t="str">
        <f>IFERROR(__xludf.DUMMYFUNCTION("GOOGLETRANSLATE(D17, ""it"", ""en"")"),"The game stops and the point is repeated")</f>
        <v>The game stops and the point is repeated</v>
      </c>
      <c r="J17" s="2"/>
      <c r="K17" s="2"/>
      <c r="L17" s="2"/>
      <c r="M17" s="2"/>
      <c r="N17" s="2"/>
      <c r="O17" s="2"/>
      <c r="P17" s="2"/>
      <c r="Q17" s="2"/>
      <c r="R17" s="2"/>
      <c r="S17" s="2"/>
      <c r="T17" s="2"/>
      <c r="U17" s="2"/>
      <c r="V17" s="2"/>
    </row>
    <row r="18" ht="22.5" customHeight="1">
      <c r="A18" s="3">
        <v>17.0</v>
      </c>
      <c r="B18" s="3" t="s">
        <v>1374</v>
      </c>
      <c r="C18" s="3" t="s">
        <v>1375</v>
      </c>
      <c r="D18" s="3" t="s">
        <v>1346</v>
      </c>
      <c r="E18" s="2"/>
      <c r="F18" s="3" t="str">
        <f>IFERROR(__xludf.DUMMYFUNCTION("GOOGLETRANSLATE(A18, ""it"", ""en"")"),"17")</f>
        <v>17</v>
      </c>
      <c r="G18" s="3" t="str">
        <f>IFERROR(__xludf.DUMMYFUNCTION("GOOGLETRANSLATE(B18, ""it"", ""en"")"),"A player serves but the ball doesn't clear the net. What's the ruling?")</f>
        <v>A player serves but the ball doesn't clear the net. What's the ruling?</v>
      </c>
      <c r="H18" s="3" t="str">
        <f>IFERROR(__xludf.DUMMYFUNCTION("GOOGLETRANSLATE(C18, ""it"", ""en"")"),"A. The point goes to the other team B. The service is retaken C. The point is retaken D. The player is cautioned")</f>
        <v>A. The point goes to the other team B. The service is retaken C. The point is retaken D. The player is cautioned</v>
      </c>
      <c r="I18" s="3" t="str">
        <f>IFERROR(__xludf.DUMMYFUNCTION("GOOGLETRANSLATE(D18, ""it"", ""en"")"),"The point goes to the other team")</f>
        <v>The point goes to the other team</v>
      </c>
      <c r="J18" s="2"/>
      <c r="K18" s="2"/>
      <c r="L18" s="2"/>
      <c r="M18" s="2"/>
      <c r="N18" s="2"/>
      <c r="O18" s="2"/>
      <c r="P18" s="2"/>
      <c r="Q18" s="2"/>
      <c r="R18" s="2"/>
      <c r="S18" s="2"/>
      <c r="T18" s="2"/>
      <c r="U18" s="2"/>
      <c r="V18" s="2"/>
    </row>
    <row r="19" ht="22.5" customHeight="1">
      <c r="A19" s="3">
        <v>18.0</v>
      </c>
      <c r="B19" s="3" t="s">
        <v>1376</v>
      </c>
      <c r="C19" s="3" t="s">
        <v>1377</v>
      </c>
      <c r="D19" s="3" t="s">
        <v>12</v>
      </c>
      <c r="E19" s="2"/>
      <c r="F19" s="3" t="str">
        <f>IFERROR(__xludf.DUMMYFUNCTION("GOOGLETRANSLATE(A19, ""it"", ""en"")"),"18")</f>
        <v>18</v>
      </c>
      <c r="G19" s="3" t="str">
        <f>IFERROR(__xludf.DUMMYFUNCTION("GOOGLETRANSLATE(B19, ""it"", ""en"")"),"A player catches the ball with both hands above the net. What happens?")</f>
        <v>A player catches the ball with both hands above the net. What happens?</v>
      </c>
      <c r="H19" s="3" t="str">
        <f>IFERROR(__xludf.DUMMYFUNCTION("GOOGLETRANSLATE(C19, ""it"", ""en"")"),"A. The game continues B. The point is awarded to the other team C. The point is retaken D. The player is cautioned")</f>
        <v>A. The game continues B. The point is awarded to the other team C. The point is retaken D. The player is cautioned</v>
      </c>
      <c r="I19" s="3" t="str">
        <f>IFERROR(__xludf.DUMMYFUNCTION("GOOGLETRANSLATE(D19, ""it"", ""en"")"),"The game continues")</f>
        <v>The game continues</v>
      </c>
      <c r="J19" s="2"/>
      <c r="K19" s="2"/>
      <c r="L19" s="2"/>
      <c r="M19" s="2"/>
      <c r="N19" s="2"/>
      <c r="O19" s="2"/>
      <c r="P19" s="2"/>
      <c r="Q19" s="2"/>
      <c r="R19" s="2"/>
      <c r="S19" s="2"/>
      <c r="T19" s="2"/>
      <c r="U19" s="2"/>
      <c r="V19" s="2"/>
    </row>
    <row r="20" ht="22.5" customHeight="1">
      <c r="A20" s="3">
        <v>19.0</v>
      </c>
      <c r="B20" s="3" t="s">
        <v>1378</v>
      </c>
      <c r="C20" s="3" t="s">
        <v>1379</v>
      </c>
      <c r="D20" s="3" t="s">
        <v>707</v>
      </c>
      <c r="E20" s="2"/>
      <c r="F20" s="3" t="str">
        <f>IFERROR(__xludf.DUMMYFUNCTION("GOOGLETRANSLATE(A20, ""it"", ""en"")"),"19")</f>
        <v>19</v>
      </c>
      <c r="G20" s="3" t="str">
        <f>IFERROR(__xludf.DUMMYFUNCTION("GOOGLETRANSLATE(B20, ""it"", ""en"")"),"A substituted player returns to the field without permission. What happens?")</f>
        <v>A substituted player returns to the field without permission. What happens?</v>
      </c>
      <c r="H20" s="3" t="str">
        <f>IFERROR(__xludf.DUMMYFUNCTION("GOOGLETRANSLATE(C20, ""it"", ""en"")"),"A. The point goes to the other team B. The player is cautioned C. The point is retaken D. The game continues")</f>
        <v>A. The point goes to the other team B. The player is cautioned C. The point is retaken D. The game continues</v>
      </c>
      <c r="I20" s="3" t="str">
        <f>IFERROR(__xludf.DUMMYFUNCTION("GOOGLETRANSLATE(D20, ""it"", ""en"")"),"The player is cautioned")</f>
        <v>The player is cautioned</v>
      </c>
      <c r="J20" s="2"/>
      <c r="K20" s="2"/>
      <c r="L20" s="2"/>
      <c r="M20" s="2"/>
      <c r="N20" s="2"/>
      <c r="O20" s="2"/>
      <c r="P20" s="2"/>
      <c r="Q20" s="2"/>
      <c r="R20" s="2"/>
      <c r="S20" s="2"/>
      <c r="T20" s="2"/>
      <c r="U20" s="2"/>
      <c r="V20" s="2"/>
    </row>
    <row r="21" ht="22.5" customHeight="1">
      <c r="A21" s="3">
        <v>20.0</v>
      </c>
      <c r="B21" s="3" t="s">
        <v>1380</v>
      </c>
      <c r="C21" s="3" t="s">
        <v>1381</v>
      </c>
      <c r="D21" s="3" t="s">
        <v>1346</v>
      </c>
      <c r="E21" s="2"/>
      <c r="F21" s="3" t="str">
        <f>IFERROR(__xludf.DUMMYFUNCTION("GOOGLETRANSLATE(A21, ""it"", ""en"")"),"20")</f>
        <v>20</v>
      </c>
      <c r="G21" s="3" t="str">
        <f>IFERROR(__xludf.DUMMYFUNCTION("GOOGLETRANSLATE(B21, ""it"", ""en"")"),"A libero touches the ball over the net. What's the ruling?")</f>
        <v>A libero touches the ball over the net. What's the ruling?</v>
      </c>
      <c r="H21" s="3" t="str">
        <f>IFERROR(__xludf.DUMMYFUNCTION("GOOGLETRANSLATE(C21, ""it"", ""en"")"),"A. The point goes to the other team B. The point is repeated C. The game continues D. The libero is replaced")</f>
        <v>A. The point goes to the other team B. The point is repeated C. The game continues D. The libero is replaced</v>
      </c>
      <c r="I21" s="3" t="str">
        <f>IFERROR(__xludf.DUMMYFUNCTION("GOOGLETRANSLATE(D21, ""it"", ""en"")"),"The point goes to the other team")</f>
        <v>The point goes to the other team</v>
      </c>
      <c r="J21" s="2"/>
      <c r="K21" s="2"/>
      <c r="L21" s="2"/>
      <c r="M21" s="2"/>
      <c r="N21" s="2"/>
      <c r="O21" s="2"/>
      <c r="P21" s="2"/>
      <c r="Q21" s="2"/>
      <c r="R21" s="2"/>
      <c r="S21" s="2"/>
      <c r="T21" s="2"/>
      <c r="U21" s="2"/>
      <c r="V21" s="2"/>
    </row>
    <row r="22" ht="22.5" customHeight="1">
      <c r="A22" s="3">
        <v>21.0</v>
      </c>
      <c r="B22" s="3" t="s">
        <v>1382</v>
      </c>
      <c r="C22" s="3" t="s">
        <v>1383</v>
      </c>
      <c r="D22" s="3" t="s">
        <v>12</v>
      </c>
      <c r="E22" s="2"/>
      <c r="F22" s="3" t="str">
        <f>IFERROR(__xludf.DUMMYFUNCTION("GOOGLETRANSLATE(A22, ""it"", ""en"")"),"21")</f>
        <v>21</v>
      </c>
      <c r="G22" s="3" t="str">
        <f>IFERROR(__xludf.DUMMYFUNCTION("GOOGLETRANSLATE(B22, ""it"", ""en"")"),"A player punches the ball during play. What happens?")</f>
        <v>A player punches the ball during play. What happens?</v>
      </c>
      <c r="H22" s="3" t="str">
        <f>IFERROR(__xludf.DUMMYFUNCTION("GOOGLETRANSLATE(C22, ""it"", ""en"")"),"A. The game continues B. The point goes to the other team C. The point is repeated D. The shot is considered illegal")</f>
        <v>A. The game continues B. The point goes to the other team C. The point is repeated D. The shot is considered illegal</v>
      </c>
      <c r="I22" s="3" t="str">
        <f>IFERROR(__xludf.DUMMYFUNCTION("GOOGLETRANSLATE(D22, ""it"", ""en"")"),"The game continues")</f>
        <v>The game continues</v>
      </c>
      <c r="J22" s="2"/>
      <c r="K22" s="2"/>
      <c r="L22" s="2"/>
      <c r="M22" s="2"/>
      <c r="N22" s="2"/>
      <c r="O22" s="2"/>
      <c r="P22" s="2"/>
      <c r="Q22" s="2"/>
      <c r="R22" s="2"/>
      <c r="S22" s="2"/>
      <c r="T22" s="2"/>
      <c r="U22" s="2"/>
      <c r="V22" s="2"/>
    </row>
    <row r="23" ht="22.5" customHeight="1">
      <c r="A23" s="3">
        <v>22.0</v>
      </c>
      <c r="B23" s="3" t="s">
        <v>1384</v>
      </c>
      <c r="C23" s="3" t="s">
        <v>1385</v>
      </c>
      <c r="D23" s="3" t="s">
        <v>9</v>
      </c>
      <c r="E23" s="2"/>
      <c r="F23" s="3" t="str">
        <f>IFERROR(__xludf.DUMMYFUNCTION("GOOGLETRANSLATE(A23, ""it"", ""en"")"),"22")</f>
        <v>22</v>
      </c>
      <c r="G23" s="3" t="str">
        <f>IFERROR(__xludf.DUMMYFUNCTION("GOOGLETRANSLATE(B23, ""it"", ""en"")"),"A player receives three consecutive yellow cards. What happens?")</f>
        <v>A player receives three consecutive yellow cards. What happens?</v>
      </c>
      <c r="H23" s="3" t="str">
        <f>IFERROR(__xludf.DUMMYFUNCTION("GOOGLETRANSLATE(C23, ""it"", ""en"")"),"A. The player is sent off B. The point is retaken C. The point goes to the other team D. The game continues")</f>
        <v>A. The player is sent off B. The point is retaken C. The point goes to the other team D. The game continues</v>
      </c>
      <c r="I23" s="3" t="str">
        <f>IFERROR(__xludf.DUMMYFUNCTION("GOOGLETRANSLATE(D23, ""it"", ""en"")"),"The player is sent off")</f>
        <v>The player is sent off</v>
      </c>
      <c r="J23" s="2"/>
      <c r="K23" s="2"/>
      <c r="L23" s="2"/>
      <c r="M23" s="2"/>
      <c r="N23" s="2"/>
      <c r="O23" s="2"/>
      <c r="P23" s="2"/>
      <c r="Q23" s="2"/>
      <c r="R23" s="2"/>
      <c r="S23" s="2"/>
      <c r="T23" s="2"/>
      <c r="U23" s="2"/>
      <c r="V23" s="2"/>
    </row>
    <row r="24" ht="22.5" customHeight="1">
      <c r="A24" s="3">
        <v>23.0</v>
      </c>
      <c r="B24" s="3" t="s">
        <v>1386</v>
      </c>
      <c r="C24" s="3" t="s">
        <v>1387</v>
      </c>
      <c r="D24" s="3" t="s">
        <v>1388</v>
      </c>
      <c r="E24" s="2"/>
      <c r="F24" s="3" t="str">
        <f>IFERROR(__xludf.DUMMYFUNCTION("GOOGLETRANSLATE(A24, ""it"", ""en"")"),"23")</f>
        <v>23</v>
      </c>
      <c r="G24" s="3" t="str">
        <f>IFERROR(__xludf.DUMMYFUNCTION("GOOGLETRANSLATE(B24, ""it"", ""en"")"),"The ball falls onto the court and no player tries to catch it. What happens?")</f>
        <v>The ball falls onto the court and no player tries to catch it. What happens?</v>
      </c>
      <c r="H24" s="3" t="str">
        <f>IFERROR(__xludf.DUMMYFUNCTION("GOOGLETRANSLATE(C24, ""it"", ""en"")"),"A. The point is awarded to the opposing team B. The point is retaken C. The point is cancelled D. The game continues")</f>
        <v>A. The point is awarded to the opposing team B. The point is retaken C. The point is cancelled D. The game continues</v>
      </c>
      <c r="I24" s="3" t="str">
        <f>IFERROR(__xludf.DUMMYFUNCTION("GOOGLETRANSLATE(D24, ""it"", ""en"")"),"The point is awarded to the opposing team")</f>
        <v>The point is awarded to the opposing team</v>
      </c>
      <c r="J24" s="2"/>
      <c r="K24" s="2"/>
      <c r="L24" s="2"/>
      <c r="M24" s="2"/>
      <c r="N24" s="2"/>
      <c r="O24" s="2"/>
      <c r="P24" s="2"/>
      <c r="Q24" s="2"/>
      <c r="R24" s="2"/>
      <c r="S24" s="2"/>
      <c r="T24" s="2"/>
      <c r="U24" s="2"/>
      <c r="V24" s="2"/>
    </row>
    <row r="25" ht="22.5" customHeight="1">
      <c r="A25" s="3">
        <v>24.0</v>
      </c>
      <c r="B25" s="3" t="s">
        <v>1389</v>
      </c>
      <c r="C25" s="3" t="s">
        <v>1390</v>
      </c>
      <c r="D25" s="3" t="s">
        <v>12</v>
      </c>
      <c r="E25" s="2"/>
      <c r="F25" s="3" t="str">
        <f>IFERROR(__xludf.DUMMYFUNCTION("GOOGLETRANSLATE(A25, ""it"", ""en"")"),"24")</f>
        <v>24</v>
      </c>
      <c r="G25" s="3" t="str">
        <f>IFERROR(__xludf.DUMMYFUNCTION("GOOGLETRANSLATE(B25, ""it"", ""en"")"),"A player stops the ball with his knee during a play. What's the decision?")</f>
        <v>A player stops the ball with his knee during a play. What's the decision?</v>
      </c>
      <c r="H25" s="3" t="str">
        <f>IFERROR(__xludf.DUMMYFUNCTION("GOOGLETRANSLATE(C25, ""it"", ""en"")"),"A. The game continues B. The point goes to the other team C. The point is retaken D. The player is cautioned")</f>
        <v>A. The game continues B. The point goes to the other team C. The point is retaken D. The player is cautioned</v>
      </c>
      <c r="I25" s="3" t="str">
        <f>IFERROR(__xludf.DUMMYFUNCTION("GOOGLETRANSLATE(D25, ""it"", ""en"")"),"The game continues")</f>
        <v>The game continues</v>
      </c>
      <c r="J25" s="2"/>
      <c r="K25" s="2"/>
      <c r="L25" s="2"/>
      <c r="M25" s="2"/>
      <c r="N25" s="2"/>
      <c r="O25" s="2"/>
      <c r="P25" s="2"/>
      <c r="Q25" s="2"/>
      <c r="R25" s="2"/>
      <c r="S25" s="2"/>
      <c r="T25" s="2"/>
      <c r="U25" s="2"/>
      <c r="V25" s="2"/>
    </row>
    <row r="26" ht="22.5" customHeight="1">
      <c r="A26" s="3">
        <v>25.0</v>
      </c>
      <c r="B26" s="3" t="s">
        <v>1391</v>
      </c>
      <c r="C26" s="3" t="s">
        <v>1392</v>
      </c>
      <c r="D26" s="3" t="s">
        <v>12</v>
      </c>
      <c r="E26" s="2"/>
      <c r="F26" s="3" t="str">
        <f>IFERROR(__xludf.DUMMYFUNCTION("GOOGLETRANSLATE(A26, ""it"", ""en"")"),"25")</f>
        <v>25</v>
      </c>
      <c r="G26" s="3" t="str">
        <f>IFERROR(__xludf.DUMMYFUNCTION("GOOGLETRANSLATE(B26, ""it"", ""en"")"),"The ball hits the wall and returns to the attacker's court. What happens?")</f>
        <v>The ball hits the wall and returns to the attacker's court. What happens?</v>
      </c>
      <c r="H26" s="3" t="str">
        <f>IFERROR(__xludf.DUMMYFUNCTION("GOOGLETRANSLATE(C26, ""it"", ""en"")"),"A. The game continues B. The point goes to the other team C. The point is retaken D. The player is penalized")</f>
        <v>A. The game continues B. The point goes to the other team C. The point is retaken D. The player is penalized</v>
      </c>
      <c r="I26" s="3" t="str">
        <f>IFERROR(__xludf.DUMMYFUNCTION("GOOGLETRANSLATE(D26, ""it"", ""en"")"),"The game continues")</f>
        <v>The game continues</v>
      </c>
      <c r="J26" s="2"/>
      <c r="K26" s="2"/>
      <c r="L26" s="2"/>
      <c r="M26" s="2"/>
      <c r="N26" s="2"/>
      <c r="O26" s="2"/>
      <c r="P26" s="2"/>
      <c r="Q26" s="2"/>
      <c r="R26" s="2"/>
      <c r="S26" s="2"/>
      <c r="T26" s="2"/>
      <c r="U26" s="2"/>
      <c r="V26" s="2"/>
    </row>
    <row r="27" ht="22.5" customHeight="1">
      <c r="A27" s="3">
        <v>26.0</v>
      </c>
      <c r="B27" s="3" t="s">
        <v>1393</v>
      </c>
      <c r="C27" s="3" t="s">
        <v>1379</v>
      </c>
      <c r="D27" s="3" t="s">
        <v>1346</v>
      </c>
      <c r="E27" s="2"/>
      <c r="F27" s="3" t="str">
        <f>IFERROR(__xludf.DUMMYFUNCTION("GOOGLETRANSLATE(A27, ""it"", ""en"")"),"26")</f>
        <v>26</v>
      </c>
      <c r="G27" s="3" t="str">
        <f>IFERROR(__xludf.DUMMYFUNCTION("GOOGLETRANSLATE(B27, ""it"", ""en"")"),"A player exceeds the maximum number of authorized rotations. What happens?")</f>
        <v>A player exceeds the maximum number of authorized rotations. What happens?</v>
      </c>
      <c r="H27" s="3" t="str">
        <f>IFERROR(__xludf.DUMMYFUNCTION("GOOGLETRANSLATE(C27, ""it"", ""en"")"),"A. The point goes to the other team B. The player is cautioned C. The point is retaken D. The game continues")</f>
        <v>A. The point goes to the other team B. The player is cautioned C. The point is retaken D. The game continues</v>
      </c>
      <c r="I27" s="3" t="str">
        <f>IFERROR(__xludf.DUMMYFUNCTION("GOOGLETRANSLATE(D27, ""it"", ""en"")"),"The point goes to the other team")</f>
        <v>The point goes to the other team</v>
      </c>
      <c r="J27" s="2"/>
      <c r="K27" s="2"/>
      <c r="L27" s="2"/>
      <c r="M27" s="2"/>
      <c r="N27" s="2"/>
      <c r="O27" s="2"/>
      <c r="P27" s="2"/>
      <c r="Q27" s="2"/>
      <c r="R27" s="2"/>
      <c r="S27" s="2"/>
      <c r="T27" s="2"/>
      <c r="U27" s="2"/>
      <c r="V27" s="2"/>
    </row>
    <row r="28" ht="22.5" customHeight="1">
      <c r="A28" s="3">
        <v>27.0</v>
      </c>
      <c r="B28" s="3" t="s">
        <v>1394</v>
      </c>
      <c r="C28" s="3" t="s">
        <v>1395</v>
      </c>
      <c r="D28" s="3" t="s">
        <v>12</v>
      </c>
      <c r="E28" s="2"/>
      <c r="F28" s="3" t="str">
        <f>IFERROR(__xludf.DUMMYFUNCTION("GOOGLETRANSLATE(A28, ""it"", ""en"")"),"27")</f>
        <v>27</v>
      </c>
      <c r="G28" s="3" t="str">
        <f>IFERROR(__xludf.DUMMYFUNCTION("GOOGLETRANSLATE(B28, ""it"", ""en"")"),"A player raises the ball with one hand to help a teammate spike. What happens?")</f>
        <v>A player raises the ball with one hand to help a teammate spike. What happens?</v>
      </c>
      <c r="H28" s="3" t="str">
        <f>IFERROR(__xludf.DUMMYFUNCTION("GOOGLETRANSLATE(C28, ""it"", ""en"")"),"A. The game continues B. The point is awarded to the other team C. The point is retaken D. The player is cautioned")</f>
        <v>A. The game continues B. The point is awarded to the other team C. The point is retaken D. The player is cautioned</v>
      </c>
      <c r="I28" s="3" t="str">
        <f>IFERROR(__xludf.DUMMYFUNCTION("GOOGLETRANSLATE(D28, ""it"", ""en"")"),"The game continues")</f>
        <v>The game continues</v>
      </c>
      <c r="J28" s="2"/>
      <c r="K28" s="2"/>
      <c r="L28" s="2"/>
      <c r="M28" s="2"/>
      <c r="N28" s="2"/>
      <c r="O28" s="2"/>
      <c r="P28" s="2"/>
      <c r="Q28" s="2"/>
      <c r="R28" s="2"/>
      <c r="S28" s="2"/>
      <c r="T28" s="2"/>
      <c r="U28" s="2"/>
      <c r="V28" s="2"/>
    </row>
    <row r="29" ht="22.5" customHeight="1">
      <c r="A29" s="3">
        <v>28.0</v>
      </c>
      <c r="B29" s="3" t="s">
        <v>1396</v>
      </c>
      <c r="C29" s="3" t="s">
        <v>1397</v>
      </c>
      <c r="D29" s="3" t="s">
        <v>1398</v>
      </c>
      <c r="E29" s="2"/>
      <c r="F29" s="3" t="str">
        <f>IFERROR(__xludf.DUMMYFUNCTION("GOOGLETRANSLATE(A29, ""it"", ""en"")"),"28")</f>
        <v>28</v>
      </c>
      <c r="G29" s="3" t="str">
        <f>IFERROR(__xludf.DUMMYFUNCTION("GOOGLETRANSLATE(B29, ""it"", ""en"")"),"The ball hits an object suspended above the field. What happens?")</f>
        <v>The ball hits an object suspended above the field. What happens?</v>
      </c>
      <c r="H29" s="3" t="str">
        <f>IFERROR(__xludf.DUMMYFUNCTION("GOOGLETRANSLATE(C29, ""it"", ""en"")"),"A. The point is retaken B. The point is awarded to the other team C. Play continues D. The ball is considered out of play")</f>
        <v>A. The point is retaken B. The point is awarded to the other team C. Play continues D. The ball is considered out of play</v>
      </c>
      <c r="I29" s="3" t="str">
        <f>IFERROR(__xludf.DUMMYFUNCTION("GOOGLETRANSLATE(D29, ""it"", ""en"")"),"The point is repeated")</f>
        <v>The point is repeated</v>
      </c>
      <c r="J29" s="2"/>
      <c r="K29" s="2"/>
      <c r="L29" s="2"/>
      <c r="M29" s="2"/>
      <c r="N29" s="2"/>
      <c r="O29" s="2"/>
      <c r="P29" s="2"/>
      <c r="Q29" s="2"/>
      <c r="R29" s="2"/>
      <c r="S29" s="2"/>
      <c r="T29" s="2"/>
      <c r="U29" s="2"/>
      <c r="V29" s="2"/>
    </row>
    <row r="30" ht="22.5" customHeight="1">
      <c r="A30" s="3">
        <v>29.0</v>
      </c>
      <c r="B30" s="3" t="s">
        <v>1399</v>
      </c>
      <c r="C30" s="3" t="s">
        <v>1400</v>
      </c>
      <c r="D30" s="3" t="s">
        <v>1346</v>
      </c>
      <c r="E30" s="2"/>
      <c r="F30" s="3" t="str">
        <f>IFERROR(__xludf.DUMMYFUNCTION("GOOGLETRANSLATE(A30, ""it"", ""en"")"),"29")</f>
        <v>29</v>
      </c>
      <c r="G30" s="3" t="str">
        <f>IFERROR(__xludf.DUMMYFUNCTION("GOOGLETRANSLATE(B30, ""it"", ""en"")"),"The libero makes an attack above the attack line. What's the decision?")</f>
        <v>The libero makes an attack above the attack line. What's the decision?</v>
      </c>
      <c r="H30" s="3" t="str">
        <f>IFERROR(__xludf.DUMMYFUNCTION("GOOGLETRANSLATE(C30, ""it"", ""en"")"),"A. The point goes to the other team B. The point is retaken C. The libero is penalized D. The game continues")</f>
        <v>A. The point goes to the other team B. The point is retaken C. The libero is penalized D. The game continues</v>
      </c>
      <c r="I30" s="3" t="str">
        <f>IFERROR(__xludf.DUMMYFUNCTION("GOOGLETRANSLATE(D30, ""it"", ""en"")"),"The point goes to the other team")</f>
        <v>The point goes to the other team</v>
      </c>
      <c r="J30" s="2"/>
      <c r="K30" s="2"/>
      <c r="L30" s="2"/>
      <c r="M30" s="2"/>
      <c r="N30" s="2"/>
      <c r="O30" s="2"/>
      <c r="P30" s="2"/>
      <c r="Q30" s="2"/>
      <c r="R30" s="2"/>
      <c r="S30" s="2"/>
      <c r="T30" s="2"/>
      <c r="U30" s="2"/>
      <c r="V30" s="2"/>
    </row>
    <row r="31" ht="22.5" customHeight="1">
      <c r="A31" s="3">
        <v>30.0</v>
      </c>
      <c r="B31" s="3" t="s">
        <v>1401</v>
      </c>
      <c r="C31" s="3" t="s">
        <v>1402</v>
      </c>
      <c r="D31" s="3" t="s">
        <v>1343</v>
      </c>
      <c r="E31" s="2"/>
      <c r="F31" s="3" t="str">
        <f>IFERROR(__xludf.DUMMYFUNCTION("GOOGLETRANSLATE(A31, ""it"", ""en"")"),"30")</f>
        <v>30</v>
      </c>
      <c r="G31" s="3" t="str">
        <f>IFERROR(__xludf.DUMMYFUNCTION("GOOGLETRANSLATE(B31, ""it"", ""en"")"),"A player invades the opponent's half of the field without touching the ball. What happens?")</f>
        <v>A player invades the opponent's half of the field without touching the ball. What happens?</v>
      </c>
      <c r="H31" s="3" t="str">
        <f>IFERROR(__xludf.DUMMYFUNCTION("GOOGLETRANSLATE(C31, ""it"", ""en"")"),"A. The point is awarded to the other team B. The game continues C. The point is retaken D. The player is cautioned")</f>
        <v>A. The point is awarded to the other team B. The game continues C. The point is retaken D. The player is cautioned</v>
      </c>
      <c r="I31" s="3" t="str">
        <f>IFERROR(__xludf.DUMMYFUNCTION("GOOGLETRANSLATE(D31, ""it"", ""en"")"),"The point is awarded to the other team")</f>
        <v>The point is awarded to the other team</v>
      </c>
      <c r="J31" s="2"/>
      <c r="K31" s="2"/>
      <c r="L31" s="2"/>
      <c r="M31" s="2"/>
      <c r="N31" s="2"/>
      <c r="O31" s="2"/>
      <c r="P31" s="2"/>
      <c r="Q31" s="2"/>
      <c r="R31" s="2"/>
      <c r="S31" s="2"/>
      <c r="T31" s="2"/>
      <c r="U31" s="2"/>
      <c r="V31" s="2"/>
    </row>
    <row r="32" ht="22.5" customHeight="1">
      <c r="A32" s="3">
        <v>31.0</v>
      </c>
      <c r="B32" s="3" t="s">
        <v>1403</v>
      </c>
      <c r="C32" s="3" t="s">
        <v>1404</v>
      </c>
      <c r="D32" s="3" t="s">
        <v>1338</v>
      </c>
      <c r="E32" s="2"/>
      <c r="F32" s="3" t="str">
        <f>IFERROR(__xludf.DUMMYFUNCTION("GOOGLETRANSLATE(A32, ""it"", ""en"")"),"31")</f>
        <v>31</v>
      </c>
      <c r="G32" s="3" t="str">
        <f>IFERROR(__xludf.DUMMYFUNCTION("GOOGLETRANSLATE(B32, ""it"", ""en"")"),"The serve is made with both hands. What is the ruling?")</f>
        <v>The serve is made with both hands. What is the ruling?</v>
      </c>
      <c r="H32" s="3" t="str">
        <f>IFERROR(__xludf.DUMMYFUNCTION("GOOGLETRANSLATE(C32, ""it"", ""en"")"),"A. The service is valid B. The point is awarded to the other team C. The service is repeated D. The player is warned")</f>
        <v>A. The service is valid B. The point is awarded to the other team C. The service is repeated D. The player is warned</v>
      </c>
      <c r="I32" s="3" t="str">
        <f>IFERROR(__xludf.DUMMYFUNCTION("GOOGLETRANSLATE(D32, ""it"", ""en"")"),"The service is valid")</f>
        <v>The service is valid</v>
      </c>
      <c r="J32" s="2"/>
      <c r="K32" s="2"/>
      <c r="L32" s="2"/>
      <c r="M32" s="2"/>
      <c r="N32" s="2"/>
      <c r="O32" s="2"/>
      <c r="P32" s="2"/>
      <c r="Q32" s="2"/>
      <c r="R32" s="2"/>
      <c r="S32" s="2"/>
      <c r="T32" s="2"/>
      <c r="U32" s="2"/>
      <c r="V32" s="2"/>
    </row>
    <row r="33" ht="22.5" customHeight="1">
      <c r="A33" s="3">
        <v>32.0</v>
      </c>
      <c r="B33" s="3" t="s">
        <v>1405</v>
      </c>
      <c r="C33" s="3" t="s">
        <v>1406</v>
      </c>
      <c r="D33" s="3" t="s">
        <v>1338</v>
      </c>
      <c r="E33" s="2"/>
      <c r="F33" s="3" t="str">
        <f>IFERROR(__xludf.DUMMYFUNCTION("GOOGLETRANSLATE(A33, ""it"", ""en"")"),"32")</f>
        <v>32</v>
      </c>
      <c r="G33" s="3" t="str">
        <f>IFERROR(__xludf.DUMMYFUNCTION("GOOGLETRANSLATE(B33, ""it"", ""en"")"),"The ball hits the net during a serve but lands in the opponent's court. What happens?")</f>
        <v>The ball hits the net during a serve but lands in the opponent's court. What happens?</v>
      </c>
      <c r="H33" s="3" t="str">
        <f>IFERROR(__xludf.DUMMYFUNCTION("GOOGLETRANSLATE(C33, ""it"", ""en"")"),"A. The service is valid B. The point is awarded to the other team C. The service is repeated D. The service is cancelled")</f>
        <v>A. The service is valid B. The point is awarded to the other team C. The service is repeated D. The service is cancelled</v>
      </c>
      <c r="I33" s="3" t="str">
        <f>IFERROR(__xludf.DUMMYFUNCTION("GOOGLETRANSLATE(D33, ""it"", ""en"")"),"The service is valid")</f>
        <v>The service is valid</v>
      </c>
      <c r="J33" s="2"/>
      <c r="K33" s="2"/>
      <c r="L33" s="2"/>
      <c r="M33" s="2"/>
      <c r="N33" s="2"/>
      <c r="O33" s="2"/>
      <c r="P33" s="2"/>
      <c r="Q33" s="2"/>
      <c r="R33" s="2"/>
      <c r="S33" s="2"/>
      <c r="T33" s="2"/>
      <c r="U33" s="2"/>
      <c r="V33" s="2"/>
    </row>
    <row r="34" ht="22.5" customHeight="1">
      <c r="A34" s="3">
        <v>33.0</v>
      </c>
      <c r="B34" s="3" t="s">
        <v>1407</v>
      </c>
      <c r="C34" s="3" t="s">
        <v>1408</v>
      </c>
      <c r="D34" s="3" t="s">
        <v>707</v>
      </c>
      <c r="E34" s="2"/>
      <c r="F34" s="3" t="str">
        <f>IFERROR(__xludf.DUMMYFUNCTION("GOOGLETRANSLATE(A34, ""it"", ""en"")"),"33")</f>
        <v>33</v>
      </c>
      <c r="G34" s="3" t="str">
        <f>IFERROR(__xludf.DUMMYFUNCTION("GOOGLETRANSLATE(B34, ""it"", ""en"")"),"A player enters the field without being registered. What happens?")</f>
        <v>A player enters the field without being registered. What happens?</v>
      </c>
      <c r="H34" s="3" t="str">
        <f>IFERROR(__xludf.DUMMYFUNCTION("GOOGLETRANSLATE(C34, ""it"", ""en"")"),"A. The player is cautioned B. The point is retaken C. The point goes to the other team D. The player is sent off")</f>
        <v>A. The player is cautioned B. The point is retaken C. The point goes to the other team D. The player is sent off</v>
      </c>
      <c r="I34" s="3" t="str">
        <f>IFERROR(__xludf.DUMMYFUNCTION("GOOGLETRANSLATE(D34, ""it"", ""en"")"),"The player is cautioned")</f>
        <v>The player is cautioned</v>
      </c>
      <c r="J34" s="2"/>
      <c r="K34" s="2"/>
      <c r="L34" s="2"/>
      <c r="M34" s="2"/>
      <c r="N34" s="2"/>
      <c r="O34" s="2"/>
      <c r="P34" s="2"/>
      <c r="Q34" s="2"/>
      <c r="R34" s="2"/>
      <c r="S34" s="2"/>
      <c r="T34" s="2"/>
      <c r="U34" s="2"/>
      <c r="V34" s="2"/>
    </row>
    <row r="35" ht="22.5" customHeight="1">
      <c r="A35" s="3">
        <v>34.0</v>
      </c>
      <c r="B35" s="3" t="s">
        <v>1409</v>
      </c>
      <c r="C35" s="3" t="s">
        <v>1410</v>
      </c>
      <c r="D35" s="3" t="s">
        <v>1346</v>
      </c>
      <c r="E35" s="2"/>
      <c r="F35" s="3" t="str">
        <f>IFERROR(__xludf.DUMMYFUNCTION("GOOGLETRANSLATE(A35, ""it"", ""en"")"),"34")</f>
        <v>34</v>
      </c>
      <c r="G35" s="3" t="str">
        <f>IFERROR(__xludf.DUMMYFUNCTION("GOOGLETRANSLATE(B35, ""it"", ""en"")"),"A coach calls a timeout when he has no more time left. What happens?")</f>
        <v>A coach calls a timeout when he has no more time left. What happens?</v>
      </c>
      <c r="H35" s="3" t="str">
        <f>IFERROR(__xludf.DUMMYFUNCTION("GOOGLETRANSLATE(C35, ""it"", ""en"")"),"A. The point goes to the other team B. The game continues C. A timeout is granted D. The player is cautioned")</f>
        <v>A. The point goes to the other team B. The game continues C. A timeout is granted D. The player is cautioned</v>
      </c>
      <c r="I35" s="3" t="str">
        <f>IFERROR(__xludf.DUMMYFUNCTION("GOOGLETRANSLATE(D35, ""it"", ""en"")"),"The point goes to the other team")</f>
        <v>The point goes to the other team</v>
      </c>
      <c r="J35" s="2"/>
      <c r="K35" s="2"/>
      <c r="L35" s="2"/>
      <c r="M35" s="2"/>
      <c r="N35" s="2"/>
      <c r="O35" s="2"/>
      <c r="P35" s="2"/>
      <c r="Q35" s="2"/>
      <c r="R35" s="2"/>
      <c r="S35" s="2"/>
      <c r="T35" s="2"/>
      <c r="U35" s="2"/>
      <c r="V35" s="2"/>
    </row>
    <row r="36" ht="22.5" customHeight="1">
      <c r="A36" s="3">
        <v>35.0</v>
      </c>
      <c r="B36" s="3" t="s">
        <v>1411</v>
      </c>
      <c r="C36" s="3" t="s">
        <v>1369</v>
      </c>
      <c r="D36" s="3" t="s">
        <v>1346</v>
      </c>
      <c r="E36" s="2"/>
      <c r="F36" s="3" t="str">
        <f>IFERROR(__xludf.DUMMYFUNCTION("GOOGLETRANSLATE(A36, ""it"", ""en"")"),"35")</f>
        <v>35</v>
      </c>
      <c r="G36" s="3" t="str">
        <f>IFERROR(__xludf.DUMMYFUNCTION("GOOGLETRANSLATE(B36, ""it"", ""en"")"),"A player blocks but touches the net. What's the ruling?")</f>
        <v>A player blocks but touches the net. What's the ruling?</v>
      </c>
      <c r="H36" s="3" t="str">
        <f>IFERROR(__xludf.DUMMYFUNCTION("GOOGLETRANSLATE(C36, ""it"", ""en"")"),"A. The point goes to the other team B. The point is retaken C. The game continues D. The player is cautioned")</f>
        <v>A. The point goes to the other team B. The point is retaken C. The game continues D. The player is cautioned</v>
      </c>
      <c r="I36" s="3" t="str">
        <f>IFERROR(__xludf.DUMMYFUNCTION("GOOGLETRANSLATE(D36, ""it"", ""en"")"),"The point goes to the other team")</f>
        <v>The point goes to the other team</v>
      </c>
      <c r="J36" s="2"/>
      <c r="K36" s="2"/>
      <c r="L36" s="2"/>
      <c r="M36" s="2"/>
      <c r="N36" s="2"/>
      <c r="O36" s="2"/>
      <c r="P36" s="2"/>
      <c r="Q36" s="2"/>
      <c r="R36" s="2"/>
      <c r="S36" s="2"/>
      <c r="T36" s="2"/>
      <c r="U36" s="2"/>
      <c r="V36" s="2"/>
    </row>
    <row r="37" ht="22.5" customHeight="1">
      <c r="A37" s="3">
        <v>36.0</v>
      </c>
      <c r="B37" s="3" t="s">
        <v>1412</v>
      </c>
      <c r="C37" s="3" t="s">
        <v>1413</v>
      </c>
      <c r="D37" s="3" t="s">
        <v>12</v>
      </c>
      <c r="E37" s="2"/>
      <c r="F37" s="3" t="str">
        <f>IFERROR(__xludf.DUMMYFUNCTION("GOOGLETRANSLATE(A37, ""it"", ""en"")"),"36")</f>
        <v>36</v>
      </c>
      <c r="G37" s="3" t="str">
        <f>IFERROR(__xludf.DUMMYFUNCTION("GOOGLETRANSLATE(B37, ""it"", ""en"")"),"The ball is played with a header. What happens?")</f>
        <v>The ball is played with a header. What happens?</v>
      </c>
      <c r="H37" s="3" t="str">
        <f>IFERROR(__xludf.DUMMYFUNCTION("GOOGLETRANSLATE(C37, ""it"", ""en"")"),"A. The game continues B. The point is awarded to the other team C. The point is retaken D. The shot is considered illegal")</f>
        <v>A. The game continues B. The point is awarded to the other team C. The point is retaken D. The shot is considered illegal</v>
      </c>
      <c r="I37" s="3" t="str">
        <f>IFERROR(__xludf.DUMMYFUNCTION("GOOGLETRANSLATE(D37, ""it"", ""en"")"),"The game continues")</f>
        <v>The game continues</v>
      </c>
      <c r="J37" s="2"/>
      <c r="K37" s="2"/>
      <c r="L37" s="2"/>
      <c r="M37" s="2"/>
      <c r="N37" s="2"/>
      <c r="O37" s="2"/>
      <c r="P37" s="2"/>
      <c r="Q37" s="2"/>
      <c r="R37" s="2"/>
      <c r="S37" s="2"/>
      <c r="T37" s="2"/>
      <c r="U37" s="2"/>
      <c r="V37" s="2"/>
    </row>
    <row r="38" ht="22.5" customHeight="1">
      <c r="A38" s="3">
        <v>37.0</v>
      </c>
      <c r="B38" s="3" t="s">
        <v>1414</v>
      </c>
      <c r="C38" s="3" t="s">
        <v>1415</v>
      </c>
      <c r="D38" s="3" t="s">
        <v>1346</v>
      </c>
      <c r="E38" s="2"/>
      <c r="F38" s="3" t="str">
        <f>IFERROR(__xludf.DUMMYFUNCTION("GOOGLETRANSLATE(A38, ""it"", ""en"")"),"37")</f>
        <v>37</v>
      </c>
      <c r="G38" s="3" t="str">
        <f>IFERROR(__xludf.DUMMYFUNCTION("GOOGLETRANSLATE(B38, ""it"", ""en"")"),"A player throws the ball during a serve instead of hitting it. What happens?")</f>
        <v>A player throws the ball during a serve instead of hitting it. What happens?</v>
      </c>
      <c r="H38" s="3" t="str">
        <f>IFERROR(__xludf.DUMMYFUNCTION("GOOGLETRANSLATE(C38, ""it"", ""en"")"),"A. The point goes to the other team B. The service is repeated C. The service is valid D. The player is cautioned")</f>
        <v>A. The point goes to the other team B. The service is repeated C. The service is valid D. The player is cautioned</v>
      </c>
      <c r="I38" s="3" t="str">
        <f>IFERROR(__xludf.DUMMYFUNCTION("GOOGLETRANSLATE(D38, ""it"", ""en"")"),"The point goes to the other team")</f>
        <v>The point goes to the other team</v>
      </c>
      <c r="J38" s="2"/>
      <c r="K38" s="2"/>
      <c r="L38" s="2"/>
      <c r="M38" s="2"/>
      <c r="N38" s="2"/>
      <c r="O38" s="2"/>
      <c r="P38" s="2"/>
      <c r="Q38" s="2"/>
      <c r="R38" s="2"/>
      <c r="S38" s="2"/>
      <c r="T38" s="2"/>
      <c r="U38" s="2"/>
      <c r="V38" s="2"/>
    </row>
    <row r="39" ht="22.5" customHeight="1">
      <c r="A39" s="3">
        <v>38.0</v>
      </c>
      <c r="B39" s="3" t="s">
        <v>1416</v>
      </c>
      <c r="C39" s="3" t="s">
        <v>1381</v>
      </c>
      <c r="D39" s="3" t="s">
        <v>1346</v>
      </c>
      <c r="E39" s="2"/>
      <c r="F39" s="3" t="str">
        <f>IFERROR(__xludf.DUMMYFUNCTION("GOOGLETRANSLATE(A39, ""it"", ""en"")"),"38")</f>
        <v>38</v>
      </c>
      <c r="G39" s="3" t="str">
        <f>IFERROR(__xludf.DUMMYFUNCTION("GOOGLETRANSLATE(B39, ""it"", ""en"")"),"A free man joins the wall. What's the decision?")</f>
        <v>A free man joins the wall. What's the decision?</v>
      </c>
      <c r="H39" s="3" t="str">
        <f>IFERROR(__xludf.DUMMYFUNCTION("GOOGLETRANSLATE(C39, ""it"", ""en"")"),"A. The point goes to the other team B. The point is repeated C. The game continues D. The libero is replaced")</f>
        <v>A. The point goes to the other team B. The point is repeated C. The game continues D. The libero is replaced</v>
      </c>
      <c r="I39" s="3" t="str">
        <f>IFERROR(__xludf.DUMMYFUNCTION("GOOGLETRANSLATE(D39, ""it"", ""en"")"),"The point goes to the other team")</f>
        <v>The point goes to the other team</v>
      </c>
      <c r="J39" s="2"/>
      <c r="K39" s="2"/>
      <c r="L39" s="2"/>
      <c r="M39" s="2"/>
      <c r="N39" s="2"/>
      <c r="O39" s="2"/>
      <c r="P39" s="2"/>
      <c r="Q39" s="2"/>
      <c r="R39" s="2"/>
      <c r="S39" s="2"/>
      <c r="T39" s="2"/>
      <c r="U39" s="2"/>
      <c r="V39" s="2"/>
    </row>
    <row r="40" ht="22.5" customHeight="1">
      <c r="A40" s="3">
        <v>39.0</v>
      </c>
      <c r="B40" s="3" t="s">
        <v>1417</v>
      </c>
      <c r="C40" s="3" t="s">
        <v>1360</v>
      </c>
      <c r="D40" s="3" t="s">
        <v>1346</v>
      </c>
      <c r="E40" s="2"/>
      <c r="F40" s="3" t="str">
        <f>IFERROR(__xludf.DUMMYFUNCTION("GOOGLETRANSLATE(A40, ""it"", ""en"")"),"39")</f>
        <v>39</v>
      </c>
      <c r="G40" s="3" t="str">
        <f>IFERROR(__xludf.DUMMYFUNCTION("GOOGLETRANSLATE(B40, ""it"", ""en"")"),"A player pushes the ball instead of hitting it. What happens?")</f>
        <v>A player pushes the ball instead of hitting it. What happens?</v>
      </c>
      <c r="H40" s="3" t="str">
        <f>IFERROR(__xludf.DUMMYFUNCTION("GOOGLETRANSLATE(C40, ""it"", ""en"")"),"A. The point goes to the other team B. The game continues C. The point is retaken D. The player is cautioned")</f>
        <v>A. The point goes to the other team B. The game continues C. The point is retaken D. The player is cautioned</v>
      </c>
      <c r="I40" s="3" t="str">
        <f>IFERROR(__xludf.DUMMYFUNCTION("GOOGLETRANSLATE(D40, ""it"", ""en"")"),"The point goes to the other team")</f>
        <v>The point goes to the other team</v>
      </c>
      <c r="J40" s="2"/>
      <c r="K40" s="2"/>
      <c r="L40" s="2"/>
      <c r="M40" s="2"/>
      <c r="N40" s="2"/>
      <c r="O40" s="2"/>
      <c r="P40" s="2"/>
      <c r="Q40" s="2"/>
      <c r="R40" s="2"/>
      <c r="S40" s="2"/>
      <c r="T40" s="2"/>
      <c r="U40" s="2"/>
      <c r="V40" s="2"/>
    </row>
    <row r="41" ht="22.5" customHeight="1">
      <c r="A41" s="3">
        <v>40.0</v>
      </c>
      <c r="B41" s="3" t="s">
        <v>1418</v>
      </c>
      <c r="C41" s="3" t="s">
        <v>1419</v>
      </c>
      <c r="D41" s="3" t="s">
        <v>12</v>
      </c>
      <c r="E41" s="2"/>
      <c r="F41" s="3" t="str">
        <f>IFERROR(__xludf.DUMMYFUNCTION("GOOGLETRANSLATE(A41, ""it"", ""en"")"),"40")</f>
        <v>40</v>
      </c>
      <c r="G41" s="3" t="str">
        <f>IFERROR(__xludf.DUMMYFUNCTION("GOOGLETRANSLATE(B41, ""it"", ""en"")"),"The ball is touched simultaneously by two teammates. What happens?")</f>
        <v>The ball is touched simultaneously by two teammates. What happens?</v>
      </c>
      <c r="H41" s="3" t="str">
        <f>IFERROR(__xludf.DUMMYFUNCTION("GOOGLETRANSLATE(C41, ""it"", ""en"")"),"A. The game continues B. The point is repeated C. The point goes to the other team D. The shot is considered illegal")</f>
        <v>A. The game continues B. The point is repeated C. The point goes to the other team D. The shot is considered illegal</v>
      </c>
      <c r="I41" s="3" t="str">
        <f>IFERROR(__xludf.DUMMYFUNCTION("GOOGLETRANSLATE(D41, ""it"", ""en"")"),"The game continues")</f>
        <v>The game continues</v>
      </c>
      <c r="J41" s="2"/>
      <c r="K41" s="2"/>
      <c r="L41" s="2"/>
      <c r="M41" s="2"/>
      <c r="N41" s="2"/>
      <c r="O41" s="2"/>
      <c r="P41" s="2"/>
      <c r="Q41" s="2"/>
      <c r="R41" s="2"/>
      <c r="S41" s="2"/>
      <c r="T41" s="2"/>
      <c r="U41" s="2"/>
      <c r="V41" s="2"/>
    </row>
    <row r="42" ht="22.5" customHeight="1">
      <c r="A42" s="3">
        <v>41.0</v>
      </c>
      <c r="B42" s="3" t="s">
        <v>1420</v>
      </c>
      <c r="C42" s="3" t="s">
        <v>1360</v>
      </c>
      <c r="D42" s="3" t="s">
        <v>1346</v>
      </c>
      <c r="E42" s="2"/>
      <c r="F42" s="3" t="str">
        <f>IFERROR(__xludf.DUMMYFUNCTION("GOOGLETRANSLATE(A42, ""it"", ""en"")"),"41")</f>
        <v>41</v>
      </c>
      <c r="G42" s="3" t="str">
        <f>IFERROR(__xludf.DUMMYFUNCTION("GOOGLETRANSLATE(B42, ""it"", ""en"")"),"A player touches the ball twice in a row during a play. What's the ruling?")</f>
        <v>A player touches the ball twice in a row during a play. What's the ruling?</v>
      </c>
      <c r="H42" s="3" t="str">
        <f>IFERROR(__xludf.DUMMYFUNCTION("GOOGLETRANSLATE(C42, ""it"", ""en"")"),"A. The point goes to the other team B. The game continues C. The point is retaken D. The player is cautioned")</f>
        <v>A. The point goes to the other team B. The game continues C. The point is retaken D. The player is cautioned</v>
      </c>
      <c r="I42" s="3" t="str">
        <f>IFERROR(__xludf.DUMMYFUNCTION("GOOGLETRANSLATE(D42, ""it"", ""en"")"),"The point goes to the other team")</f>
        <v>The point goes to the other team</v>
      </c>
      <c r="J42" s="2"/>
      <c r="K42" s="2"/>
      <c r="L42" s="2"/>
      <c r="M42" s="2"/>
      <c r="N42" s="2"/>
      <c r="O42" s="2"/>
      <c r="P42" s="2"/>
      <c r="Q42" s="2"/>
      <c r="R42" s="2"/>
      <c r="S42" s="2"/>
      <c r="T42" s="2"/>
      <c r="U42" s="2"/>
      <c r="V42" s="2"/>
    </row>
    <row r="43" ht="22.5" customHeight="1">
      <c r="A43" s="3">
        <v>42.0</v>
      </c>
      <c r="B43" s="3" t="s">
        <v>1421</v>
      </c>
      <c r="C43" s="3" t="s">
        <v>1422</v>
      </c>
      <c r="D43" s="3" t="s">
        <v>1423</v>
      </c>
      <c r="E43" s="2"/>
      <c r="F43" s="3" t="str">
        <f>IFERROR(__xludf.DUMMYFUNCTION("GOOGLETRANSLATE(A43, ""it"", ""en"")"),"42")</f>
        <v>42</v>
      </c>
      <c r="G43" s="3" t="str">
        <f>IFERROR(__xludf.DUMMYFUNCTION("GOOGLETRANSLATE(B43, ""it"", ""en"")"),"The ball lands in the opponent's service box untouched. What happens?")</f>
        <v>The ball lands in the opponent's service box untouched. What happens?</v>
      </c>
      <c r="H43" s="3" t="str">
        <f>IFERROR(__xludf.DUMMYFUNCTION("GOOGLETRANSLATE(C43, ""it"", ""en"")"),"A. The point is awarded to the server B. The point is repeated C. The point goes to the other team D. The service is considered void")</f>
        <v>A. The point is awarded to the server B. The point is repeated C. The point goes to the other team D. The service is considered void</v>
      </c>
      <c r="I43" s="3" t="str">
        <f>IFERROR(__xludf.DUMMYFUNCTION("GOOGLETRANSLATE(D43, ""it"", ""en"")"),"The point is awarded to the server")</f>
        <v>The point is awarded to the server</v>
      </c>
      <c r="J43" s="2"/>
      <c r="K43" s="2"/>
      <c r="L43" s="2"/>
      <c r="M43" s="2"/>
      <c r="N43" s="2"/>
      <c r="O43" s="2"/>
      <c r="P43" s="2"/>
      <c r="Q43" s="2"/>
      <c r="R43" s="2"/>
      <c r="S43" s="2"/>
      <c r="T43" s="2"/>
      <c r="U43" s="2"/>
      <c r="V43" s="2"/>
    </row>
    <row r="44" ht="22.5" customHeight="1">
      <c r="A44" s="3">
        <v>43.0</v>
      </c>
      <c r="B44" s="3" t="s">
        <v>1424</v>
      </c>
      <c r="C44" s="3" t="s">
        <v>1425</v>
      </c>
      <c r="D44" s="3" t="s">
        <v>1346</v>
      </c>
      <c r="E44" s="2"/>
      <c r="F44" s="3" t="str">
        <f>IFERROR(__xludf.DUMMYFUNCTION("GOOGLETRANSLATE(A44, ""it"", ""en"")"),"43")</f>
        <v>43</v>
      </c>
      <c r="G44" s="3" t="str">
        <f>IFERROR(__xludf.DUMMYFUNCTION("GOOGLETRANSLATE(B44, ""it"", ""en"")"),"A player serves at the net. What's the decision?")</f>
        <v>A player serves at the net. What's the decision?</v>
      </c>
      <c r="H44" s="3" t="str">
        <f>IFERROR(__xludf.DUMMYFUNCTION("GOOGLETRANSLATE(C44, ""it"", ""en"")"),"A. The point goes to the other team B. The service is repeated C. The service is valid D. The service is cancelled")</f>
        <v>A. The point goes to the other team B. The service is repeated C. The service is valid D. The service is cancelled</v>
      </c>
      <c r="I44" s="3" t="str">
        <f>IFERROR(__xludf.DUMMYFUNCTION("GOOGLETRANSLATE(D44, ""it"", ""en"")"),"The point goes to the other team")</f>
        <v>The point goes to the other team</v>
      </c>
      <c r="J44" s="2"/>
      <c r="K44" s="2"/>
      <c r="L44" s="2"/>
      <c r="M44" s="2"/>
      <c r="N44" s="2"/>
      <c r="O44" s="2"/>
      <c r="P44" s="2"/>
      <c r="Q44" s="2"/>
      <c r="R44" s="2"/>
      <c r="S44" s="2"/>
      <c r="T44" s="2"/>
      <c r="U44" s="2"/>
      <c r="V44" s="2"/>
    </row>
    <row r="45" ht="22.5" customHeight="1">
      <c r="A45" s="3">
        <v>44.0</v>
      </c>
      <c r="B45" s="3" t="s">
        <v>1426</v>
      </c>
      <c r="C45" s="3" t="s">
        <v>1383</v>
      </c>
      <c r="D45" s="3" t="s">
        <v>12</v>
      </c>
      <c r="E45" s="2"/>
      <c r="F45" s="3" t="str">
        <f>IFERROR(__xludf.DUMMYFUNCTION("GOOGLETRANSLATE(A45, ""it"", ""en"")"),"44")</f>
        <v>44</v>
      </c>
      <c r="G45" s="3" t="str">
        <f>IFERROR(__xludf.DUMMYFUNCTION("GOOGLETRANSLATE(B45, ""it"", ""en"")"),"A player hits the ball with his toe during a save. What happens?")</f>
        <v>A player hits the ball with his toe during a save. What happens?</v>
      </c>
      <c r="H45" s="3" t="str">
        <f>IFERROR(__xludf.DUMMYFUNCTION("GOOGLETRANSLATE(C45, ""it"", ""en"")"),"A. The game continues B. The point goes to the other team C. The point is repeated D. The shot is considered illegal")</f>
        <v>A. The game continues B. The point goes to the other team C. The point is repeated D. The shot is considered illegal</v>
      </c>
      <c r="I45" s="3" t="str">
        <f>IFERROR(__xludf.DUMMYFUNCTION("GOOGLETRANSLATE(D45, ""it"", ""en"")"),"The game continues")</f>
        <v>The game continues</v>
      </c>
      <c r="J45" s="2"/>
      <c r="K45" s="2"/>
      <c r="L45" s="2"/>
      <c r="M45" s="2"/>
      <c r="N45" s="2"/>
      <c r="O45" s="2"/>
      <c r="P45" s="2"/>
      <c r="Q45" s="2"/>
      <c r="R45" s="2"/>
      <c r="S45" s="2"/>
      <c r="T45" s="2"/>
      <c r="U45" s="2"/>
      <c r="V45" s="2"/>
    </row>
    <row r="46" ht="22.5" customHeight="1">
      <c r="A46" s="3">
        <v>45.0</v>
      </c>
      <c r="B46" s="3" t="s">
        <v>1427</v>
      </c>
      <c r="C46" s="3" t="s">
        <v>1428</v>
      </c>
      <c r="D46" s="3" t="s">
        <v>976</v>
      </c>
      <c r="E46" s="2"/>
      <c r="F46" s="3" t="str">
        <f>IFERROR(__xludf.DUMMYFUNCTION("GOOGLETRANSLATE(A46, ""it"", ""en"")"),"45")</f>
        <v>45</v>
      </c>
      <c r="G46" s="3" t="str">
        <f>IFERROR(__xludf.DUMMYFUNCTION("GOOGLETRANSLATE(B46, ""it"", ""en"")"),"The ball hits the floor in the opponent's half of the field but immediately bounces out. What's the decision?")</f>
        <v>The ball hits the floor in the opponent's half of the field but immediately bounces out. What's the decision?</v>
      </c>
      <c r="H46" s="3" t="str">
        <f>IFERROR(__xludf.DUMMYFUNCTION("GOOGLETRANSLATE(C46, ""it"", ""en"")"),"A. The point is valid B. The point is repeated C. The point goes to the other team D. The ball is considered out")</f>
        <v>A. The point is valid B. The point is repeated C. The point goes to the other team D. The ball is considered out</v>
      </c>
      <c r="I46" s="3" t="str">
        <f>IFERROR(__xludf.DUMMYFUNCTION("GOOGLETRANSLATE(D46, ""it"", ""en"")"),"The point is valid")</f>
        <v>The point is valid</v>
      </c>
      <c r="J46" s="2"/>
      <c r="K46" s="2"/>
      <c r="L46" s="2"/>
      <c r="M46" s="2"/>
      <c r="N46" s="2"/>
      <c r="O46" s="2"/>
      <c r="P46" s="2"/>
      <c r="Q46" s="2"/>
      <c r="R46" s="2"/>
      <c r="S46" s="2"/>
      <c r="T46" s="2"/>
      <c r="U46" s="2"/>
      <c r="V46" s="2"/>
    </row>
    <row r="47" ht="22.5" customHeight="1">
      <c r="A47" s="3">
        <v>46.0</v>
      </c>
      <c r="B47" s="3" t="s">
        <v>1429</v>
      </c>
      <c r="C47" s="3" t="s">
        <v>1430</v>
      </c>
      <c r="D47" s="3" t="s">
        <v>1346</v>
      </c>
      <c r="E47" s="2"/>
      <c r="F47" s="3" t="str">
        <f>IFERROR(__xludf.DUMMYFUNCTION("GOOGLETRANSLATE(A47, ""it"", ""en"")"),"46")</f>
        <v>46</v>
      </c>
      <c r="G47" s="3" t="str">
        <f>IFERROR(__xludf.DUMMYFUNCTION("GOOGLETRANSLATE(B47, ""it"", ""en"")"),"The ball is lifted and dropped without being hit. What happens?")</f>
        <v>The ball is lifted and dropped without being hit. What happens?</v>
      </c>
      <c r="H47" s="3" t="str">
        <f>IFERROR(__xludf.DUMMYFUNCTION("GOOGLETRANSLATE(C47, ""it"", ""en"")"),"A. The point goes to the other team B. The game continues C. The ball is considered out D. The point is retaken")</f>
        <v>A. The point goes to the other team B. The game continues C. The ball is considered out D. The point is retaken</v>
      </c>
      <c r="I47" s="3" t="str">
        <f>IFERROR(__xludf.DUMMYFUNCTION("GOOGLETRANSLATE(D47, ""it"", ""en"")"),"The point goes to the other team")</f>
        <v>The point goes to the other team</v>
      </c>
      <c r="J47" s="2"/>
      <c r="K47" s="2"/>
      <c r="L47" s="2"/>
      <c r="M47" s="2"/>
      <c r="N47" s="2"/>
      <c r="O47" s="2"/>
      <c r="P47" s="2"/>
      <c r="Q47" s="2"/>
      <c r="R47" s="2"/>
      <c r="S47" s="2"/>
      <c r="T47" s="2"/>
      <c r="U47" s="2"/>
      <c r="V47" s="2"/>
    </row>
    <row r="48" ht="22.5" customHeight="1">
      <c r="A48" s="3">
        <v>47.0</v>
      </c>
      <c r="B48" s="3" t="s">
        <v>1431</v>
      </c>
      <c r="C48" s="3" t="s">
        <v>1432</v>
      </c>
      <c r="D48" s="3" t="s">
        <v>1433</v>
      </c>
      <c r="E48" s="2"/>
      <c r="F48" s="3" t="str">
        <f>IFERROR(__xludf.DUMMYFUNCTION("GOOGLETRANSLATE(A48, ""it"", ""en"")"),"47")</f>
        <v>47</v>
      </c>
      <c r="G48" s="3" t="str">
        <f>IFERROR(__xludf.DUMMYFUNCTION("GOOGLETRANSLATE(B48, ""it"", ""en"")"),"A coach protests a referee's decision and stops the game. What happens?")</f>
        <v>A coach protests a referee's decision and stops the game. What happens?</v>
      </c>
      <c r="H48" s="3" t="str">
        <f>IFERROR(__xludf.DUMMYFUNCTION("GOOGLETRANSLATE(C48, ""it"", ""en"")"),"A. The coach is cautioned B. The point is retaken C. The point goes to the other team D. The game continues")</f>
        <v>A. The coach is cautioned B. The point is retaken C. The point goes to the other team D. The game continues</v>
      </c>
      <c r="I48" s="3" t="str">
        <f>IFERROR(__xludf.DUMMYFUNCTION("GOOGLETRANSLATE(D48, ""it"", ""en"")"),"The coach is cautioned")</f>
        <v>The coach is cautioned</v>
      </c>
      <c r="J48" s="2"/>
      <c r="K48" s="2"/>
      <c r="L48" s="2"/>
      <c r="M48" s="2"/>
      <c r="N48" s="2"/>
      <c r="O48" s="2"/>
      <c r="P48" s="2"/>
      <c r="Q48" s="2"/>
      <c r="R48" s="2"/>
      <c r="S48" s="2"/>
      <c r="T48" s="2"/>
      <c r="U48" s="2"/>
      <c r="V48" s="2"/>
    </row>
    <row r="49" ht="22.5" customHeight="1">
      <c r="A49" s="3">
        <v>48.0</v>
      </c>
      <c r="B49" s="3" t="s">
        <v>1434</v>
      </c>
      <c r="C49" s="3" t="s">
        <v>1435</v>
      </c>
      <c r="D49" s="3" t="s">
        <v>1346</v>
      </c>
      <c r="E49" s="2"/>
      <c r="F49" s="3" t="str">
        <f>IFERROR(__xludf.DUMMYFUNCTION("GOOGLETRANSLATE(A49, ""it"", ""en"")"),"48")</f>
        <v>48</v>
      </c>
      <c r="G49" s="3" t="str">
        <f>IFERROR(__xludf.DUMMYFUNCTION("GOOGLETRANSLATE(B49, ""it"", ""en"")"),"A player catches the ball with both hands but doesn't hit it. What happens?")</f>
        <v>A player catches the ball with both hands but doesn't hit it. What happens?</v>
      </c>
      <c r="H49" s="3" t="str">
        <f>IFERROR(__xludf.DUMMYFUNCTION("GOOGLETRANSLATE(C49, ""it"", ""en"")"),"A. The point goes to the other team B. The point is retaken C. The game continues D. The shot is considered legal")</f>
        <v>A. The point goes to the other team B. The point is retaken C. The game continues D. The shot is considered legal</v>
      </c>
      <c r="I49" s="3" t="str">
        <f>IFERROR(__xludf.DUMMYFUNCTION("GOOGLETRANSLATE(D49, ""it"", ""en"")"),"The point goes to the other team")</f>
        <v>The point goes to the other team</v>
      </c>
      <c r="J49" s="2"/>
      <c r="K49" s="2"/>
      <c r="L49" s="2"/>
      <c r="M49" s="2"/>
      <c r="N49" s="2"/>
      <c r="O49" s="2"/>
      <c r="P49" s="2"/>
      <c r="Q49" s="2"/>
      <c r="R49" s="2"/>
      <c r="S49" s="2"/>
      <c r="T49" s="2"/>
      <c r="U49" s="2"/>
      <c r="V49" s="2"/>
    </row>
    <row r="50" ht="22.5" customHeight="1">
      <c r="A50" s="3">
        <v>49.0</v>
      </c>
      <c r="B50" s="3" t="s">
        <v>1436</v>
      </c>
      <c r="C50" s="3" t="s">
        <v>1437</v>
      </c>
      <c r="D50" s="3" t="s">
        <v>12</v>
      </c>
      <c r="E50" s="2"/>
      <c r="F50" s="3" t="str">
        <f>IFERROR(__xludf.DUMMYFUNCTION("GOOGLETRANSLATE(A50, ""it"", ""en"")"),"49")</f>
        <v>49</v>
      </c>
      <c r="G50" s="3" t="str">
        <f>IFERROR(__xludf.DUMMYFUNCTION("GOOGLETRANSLATE(B50, ""it"", ""en"")"),"A player accidentally hits a teammate during a play. What happens?")</f>
        <v>A player accidentally hits a teammate during a play. What happens?</v>
      </c>
      <c r="H50" s="3" t="str">
        <f>IFERROR(__xludf.DUMMYFUNCTION("GOOGLETRANSLATE(C50, ""it"", ""en"")"),"A. The game continues B. The point is repeated C. The point goes to the other team D. The teammate is replaced")</f>
        <v>A. The game continues B. The point is repeated C. The point goes to the other team D. The teammate is replaced</v>
      </c>
      <c r="I50" s="3" t="str">
        <f>IFERROR(__xludf.DUMMYFUNCTION("GOOGLETRANSLATE(D50, ""it"", ""en"")"),"The game continues")</f>
        <v>The game continues</v>
      </c>
      <c r="J50" s="2"/>
      <c r="K50" s="2"/>
      <c r="L50" s="2"/>
      <c r="M50" s="2"/>
      <c r="N50" s="2"/>
      <c r="O50" s="2"/>
      <c r="P50" s="2"/>
      <c r="Q50" s="2"/>
      <c r="R50" s="2"/>
      <c r="S50" s="2"/>
      <c r="T50" s="2"/>
      <c r="U50" s="2"/>
      <c r="V50" s="2"/>
    </row>
    <row r="51" ht="22.5" customHeight="1">
      <c r="A51" s="3">
        <v>50.0</v>
      </c>
      <c r="B51" s="3" t="s">
        <v>1438</v>
      </c>
      <c r="C51" s="3" t="s">
        <v>1383</v>
      </c>
      <c r="D51" s="3" t="s">
        <v>12</v>
      </c>
      <c r="E51" s="2"/>
      <c r="F51" s="3" t="str">
        <f>IFERROR(__xludf.DUMMYFUNCTION("GOOGLETRANSLATE(A51, ""it"", ""en"")"),"50")</f>
        <v>50</v>
      </c>
      <c r="G51" s="3" t="str">
        <f>IFERROR(__xludf.DUMMYFUNCTION("GOOGLETRANSLATE(B51, ""it"", ""en"")"),"The ball bounces off a player's knee and goes through the net. What happens?")</f>
        <v>The ball bounces off a player's knee and goes through the net. What happens?</v>
      </c>
      <c r="H51" s="3" t="str">
        <f>IFERROR(__xludf.DUMMYFUNCTION("GOOGLETRANSLATE(C51, ""it"", ""en"")"),"A. The game continues B. The point goes to the other team C. The point is repeated D. The shot is considered illegal")</f>
        <v>A. The game continues B. The point goes to the other team C. The point is repeated D. The shot is considered illegal</v>
      </c>
      <c r="I51" s="3" t="str">
        <f>IFERROR(__xludf.DUMMYFUNCTION("GOOGLETRANSLATE(D51, ""it"", ""en"")"),"The game continues")</f>
        <v>The game continues</v>
      </c>
      <c r="J51" s="2"/>
      <c r="K51" s="2"/>
      <c r="L51" s="2"/>
      <c r="M51" s="2"/>
      <c r="N51" s="2"/>
      <c r="O51" s="2"/>
      <c r="P51" s="2"/>
      <c r="Q51" s="2"/>
      <c r="R51" s="2"/>
      <c r="S51" s="2"/>
      <c r="T51" s="2"/>
      <c r="U51" s="2"/>
      <c r="V51" s="2"/>
    </row>
    <row r="52" ht="22.5" customHeight="1">
      <c r="A52" s="3">
        <v>51.0</v>
      </c>
      <c r="B52" s="3" t="s">
        <v>1439</v>
      </c>
      <c r="C52" s="3" t="s">
        <v>1369</v>
      </c>
      <c r="D52" s="3" t="s">
        <v>1346</v>
      </c>
      <c r="E52" s="2"/>
      <c r="F52" s="3" t="str">
        <f>IFERROR(__xludf.DUMMYFUNCTION("GOOGLETRANSLATE(A52, ""it"", ""en"")"),"51")</f>
        <v>51</v>
      </c>
      <c r="G52" s="3" t="str">
        <f>IFERROR(__xludf.DUMMYFUNCTION("GOOGLETRANSLATE(B52, ""it"", ""en"")"),"A player spikes the ball, but it hits the net and bounces back. What's the decision?")</f>
        <v>A player spikes the ball, but it hits the net and bounces back. What's the decision?</v>
      </c>
      <c r="H52" s="3" t="str">
        <f>IFERROR(__xludf.DUMMYFUNCTION("GOOGLETRANSLATE(C52, ""it"", ""en"")"),"A. The point goes to the other team B. The point is retaken C. The game continues D. The player is cautioned")</f>
        <v>A. The point goes to the other team B. The point is retaken C. The game continues D. The player is cautioned</v>
      </c>
      <c r="I52" s="3" t="str">
        <f>IFERROR(__xludf.DUMMYFUNCTION("GOOGLETRANSLATE(D52, ""it"", ""en"")"),"The point goes to the other team")</f>
        <v>The point goes to the other team</v>
      </c>
      <c r="J52" s="2"/>
      <c r="K52" s="2"/>
      <c r="L52" s="2"/>
      <c r="M52" s="2"/>
      <c r="N52" s="2"/>
      <c r="O52" s="2"/>
      <c r="P52" s="2"/>
      <c r="Q52" s="2"/>
      <c r="R52" s="2"/>
      <c r="S52" s="2"/>
      <c r="T52" s="2"/>
      <c r="U52" s="2"/>
      <c r="V52" s="2"/>
    </row>
    <row r="53" ht="22.5" customHeight="1">
      <c r="A53" s="3">
        <v>52.0</v>
      </c>
      <c r="B53" s="3" t="s">
        <v>1440</v>
      </c>
      <c r="C53" s="3" t="s">
        <v>1441</v>
      </c>
      <c r="D53" s="3" t="s">
        <v>1442</v>
      </c>
      <c r="E53" s="2"/>
      <c r="F53" s="3" t="str">
        <f>IFERROR(__xludf.DUMMYFUNCTION("GOOGLETRANSLATE(A53, ""it"", ""en"")"),"52")</f>
        <v>52</v>
      </c>
      <c r="G53" s="3" t="str">
        <f>IFERROR(__xludf.DUMMYFUNCTION("GOOGLETRANSLATE(B53, ""it"", ""en"")"),"The ball hits the side post. What happens?")</f>
        <v>The ball hits the side post. What happens?</v>
      </c>
      <c r="H53" s="3" t="str">
        <f>IFERROR(__xludf.DUMMYFUNCTION("GOOGLETRANSLATE(C53, ""it"", ""en"")"),"A. The point goes to the other team B. The point is retaken C. The ball is considered out D. Play continues")</f>
        <v>A. The point goes to the other team B. The point is retaken C. The ball is considered out D. Play continues</v>
      </c>
      <c r="I53" s="3" t="str">
        <f>IFERROR(__xludf.DUMMYFUNCTION("GOOGLETRANSLATE(D53, ""it"", ""en"")"),"The ball is considered out")</f>
        <v>The ball is considered out</v>
      </c>
      <c r="J53" s="2"/>
      <c r="K53" s="2"/>
      <c r="L53" s="2"/>
      <c r="M53" s="2"/>
      <c r="N53" s="2"/>
      <c r="O53" s="2"/>
      <c r="P53" s="2"/>
      <c r="Q53" s="2"/>
      <c r="R53" s="2"/>
      <c r="S53" s="2"/>
      <c r="T53" s="2"/>
      <c r="U53" s="2"/>
      <c r="V53" s="2"/>
    </row>
    <row r="54" ht="22.5" customHeight="1">
      <c r="A54" s="3">
        <v>53.0</v>
      </c>
      <c r="B54" s="3" t="s">
        <v>1443</v>
      </c>
      <c r="C54" s="3" t="s">
        <v>1444</v>
      </c>
      <c r="D54" s="3" t="s">
        <v>1346</v>
      </c>
      <c r="E54" s="2"/>
      <c r="F54" s="3" t="str">
        <f>IFERROR(__xludf.DUMMYFUNCTION("GOOGLETRANSLATE(A54, ""it"", ""en"")"),"53")</f>
        <v>53</v>
      </c>
      <c r="G54" s="3" t="str">
        <f>IFERROR(__xludf.DUMMYFUNCTION("GOOGLETRANSLATE(B54, ""it"", ""en"")"),"A player receives the ball with his palm open and facing up. What happens?")</f>
        <v>A player receives the ball with his palm open and facing up. What happens?</v>
      </c>
      <c r="H54" s="3" t="str">
        <f>IFERROR(__xludf.DUMMYFUNCTION("GOOGLETRANSLATE(C54, ""it"", ""en"")"),"A. The point goes to the other team B. The game continues C. The point is retaken D. The shot is considered illegal")</f>
        <v>A. The point goes to the other team B. The game continues C. The point is retaken D. The shot is considered illegal</v>
      </c>
      <c r="I54" s="3" t="str">
        <f>IFERROR(__xludf.DUMMYFUNCTION("GOOGLETRANSLATE(D54, ""it"", ""en"")"),"The point goes to the other team")</f>
        <v>The point goes to the other team</v>
      </c>
      <c r="J54" s="2"/>
      <c r="K54" s="2"/>
      <c r="L54" s="2"/>
      <c r="M54" s="2"/>
      <c r="N54" s="2"/>
      <c r="O54" s="2"/>
      <c r="P54" s="2"/>
      <c r="Q54" s="2"/>
      <c r="R54" s="2"/>
      <c r="S54" s="2"/>
      <c r="T54" s="2"/>
      <c r="U54" s="2"/>
      <c r="V54" s="2"/>
    </row>
    <row r="55" ht="22.5" customHeight="1">
      <c r="A55" s="3">
        <v>54.0</v>
      </c>
      <c r="B55" s="3" t="s">
        <v>1445</v>
      </c>
      <c r="C55" s="3" t="s">
        <v>1375</v>
      </c>
      <c r="D55" s="3" t="s">
        <v>1346</v>
      </c>
      <c r="E55" s="2"/>
      <c r="F55" s="3" t="str">
        <f>IFERROR(__xludf.DUMMYFUNCTION("GOOGLETRANSLATE(A55, ""it"", ""en"")"),"54")</f>
        <v>54</v>
      </c>
      <c r="G55" s="3" t="str">
        <f>IFERROR(__xludf.DUMMYFUNCTION("GOOGLETRANSLATE(B55, ""it"", ""en"")"),"A player crosses the service line while serving. What's the ruling?")</f>
        <v>A player crosses the service line while serving. What's the ruling?</v>
      </c>
      <c r="H55" s="3" t="str">
        <f>IFERROR(__xludf.DUMMYFUNCTION("GOOGLETRANSLATE(C55, ""it"", ""en"")"),"A. The point goes to the other team B. The service is retaken C. The point is retaken D. The player is cautioned")</f>
        <v>A. The point goes to the other team B. The service is retaken C. The point is retaken D. The player is cautioned</v>
      </c>
      <c r="I55" s="3" t="str">
        <f>IFERROR(__xludf.DUMMYFUNCTION("GOOGLETRANSLATE(D55, ""it"", ""en"")"),"The point goes to the other team")</f>
        <v>The point goes to the other team</v>
      </c>
      <c r="J55" s="2"/>
      <c r="K55" s="2"/>
      <c r="L55" s="2"/>
      <c r="M55" s="2"/>
      <c r="N55" s="2"/>
      <c r="O55" s="2"/>
      <c r="P55" s="2"/>
      <c r="Q55" s="2"/>
      <c r="R55" s="2"/>
      <c r="S55" s="2"/>
      <c r="T55" s="2"/>
      <c r="U55" s="2"/>
      <c r="V55" s="2"/>
    </row>
    <row r="56" ht="22.5" customHeight="1">
      <c r="A56" s="3">
        <v>55.0</v>
      </c>
      <c r="B56" s="3" t="s">
        <v>1446</v>
      </c>
      <c r="C56" s="3" t="s">
        <v>1447</v>
      </c>
      <c r="D56" s="3" t="s">
        <v>976</v>
      </c>
      <c r="E56" s="2"/>
      <c r="F56" s="3" t="str">
        <f>IFERROR(__xludf.DUMMYFUNCTION("GOOGLETRANSLATE(A56, ""it"", ""en"")"),"55")</f>
        <v>55</v>
      </c>
      <c r="G56" s="3" t="str">
        <f>IFERROR(__xludf.DUMMYFUNCTION("GOOGLETRANSLATE(B56, ""it"", ""en"")"),"The ball lands in the opponent's court but touches the sideline. What happens?")</f>
        <v>The ball lands in the opponent's court but touches the sideline. What happens?</v>
      </c>
      <c r="H56" s="3" t="str">
        <f>IFERROR(__xludf.DUMMYFUNCTION("GOOGLETRANSLATE(C56, ""it"", ""en"")"),"A. The point is valid B. The point is repeated C. The point goes to the other team D. The game is stopped")</f>
        <v>A. The point is valid B. The point is repeated C. The point goes to the other team D. The game is stopped</v>
      </c>
      <c r="I56" s="3" t="str">
        <f>IFERROR(__xludf.DUMMYFUNCTION("GOOGLETRANSLATE(D56, ""it"", ""en"")"),"The point is valid")</f>
        <v>The point is valid</v>
      </c>
      <c r="J56" s="2"/>
      <c r="K56" s="2"/>
      <c r="L56" s="2"/>
      <c r="M56" s="2"/>
      <c r="N56" s="2"/>
      <c r="O56" s="2"/>
      <c r="P56" s="2"/>
      <c r="Q56" s="2"/>
      <c r="R56" s="2"/>
      <c r="S56" s="2"/>
      <c r="T56" s="2"/>
      <c r="U56" s="2"/>
      <c r="V56" s="2"/>
    </row>
    <row r="57" ht="22.5" customHeight="1">
      <c r="A57" s="3">
        <v>56.0</v>
      </c>
      <c r="B57" s="3" t="s">
        <v>1448</v>
      </c>
      <c r="C57" s="3" t="s">
        <v>1449</v>
      </c>
      <c r="D57" s="3" t="s">
        <v>976</v>
      </c>
      <c r="E57" s="2"/>
      <c r="F57" s="3" t="str">
        <f>IFERROR(__xludf.DUMMYFUNCTION("GOOGLETRANSLATE(A57, ""it"", ""en"")"),"56")</f>
        <v>56</v>
      </c>
      <c r="G57" s="3" t="str">
        <f>IFERROR(__xludf.DUMMYFUNCTION("GOOGLETRANSLATE(B57, ""it"", ""en"")"),"A player hits a touch at the net that hits the opponent's floor. What's the ruling?")</f>
        <v>A player hits a touch at the net that hits the opponent's floor. What's the ruling?</v>
      </c>
      <c r="H57" s="3" t="str">
        <f>IFERROR(__xludf.DUMMYFUNCTION("GOOGLETRANSLATE(C57, ""it"", ""en"")"),"A. The point is valid B. The point is repeated C. The point goes to the other team D. The player is cautioned")</f>
        <v>A. The point is valid B. The point is repeated C. The point goes to the other team D. The player is cautioned</v>
      </c>
      <c r="I57" s="3" t="str">
        <f>IFERROR(__xludf.DUMMYFUNCTION("GOOGLETRANSLATE(D57, ""it"", ""en"")"),"The point is valid")</f>
        <v>The point is valid</v>
      </c>
      <c r="J57" s="2"/>
      <c r="K57" s="2"/>
      <c r="L57" s="2"/>
      <c r="M57" s="2"/>
      <c r="N57" s="2"/>
      <c r="O57" s="2"/>
      <c r="P57" s="2"/>
      <c r="Q57" s="2"/>
      <c r="R57" s="2"/>
      <c r="S57" s="2"/>
      <c r="T57" s="2"/>
      <c r="U57" s="2"/>
      <c r="V57" s="2"/>
    </row>
    <row r="58" ht="22.5" customHeight="1">
      <c r="A58" s="3">
        <v>57.0</v>
      </c>
      <c r="B58" s="3" t="s">
        <v>1450</v>
      </c>
      <c r="C58" s="3" t="s">
        <v>1451</v>
      </c>
      <c r="D58" s="3" t="s">
        <v>12</v>
      </c>
      <c r="E58" s="2"/>
      <c r="F58" s="3" t="str">
        <f>IFERROR(__xludf.DUMMYFUNCTION("GOOGLETRANSLATE(A58, ""it"", ""en"")"),"57")</f>
        <v>57</v>
      </c>
      <c r="G58" s="3" t="str">
        <f>IFERROR(__xludf.DUMMYFUNCTION("GOOGLETRANSLATE(B58, ""it"", ""en"")"),"The ball is hit by a player out of bounds. What happens?")</f>
        <v>The ball is hit by a player out of bounds. What happens?</v>
      </c>
      <c r="H58" s="3" t="str">
        <f>IFERROR(__xludf.DUMMYFUNCTION("GOOGLETRANSLATE(C58, ""it"", ""en"")"),"A. The game continues B. The point is awarded to the other team C. The point is retaken D. The ball is considered out")</f>
        <v>A. The game continues B. The point is awarded to the other team C. The point is retaken D. The ball is considered out</v>
      </c>
      <c r="I58" s="3" t="str">
        <f>IFERROR(__xludf.DUMMYFUNCTION("GOOGLETRANSLATE(D58, ""it"", ""en"")"),"The game continues")</f>
        <v>The game continues</v>
      </c>
      <c r="J58" s="2"/>
      <c r="K58" s="2"/>
      <c r="L58" s="2"/>
      <c r="M58" s="2"/>
      <c r="N58" s="2"/>
      <c r="O58" s="2"/>
      <c r="P58" s="2"/>
      <c r="Q58" s="2"/>
      <c r="R58" s="2"/>
      <c r="S58" s="2"/>
      <c r="T58" s="2"/>
      <c r="U58" s="2"/>
      <c r="V58" s="2"/>
    </row>
    <row r="59" ht="22.5" customHeight="1">
      <c r="A59" s="3">
        <v>58.0</v>
      </c>
      <c r="B59" s="3" t="s">
        <v>1452</v>
      </c>
      <c r="C59" s="3" t="s">
        <v>1383</v>
      </c>
      <c r="D59" s="3" t="s">
        <v>12</v>
      </c>
      <c r="E59" s="2"/>
      <c r="F59" s="3" t="str">
        <f>IFERROR(__xludf.DUMMYFUNCTION("GOOGLETRANSLATE(A59, ""it"", ""en"")"),"58")</f>
        <v>58</v>
      </c>
      <c r="G59" s="3" t="str">
        <f>IFERROR(__xludf.DUMMYFUNCTION("GOOGLETRANSLATE(B59, ""it"", ""en"")"),"The ball is hit by a player with both hands clasped above his head. What is the ruling?")</f>
        <v>The ball is hit by a player with both hands clasped above his head. What is the ruling?</v>
      </c>
      <c r="H59" s="3" t="str">
        <f>IFERROR(__xludf.DUMMYFUNCTION("GOOGLETRANSLATE(C59, ""it"", ""en"")"),"A. The game continues B. The point goes to the other team C. The point is repeated D. The shot is considered illegal")</f>
        <v>A. The game continues B. The point goes to the other team C. The point is repeated D. The shot is considered illegal</v>
      </c>
      <c r="I59" s="3" t="str">
        <f>IFERROR(__xludf.DUMMYFUNCTION("GOOGLETRANSLATE(D59, ""it"", ""en"")"),"The game continues")</f>
        <v>The game continues</v>
      </c>
      <c r="J59" s="2"/>
      <c r="K59" s="2"/>
      <c r="L59" s="2"/>
      <c r="M59" s="2"/>
      <c r="N59" s="2"/>
      <c r="O59" s="2"/>
      <c r="P59" s="2"/>
      <c r="Q59" s="2"/>
      <c r="R59" s="2"/>
      <c r="S59" s="2"/>
      <c r="T59" s="2"/>
      <c r="U59" s="2"/>
      <c r="V59" s="2"/>
    </row>
    <row r="60" ht="22.5" customHeight="1">
      <c r="A60" s="3">
        <v>59.0</v>
      </c>
      <c r="B60" s="3" t="s">
        <v>1453</v>
      </c>
      <c r="C60" s="3" t="s">
        <v>1428</v>
      </c>
      <c r="D60" s="3" t="s">
        <v>976</v>
      </c>
      <c r="E60" s="2"/>
      <c r="F60" s="3" t="str">
        <f>IFERROR(__xludf.DUMMYFUNCTION("GOOGLETRANSLATE(A60, ""it"", ""en"")"),"59")</f>
        <v>59</v>
      </c>
      <c r="G60" s="3" t="str">
        <f>IFERROR(__xludf.DUMMYFUNCTION("GOOGLETRANSLATE(B60, ""it"", ""en"")"),"A player attacks, but the ball touches the edge of the opponent's court and then goes out. What happens?")</f>
        <v>A player attacks, but the ball touches the edge of the opponent's court and then goes out. What happens?</v>
      </c>
      <c r="H60" s="3" t="str">
        <f>IFERROR(__xludf.DUMMYFUNCTION("GOOGLETRANSLATE(C60, ""it"", ""en"")"),"A. The point is valid B. The point is repeated C. The point goes to the other team D. The ball is considered out")</f>
        <v>A. The point is valid B. The point is repeated C. The point goes to the other team D. The ball is considered out</v>
      </c>
      <c r="I60" s="3" t="str">
        <f>IFERROR(__xludf.DUMMYFUNCTION("GOOGLETRANSLATE(D60, ""it"", ""en"")"),"The point is valid")</f>
        <v>The point is valid</v>
      </c>
      <c r="J60" s="2"/>
      <c r="K60" s="2"/>
      <c r="L60" s="2"/>
      <c r="M60" s="2"/>
      <c r="N60" s="2"/>
      <c r="O60" s="2"/>
      <c r="P60" s="2"/>
      <c r="Q60" s="2"/>
      <c r="R60" s="2"/>
      <c r="S60" s="2"/>
      <c r="T60" s="2"/>
      <c r="U60" s="2"/>
      <c r="V60" s="2"/>
    </row>
    <row r="61" ht="22.5" customHeight="1">
      <c r="A61" s="3">
        <v>60.0</v>
      </c>
      <c r="B61" s="3" t="s">
        <v>1454</v>
      </c>
      <c r="C61" s="3" t="s">
        <v>1455</v>
      </c>
      <c r="D61" s="3" t="s">
        <v>12</v>
      </c>
      <c r="E61" s="2"/>
      <c r="F61" s="3" t="str">
        <f>IFERROR(__xludf.DUMMYFUNCTION("GOOGLETRANSLATE(A61, ""it"", ""en"")"),"60")</f>
        <v>60</v>
      </c>
      <c r="G61" s="3" t="str">
        <f>IFERROR(__xludf.DUMMYFUNCTION("GOOGLETRANSLATE(B61, ""it"", ""en"")"),"A libero throws a short pass into the attacking zone. What happens?")</f>
        <v>A libero throws a short pass into the attacking zone. What happens?</v>
      </c>
      <c r="H61" s="3" t="str">
        <f>IFERROR(__xludf.DUMMYFUNCTION("GOOGLETRANSLATE(C61, ""it"", ""en"")"),"A. The game continues B. The point goes to the other team C. The libero is penalized D. The point is repeated")</f>
        <v>A. The game continues B. The point goes to the other team C. The libero is penalized D. The point is repeated</v>
      </c>
      <c r="I61" s="3" t="str">
        <f>IFERROR(__xludf.DUMMYFUNCTION("GOOGLETRANSLATE(D61, ""it"", ""en"")"),"The game continues")</f>
        <v>The game continues</v>
      </c>
      <c r="J61" s="2"/>
      <c r="K61" s="2"/>
      <c r="L61" s="2"/>
      <c r="M61" s="2"/>
      <c r="N61" s="2"/>
      <c r="O61" s="2"/>
      <c r="P61" s="2"/>
      <c r="Q61" s="2"/>
      <c r="R61" s="2"/>
      <c r="S61" s="2"/>
      <c r="T61" s="2"/>
      <c r="U61" s="2"/>
      <c r="V61" s="2"/>
    </row>
    <row r="62" ht="22.5" customHeight="1">
      <c r="A62" s="3">
        <v>61.0</v>
      </c>
      <c r="B62" s="3" t="s">
        <v>1456</v>
      </c>
      <c r="C62" s="3" t="s">
        <v>1395</v>
      </c>
      <c r="D62" s="3" t="s">
        <v>12</v>
      </c>
      <c r="E62" s="2"/>
      <c r="F62" s="3" t="str">
        <f>IFERROR(__xludf.DUMMYFUNCTION("GOOGLETRANSLATE(A62, ""it"", ""en"")"),"61")</f>
        <v>61</v>
      </c>
      <c r="G62" s="3" t="str">
        <f>IFERROR(__xludf.DUMMYFUNCTION("GOOGLETRANSLATE(B62, ""it"", ""en"")"),"The ball bounces off the opposing team's wall and lands in the attacking team's court. What's the decision?")</f>
        <v>The ball bounces off the opposing team's wall and lands in the attacking team's court. What's the decision?</v>
      </c>
      <c r="H62" s="3" t="str">
        <f>IFERROR(__xludf.DUMMYFUNCTION("GOOGLETRANSLATE(C62, ""it"", ""en"")"),"A. The game continues B. The point is awarded to the other team C. The point is retaken D. The player is cautioned")</f>
        <v>A. The game continues B. The point is awarded to the other team C. The point is retaken D. The player is cautioned</v>
      </c>
      <c r="I62" s="3" t="str">
        <f>IFERROR(__xludf.DUMMYFUNCTION("GOOGLETRANSLATE(D62, ""it"", ""en"")"),"The game continues")</f>
        <v>The game continues</v>
      </c>
      <c r="J62" s="2"/>
      <c r="K62" s="2"/>
      <c r="L62" s="2"/>
      <c r="M62" s="2"/>
      <c r="N62" s="2"/>
      <c r="O62" s="2"/>
      <c r="P62" s="2"/>
      <c r="Q62" s="2"/>
      <c r="R62" s="2"/>
      <c r="S62" s="2"/>
      <c r="T62" s="2"/>
      <c r="U62" s="2"/>
      <c r="V62" s="2"/>
    </row>
    <row r="63" ht="22.5" customHeight="1">
      <c r="A63" s="3">
        <v>62.0</v>
      </c>
      <c r="B63" s="3" t="s">
        <v>1457</v>
      </c>
      <c r="C63" s="3" t="s">
        <v>1419</v>
      </c>
      <c r="D63" s="3" t="s">
        <v>12</v>
      </c>
      <c r="E63" s="2"/>
      <c r="F63" s="3" t="str">
        <f>IFERROR(__xludf.DUMMYFUNCTION("GOOGLETRANSLATE(A63, ""it"", ""en"")"),"62")</f>
        <v>62</v>
      </c>
      <c r="G63" s="3" t="str">
        <f>IFERROR(__xludf.DUMMYFUNCTION("GOOGLETRANSLATE(B63, ""it"", ""en"")"),"A player catches the ball with a closed fist. What happens?")</f>
        <v>A player catches the ball with a closed fist. What happens?</v>
      </c>
      <c r="H63" s="3" t="str">
        <f>IFERROR(__xludf.DUMMYFUNCTION("GOOGLETRANSLATE(C63, ""it"", ""en"")"),"A. The game continues B. The point is repeated C. The point goes to the other team D. The shot is considered illegal")</f>
        <v>A. The game continues B. The point is repeated C. The point goes to the other team D. The shot is considered illegal</v>
      </c>
      <c r="I63" s="3" t="str">
        <f>IFERROR(__xludf.DUMMYFUNCTION("GOOGLETRANSLATE(D63, ""it"", ""en"")"),"The game continues")</f>
        <v>The game continues</v>
      </c>
      <c r="J63" s="2"/>
      <c r="K63" s="2"/>
      <c r="L63" s="2"/>
      <c r="M63" s="2"/>
      <c r="N63" s="2"/>
      <c r="O63" s="2"/>
      <c r="P63" s="2"/>
      <c r="Q63" s="2"/>
      <c r="R63" s="2"/>
      <c r="S63" s="2"/>
      <c r="T63" s="2"/>
      <c r="U63" s="2"/>
      <c r="V63" s="2"/>
    </row>
    <row r="64" ht="22.5" customHeight="1">
      <c r="A64" s="3">
        <v>63.0</v>
      </c>
      <c r="B64" s="3" t="s">
        <v>1458</v>
      </c>
      <c r="C64" s="3" t="s">
        <v>1459</v>
      </c>
      <c r="D64" s="3" t="s">
        <v>1346</v>
      </c>
      <c r="E64" s="2"/>
      <c r="F64" s="3" t="str">
        <f>IFERROR(__xludf.DUMMYFUNCTION("GOOGLETRANSLATE(A64, ""it"", ""en"")"),"63")</f>
        <v>63</v>
      </c>
      <c r="G64" s="3" t="str">
        <f>IFERROR(__xludf.DUMMYFUNCTION("GOOGLETRANSLATE(B64, ""it"", ""en"")"),"A player serves but the ball misses the net. What's the ruling?")</f>
        <v>A player serves but the ball misses the net. What's the ruling?</v>
      </c>
      <c r="H64" s="3" t="str">
        <f>IFERROR(__xludf.DUMMYFUNCTION("GOOGLETRANSLATE(C64, ""it"", ""en"")"),"A. The point goes to the other team B. The service is repeated C. The point is repeated D. The service is valid")</f>
        <v>A. The point goes to the other team B. The service is repeated C. The point is repeated D. The service is valid</v>
      </c>
      <c r="I64" s="3" t="str">
        <f>IFERROR(__xludf.DUMMYFUNCTION("GOOGLETRANSLATE(D64, ""it"", ""en"")"),"The point goes to the other team")</f>
        <v>The point goes to the other team</v>
      </c>
      <c r="J64" s="2"/>
      <c r="K64" s="2"/>
      <c r="L64" s="2"/>
      <c r="M64" s="2"/>
      <c r="N64" s="2"/>
      <c r="O64" s="2"/>
      <c r="P64" s="2"/>
      <c r="Q64" s="2"/>
      <c r="R64" s="2"/>
      <c r="S64" s="2"/>
      <c r="T64" s="2"/>
      <c r="U64" s="2"/>
      <c r="V64" s="2"/>
    </row>
    <row r="65" ht="22.5" customHeight="1">
      <c r="A65" s="3">
        <v>64.0</v>
      </c>
      <c r="B65" s="3" t="s">
        <v>1460</v>
      </c>
      <c r="C65" s="3" t="s">
        <v>1461</v>
      </c>
      <c r="D65" s="3" t="s">
        <v>1346</v>
      </c>
      <c r="E65" s="2"/>
      <c r="F65" s="3" t="str">
        <f>IFERROR(__xludf.DUMMYFUNCTION("GOOGLETRANSLATE(A65, ""it"", ""en"")"),"64")</f>
        <v>64</v>
      </c>
      <c r="G65" s="3" t="str">
        <f>IFERROR(__xludf.DUMMYFUNCTION("GOOGLETRANSLATE(B65, ""it"", ""en"")"),"The ball hits the net and bounces back without crossing it. What happens?")</f>
        <v>The ball hits the net and bounces back without crossing it. What happens?</v>
      </c>
      <c r="H65" s="3" t="str">
        <f>IFERROR(__xludf.DUMMYFUNCTION("GOOGLETRANSLATE(C65, ""it"", ""en"")"),"A. The point goes to the other team B. The point is retaken C. The game continues D. The service is considered valid")</f>
        <v>A. The point goes to the other team B. The point is retaken C. The game continues D. The service is considered valid</v>
      </c>
      <c r="I65" s="3" t="str">
        <f>IFERROR(__xludf.DUMMYFUNCTION("GOOGLETRANSLATE(D65, ""it"", ""en"")"),"The point goes to the other team")</f>
        <v>The point goes to the other team</v>
      </c>
      <c r="J65" s="2"/>
      <c r="K65" s="2"/>
      <c r="L65" s="2"/>
      <c r="M65" s="2"/>
      <c r="N65" s="2"/>
      <c r="O65" s="2"/>
      <c r="P65" s="2"/>
      <c r="Q65" s="2"/>
      <c r="R65" s="2"/>
      <c r="S65" s="2"/>
      <c r="T65" s="2"/>
      <c r="U65" s="2"/>
      <c r="V65" s="2"/>
    </row>
    <row r="66" ht="22.5" customHeight="1">
      <c r="A66" s="3">
        <v>65.0</v>
      </c>
      <c r="B66" s="3" t="s">
        <v>1462</v>
      </c>
      <c r="C66" s="3" t="s">
        <v>1360</v>
      </c>
      <c r="D66" s="3" t="s">
        <v>1346</v>
      </c>
      <c r="E66" s="2"/>
      <c r="F66" s="3" t="str">
        <f>IFERROR(__xludf.DUMMYFUNCTION("GOOGLETRANSLATE(A66, ""it"", ""en"")"),"65")</f>
        <v>65</v>
      </c>
      <c r="G66" s="3" t="str">
        <f>IFERROR(__xludf.DUMMYFUNCTION("GOOGLETRANSLATE(B66, ""it"", ""en"")"),"A player blocks and touches the ball before it crosses the net. What's the ruling?")</f>
        <v>A player blocks and touches the ball before it crosses the net. What's the ruling?</v>
      </c>
      <c r="H66" s="3" t="str">
        <f>IFERROR(__xludf.DUMMYFUNCTION("GOOGLETRANSLATE(C66, ""it"", ""en"")"),"A. The point goes to the other team B. The game continues C. The point is retaken D. The player is cautioned")</f>
        <v>A. The point goes to the other team B. The game continues C. The point is retaken D. The player is cautioned</v>
      </c>
      <c r="I66" s="3" t="str">
        <f>IFERROR(__xludf.DUMMYFUNCTION("GOOGLETRANSLATE(D66, ""it"", ""en"")"),"The point goes to the other team")</f>
        <v>The point goes to the other team</v>
      </c>
      <c r="J66" s="2"/>
      <c r="K66" s="2"/>
      <c r="L66" s="2"/>
      <c r="M66" s="2"/>
      <c r="N66" s="2"/>
      <c r="O66" s="2"/>
      <c r="P66" s="2"/>
      <c r="Q66" s="2"/>
      <c r="R66" s="2"/>
      <c r="S66" s="2"/>
      <c r="T66" s="2"/>
      <c r="U66" s="2"/>
      <c r="V66" s="2"/>
    </row>
    <row r="67" ht="22.5" customHeight="1">
      <c r="A67" s="3">
        <v>66.0</v>
      </c>
      <c r="B67" s="3" t="s">
        <v>1463</v>
      </c>
      <c r="C67" s="3" t="s">
        <v>1464</v>
      </c>
      <c r="D67" s="3" t="s">
        <v>1465</v>
      </c>
      <c r="E67" s="2"/>
      <c r="F67" s="3" t="str">
        <f>IFERROR(__xludf.DUMMYFUNCTION("GOOGLETRANSLATE(A67, ""it"", ""en"")"),"66")</f>
        <v>66</v>
      </c>
      <c r="G67" s="3" t="str">
        <f>IFERROR(__xludf.DUMMYFUNCTION("GOOGLETRANSLATE(B67, ""it"", ""en"")"),"A coach requests a substitution, but the team has run out of available substitutions. What happens?")</f>
        <v>A coach requests a substitution, but the team has run out of available substitutions. What happens?</v>
      </c>
      <c r="H67" s="3" t="str">
        <f>IFERROR(__xludf.DUMMYFUNCTION("GOOGLETRANSLATE(C67, ""it"", ""en"")"),"A. The point goes to the other team B. The game continues C. Substitution is not allowed D. The coach is cautioned")</f>
        <v>A. The point goes to the other team B. The game continues C. Substitution is not allowed D. The coach is cautioned</v>
      </c>
      <c r="I67" s="3" t="str">
        <f>IFERROR(__xludf.DUMMYFUNCTION("GOOGLETRANSLATE(D67, ""it"", ""en"")"),"Substitution is not allowed")</f>
        <v>Substitution is not allowed</v>
      </c>
      <c r="J67" s="2"/>
      <c r="K67" s="2"/>
      <c r="L67" s="2"/>
      <c r="M67" s="2"/>
      <c r="N67" s="2"/>
      <c r="O67" s="2"/>
      <c r="P67" s="2"/>
      <c r="Q67" s="2"/>
      <c r="R67" s="2"/>
      <c r="S67" s="2"/>
      <c r="T67" s="2"/>
      <c r="U67" s="2"/>
      <c r="V67" s="2"/>
    </row>
    <row r="68" ht="22.5" customHeight="1">
      <c r="A68" s="3">
        <v>67.0</v>
      </c>
      <c r="B68" s="3" t="s">
        <v>1466</v>
      </c>
      <c r="C68" s="3" t="s">
        <v>1467</v>
      </c>
      <c r="D68" s="3" t="s">
        <v>1442</v>
      </c>
      <c r="E68" s="2"/>
      <c r="F68" s="3" t="str">
        <f>IFERROR(__xludf.DUMMYFUNCTION("GOOGLETRANSLATE(A68, ""it"", ""en"")"),"67")</f>
        <v>67</v>
      </c>
      <c r="G68" s="3" t="str">
        <f>IFERROR(__xludf.DUMMYFUNCTION("GOOGLETRANSLATE(B68, ""it"", ""en"")"),"A player makes a save but the ball hits a sideline chair. What's the decision?")</f>
        <v>A player makes a save but the ball hits a sideline chair. What's the decision?</v>
      </c>
      <c r="H68" s="3" t="str">
        <f>IFERROR(__xludf.DUMMYFUNCTION("GOOGLETRANSLATE(C68, ""it"", ""en"")"),"A. The point goes to the other team B. The game continues C. The point is retaken D. The ball is considered out")</f>
        <v>A. The point goes to the other team B. The game continues C. The point is retaken D. The ball is considered out</v>
      </c>
      <c r="I68" s="3" t="str">
        <f>IFERROR(__xludf.DUMMYFUNCTION("GOOGLETRANSLATE(D68, ""it"", ""en"")"),"The ball is considered out")</f>
        <v>The ball is considered out</v>
      </c>
      <c r="J68" s="2"/>
      <c r="K68" s="2"/>
      <c r="L68" s="2"/>
      <c r="M68" s="2"/>
      <c r="N68" s="2"/>
      <c r="O68" s="2"/>
      <c r="P68" s="2"/>
      <c r="Q68" s="2"/>
      <c r="R68" s="2"/>
      <c r="S68" s="2"/>
      <c r="T68" s="2"/>
      <c r="U68" s="2"/>
      <c r="V68" s="2"/>
    </row>
    <row r="69" ht="22.5" customHeight="1">
      <c r="A69" s="3">
        <v>68.0</v>
      </c>
      <c r="B69" s="3" t="s">
        <v>1468</v>
      </c>
      <c r="C69" s="3" t="s">
        <v>1469</v>
      </c>
      <c r="D69" s="3" t="s">
        <v>12</v>
      </c>
      <c r="E69" s="2"/>
      <c r="F69" s="3" t="str">
        <f>IFERROR(__xludf.DUMMYFUNCTION("GOOGLETRANSLATE(A69, ""it"", ""en"")"),"68")</f>
        <v>68</v>
      </c>
      <c r="G69" s="3" t="str">
        <f>IFERROR(__xludf.DUMMYFUNCTION("GOOGLETRANSLATE(B69, ""it"", ""en"")"),"The ball is lifted illegally, but no one protests. What's happening?")</f>
        <v>The ball is lifted illegally, but no one protests. What's happening?</v>
      </c>
      <c r="H69" s="3" t="str">
        <f>IFERROR(__xludf.DUMMYFUNCTION("GOOGLETRANSLATE(C69, ""it"", ""en"")"),"A. The game continues B. The point is awarded to the other team C. The point is repeated D. The shot is considered valid")</f>
        <v>A. The game continues B. The point is awarded to the other team C. The point is repeated D. The shot is considered valid</v>
      </c>
      <c r="I69" s="3" t="str">
        <f>IFERROR(__xludf.DUMMYFUNCTION("GOOGLETRANSLATE(D69, ""it"", ""en"")"),"The game continues")</f>
        <v>The game continues</v>
      </c>
      <c r="J69" s="2"/>
      <c r="K69" s="2"/>
      <c r="L69" s="2"/>
      <c r="M69" s="2"/>
      <c r="N69" s="2"/>
      <c r="O69" s="2"/>
      <c r="P69" s="2"/>
      <c r="Q69" s="2"/>
      <c r="R69" s="2"/>
      <c r="S69" s="2"/>
      <c r="T69" s="2"/>
      <c r="U69" s="2"/>
      <c r="V69" s="2"/>
    </row>
    <row r="70" ht="22.5" customHeight="1">
      <c r="A70" s="3">
        <v>69.0</v>
      </c>
      <c r="B70" s="3" t="s">
        <v>1470</v>
      </c>
      <c r="C70" s="3" t="s">
        <v>1383</v>
      </c>
      <c r="D70" s="3" t="s">
        <v>12</v>
      </c>
      <c r="E70" s="2"/>
      <c r="F70" s="3" t="str">
        <f>IFERROR(__xludf.DUMMYFUNCTION("GOOGLETRANSLATE(A70, ""it"", ""en"")"),"69")</f>
        <v>69</v>
      </c>
      <c r="G70" s="3" t="str">
        <f>IFERROR(__xludf.DUMMYFUNCTION("GOOGLETRANSLATE(B70, ""it"", ""en"")"),"A player touches the ball with his shoulder during a play. What's the ruling?")</f>
        <v>A player touches the ball with his shoulder during a play. What's the ruling?</v>
      </c>
      <c r="H70" s="3" t="str">
        <f>IFERROR(__xludf.DUMMYFUNCTION("GOOGLETRANSLATE(C70, ""it"", ""en"")"),"A. The game continues B. The point goes to the other team C. The point is repeated D. The shot is considered illegal")</f>
        <v>A. The game continues B. The point goes to the other team C. The point is repeated D. The shot is considered illegal</v>
      </c>
      <c r="I70" s="3" t="str">
        <f>IFERROR(__xludf.DUMMYFUNCTION("GOOGLETRANSLATE(D70, ""it"", ""en"")"),"The game continues")</f>
        <v>The game continues</v>
      </c>
      <c r="J70" s="2"/>
      <c r="K70" s="2"/>
      <c r="L70" s="2"/>
      <c r="M70" s="2"/>
      <c r="N70" s="2"/>
      <c r="O70" s="2"/>
      <c r="P70" s="2"/>
      <c r="Q70" s="2"/>
      <c r="R70" s="2"/>
      <c r="S70" s="2"/>
      <c r="T70" s="2"/>
      <c r="U70" s="2"/>
      <c r="V70" s="2"/>
    </row>
    <row r="71" ht="22.5" customHeight="1">
      <c r="A71" s="3">
        <v>70.0</v>
      </c>
      <c r="B71" s="3" t="s">
        <v>1471</v>
      </c>
      <c r="C71" s="3" t="s">
        <v>1472</v>
      </c>
      <c r="D71" s="3" t="s">
        <v>12</v>
      </c>
      <c r="E71" s="2"/>
      <c r="F71" s="3" t="str">
        <f>IFERROR(__xludf.DUMMYFUNCTION("GOOGLETRANSLATE(A71, ""it"", ""en"")"),"70")</f>
        <v>70</v>
      </c>
      <c r="G71" s="3" t="str">
        <f>IFERROR(__xludf.DUMMYFUNCTION("GOOGLETRANSLATE(B71, ""it"", ""en"")"),"A player dives to save the ball but goes beyond the boundary. What happens?")</f>
        <v>A player dives to save the ball but goes beyond the boundary. What happens?</v>
      </c>
      <c r="H71" s="3" t="str">
        <f>IFERROR(__xludf.DUMMYFUNCTION("GOOGLETRANSLATE(C71, ""it"", ""en"")"),"A. The game continues B. The point is repeated C. The point goes to the other team D. The player is cautioned")</f>
        <v>A. The game continues B. The point is repeated C. The point goes to the other team D. The player is cautioned</v>
      </c>
      <c r="I71" s="3" t="str">
        <f>IFERROR(__xludf.DUMMYFUNCTION("GOOGLETRANSLATE(D71, ""it"", ""en"")"),"The game continues")</f>
        <v>The game continues</v>
      </c>
      <c r="J71" s="2"/>
      <c r="K71" s="2"/>
      <c r="L71" s="2"/>
      <c r="M71" s="2"/>
      <c r="N71" s="2"/>
      <c r="O71" s="2"/>
      <c r="P71" s="2"/>
      <c r="Q71" s="2"/>
      <c r="R71" s="2"/>
      <c r="S71" s="2"/>
      <c r="T71" s="2"/>
      <c r="U71" s="2"/>
      <c r="V71" s="2"/>
    </row>
    <row r="72" ht="22.5" customHeight="1">
      <c r="A72" s="3">
        <v>71.0</v>
      </c>
      <c r="B72" s="3" t="s">
        <v>1473</v>
      </c>
      <c r="C72" s="3" t="s">
        <v>1474</v>
      </c>
      <c r="D72" s="3" t="s">
        <v>1442</v>
      </c>
      <c r="E72" s="2"/>
      <c r="F72" s="3" t="str">
        <f>IFERROR(__xludf.DUMMYFUNCTION("GOOGLETRANSLATE(A72, ""it"", ""en"")"),"71")</f>
        <v>71</v>
      </c>
      <c r="G72" s="3" t="str">
        <f>IFERROR(__xludf.DUMMYFUNCTION("GOOGLETRANSLATE(B72, ""it"", ""en"")"),"The ball hits a spectator chair and bounces onto the pitch. What's the decision?")</f>
        <v>The ball hits a spectator chair and bounces onto the pitch. What's the decision?</v>
      </c>
      <c r="H72" s="3" t="str">
        <f>IFERROR(__xludf.DUMMYFUNCTION("GOOGLETRANSLATE(C72, ""it"", ""en"")"),"A. The ball is considered out B. The point is retaken C. The point goes to the other team D. The game continues")</f>
        <v>A. The ball is considered out B. The point is retaken C. The point goes to the other team D. The game continues</v>
      </c>
      <c r="I72" s="3" t="str">
        <f>IFERROR(__xludf.DUMMYFUNCTION("GOOGLETRANSLATE(D72, ""it"", ""en"")"),"The ball is considered out")</f>
        <v>The ball is considered out</v>
      </c>
      <c r="J72" s="2"/>
      <c r="K72" s="2"/>
      <c r="L72" s="2"/>
      <c r="M72" s="2"/>
      <c r="N72" s="2"/>
      <c r="O72" s="2"/>
      <c r="P72" s="2"/>
      <c r="Q72" s="2"/>
      <c r="R72" s="2"/>
      <c r="S72" s="2"/>
      <c r="T72" s="2"/>
      <c r="U72" s="2"/>
      <c r="V72" s="2"/>
    </row>
    <row r="73" ht="22.5" customHeight="1">
      <c r="A73" s="3">
        <v>72.0</v>
      </c>
      <c r="B73" s="3" t="s">
        <v>1475</v>
      </c>
      <c r="C73" s="3" t="s">
        <v>1390</v>
      </c>
      <c r="D73" s="3" t="s">
        <v>12</v>
      </c>
      <c r="E73" s="2"/>
      <c r="F73" s="3" t="str">
        <f>IFERROR(__xludf.DUMMYFUNCTION("GOOGLETRANSLATE(A73, ""it"", ""en"")"),"72")</f>
        <v>72</v>
      </c>
      <c r="G73" s="3" t="str">
        <f>IFERROR(__xludf.DUMMYFUNCTION("GOOGLETRANSLATE(B73, ""it"", ""en"")"),"A player tries to spike but misses the ball completely. What happens?")</f>
        <v>A player tries to spike but misses the ball completely. What happens?</v>
      </c>
      <c r="H73" s="3" t="str">
        <f>IFERROR(__xludf.DUMMYFUNCTION("GOOGLETRANSLATE(C73, ""it"", ""en"")"),"A. The game continues B. The point goes to the other team C. The point is retaken D. The player is cautioned")</f>
        <v>A. The game continues B. The point goes to the other team C. The point is retaken D. The player is cautioned</v>
      </c>
      <c r="I73" s="3" t="str">
        <f>IFERROR(__xludf.DUMMYFUNCTION("GOOGLETRANSLATE(D73, ""it"", ""en"")"),"The game continues")</f>
        <v>The game continues</v>
      </c>
      <c r="J73" s="2"/>
      <c r="K73" s="2"/>
      <c r="L73" s="2"/>
      <c r="M73" s="2"/>
      <c r="N73" s="2"/>
      <c r="O73" s="2"/>
      <c r="P73" s="2"/>
      <c r="Q73" s="2"/>
      <c r="R73" s="2"/>
      <c r="S73" s="2"/>
      <c r="T73" s="2"/>
      <c r="U73" s="2"/>
      <c r="V73" s="2"/>
    </row>
    <row r="74" ht="22.5" customHeight="1">
      <c r="A74" s="3">
        <v>73.0</v>
      </c>
      <c r="B74" s="3" t="s">
        <v>1427</v>
      </c>
      <c r="C74" s="3" t="s">
        <v>1447</v>
      </c>
      <c r="D74" s="3" t="s">
        <v>976</v>
      </c>
      <c r="E74" s="2"/>
      <c r="F74" s="3" t="str">
        <f>IFERROR(__xludf.DUMMYFUNCTION("GOOGLETRANSLATE(A74, ""it"", ""en"")"),"73")</f>
        <v>73</v>
      </c>
      <c r="G74" s="3" t="str">
        <f>IFERROR(__xludf.DUMMYFUNCTION("GOOGLETRANSLATE(B74, ""it"", ""en"")"),"The ball hits the floor in the opponent's half of the field but immediately bounces out. What's the decision?")</f>
        <v>The ball hits the floor in the opponent's half of the field but immediately bounces out. What's the decision?</v>
      </c>
      <c r="H74" s="3" t="str">
        <f>IFERROR(__xludf.DUMMYFUNCTION("GOOGLETRANSLATE(C74, ""it"", ""en"")"),"A. The point is valid B. The point is repeated C. The point goes to the other team D. The game is stopped")</f>
        <v>A. The point is valid B. The point is repeated C. The point goes to the other team D. The game is stopped</v>
      </c>
      <c r="I74" s="3" t="str">
        <f>IFERROR(__xludf.DUMMYFUNCTION("GOOGLETRANSLATE(D74, ""it"", ""en"")"),"The point is valid")</f>
        <v>The point is valid</v>
      </c>
      <c r="J74" s="2"/>
      <c r="K74" s="2"/>
      <c r="L74" s="2"/>
      <c r="M74" s="2"/>
      <c r="N74" s="2"/>
      <c r="O74" s="2"/>
      <c r="P74" s="2"/>
      <c r="Q74" s="2"/>
      <c r="R74" s="2"/>
      <c r="S74" s="2"/>
      <c r="T74" s="2"/>
      <c r="U74" s="2"/>
      <c r="V74" s="2"/>
    </row>
    <row r="75" ht="22.5" customHeight="1">
      <c r="A75" s="3">
        <v>74.0</v>
      </c>
      <c r="B75" s="3" t="s">
        <v>1476</v>
      </c>
      <c r="C75" s="3" t="s">
        <v>1472</v>
      </c>
      <c r="D75" s="3" t="s">
        <v>12</v>
      </c>
      <c r="E75" s="2"/>
      <c r="F75" s="3" t="str">
        <f>IFERROR(__xludf.DUMMYFUNCTION("GOOGLETRANSLATE(A75, ""it"", ""en"")"),"74")</f>
        <v>74</v>
      </c>
      <c r="G75" s="3" t="str">
        <f>IFERROR(__xludf.DUMMYFUNCTION("GOOGLETRANSLATE(B75, ""it"", ""en"")"),"A player blocks and the ball hits his face before crossing the net. What happens?")</f>
        <v>A player blocks and the ball hits his face before crossing the net. What happens?</v>
      </c>
      <c r="H75" s="3" t="str">
        <f>IFERROR(__xludf.DUMMYFUNCTION("GOOGLETRANSLATE(C75, ""it"", ""en"")"),"A. The game continues B. The point is repeated C. The point goes to the other team D. The player is cautioned")</f>
        <v>A. The game continues B. The point is repeated C. The point goes to the other team D. The player is cautioned</v>
      </c>
      <c r="I75" s="3" t="str">
        <f>IFERROR(__xludf.DUMMYFUNCTION("GOOGLETRANSLATE(D75, ""it"", ""en"")"),"The game continues")</f>
        <v>The game continues</v>
      </c>
      <c r="J75" s="2"/>
      <c r="K75" s="2"/>
      <c r="L75" s="2"/>
      <c r="M75" s="2"/>
      <c r="N75" s="2"/>
      <c r="O75" s="2"/>
      <c r="P75" s="2"/>
      <c r="Q75" s="2"/>
      <c r="R75" s="2"/>
      <c r="S75" s="2"/>
      <c r="T75" s="2"/>
      <c r="U75" s="2"/>
      <c r="V75" s="2"/>
    </row>
    <row r="76" ht="22.5" customHeight="1">
      <c r="A76" s="3">
        <v>75.0</v>
      </c>
      <c r="B76" s="3" t="s">
        <v>1477</v>
      </c>
      <c r="C76" s="3" t="s">
        <v>1383</v>
      </c>
      <c r="D76" s="3" t="s">
        <v>12</v>
      </c>
      <c r="E76" s="2"/>
      <c r="F76" s="3" t="str">
        <f>IFERROR(__xludf.DUMMYFUNCTION("GOOGLETRANSLATE(A76, ""it"", ""en"")"),"75")</f>
        <v>75</v>
      </c>
      <c r="G76" s="3" t="str">
        <f>IFERROR(__xludf.DUMMYFUNCTION("GOOGLETRANSLATE(B76, ""it"", ""en"")"),"A player receives the ball with the back of his hand. What's the decision?")</f>
        <v>A player receives the ball with the back of his hand. What's the decision?</v>
      </c>
      <c r="H76" s="3" t="str">
        <f>IFERROR(__xludf.DUMMYFUNCTION("GOOGLETRANSLATE(C76, ""it"", ""en"")"),"A. The game continues B. The point goes to the other team C. The point is repeated D. The shot is considered illegal")</f>
        <v>A. The game continues B. The point goes to the other team C. The point is repeated D. The shot is considered illegal</v>
      </c>
      <c r="I76" s="3" t="str">
        <f>IFERROR(__xludf.DUMMYFUNCTION("GOOGLETRANSLATE(D76, ""it"", ""en"")"),"The game continues")</f>
        <v>The game continues</v>
      </c>
      <c r="J76" s="2"/>
      <c r="K76" s="2"/>
      <c r="L76" s="2"/>
      <c r="M76" s="2"/>
      <c r="N76" s="2"/>
      <c r="O76" s="2"/>
      <c r="P76" s="2"/>
      <c r="Q76" s="2"/>
      <c r="R76" s="2"/>
      <c r="S76" s="2"/>
      <c r="T76" s="2"/>
      <c r="U76" s="2"/>
      <c r="V76" s="2"/>
    </row>
    <row r="77" ht="22.5" customHeight="1">
      <c r="A77" s="3">
        <v>76.0</v>
      </c>
      <c r="B77" s="3" t="s">
        <v>1478</v>
      </c>
      <c r="C77" s="3" t="s">
        <v>1479</v>
      </c>
      <c r="D77" s="3" t="s">
        <v>1346</v>
      </c>
      <c r="E77" s="2"/>
      <c r="F77" s="3" t="str">
        <f>IFERROR(__xludf.DUMMYFUNCTION("GOOGLETRANSLATE(A77, ""it"", ""en"")"),"76")</f>
        <v>76</v>
      </c>
      <c r="G77" s="3" t="str">
        <f>IFERROR(__xludf.DUMMYFUNCTION("GOOGLETRANSLATE(B77, ""it"", ""en"")"),"A libero blocks with his hands above the net. What happens?")</f>
        <v>A libero blocks with his hands above the net. What happens?</v>
      </c>
      <c r="H77" s="3" t="str">
        <f>IFERROR(__xludf.DUMMYFUNCTION("GOOGLETRANSLATE(C77, ""it"", ""en"")"),"A. The point goes to the other team B. The game continues C. The libero is replaced D. The point is retaken")</f>
        <v>A. The point goes to the other team B. The game continues C. The libero is replaced D. The point is retaken</v>
      </c>
      <c r="I77" s="3" t="str">
        <f>IFERROR(__xludf.DUMMYFUNCTION("GOOGLETRANSLATE(D77, ""it"", ""en"")"),"The point goes to the other team")</f>
        <v>The point goes to the other team</v>
      </c>
      <c r="J77" s="2"/>
      <c r="K77" s="2"/>
      <c r="L77" s="2"/>
      <c r="M77" s="2"/>
      <c r="N77" s="2"/>
      <c r="O77" s="2"/>
      <c r="P77" s="2"/>
      <c r="Q77" s="2"/>
      <c r="R77" s="2"/>
      <c r="S77" s="2"/>
      <c r="T77" s="2"/>
      <c r="U77" s="2"/>
      <c r="V77" s="2"/>
    </row>
    <row r="78" ht="22.5" customHeight="1">
      <c r="A78" s="3">
        <v>77.0</v>
      </c>
      <c r="B78" s="3" t="s">
        <v>1480</v>
      </c>
      <c r="C78" s="3" t="s">
        <v>1481</v>
      </c>
      <c r="D78" s="3" t="s">
        <v>1346</v>
      </c>
      <c r="E78" s="2"/>
      <c r="F78" s="3" t="str">
        <f>IFERROR(__xludf.DUMMYFUNCTION("GOOGLETRANSLATE(A78, ""it"", ""en"")"),"77")</f>
        <v>77</v>
      </c>
      <c r="G78" s="3" t="str">
        <f>IFERROR(__xludf.DUMMYFUNCTION("GOOGLETRANSLATE(B78, ""it"", ""en"")"),"A player misses a serve but the ball hits an opponent. What's the ruling?")</f>
        <v>A player misses a serve but the ball hits an opponent. What's the ruling?</v>
      </c>
      <c r="H78" s="3" t="str">
        <f>IFERROR(__xludf.DUMMYFUNCTION("GOOGLETRANSLATE(C78, ""it"", ""en"")"),"A. The point goes to the other team B. The game continues C. The point is repeated D. The service is valid")</f>
        <v>A. The point goes to the other team B. The game continues C. The point is repeated D. The service is valid</v>
      </c>
      <c r="I78" s="3" t="str">
        <f>IFERROR(__xludf.DUMMYFUNCTION("GOOGLETRANSLATE(D78, ""it"", ""en"")"),"The point goes to the other team")</f>
        <v>The point goes to the other team</v>
      </c>
      <c r="J78" s="2"/>
      <c r="K78" s="2"/>
      <c r="L78" s="2"/>
      <c r="M78" s="2"/>
      <c r="N78" s="2"/>
      <c r="O78" s="2"/>
      <c r="P78" s="2"/>
      <c r="Q78" s="2"/>
      <c r="R78" s="2"/>
      <c r="S78" s="2"/>
      <c r="T78" s="2"/>
      <c r="U78" s="2"/>
      <c r="V78" s="2"/>
    </row>
    <row r="79" ht="22.5" customHeight="1">
      <c r="A79" s="3">
        <v>78.0</v>
      </c>
      <c r="B79" s="3" t="s">
        <v>1482</v>
      </c>
      <c r="C79" s="3" t="s">
        <v>1419</v>
      </c>
      <c r="D79" s="3" t="s">
        <v>12</v>
      </c>
      <c r="E79" s="2"/>
      <c r="F79" s="3" t="str">
        <f>IFERROR(__xludf.DUMMYFUNCTION("GOOGLETRANSLATE(A79, ""it"", ""en"")"),"78")</f>
        <v>78</v>
      </c>
      <c r="G79" s="3" t="str">
        <f>IFERROR(__xludf.DUMMYFUNCTION("GOOGLETRANSLATE(B79, ""it"", ""en"")"),"The ball touches two players from the same team consecutively. What happens?")</f>
        <v>The ball touches two players from the same team consecutively. What happens?</v>
      </c>
      <c r="H79" s="3" t="str">
        <f>IFERROR(__xludf.DUMMYFUNCTION("GOOGLETRANSLATE(C79, ""it"", ""en"")"),"A. The game continues B. The point is repeated C. The point goes to the other team D. The shot is considered illegal")</f>
        <v>A. The game continues B. The point is repeated C. The point goes to the other team D. The shot is considered illegal</v>
      </c>
      <c r="I79" s="3" t="str">
        <f>IFERROR(__xludf.DUMMYFUNCTION("GOOGLETRANSLATE(D79, ""it"", ""en"")"),"The game continues")</f>
        <v>The game continues</v>
      </c>
      <c r="J79" s="2"/>
      <c r="K79" s="2"/>
      <c r="L79" s="2"/>
      <c r="M79" s="2"/>
      <c r="N79" s="2"/>
      <c r="O79" s="2"/>
      <c r="P79" s="2"/>
      <c r="Q79" s="2"/>
      <c r="R79" s="2"/>
      <c r="S79" s="2"/>
      <c r="T79" s="2"/>
      <c r="U79" s="2"/>
      <c r="V79" s="2"/>
    </row>
    <row r="80" ht="22.5" customHeight="1">
      <c r="A80" s="3">
        <v>79.0</v>
      </c>
      <c r="B80" s="3" t="s">
        <v>1483</v>
      </c>
      <c r="C80" s="3" t="s">
        <v>1369</v>
      </c>
      <c r="D80" s="3" t="s">
        <v>1346</v>
      </c>
      <c r="E80" s="2"/>
      <c r="F80" s="3" t="str">
        <f>IFERROR(__xludf.DUMMYFUNCTION("GOOGLETRANSLATE(A80, ""it"", ""en"")"),"79")</f>
        <v>79</v>
      </c>
      <c r="G80" s="3" t="str">
        <f>IFERROR(__xludf.DUMMYFUNCTION("GOOGLETRANSLATE(B80, ""it"", ""en"")"),"A player is out of position during a serve. What's the decision?")</f>
        <v>A player is out of position during a serve. What's the decision?</v>
      </c>
      <c r="H80" s="3" t="str">
        <f>IFERROR(__xludf.DUMMYFUNCTION("GOOGLETRANSLATE(C80, ""it"", ""en"")"),"A. The point goes to the other team B. The point is retaken C. The game continues D. The player is cautioned")</f>
        <v>A. The point goes to the other team B. The point is retaken C. The game continues D. The player is cautioned</v>
      </c>
      <c r="I80" s="3" t="str">
        <f>IFERROR(__xludf.DUMMYFUNCTION("GOOGLETRANSLATE(D80, ""it"", ""en"")"),"The point goes to the other team")</f>
        <v>The point goes to the other team</v>
      </c>
      <c r="J80" s="2"/>
      <c r="K80" s="2"/>
      <c r="L80" s="2"/>
      <c r="M80" s="2"/>
      <c r="N80" s="2"/>
      <c r="O80" s="2"/>
      <c r="P80" s="2"/>
      <c r="Q80" s="2"/>
      <c r="R80" s="2"/>
      <c r="S80" s="2"/>
      <c r="T80" s="2"/>
      <c r="U80" s="2"/>
      <c r="V80" s="2"/>
    </row>
    <row r="81" ht="22.5" customHeight="1">
      <c r="A81" s="3">
        <v>80.0</v>
      </c>
      <c r="B81" s="3" t="s">
        <v>1484</v>
      </c>
      <c r="C81" s="3" t="s">
        <v>1447</v>
      </c>
      <c r="D81" s="3" t="s">
        <v>976</v>
      </c>
      <c r="E81" s="2"/>
      <c r="F81" s="3" t="str">
        <f>IFERROR(__xludf.DUMMYFUNCTION("GOOGLETRANSLATE(A81, ""it"", ""en"")"),"80")</f>
        <v>80</v>
      </c>
      <c r="G81" s="3" t="str">
        <f>IFERROR(__xludf.DUMMYFUNCTION("GOOGLETRANSLATE(B81, ""it"", ""en"")"),"The ball lands exactly on the opponent's center line. What happens?")</f>
        <v>The ball lands exactly on the opponent's center line. What happens?</v>
      </c>
      <c r="H81" s="3" t="str">
        <f>IFERROR(__xludf.DUMMYFUNCTION("GOOGLETRANSLATE(C81, ""it"", ""en"")"),"A. The point is valid B. The point is repeated C. The point goes to the other team D. The game is stopped")</f>
        <v>A. The point is valid B. The point is repeated C. The point goes to the other team D. The game is stopped</v>
      </c>
      <c r="I81" s="3" t="str">
        <f>IFERROR(__xludf.DUMMYFUNCTION("GOOGLETRANSLATE(D81, ""it"", ""en"")"),"The point is valid")</f>
        <v>The point is valid</v>
      </c>
      <c r="J81" s="2"/>
      <c r="K81" s="2"/>
      <c r="L81" s="2"/>
      <c r="M81" s="2"/>
      <c r="N81" s="2"/>
      <c r="O81" s="2"/>
      <c r="P81" s="2"/>
      <c r="Q81" s="2"/>
      <c r="R81" s="2"/>
      <c r="S81" s="2"/>
      <c r="T81" s="2"/>
      <c r="U81" s="2"/>
      <c r="V81" s="2"/>
    </row>
    <row r="82" ht="22.5" customHeight="1">
      <c r="A82" s="3">
        <v>81.0</v>
      </c>
      <c r="B82" s="3" t="s">
        <v>1485</v>
      </c>
      <c r="C82" s="3" t="s">
        <v>1486</v>
      </c>
      <c r="D82" s="3" t="s">
        <v>1346</v>
      </c>
      <c r="E82" s="2"/>
      <c r="F82" s="3" t="str">
        <f>IFERROR(__xludf.DUMMYFUNCTION("GOOGLETRANSLATE(A82, ""it"", ""en"")"),"81")</f>
        <v>81</v>
      </c>
      <c r="G82" s="3" t="str">
        <f>IFERROR(__xludf.DUMMYFUNCTION("GOOGLETRANSLATE(B82, ""it"", ""en"")"),"A player throws the ball during a play instead of hitting it. What happens?")</f>
        <v>A player throws the ball during a play instead of hitting it. What happens?</v>
      </c>
      <c r="H82" s="3" t="str">
        <f>IFERROR(__xludf.DUMMYFUNCTION("GOOGLETRANSLATE(C82, ""it"", ""en"")"),"A. The point goes to the other team B. The game continues C. The point is repeated D. The shot is considered valid")</f>
        <v>A. The point goes to the other team B. The game continues C. The point is repeated D. The shot is considered valid</v>
      </c>
      <c r="I82" s="3" t="str">
        <f>IFERROR(__xludf.DUMMYFUNCTION("GOOGLETRANSLATE(D82, ""it"", ""en"")"),"The point goes to the other team")</f>
        <v>The point goes to the other team</v>
      </c>
      <c r="J82" s="2"/>
      <c r="K82" s="2"/>
      <c r="L82" s="2"/>
      <c r="M82" s="2"/>
      <c r="N82" s="2"/>
      <c r="O82" s="2"/>
      <c r="P82" s="2"/>
      <c r="Q82" s="2"/>
      <c r="R82" s="2"/>
      <c r="S82" s="2"/>
      <c r="T82" s="2"/>
      <c r="U82" s="2"/>
      <c r="V82" s="2"/>
    </row>
    <row r="83" ht="22.5" customHeight="1">
      <c r="A83" s="3">
        <v>82.0</v>
      </c>
      <c r="B83" s="3" t="s">
        <v>1487</v>
      </c>
      <c r="C83" s="3" t="s">
        <v>1488</v>
      </c>
      <c r="D83" s="3" t="s">
        <v>1433</v>
      </c>
      <c r="E83" s="2"/>
      <c r="F83" s="3" t="str">
        <f>IFERROR(__xludf.DUMMYFUNCTION("GOOGLETRANSLATE(A83, ""it"", ""en"")"),"82")</f>
        <v>82</v>
      </c>
      <c r="G83" s="3" t="str">
        <f>IFERROR(__xludf.DUMMYFUNCTION("GOOGLETRANSLATE(B83, ""it"", ""en"")"),"A coach interrupts the game without permission. What happens?")</f>
        <v>A coach interrupts the game without permission. What happens?</v>
      </c>
      <c r="H83" s="3" t="str">
        <f>IFERROR(__xludf.DUMMYFUNCTION("GOOGLETRANSLATE(C83, ""it"", ""en"")"),"A. The point goes to the other team B. The coach is cautioned C. The point is retaken D. The game continues")</f>
        <v>A. The point goes to the other team B. The coach is cautioned C. The point is retaken D. The game continues</v>
      </c>
      <c r="I83" s="3" t="str">
        <f>IFERROR(__xludf.DUMMYFUNCTION("GOOGLETRANSLATE(D83, ""it"", ""en"")"),"The coach is cautioned")</f>
        <v>The coach is cautioned</v>
      </c>
      <c r="J83" s="2"/>
      <c r="K83" s="2"/>
      <c r="L83" s="2"/>
      <c r="M83" s="2"/>
      <c r="N83" s="2"/>
      <c r="O83" s="2"/>
      <c r="P83" s="2"/>
      <c r="Q83" s="2"/>
      <c r="R83" s="2"/>
      <c r="S83" s="2"/>
      <c r="T83" s="2"/>
      <c r="U83" s="2"/>
      <c r="V83" s="2"/>
    </row>
    <row r="84" ht="22.5" customHeight="1">
      <c r="A84" s="3">
        <v>83.0</v>
      </c>
      <c r="B84" s="3" t="s">
        <v>1489</v>
      </c>
      <c r="C84" s="3" t="s">
        <v>1360</v>
      </c>
      <c r="D84" s="3" t="s">
        <v>1346</v>
      </c>
      <c r="E84" s="2"/>
      <c r="F84" s="3" t="str">
        <f>IFERROR(__xludf.DUMMYFUNCTION("GOOGLETRANSLATE(A84, ""it"", ""en"")"),"83")</f>
        <v>83</v>
      </c>
      <c r="G84" s="3" t="str">
        <f>IFERROR(__xludf.DUMMYFUNCTION("GOOGLETRANSLATE(B84, ""it"", ""en"")"),"A player touches the net during a defensive play. What's the decision?")</f>
        <v>A player touches the net during a defensive play. What's the decision?</v>
      </c>
      <c r="H84" s="3" t="str">
        <f>IFERROR(__xludf.DUMMYFUNCTION("GOOGLETRANSLATE(C84, ""it"", ""en"")"),"A. The point goes to the other team B. The game continues C. The point is retaken D. The player is cautioned")</f>
        <v>A. The point goes to the other team B. The game continues C. The point is retaken D. The player is cautioned</v>
      </c>
      <c r="I84" s="3" t="str">
        <f>IFERROR(__xludf.DUMMYFUNCTION("GOOGLETRANSLATE(D84, ""it"", ""en"")"),"The point goes to the other team")</f>
        <v>The point goes to the other team</v>
      </c>
      <c r="J84" s="2"/>
      <c r="K84" s="2"/>
      <c r="L84" s="2"/>
      <c r="M84" s="2"/>
      <c r="N84" s="2"/>
      <c r="O84" s="2"/>
      <c r="P84" s="2"/>
      <c r="Q84" s="2"/>
      <c r="R84" s="2"/>
      <c r="S84" s="2"/>
      <c r="T84" s="2"/>
      <c r="U84" s="2"/>
      <c r="V84" s="2"/>
    </row>
    <row r="85" ht="22.5" customHeight="1">
      <c r="A85" s="3">
        <v>84.0</v>
      </c>
      <c r="B85" s="3" t="s">
        <v>1490</v>
      </c>
      <c r="C85" s="3" t="s">
        <v>1428</v>
      </c>
      <c r="D85" s="3" t="s">
        <v>1442</v>
      </c>
      <c r="E85" s="2"/>
      <c r="F85" s="3" t="str">
        <f>IFERROR(__xludf.DUMMYFUNCTION("GOOGLETRANSLATE(A85, ""it"", ""en"")"),"84")</f>
        <v>84</v>
      </c>
      <c r="G85" s="3" t="str">
        <f>IFERROR(__xludf.DUMMYFUNCTION("GOOGLETRANSLATE(B85, ""it"", ""en"")"),"The ball hits a net post and bounces back onto the court. What happens?")</f>
        <v>The ball hits a net post and bounces back onto the court. What happens?</v>
      </c>
      <c r="H85" s="3" t="str">
        <f>IFERROR(__xludf.DUMMYFUNCTION("GOOGLETRANSLATE(C85, ""it"", ""en"")"),"A. The point is valid B. The point is repeated C. The point goes to the other team D. The ball is considered out")</f>
        <v>A. The point is valid B. The point is repeated C. The point goes to the other team D. The ball is considered out</v>
      </c>
      <c r="I85" s="3" t="str">
        <f>IFERROR(__xludf.DUMMYFUNCTION("GOOGLETRANSLATE(D85, ""it"", ""en"")"),"The ball is considered out")</f>
        <v>The ball is considered out</v>
      </c>
      <c r="J85" s="2"/>
      <c r="K85" s="2"/>
      <c r="L85" s="2"/>
      <c r="M85" s="2"/>
      <c r="N85" s="2"/>
      <c r="O85" s="2"/>
      <c r="P85" s="2"/>
      <c r="Q85" s="2"/>
      <c r="R85" s="2"/>
      <c r="S85" s="2"/>
      <c r="T85" s="2"/>
      <c r="U85" s="2"/>
      <c r="V85" s="2"/>
    </row>
    <row r="86" ht="22.5" customHeight="1">
      <c r="A86" s="3">
        <v>85.0</v>
      </c>
      <c r="B86" s="3" t="s">
        <v>1491</v>
      </c>
      <c r="C86" s="3" t="s">
        <v>1428</v>
      </c>
      <c r="D86" s="3" t="s">
        <v>976</v>
      </c>
      <c r="E86" s="2"/>
      <c r="F86" s="3" t="str">
        <f>IFERROR(__xludf.DUMMYFUNCTION("GOOGLETRANSLATE(A86, ""it"", ""en"")"),"85")</f>
        <v>85</v>
      </c>
      <c r="G86" s="3" t="str">
        <f>IFERROR(__xludf.DUMMYFUNCTION("GOOGLETRANSLATE(B86, ""it"", ""en"")"),"The ball hits a player while he's out of bounds. What's the ruling?")</f>
        <v>The ball hits a player while he's out of bounds. What's the ruling?</v>
      </c>
      <c r="H86" s="3" t="str">
        <f>IFERROR(__xludf.DUMMYFUNCTION("GOOGLETRANSLATE(C86, ""it"", ""en"")"),"A. The point is valid B. The point is repeated C. The point goes to the other team D. The ball is considered out")</f>
        <v>A. The point is valid B. The point is repeated C. The point goes to the other team D. The ball is considered out</v>
      </c>
      <c r="I86" s="3" t="str">
        <f>IFERROR(__xludf.DUMMYFUNCTION("GOOGLETRANSLATE(D86, ""it"", ""en"")"),"The point is valid")</f>
        <v>The point is valid</v>
      </c>
      <c r="J86" s="2"/>
      <c r="K86" s="2"/>
      <c r="L86" s="2"/>
      <c r="M86" s="2"/>
      <c r="N86" s="2"/>
      <c r="O86" s="2"/>
      <c r="P86" s="2"/>
      <c r="Q86" s="2"/>
      <c r="R86" s="2"/>
      <c r="S86" s="2"/>
      <c r="T86" s="2"/>
      <c r="U86" s="2"/>
      <c r="V86" s="2"/>
    </row>
    <row r="87" ht="22.5" customHeight="1">
      <c r="A87" s="3">
        <v>86.0</v>
      </c>
      <c r="B87" s="3" t="s">
        <v>1492</v>
      </c>
      <c r="C87" s="3" t="s">
        <v>1493</v>
      </c>
      <c r="D87" s="3" t="s">
        <v>1346</v>
      </c>
      <c r="E87" s="2"/>
      <c r="F87" s="3" t="str">
        <f>IFERROR(__xludf.DUMMYFUNCTION("GOOGLETRANSLATE(A87, ""it"", ""en"")"),"86")</f>
        <v>86</v>
      </c>
      <c r="G87" s="3" t="str">
        <f>IFERROR(__xludf.DUMMYFUNCTION("GOOGLETRANSLATE(B87, ""it"", ""en"")"),"A player touches the ball with both hands, but not at the same time. What happens?")</f>
        <v>A player touches the ball with both hands, but not at the same time. What happens?</v>
      </c>
      <c r="H87" s="3" t="str">
        <f>IFERROR(__xludf.DUMMYFUNCTION("GOOGLETRANSLATE(C87, ""it"", ""en"")"),"A. The point goes to the other team B. The game continues C. The point is repeated D. The shot is considered legal")</f>
        <v>A. The point goes to the other team B. The game continues C. The point is repeated D. The shot is considered legal</v>
      </c>
      <c r="I87" s="3" t="str">
        <f>IFERROR(__xludf.DUMMYFUNCTION("GOOGLETRANSLATE(D87, ""it"", ""en"")"),"The point goes to the other team")</f>
        <v>The point goes to the other team</v>
      </c>
      <c r="J87" s="2"/>
      <c r="K87" s="2"/>
      <c r="L87" s="2"/>
      <c r="M87" s="2"/>
      <c r="N87" s="2"/>
      <c r="O87" s="2"/>
      <c r="P87" s="2"/>
      <c r="Q87" s="2"/>
      <c r="R87" s="2"/>
      <c r="S87" s="2"/>
      <c r="T87" s="2"/>
      <c r="U87" s="2"/>
      <c r="V87" s="2"/>
    </row>
    <row r="88" ht="22.5" customHeight="1">
      <c r="A88" s="3">
        <v>87.0</v>
      </c>
      <c r="B88" s="3" t="s">
        <v>1494</v>
      </c>
      <c r="C88" s="3" t="s">
        <v>1495</v>
      </c>
      <c r="D88" s="3" t="s">
        <v>1346</v>
      </c>
      <c r="E88" s="2"/>
      <c r="F88" s="3" t="str">
        <f>IFERROR(__xludf.DUMMYFUNCTION("GOOGLETRANSLATE(A88, ""it"", ""en"")"),"87")</f>
        <v>87</v>
      </c>
      <c r="G88" s="3" t="str">
        <f>IFERROR(__xludf.DUMMYFUNCTION("GOOGLETRANSLATE(B88, ""it"", ""en"")"),"A player serves from an illegal position. What is the ruling?")</f>
        <v>A player serves from an illegal position. What is the ruling?</v>
      </c>
      <c r="H88" s="3" t="str">
        <f>IFERROR(__xludf.DUMMYFUNCTION("GOOGLETRANSLATE(C88, ""it"", ""en"")"),"A. The point goes to the other team B. The service is repeated C. The game continues D. The player is cautioned")</f>
        <v>A. The point goes to the other team B. The service is repeated C. The game continues D. The player is cautioned</v>
      </c>
      <c r="I88" s="3" t="str">
        <f>IFERROR(__xludf.DUMMYFUNCTION("GOOGLETRANSLATE(D88, ""it"", ""en"")"),"The point goes to the other team")</f>
        <v>The point goes to the other team</v>
      </c>
      <c r="J88" s="2"/>
      <c r="K88" s="2"/>
      <c r="L88" s="2"/>
      <c r="M88" s="2"/>
      <c r="N88" s="2"/>
      <c r="O88" s="2"/>
      <c r="P88" s="2"/>
      <c r="Q88" s="2"/>
      <c r="R88" s="2"/>
      <c r="S88" s="2"/>
      <c r="T88" s="2"/>
      <c r="U88" s="2"/>
      <c r="V88" s="2"/>
    </row>
    <row r="89" ht="22.5" customHeight="1">
      <c r="A89" s="3">
        <v>88.0</v>
      </c>
      <c r="B89" s="3" t="s">
        <v>1496</v>
      </c>
      <c r="C89" s="3" t="s">
        <v>1497</v>
      </c>
      <c r="D89" s="3" t="s">
        <v>1346</v>
      </c>
      <c r="E89" s="2"/>
      <c r="F89" s="3" t="str">
        <f>IFERROR(__xludf.DUMMYFUNCTION("GOOGLETRANSLATE(A89, ""it"", ""en"")"),"88")</f>
        <v>88</v>
      </c>
      <c r="G89" s="3" t="str">
        <f>IFERROR(__xludf.DUMMYFUNCTION("GOOGLETRANSLATE(B89, ""it"", ""en"")"),"The ball passes through the net without touching it but lands outside the opponent's court. What happens?")</f>
        <v>The ball passes through the net without touching it but lands outside the opponent's court. What happens?</v>
      </c>
      <c r="H89" s="3" t="str">
        <f>IFERROR(__xludf.DUMMYFUNCTION("GOOGLETRANSLATE(C89, ""it"", ""en"")"),"A. The point goes to the other team B. The service is valid C. The point is repeated D. The service is considered valid")</f>
        <v>A. The point goes to the other team B. The service is valid C. The point is repeated D. The service is considered valid</v>
      </c>
      <c r="I89" s="3" t="str">
        <f>IFERROR(__xludf.DUMMYFUNCTION("GOOGLETRANSLATE(D89, ""it"", ""en"")"),"The point goes to the other team")</f>
        <v>The point goes to the other team</v>
      </c>
      <c r="J89" s="2"/>
      <c r="K89" s="2"/>
      <c r="L89" s="2"/>
      <c r="M89" s="2"/>
      <c r="N89" s="2"/>
      <c r="O89" s="2"/>
      <c r="P89" s="2"/>
      <c r="Q89" s="2"/>
      <c r="R89" s="2"/>
      <c r="S89" s="2"/>
      <c r="T89" s="2"/>
      <c r="U89" s="2"/>
      <c r="V89" s="2"/>
    </row>
    <row r="90" ht="22.5" customHeight="1">
      <c r="A90" s="3">
        <v>89.0</v>
      </c>
      <c r="B90" s="3" t="s">
        <v>1498</v>
      </c>
      <c r="C90" s="3" t="s">
        <v>1493</v>
      </c>
      <c r="D90" s="3" t="s">
        <v>1346</v>
      </c>
      <c r="E90" s="2"/>
      <c r="F90" s="3" t="str">
        <f>IFERROR(__xludf.DUMMYFUNCTION("GOOGLETRANSLATE(A90, ""it"", ""en"")"),"89")</f>
        <v>89</v>
      </c>
      <c r="G90" s="3" t="str">
        <f>IFERROR(__xludf.DUMMYFUNCTION("GOOGLETRANSLATE(B90, ""it"", ""en"")"),"A player tries to save the ball with one hand but knocks it out of bounds. What happens?")</f>
        <v>A player tries to save the ball with one hand but knocks it out of bounds. What happens?</v>
      </c>
      <c r="H90" s="3" t="str">
        <f>IFERROR(__xludf.DUMMYFUNCTION("GOOGLETRANSLATE(C90, ""it"", ""en"")"),"A. The point goes to the other team B. The game continues C. The point is repeated D. The shot is considered legal")</f>
        <v>A. The point goes to the other team B. The game continues C. The point is repeated D. The shot is considered legal</v>
      </c>
      <c r="I90" s="3" t="str">
        <f>IFERROR(__xludf.DUMMYFUNCTION("GOOGLETRANSLATE(D90, ""it"", ""en"")"),"The point goes to the other team")</f>
        <v>The point goes to the other team</v>
      </c>
      <c r="J90" s="2"/>
      <c r="K90" s="2"/>
      <c r="L90" s="2"/>
      <c r="M90" s="2"/>
      <c r="N90" s="2"/>
      <c r="O90" s="2"/>
      <c r="P90" s="2"/>
      <c r="Q90" s="2"/>
      <c r="R90" s="2"/>
      <c r="S90" s="2"/>
      <c r="T90" s="2"/>
      <c r="U90" s="2"/>
      <c r="V90" s="2"/>
    </row>
    <row r="91" ht="22.5" customHeight="1">
      <c r="A91" s="3">
        <v>90.0</v>
      </c>
      <c r="B91" s="3" t="s">
        <v>1499</v>
      </c>
      <c r="C91" s="3" t="s">
        <v>1369</v>
      </c>
      <c r="D91" s="3" t="s">
        <v>1346</v>
      </c>
      <c r="E91" s="2"/>
      <c r="F91" s="3" t="str">
        <f>IFERROR(__xludf.DUMMYFUNCTION("GOOGLETRANSLATE(A91, ""it"", ""en"")"),"90")</f>
        <v>90</v>
      </c>
      <c r="G91" s="3" t="str">
        <f>IFERROR(__xludf.DUMMYFUNCTION("GOOGLETRANSLATE(B91, ""it"", ""en"")"),"The ball is hit over the net but bounces back without crossing it. What is the ruling?")</f>
        <v>The ball is hit over the net but bounces back without crossing it. What is the ruling?</v>
      </c>
      <c r="H91" s="3" t="str">
        <f>IFERROR(__xludf.DUMMYFUNCTION("GOOGLETRANSLATE(C91, ""it"", ""en"")"),"A. The point goes to the other team B. The point is retaken C. The game continues D. The player is cautioned")</f>
        <v>A. The point goes to the other team B. The point is retaken C. The game continues D. The player is cautioned</v>
      </c>
      <c r="I91" s="3" t="str">
        <f>IFERROR(__xludf.DUMMYFUNCTION("GOOGLETRANSLATE(D91, ""it"", ""en"")"),"The point goes to the other team")</f>
        <v>The point goes to the other team</v>
      </c>
      <c r="J91" s="2"/>
      <c r="K91" s="2"/>
      <c r="L91" s="2"/>
      <c r="M91" s="2"/>
      <c r="N91" s="2"/>
      <c r="O91" s="2"/>
      <c r="P91" s="2"/>
      <c r="Q91" s="2"/>
      <c r="R91" s="2"/>
      <c r="S91" s="2"/>
      <c r="T91" s="2"/>
      <c r="U91" s="2"/>
      <c r="V91" s="2"/>
    </row>
    <row r="92" ht="22.5" customHeight="1">
      <c r="A92" s="3">
        <v>91.0</v>
      </c>
      <c r="B92" s="3" t="s">
        <v>1500</v>
      </c>
      <c r="C92" s="3" t="s">
        <v>1501</v>
      </c>
      <c r="D92" s="3" t="s">
        <v>1346</v>
      </c>
      <c r="E92" s="2"/>
      <c r="F92" s="3" t="str">
        <f>IFERROR(__xludf.DUMMYFUNCTION("GOOGLETRANSLATE(A92, ""it"", ""en"")"),"91")</f>
        <v>91</v>
      </c>
      <c r="G92" s="3" t="str">
        <f>IFERROR(__xludf.DUMMYFUNCTION("GOOGLETRANSLATE(B92, ""it"", ""en"")"),"A libero attempts an attack from the backcourt. What happens?")</f>
        <v>A libero attempts an attack from the backcourt. What happens?</v>
      </c>
      <c r="H92" s="3" t="str">
        <f>IFERROR(__xludf.DUMMYFUNCTION("GOOGLETRANSLATE(C92, ""it"", ""en"")"),"A. The point goes to the other team B. The game continues C. The point is retaken D. The libero is cautioned")</f>
        <v>A. The point goes to the other team B. The game continues C. The point is retaken D. The libero is cautioned</v>
      </c>
      <c r="I92" s="3" t="str">
        <f>IFERROR(__xludf.DUMMYFUNCTION("GOOGLETRANSLATE(D92, ""it"", ""en"")"),"The point goes to the other team")</f>
        <v>The point goes to the other team</v>
      </c>
      <c r="J92" s="2"/>
      <c r="K92" s="2"/>
      <c r="L92" s="2"/>
      <c r="M92" s="2"/>
      <c r="N92" s="2"/>
      <c r="O92" s="2"/>
      <c r="P92" s="2"/>
      <c r="Q92" s="2"/>
      <c r="R92" s="2"/>
      <c r="S92" s="2"/>
      <c r="T92" s="2"/>
      <c r="U92" s="2"/>
      <c r="V92" s="2"/>
    </row>
    <row r="93" ht="22.5" customHeight="1">
      <c r="A93" s="3">
        <v>92.0</v>
      </c>
      <c r="B93" s="3" t="s">
        <v>1502</v>
      </c>
      <c r="C93" s="3" t="s">
        <v>1503</v>
      </c>
      <c r="D93" s="3" t="s">
        <v>1433</v>
      </c>
      <c r="E93" s="2"/>
      <c r="F93" s="3" t="str">
        <f>IFERROR(__xludf.DUMMYFUNCTION("GOOGLETRANSLATE(A93, ""it"", ""en"")"),"92")</f>
        <v>92</v>
      </c>
      <c r="G93" s="3" t="str">
        <f>IFERROR(__xludf.DUMMYFUNCTION("GOOGLETRANSLATE(B93, ""it"", ""en"")"),"A coach enters the field to protest a referee's decision. What is the decision?")</f>
        <v>A coach enters the field to protest a referee's decision. What is the decision?</v>
      </c>
      <c r="H93" s="3" t="str">
        <f>IFERROR(__xludf.DUMMYFUNCTION("GOOGLETRANSLATE(C93, ""it"", ""en"")"),"A. The coach is cautioned B. The game continues C. The point is retaken D. The point goes to the other team")</f>
        <v>A. The coach is cautioned B. The game continues C. The point is retaken D. The point goes to the other team</v>
      </c>
      <c r="I93" s="3" t="str">
        <f>IFERROR(__xludf.DUMMYFUNCTION("GOOGLETRANSLATE(D93, ""it"", ""en"")"),"The coach is cautioned")</f>
        <v>The coach is cautioned</v>
      </c>
      <c r="J93" s="2"/>
      <c r="K93" s="2"/>
      <c r="L93" s="2"/>
      <c r="M93" s="2"/>
      <c r="N93" s="2"/>
      <c r="O93" s="2"/>
      <c r="P93" s="2"/>
      <c r="Q93" s="2"/>
      <c r="R93" s="2"/>
      <c r="S93" s="2"/>
      <c r="T93" s="2"/>
      <c r="U93" s="2"/>
      <c r="V93" s="2"/>
    </row>
    <row r="94" ht="22.5" customHeight="1">
      <c r="A94" s="3">
        <v>93.0</v>
      </c>
      <c r="B94" s="3" t="s">
        <v>1504</v>
      </c>
      <c r="C94" s="3" t="s">
        <v>1505</v>
      </c>
      <c r="D94" s="3" t="s">
        <v>12</v>
      </c>
      <c r="E94" s="2"/>
      <c r="F94" s="3" t="str">
        <f>IFERROR(__xludf.DUMMYFUNCTION("GOOGLETRANSLATE(A94, ""it"", ""en"")"),"93")</f>
        <v>93</v>
      </c>
      <c r="G94" s="3" t="str">
        <f>IFERROR(__xludf.DUMMYFUNCTION("GOOGLETRANSLATE(B94, ""it"", ""en"")"),"A player blocks an attack with his hands above the net. What happens?")</f>
        <v>A player blocks an attack with his hands above the net. What happens?</v>
      </c>
      <c r="H94" s="3" t="str">
        <f>IFERROR(__xludf.DUMMYFUNCTION("GOOGLETRANSLATE(C94, ""it"", ""en"")"),"A. The game continues B. The point goes to the other team C. The point is repeated D. The shot is considered legal")</f>
        <v>A. The game continues B. The point goes to the other team C. The point is repeated D. The shot is considered legal</v>
      </c>
      <c r="I94" s="3" t="str">
        <f>IFERROR(__xludf.DUMMYFUNCTION("GOOGLETRANSLATE(D94, ""it"", ""en"")"),"The game continues")</f>
        <v>The game continues</v>
      </c>
      <c r="J94" s="2"/>
      <c r="K94" s="2"/>
      <c r="L94" s="2"/>
      <c r="M94" s="2"/>
      <c r="N94" s="2"/>
      <c r="O94" s="2"/>
      <c r="P94" s="2"/>
      <c r="Q94" s="2"/>
      <c r="R94" s="2"/>
      <c r="S94" s="2"/>
      <c r="T94" s="2"/>
      <c r="U94" s="2"/>
      <c r="V94" s="2"/>
    </row>
    <row r="95" ht="22.5" customHeight="1">
      <c r="A95" s="3">
        <v>94.0</v>
      </c>
      <c r="B95" s="3" t="s">
        <v>1506</v>
      </c>
      <c r="C95" s="3" t="s">
        <v>1383</v>
      </c>
      <c r="D95" s="3" t="s">
        <v>12</v>
      </c>
      <c r="E95" s="2"/>
      <c r="F95" s="3" t="str">
        <f>IFERROR(__xludf.DUMMYFUNCTION("GOOGLETRANSLATE(A95, ""it"", ""en"")"),"94")</f>
        <v>94</v>
      </c>
      <c r="G95" s="3" t="str">
        <f>IFERROR(__xludf.DUMMYFUNCTION("GOOGLETRANSLATE(B95, ""it"", ""en"")"),"The ball is lifted but hits a player on the head before being played. What's the decision?")</f>
        <v>The ball is lifted but hits a player on the head before being played. What's the decision?</v>
      </c>
      <c r="H95" s="3" t="str">
        <f>IFERROR(__xludf.DUMMYFUNCTION("GOOGLETRANSLATE(C95, ""it"", ""en"")"),"A. The game continues B. The point goes to the other team C. The point is repeated D. The shot is considered illegal")</f>
        <v>A. The game continues B. The point goes to the other team C. The point is repeated D. The shot is considered illegal</v>
      </c>
      <c r="I95" s="3" t="str">
        <f>IFERROR(__xludf.DUMMYFUNCTION("GOOGLETRANSLATE(D95, ""it"", ""en"")"),"The game continues")</f>
        <v>The game continues</v>
      </c>
      <c r="J95" s="2"/>
      <c r="K95" s="2"/>
      <c r="L95" s="2"/>
      <c r="M95" s="2"/>
      <c r="N95" s="2"/>
      <c r="O95" s="2"/>
      <c r="P95" s="2"/>
      <c r="Q95" s="2"/>
      <c r="R95" s="2"/>
      <c r="S95" s="2"/>
      <c r="T95" s="2"/>
      <c r="U95" s="2"/>
      <c r="V95" s="2"/>
    </row>
    <row r="96" ht="22.5" customHeight="1">
      <c r="A96" s="3">
        <v>95.0</v>
      </c>
      <c r="B96" s="3" t="s">
        <v>1507</v>
      </c>
      <c r="C96" s="3" t="s">
        <v>1508</v>
      </c>
      <c r="D96" s="3" t="s">
        <v>1346</v>
      </c>
      <c r="E96" s="2"/>
      <c r="F96" s="3" t="str">
        <f>IFERROR(__xludf.DUMMYFUNCTION("GOOGLETRANSLATE(A96, ""it"", ""en"")"),"95")</f>
        <v>95</v>
      </c>
      <c r="G96" s="3" t="str">
        <f>IFERROR(__xludf.DUMMYFUNCTION("GOOGLETRANSLATE(B96, ""it"", ""en"")"),"A player serves too weakly and doesn't cross the net. What's the decision?")</f>
        <v>A player serves too weakly and doesn't cross the net. What's the decision?</v>
      </c>
      <c r="H96" s="3" t="str">
        <f>IFERROR(__xludf.DUMMYFUNCTION("GOOGLETRANSLATE(C96, ""it"", ""en"")"),"A. The point goes to the other team B. The service is repeated C. The point is repeated D. The service is considered valid")</f>
        <v>A. The point goes to the other team B. The service is repeated C. The point is repeated D. The service is considered valid</v>
      </c>
      <c r="I96" s="3" t="str">
        <f>IFERROR(__xludf.DUMMYFUNCTION("GOOGLETRANSLATE(D96, ""it"", ""en"")"),"The point goes to the other team")</f>
        <v>The point goes to the other team</v>
      </c>
      <c r="J96" s="2"/>
      <c r="K96" s="2"/>
      <c r="L96" s="2"/>
      <c r="M96" s="2"/>
      <c r="N96" s="2"/>
      <c r="O96" s="2"/>
      <c r="P96" s="2"/>
      <c r="Q96" s="2"/>
      <c r="R96" s="2"/>
      <c r="S96" s="2"/>
      <c r="T96" s="2"/>
      <c r="U96" s="2"/>
      <c r="V96" s="2"/>
    </row>
    <row r="97" ht="22.5" customHeight="1">
      <c r="A97" s="3">
        <v>96.0</v>
      </c>
      <c r="B97" s="3" t="s">
        <v>1509</v>
      </c>
      <c r="C97" s="3" t="s">
        <v>1474</v>
      </c>
      <c r="D97" s="3" t="s">
        <v>1442</v>
      </c>
      <c r="E97" s="2"/>
      <c r="F97" s="3" t="str">
        <f>IFERROR(__xludf.DUMMYFUNCTION("GOOGLETRANSLATE(A97, ""it"", ""en"")"),"96")</f>
        <v>96</v>
      </c>
      <c r="G97" s="3" t="str">
        <f>IFERROR(__xludf.DUMMYFUNCTION("GOOGLETRANSLATE(B97, ""it"", ""en"")"),"The ball hits the ceiling above the opponent's court. What happens?")</f>
        <v>The ball hits the ceiling above the opponent's court. What happens?</v>
      </c>
      <c r="H97" s="3" t="str">
        <f>IFERROR(__xludf.DUMMYFUNCTION("GOOGLETRANSLATE(C97, ""it"", ""en"")"),"A. The ball is considered out B. The point is retaken C. The point goes to the other team D. The game continues")</f>
        <v>A. The ball is considered out B. The point is retaken C. The point goes to the other team D. The game continues</v>
      </c>
      <c r="I97" s="3" t="str">
        <f>IFERROR(__xludf.DUMMYFUNCTION("GOOGLETRANSLATE(D97, ""it"", ""en"")"),"The ball is considered out")</f>
        <v>The ball is considered out</v>
      </c>
      <c r="J97" s="2"/>
      <c r="K97" s="2"/>
      <c r="L97" s="2"/>
      <c r="M97" s="2"/>
      <c r="N97" s="2"/>
      <c r="O97" s="2"/>
      <c r="P97" s="2"/>
      <c r="Q97" s="2"/>
      <c r="R97" s="2"/>
      <c r="S97" s="2"/>
      <c r="T97" s="2"/>
      <c r="U97" s="2"/>
      <c r="V97" s="2"/>
    </row>
    <row r="98" ht="22.5" customHeight="1">
      <c r="A98" s="3">
        <v>97.0</v>
      </c>
      <c r="B98" s="3" t="s">
        <v>1510</v>
      </c>
      <c r="C98" s="3" t="s">
        <v>1493</v>
      </c>
      <c r="D98" s="3" t="s">
        <v>1346</v>
      </c>
      <c r="E98" s="2"/>
      <c r="F98" s="3" t="str">
        <f>IFERROR(__xludf.DUMMYFUNCTION("GOOGLETRANSLATE(A98, ""it"", ""en"")"),"97")</f>
        <v>97</v>
      </c>
      <c r="G98" s="3" t="str">
        <f>IFERROR(__xludf.DUMMYFUNCTION("GOOGLETRANSLATE(B98, ""it"", ""en"")"),"A player stops the ball with his foot and then kicks it. What's the decision?")</f>
        <v>A player stops the ball with his foot and then kicks it. What's the decision?</v>
      </c>
      <c r="H98" s="3" t="str">
        <f>IFERROR(__xludf.DUMMYFUNCTION("GOOGLETRANSLATE(C98, ""it"", ""en"")"),"A. The point goes to the other team B. The game continues C. The point is repeated D. The shot is considered legal")</f>
        <v>A. The point goes to the other team B. The game continues C. The point is repeated D. The shot is considered legal</v>
      </c>
      <c r="I98" s="3" t="str">
        <f>IFERROR(__xludf.DUMMYFUNCTION("GOOGLETRANSLATE(D98, ""it"", ""en"")"),"The point goes to the other team")</f>
        <v>The point goes to the other team</v>
      </c>
      <c r="J98" s="2"/>
      <c r="K98" s="2"/>
      <c r="L98" s="2"/>
      <c r="M98" s="2"/>
      <c r="N98" s="2"/>
      <c r="O98" s="2"/>
      <c r="P98" s="2"/>
      <c r="Q98" s="2"/>
      <c r="R98" s="2"/>
      <c r="S98" s="2"/>
      <c r="T98" s="2"/>
      <c r="U98" s="2"/>
      <c r="V98" s="2"/>
    </row>
    <row r="99" ht="22.5" customHeight="1">
      <c r="A99" s="3">
        <v>98.0</v>
      </c>
      <c r="B99" s="3" t="s">
        <v>1511</v>
      </c>
      <c r="C99" s="3" t="s">
        <v>1383</v>
      </c>
      <c r="D99" s="3" t="s">
        <v>12</v>
      </c>
      <c r="E99" s="2"/>
      <c r="F99" s="3" t="str">
        <f>IFERROR(__xludf.DUMMYFUNCTION("GOOGLETRANSLATE(A99, ""it"", ""en"")"),"98")</f>
        <v>98</v>
      </c>
      <c r="G99" s="3" t="str">
        <f>IFERROR(__xludf.DUMMYFUNCTION("GOOGLETRANSLATE(B99, ""it"", ""en"")"),"A libero hits the ball with his knee in the backcourt. What happens?")</f>
        <v>A libero hits the ball with his knee in the backcourt. What happens?</v>
      </c>
      <c r="H99" s="3" t="str">
        <f>IFERROR(__xludf.DUMMYFUNCTION("GOOGLETRANSLATE(C99, ""it"", ""en"")"),"A. The game continues B. The point goes to the other team C. The point is repeated D. The shot is considered illegal")</f>
        <v>A. The game continues B. The point goes to the other team C. The point is repeated D. The shot is considered illegal</v>
      </c>
      <c r="I99" s="3" t="str">
        <f>IFERROR(__xludf.DUMMYFUNCTION("GOOGLETRANSLATE(D99, ""it"", ""en"")"),"The game continues")</f>
        <v>The game continues</v>
      </c>
      <c r="J99" s="2"/>
      <c r="K99" s="2"/>
      <c r="L99" s="2"/>
      <c r="M99" s="2"/>
      <c r="N99" s="2"/>
      <c r="O99" s="2"/>
      <c r="P99" s="2"/>
      <c r="Q99" s="2"/>
      <c r="R99" s="2"/>
      <c r="S99" s="2"/>
      <c r="T99" s="2"/>
      <c r="U99" s="2"/>
      <c r="V99" s="2"/>
    </row>
    <row r="100" ht="22.5" customHeight="1">
      <c r="A100" s="3">
        <v>99.0</v>
      </c>
      <c r="B100" s="3" t="s">
        <v>1512</v>
      </c>
      <c r="C100" s="3" t="s">
        <v>1513</v>
      </c>
      <c r="D100" s="3" t="s">
        <v>1346</v>
      </c>
      <c r="E100" s="2"/>
      <c r="F100" s="3" t="str">
        <f>IFERROR(__xludf.DUMMYFUNCTION("GOOGLETRANSLATE(A100, ""it"", ""en"")"),"99")</f>
        <v>99</v>
      </c>
      <c r="G100" s="3" t="str">
        <f>IFERROR(__xludf.DUMMYFUNCTION("GOOGLETRANSLATE(B100, ""it"", ""en"")"),"A player attempts a serve but accidentally kicks the ball. What's the ruling?")</f>
        <v>A player attempts a serve but accidentally kicks the ball. What's the ruling?</v>
      </c>
      <c r="H100" s="3" t="str">
        <f>IFERROR(__xludf.DUMMYFUNCTION("GOOGLETRANSLATE(C100, ""it"", ""en"")"),"A. The point goes to the other team B. The game continues C. The point is repeated D. The service is considered valid")</f>
        <v>A. The point goes to the other team B. The game continues C. The point is repeated D. The service is considered valid</v>
      </c>
      <c r="I100" s="3" t="str">
        <f>IFERROR(__xludf.DUMMYFUNCTION("GOOGLETRANSLATE(D100, ""it"", ""en"")"),"The point goes to the other team")</f>
        <v>The point goes to the other team</v>
      </c>
      <c r="J100" s="2"/>
      <c r="K100" s="2"/>
      <c r="L100" s="2"/>
      <c r="M100" s="2"/>
      <c r="N100" s="2"/>
      <c r="O100" s="2"/>
      <c r="P100" s="2"/>
      <c r="Q100" s="2"/>
      <c r="R100" s="2"/>
      <c r="S100" s="2"/>
      <c r="T100" s="2"/>
      <c r="U100" s="2"/>
      <c r="V100" s="2"/>
    </row>
    <row r="101" ht="22.5" customHeight="1">
      <c r="A101" s="3">
        <v>100.0</v>
      </c>
      <c r="B101" s="3" t="s">
        <v>1514</v>
      </c>
      <c r="C101" s="3" t="s">
        <v>1515</v>
      </c>
      <c r="D101" s="3" t="s">
        <v>1346</v>
      </c>
      <c r="E101" s="2"/>
      <c r="F101" s="3" t="str">
        <f>IFERROR(__xludf.DUMMYFUNCTION("GOOGLETRANSLATE(A101, ""it"", ""en"")"),"100")</f>
        <v>100</v>
      </c>
      <c r="G101" s="3" t="str">
        <f>IFERROR(__xludf.DUMMYFUNCTION("GOOGLETRANSLATE(B101, ""it"", ""en"")"),"The ball bounces off the net and lands on the serving team's court. What happens?")</f>
        <v>The ball bounces off the net and lands on the serving team's court. What happens?</v>
      </c>
      <c r="H101" s="3" t="str">
        <f>IFERROR(__xludf.DUMMYFUNCTION("GOOGLETRANSLATE(C101, ""it"", ""en"")"),"A. The point goes to the other team B. The point is retaken C. The game continues D. The ball is considered out")</f>
        <v>A. The point goes to the other team B. The point is retaken C. The game continues D. The ball is considered out</v>
      </c>
      <c r="I101" s="3" t="str">
        <f>IFERROR(__xludf.DUMMYFUNCTION("GOOGLETRANSLATE(D101, ""it"", ""en"")"),"The point goes to the other team")</f>
        <v>The point goes to the other team</v>
      </c>
      <c r="J101" s="2"/>
      <c r="K101" s="2"/>
      <c r="L101" s="2"/>
      <c r="M101" s="2"/>
      <c r="N101" s="2"/>
      <c r="O101" s="2"/>
      <c r="P101" s="2"/>
      <c r="Q101" s="2"/>
      <c r="R101" s="2"/>
      <c r="S101" s="2"/>
      <c r="T101" s="2"/>
      <c r="U101" s="2"/>
      <c r="V101" s="2"/>
    </row>
    <row r="102" ht="22.5" customHeight="1">
      <c r="A102" s="3">
        <v>101.0</v>
      </c>
      <c r="B102" s="3" t="s">
        <v>1516</v>
      </c>
      <c r="C102" s="3" t="s">
        <v>1447</v>
      </c>
      <c r="D102" s="3" t="s">
        <v>976</v>
      </c>
      <c r="E102" s="2"/>
      <c r="F102" s="3" t="str">
        <f>IFERROR(__xludf.DUMMYFUNCTION("GOOGLETRANSLATE(A102, ""it"", ""en"")"),"101")</f>
        <v>101</v>
      </c>
      <c r="G102" s="3" t="str">
        <f>IFERROR(__xludf.DUMMYFUNCTION("GOOGLETRANSLATE(B102, ""it"", ""en"")"),"A player makes an attack over the net but the ball touches the opponent's sideline. What's the ruling?")</f>
        <v>A player makes an attack over the net but the ball touches the opponent's sideline. What's the ruling?</v>
      </c>
      <c r="H102" s="3" t="str">
        <f>IFERROR(__xludf.DUMMYFUNCTION("GOOGLETRANSLATE(C102, ""it"", ""en"")"),"A. The point is valid B. The point is repeated C. The point goes to the other team D. The game is stopped")</f>
        <v>A. The point is valid B. The point is repeated C. The point goes to the other team D. The game is stopped</v>
      </c>
      <c r="I102" s="3" t="str">
        <f>IFERROR(__xludf.DUMMYFUNCTION("GOOGLETRANSLATE(D102, ""it"", ""en"")"),"The point is valid")</f>
        <v>The point is valid</v>
      </c>
      <c r="J102" s="2"/>
      <c r="K102" s="2"/>
      <c r="L102" s="2"/>
      <c r="M102" s="2"/>
      <c r="N102" s="2"/>
      <c r="O102" s="2"/>
      <c r="P102" s="2"/>
      <c r="Q102" s="2"/>
      <c r="R102" s="2"/>
      <c r="S102" s="2"/>
      <c r="T102" s="2"/>
      <c r="U102" s="2"/>
      <c r="V102" s="2"/>
    </row>
    <row r="103" ht="22.5" customHeight="1">
      <c r="A103" s="3">
        <v>102.0</v>
      </c>
      <c r="B103" s="3" t="s">
        <v>1517</v>
      </c>
      <c r="C103" s="3" t="s">
        <v>1505</v>
      </c>
      <c r="D103" s="3" t="s">
        <v>12</v>
      </c>
      <c r="E103" s="2"/>
      <c r="F103" s="3" t="str">
        <f>IFERROR(__xludf.DUMMYFUNCTION("GOOGLETRANSLATE(A103, ""it"", ""en"")"),"102")</f>
        <v>102</v>
      </c>
      <c r="G103" s="3" t="str">
        <f>IFERROR(__xludf.DUMMYFUNCTION("GOOGLETRANSLATE(B103, ""it"", ""en"")"),"A libero catches the ball with the back of his hand. What happens?")</f>
        <v>A libero catches the ball with the back of his hand. What happens?</v>
      </c>
      <c r="H103" s="3" t="str">
        <f>IFERROR(__xludf.DUMMYFUNCTION("GOOGLETRANSLATE(C103, ""it"", ""en"")"),"A. The game continues B. The point goes to the other team C. The point is repeated D. The shot is considered legal")</f>
        <v>A. The game continues B. The point goes to the other team C. The point is repeated D. The shot is considered legal</v>
      </c>
      <c r="I103" s="3" t="str">
        <f>IFERROR(__xludf.DUMMYFUNCTION("GOOGLETRANSLATE(D103, ""it"", ""en"")"),"The game continues")</f>
        <v>The game continues</v>
      </c>
      <c r="J103" s="2"/>
      <c r="K103" s="2"/>
      <c r="L103" s="2"/>
      <c r="M103" s="2"/>
      <c r="N103" s="2"/>
      <c r="O103" s="2"/>
      <c r="P103" s="2"/>
      <c r="Q103" s="2"/>
      <c r="R103" s="2"/>
      <c r="S103" s="2"/>
      <c r="T103" s="2"/>
      <c r="U103" s="2"/>
      <c r="V103" s="2"/>
    </row>
    <row r="104" ht="22.5" customHeight="1">
      <c r="A104" s="3">
        <v>103.0</v>
      </c>
      <c r="B104" s="3" t="s">
        <v>1518</v>
      </c>
      <c r="C104" s="3" t="s">
        <v>1383</v>
      </c>
      <c r="D104" s="3" t="s">
        <v>12</v>
      </c>
      <c r="E104" s="2"/>
      <c r="F104" s="3" t="str">
        <f>IFERROR(__xludf.DUMMYFUNCTION("GOOGLETRANSLATE(A104, ""it"", ""en"")"),"103")</f>
        <v>103</v>
      </c>
      <c r="G104" s="3" t="str">
        <f>IFERROR(__xludf.DUMMYFUNCTION("GOOGLETRANSLATE(B104, ""it"", ""en"")"),"A player attempts an attack but the ball hits the opposing wall first. What's the decision?")</f>
        <v>A player attempts an attack but the ball hits the opposing wall first. What's the decision?</v>
      </c>
      <c r="H104" s="3" t="str">
        <f>IFERROR(__xludf.DUMMYFUNCTION("GOOGLETRANSLATE(C104, ""it"", ""en"")"),"A. The game continues B. The point goes to the other team C. The point is repeated D. The shot is considered illegal")</f>
        <v>A. The game continues B. The point goes to the other team C. The point is repeated D. The shot is considered illegal</v>
      </c>
      <c r="I104" s="3" t="str">
        <f>IFERROR(__xludf.DUMMYFUNCTION("GOOGLETRANSLATE(D104, ""it"", ""en"")"),"The game continues")</f>
        <v>The game continues</v>
      </c>
      <c r="J104" s="2"/>
      <c r="K104" s="2"/>
      <c r="L104" s="2"/>
      <c r="M104" s="2"/>
      <c r="N104" s="2"/>
      <c r="O104" s="2"/>
      <c r="P104" s="2"/>
      <c r="Q104" s="2"/>
      <c r="R104" s="2"/>
      <c r="S104" s="2"/>
      <c r="T104" s="2"/>
      <c r="U104" s="2"/>
      <c r="V104" s="2"/>
    </row>
    <row r="105" ht="22.5" customHeight="1">
      <c r="A105" s="3">
        <v>104.0</v>
      </c>
      <c r="B105" s="3" t="s">
        <v>1519</v>
      </c>
      <c r="C105" s="3" t="s">
        <v>1520</v>
      </c>
      <c r="D105" s="3" t="s">
        <v>12</v>
      </c>
      <c r="E105" s="2"/>
      <c r="F105" s="3" t="str">
        <f>IFERROR(__xludf.DUMMYFUNCTION("GOOGLETRANSLATE(A105, ""it"", ""en"")"),"104")</f>
        <v>104</v>
      </c>
      <c r="G105" s="3" t="str">
        <f>IFERROR(__xludf.DUMMYFUNCTION("GOOGLETRANSLATE(B105, ""it"", ""en"")"),"The ball is played out of bounds and returns through the net. What happens?")</f>
        <v>The ball is played out of bounds and returns through the net. What happens?</v>
      </c>
      <c r="H105" s="3" t="str">
        <f>IFERROR(__xludf.DUMMYFUNCTION("GOOGLETRANSLATE(C105, ""it"", ""en"")"),"A. The game continues B. The point goes to the other team C. The point is retaken D. The ball is considered out")</f>
        <v>A. The game continues B. The point goes to the other team C. The point is retaken D. The ball is considered out</v>
      </c>
      <c r="I105" s="3" t="str">
        <f>IFERROR(__xludf.DUMMYFUNCTION("GOOGLETRANSLATE(D105, ""it"", ""en"")"),"The game continues")</f>
        <v>The game continues</v>
      </c>
      <c r="J105" s="2"/>
      <c r="K105" s="2"/>
      <c r="L105" s="2"/>
      <c r="M105" s="2"/>
      <c r="N105" s="2"/>
      <c r="O105" s="2"/>
      <c r="P105" s="2"/>
      <c r="Q105" s="2"/>
      <c r="R105" s="2"/>
      <c r="S105" s="2"/>
      <c r="T105" s="2"/>
      <c r="U105" s="2"/>
      <c r="V105" s="2"/>
    </row>
    <row r="106" ht="22.5" customHeight="1">
      <c r="A106" s="3">
        <v>105.0</v>
      </c>
      <c r="B106" s="3" t="s">
        <v>1521</v>
      </c>
      <c r="C106" s="3" t="s">
        <v>1360</v>
      </c>
      <c r="D106" s="3" t="s">
        <v>1346</v>
      </c>
      <c r="E106" s="2"/>
      <c r="F106" s="3" t="str">
        <f>IFERROR(__xludf.DUMMYFUNCTION("GOOGLETRANSLATE(A106, ""it"", ""en"")"),"105")</f>
        <v>105</v>
      </c>
      <c r="G106" s="3" t="str">
        <f>IFERROR(__xludf.DUMMYFUNCTION("GOOGLETRANSLATE(B106, ""it"", ""en"")"),"A player accidentally touches the net with his foot during a play. What's the decision?")</f>
        <v>A player accidentally touches the net with his foot during a play. What's the decision?</v>
      </c>
      <c r="H106" s="3" t="str">
        <f>IFERROR(__xludf.DUMMYFUNCTION("GOOGLETRANSLATE(C106, ""it"", ""en"")"),"A. The point goes to the other team B. The game continues C. The point is retaken D. The player is cautioned")</f>
        <v>A. The point goes to the other team B. The game continues C. The point is retaken D. The player is cautioned</v>
      </c>
      <c r="I106" s="3" t="str">
        <f>IFERROR(__xludf.DUMMYFUNCTION("GOOGLETRANSLATE(D106, ""it"", ""en"")"),"The point goes to the other team")</f>
        <v>The point goes to the other team</v>
      </c>
      <c r="J106" s="2"/>
      <c r="K106" s="2"/>
      <c r="L106" s="2"/>
      <c r="M106" s="2"/>
      <c r="N106" s="2"/>
      <c r="O106" s="2"/>
      <c r="P106" s="2"/>
      <c r="Q106" s="2"/>
      <c r="R106" s="2"/>
      <c r="S106" s="2"/>
      <c r="T106" s="2"/>
      <c r="U106" s="2"/>
      <c r="V106" s="2"/>
    </row>
    <row r="107" ht="22.5" customHeight="1">
      <c r="A107" s="3">
        <v>106.0</v>
      </c>
      <c r="B107" s="3" t="s">
        <v>1522</v>
      </c>
      <c r="C107" s="3" t="s">
        <v>1523</v>
      </c>
      <c r="D107" s="3" t="s">
        <v>707</v>
      </c>
      <c r="E107" s="2"/>
      <c r="F107" s="3" t="str">
        <f>IFERROR(__xludf.DUMMYFUNCTION("GOOGLETRANSLATE(A107, ""it"", ""en"")"),"106")</f>
        <v>106</v>
      </c>
      <c r="G107" s="3" t="str">
        <f>IFERROR(__xludf.DUMMYFUNCTION("GOOGLETRANSLATE(B107, ""it"", ""en"")"),"A player keeps complaining to the referee. What's going on?")</f>
        <v>A player keeps complaining to the referee. What's going on?</v>
      </c>
      <c r="H107" s="3" t="str">
        <f>IFERROR(__xludf.DUMMYFUNCTION("GOOGLETRANSLATE(C107, ""it"", ""en"")"),"A. The player is cautioned B. The game continues C. The point is retaken D. The point goes to the other team")</f>
        <v>A. The player is cautioned B. The game continues C. The point is retaken D. The point goes to the other team</v>
      </c>
      <c r="I107" s="3" t="str">
        <f>IFERROR(__xludf.DUMMYFUNCTION("GOOGLETRANSLATE(D107, ""it"", ""en"")"),"The player is cautioned")</f>
        <v>The player is cautioned</v>
      </c>
      <c r="J107" s="2"/>
      <c r="K107" s="2"/>
      <c r="L107" s="2"/>
      <c r="M107" s="2"/>
      <c r="N107" s="2"/>
      <c r="O107" s="2"/>
      <c r="P107" s="2"/>
      <c r="Q107" s="2"/>
      <c r="R107" s="2"/>
      <c r="S107" s="2"/>
      <c r="T107" s="2"/>
      <c r="U107" s="2"/>
      <c r="V107" s="2"/>
    </row>
    <row r="108" ht="22.5" customHeight="1">
      <c r="A108" s="3">
        <v>107.0</v>
      </c>
      <c r="B108" s="3" t="s">
        <v>1524</v>
      </c>
      <c r="C108" s="3" t="s">
        <v>1472</v>
      </c>
      <c r="D108" s="3" t="s">
        <v>12</v>
      </c>
      <c r="E108" s="2"/>
      <c r="F108" s="3" t="str">
        <f>IFERROR(__xludf.DUMMYFUNCTION("GOOGLETRANSLATE(A108, ""it"", ""en"")"),"107")</f>
        <v>107</v>
      </c>
      <c r="G108" s="3" t="str">
        <f>IFERROR(__xludf.DUMMYFUNCTION("GOOGLETRANSLATE(B108, ""it"", ""en"")"),"A coach suggests a tactic to his players while the game is in progress. What happens?")</f>
        <v>A coach suggests a tactic to his players while the game is in progress. What happens?</v>
      </c>
      <c r="H108" s="3" t="str">
        <f>IFERROR(__xludf.DUMMYFUNCTION("GOOGLETRANSLATE(C108, ""it"", ""en"")"),"A. The game continues B. The point is repeated C. The point goes to the other team D. The player is cautioned")</f>
        <v>A. The game continues B. The point is repeated C. The point goes to the other team D. The player is cautioned</v>
      </c>
      <c r="I108" s="3" t="str">
        <f>IFERROR(__xludf.DUMMYFUNCTION("GOOGLETRANSLATE(D108, ""it"", ""en"")"),"The game continues")</f>
        <v>The game continues</v>
      </c>
      <c r="J108" s="2"/>
      <c r="K108" s="2"/>
      <c r="L108" s="2"/>
      <c r="M108" s="2"/>
      <c r="N108" s="2"/>
      <c r="O108" s="2"/>
      <c r="P108" s="2"/>
      <c r="Q108" s="2"/>
      <c r="R108" s="2"/>
      <c r="S108" s="2"/>
      <c r="T108" s="2"/>
      <c r="U108" s="2"/>
      <c r="V108" s="2"/>
    </row>
    <row r="109" ht="22.5" customHeight="1">
      <c r="A109" s="3">
        <v>108.0</v>
      </c>
      <c r="B109" s="3" t="s">
        <v>1525</v>
      </c>
      <c r="C109" s="3" t="s">
        <v>1383</v>
      </c>
      <c r="D109" s="3" t="s">
        <v>12</v>
      </c>
      <c r="E109" s="2"/>
      <c r="F109" s="3" t="str">
        <f>IFERROR(__xludf.DUMMYFUNCTION("GOOGLETRANSLATE(A109, ""it"", ""en"")"),"108")</f>
        <v>108</v>
      </c>
      <c r="G109" s="3" t="str">
        <f>IFERROR(__xludf.DUMMYFUNCTION("GOOGLETRANSLATE(B109, ""it"", ""en"")"),"A player lifts the ball with both hands for a teammate. What's the decision?")</f>
        <v>A player lifts the ball with both hands for a teammate. What's the decision?</v>
      </c>
      <c r="H109" s="3" t="str">
        <f>IFERROR(__xludf.DUMMYFUNCTION("GOOGLETRANSLATE(C109, ""it"", ""en"")"),"A. The game continues B. The point goes to the other team C. The point is repeated D. The shot is considered illegal")</f>
        <v>A. The game continues B. The point goes to the other team C. The point is repeated D. The shot is considered illegal</v>
      </c>
      <c r="I109" s="3" t="str">
        <f>IFERROR(__xludf.DUMMYFUNCTION("GOOGLETRANSLATE(D109, ""it"", ""en"")"),"The game continues")</f>
        <v>The game continues</v>
      </c>
      <c r="J109" s="2"/>
      <c r="K109" s="2"/>
      <c r="L109" s="2"/>
      <c r="M109" s="2"/>
      <c r="N109" s="2"/>
      <c r="O109" s="2"/>
      <c r="P109" s="2"/>
      <c r="Q109" s="2"/>
      <c r="R109" s="2"/>
      <c r="S109" s="2"/>
      <c r="T109" s="2"/>
      <c r="U109" s="2"/>
      <c r="V109" s="2"/>
    </row>
    <row r="110" ht="22.5" customHeight="1">
      <c r="A110" s="3">
        <v>109.0</v>
      </c>
      <c r="B110" s="3" t="s">
        <v>1526</v>
      </c>
      <c r="C110" s="3" t="s">
        <v>1527</v>
      </c>
      <c r="D110" s="3" t="s">
        <v>1346</v>
      </c>
      <c r="E110" s="2"/>
      <c r="F110" s="3" t="str">
        <f>IFERROR(__xludf.DUMMYFUNCTION("GOOGLETRANSLATE(A110, ""it"", ""en"")"),"109")</f>
        <v>109</v>
      </c>
      <c r="G110" s="3" t="str">
        <f>IFERROR(__xludf.DUMMYFUNCTION("GOOGLETRANSLATE(B110, ""it"", ""en"")"),"A player throws the ball over the net without hitting it. What happens?")</f>
        <v>A player throws the ball over the net without hitting it. What happens?</v>
      </c>
      <c r="H110" s="3" t="str">
        <f>IFERROR(__xludf.DUMMYFUNCTION("GOOGLETRANSLATE(C110, ""it"", ""en"")"),"A. The point goes to the other team B. The game continues C. The point is repeated D. The throw is considered legal")</f>
        <v>A. The point goes to the other team B. The game continues C. The point is repeated D. The throw is considered legal</v>
      </c>
      <c r="I110" s="3" t="str">
        <f>IFERROR(__xludf.DUMMYFUNCTION("GOOGLETRANSLATE(D110, ""it"", ""en"")"),"The point goes to the other team")</f>
        <v>The point goes to the other team</v>
      </c>
      <c r="J110" s="2"/>
      <c r="K110" s="2"/>
      <c r="L110" s="2"/>
      <c r="M110" s="2"/>
      <c r="N110" s="2"/>
      <c r="O110" s="2"/>
      <c r="P110" s="2"/>
      <c r="Q110" s="2"/>
      <c r="R110" s="2"/>
      <c r="S110" s="2"/>
      <c r="T110" s="2"/>
      <c r="U110" s="2"/>
      <c r="V110" s="2"/>
    </row>
    <row r="111" ht="22.5" customHeight="1">
      <c r="A111" s="3">
        <v>110.0</v>
      </c>
      <c r="B111" s="3" t="s">
        <v>1528</v>
      </c>
      <c r="C111" s="3" t="s">
        <v>1493</v>
      </c>
      <c r="D111" s="3" t="s">
        <v>1346</v>
      </c>
      <c r="E111" s="2"/>
      <c r="F111" s="3" t="str">
        <f>IFERROR(__xludf.DUMMYFUNCTION("GOOGLETRANSLATE(A111, ""it"", ""en"")"),"110")</f>
        <v>110</v>
      </c>
      <c r="G111" s="3" t="str">
        <f>IFERROR(__xludf.DUMMYFUNCTION("GOOGLETRANSLATE(B111, ""it"", ""en"")"),"The ball is hit three times in a row by the same team. What's the decision?")</f>
        <v>The ball is hit three times in a row by the same team. What's the decision?</v>
      </c>
      <c r="H111" s="3" t="str">
        <f>IFERROR(__xludf.DUMMYFUNCTION("GOOGLETRANSLATE(C111, ""it"", ""en"")"),"A. The point goes to the other team B. The game continues C. The point is repeated D. The shot is considered legal")</f>
        <v>A. The point goes to the other team B. The game continues C. The point is repeated D. The shot is considered legal</v>
      </c>
      <c r="I111" s="3" t="str">
        <f>IFERROR(__xludf.DUMMYFUNCTION("GOOGLETRANSLATE(D111, ""it"", ""en"")"),"The point goes to the other team")</f>
        <v>The point goes to the other team</v>
      </c>
      <c r="J111" s="2"/>
      <c r="K111" s="2"/>
      <c r="L111" s="2"/>
      <c r="M111" s="2"/>
      <c r="N111" s="2"/>
      <c r="O111" s="2"/>
      <c r="P111" s="2"/>
      <c r="Q111" s="2"/>
      <c r="R111" s="2"/>
      <c r="S111" s="2"/>
      <c r="T111" s="2"/>
      <c r="U111" s="2"/>
      <c r="V111" s="2"/>
    </row>
    <row r="112" ht="22.5" customHeight="1">
      <c r="A112" s="3">
        <v>111.0</v>
      </c>
      <c r="B112" s="3" t="s">
        <v>1529</v>
      </c>
      <c r="C112" s="3" t="s">
        <v>1419</v>
      </c>
      <c r="D112" s="3" t="s">
        <v>12</v>
      </c>
      <c r="E112" s="2"/>
      <c r="F112" s="3" t="str">
        <f>IFERROR(__xludf.DUMMYFUNCTION("GOOGLETRANSLATE(A112, ""it"", ""en"")"),"111")</f>
        <v>111</v>
      </c>
      <c r="G112" s="3" t="str">
        <f>IFERROR(__xludf.DUMMYFUNCTION("GOOGLETRANSLATE(B112, ""it"", ""en"")"),"A player collides with a teammate while trying to hit the ball. What happens?")</f>
        <v>A player collides with a teammate while trying to hit the ball. What happens?</v>
      </c>
      <c r="H112" s="3" t="str">
        <f>IFERROR(__xludf.DUMMYFUNCTION("GOOGLETRANSLATE(C112, ""it"", ""en"")"),"A. The game continues B. The point is repeated C. The point goes to the other team D. The shot is considered illegal")</f>
        <v>A. The game continues B. The point is repeated C. The point goes to the other team D. The shot is considered illegal</v>
      </c>
      <c r="I112" s="3" t="str">
        <f>IFERROR(__xludf.DUMMYFUNCTION("GOOGLETRANSLATE(D112, ""it"", ""en"")"),"The game continues")</f>
        <v>The game continues</v>
      </c>
      <c r="J112" s="2"/>
      <c r="K112" s="2"/>
      <c r="L112" s="2"/>
      <c r="M112" s="2"/>
      <c r="N112" s="2"/>
      <c r="O112" s="2"/>
      <c r="P112" s="2"/>
      <c r="Q112" s="2"/>
      <c r="R112" s="2"/>
      <c r="S112" s="2"/>
      <c r="T112" s="2"/>
      <c r="U112" s="2"/>
      <c r="V112" s="2"/>
    </row>
    <row r="113" ht="22.5" customHeight="1">
      <c r="A113" s="3">
        <v>112.0</v>
      </c>
      <c r="B113" s="3" t="s">
        <v>1530</v>
      </c>
      <c r="C113" s="3" t="s">
        <v>1513</v>
      </c>
      <c r="D113" s="3" t="s">
        <v>1346</v>
      </c>
      <c r="E113" s="2"/>
      <c r="F113" s="3" t="str">
        <f>IFERROR(__xludf.DUMMYFUNCTION("GOOGLETRANSLATE(A113, ""it"", ""en"")"),"112")</f>
        <v>112</v>
      </c>
      <c r="G113" s="3" t="str">
        <f>IFERROR(__xludf.DUMMYFUNCTION("GOOGLETRANSLATE(B113, ""it"", ""en"")"),"A player serves but crosses the baseline. What's the ruling?")</f>
        <v>A player serves but crosses the baseline. What's the ruling?</v>
      </c>
      <c r="H113" s="3" t="str">
        <f>IFERROR(__xludf.DUMMYFUNCTION("GOOGLETRANSLATE(C113, ""it"", ""en"")"),"A. The point goes to the other team B. The game continues C. The point is repeated D. The service is considered valid")</f>
        <v>A. The point goes to the other team B. The game continues C. The point is repeated D. The service is considered valid</v>
      </c>
      <c r="I113" s="3" t="str">
        <f>IFERROR(__xludf.DUMMYFUNCTION("GOOGLETRANSLATE(D113, ""it"", ""en"")"),"The point goes to the other team")</f>
        <v>The point goes to the other team</v>
      </c>
      <c r="J113" s="2"/>
      <c r="K113" s="2"/>
      <c r="L113" s="2"/>
      <c r="M113" s="2"/>
      <c r="N113" s="2"/>
      <c r="O113" s="2"/>
      <c r="P113" s="2"/>
      <c r="Q113" s="2"/>
      <c r="R113" s="2"/>
      <c r="S113" s="2"/>
      <c r="T113" s="2"/>
      <c r="U113" s="2"/>
      <c r="V113" s="2"/>
    </row>
    <row r="114" ht="22.5" customHeight="1">
      <c r="A114" s="3">
        <v>113.0</v>
      </c>
      <c r="B114" s="3" t="s">
        <v>1531</v>
      </c>
      <c r="C114" s="3" t="s">
        <v>1532</v>
      </c>
      <c r="D114" s="3" t="s">
        <v>12</v>
      </c>
      <c r="E114" s="2"/>
      <c r="F114" s="3" t="str">
        <f>IFERROR(__xludf.DUMMYFUNCTION("GOOGLETRANSLATE(A114, ""it"", ""en"")"),"113")</f>
        <v>113</v>
      </c>
      <c r="G114" s="3" t="str">
        <f>IFERROR(__xludf.DUMMYFUNCTION("GOOGLETRANSLATE(B114, ""it"", ""en"")"),"A libero plays a ball over his head near the net. What happens?")</f>
        <v>A libero plays a ball over his head near the net. What happens?</v>
      </c>
      <c r="H114" s="3" t="str">
        <f>IFERROR(__xludf.DUMMYFUNCTION("GOOGLETRANSLATE(C114, ""it"", ""en"")"),"A. The game continues B. The point goes to the other team C. The point is retaken D. The libero is cautioned")</f>
        <v>A. The game continues B. The point goes to the other team C. The point is retaken D. The libero is cautioned</v>
      </c>
      <c r="I114" s="3" t="str">
        <f>IFERROR(__xludf.DUMMYFUNCTION("GOOGLETRANSLATE(D114, ""it"", ""en"")"),"The game continues")</f>
        <v>The game continues</v>
      </c>
      <c r="J114" s="2"/>
      <c r="K114" s="2"/>
      <c r="L114" s="2"/>
      <c r="M114" s="2"/>
      <c r="N114" s="2"/>
      <c r="O114" s="2"/>
      <c r="P114" s="2"/>
      <c r="Q114" s="2"/>
      <c r="R114" s="2"/>
      <c r="S114" s="2"/>
      <c r="T114" s="2"/>
      <c r="U114" s="2"/>
      <c r="V114" s="2"/>
    </row>
    <row r="115" ht="22.5" customHeight="1">
      <c r="A115" s="3">
        <v>114.0</v>
      </c>
      <c r="B115" s="3" t="s">
        <v>1533</v>
      </c>
      <c r="C115" s="3" t="s">
        <v>1534</v>
      </c>
      <c r="D115" s="3" t="s">
        <v>1535</v>
      </c>
      <c r="E115" s="2"/>
      <c r="F115" s="3" t="str">
        <f>IFERROR(__xludf.DUMMYFUNCTION("GOOGLETRANSLATE(A115, ""it"", ""en"")"),"114")</f>
        <v>114</v>
      </c>
      <c r="G115" s="3" t="str">
        <f>IFERROR(__xludf.DUMMYFUNCTION("GOOGLETRANSLATE(B115, ""it"", ""en"")"),"A player doesn't show up when called for substitution. What happens?")</f>
        <v>A player doesn't show up when called for substitution. What happens?</v>
      </c>
      <c r="H115" s="3" t="str">
        <f>IFERROR(__xludf.DUMMYFUNCTION("GOOGLETRANSLATE(C115, ""it"", ""en"")"),"A. The game continues B. The point goes to the other team C. The substitution is invalid D. The player is cautioned")</f>
        <v>A. The game continues B. The point goes to the other team C. The substitution is invalid D. The player is cautioned</v>
      </c>
      <c r="I115" s="3" t="str">
        <f>IFERROR(__xludf.DUMMYFUNCTION("GOOGLETRANSLATE(D115, ""it"", ""en"")"),"The replacement is not valid")</f>
        <v>The replacement is not valid</v>
      </c>
      <c r="J115" s="2"/>
      <c r="K115" s="2"/>
      <c r="L115" s="2"/>
      <c r="M115" s="2"/>
      <c r="N115" s="2"/>
      <c r="O115" s="2"/>
      <c r="P115" s="2"/>
      <c r="Q115" s="2"/>
      <c r="R115" s="2"/>
      <c r="S115" s="2"/>
      <c r="T115" s="2"/>
      <c r="U115" s="2"/>
      <c r="V115" s="2"/>
    </row>
    <row r="116" ht="22.5" customHeight="1">
      <c r="A116" s="3">
        <v>115.0</v>
      </c>
      <c r="B116" s="3" t="s">
        <v>1536</v>
      </c>
      <c r="C116" s="3" t="s">
        <v>1447</v>
      </c>
      <c r="D116" s="3" t="s">
        <v>976</v>
      </c>
      <c r="E116" s="2"/>
      <c r="F116" s="3" t="str">
        <f>IFERROR(__xludf.DUMMYFUNCTION("GOOGLETRANSLATE(A116, ""it"", ""en"")"),"115")</f>
        <v>115</v>
      </c>
      <c r="G116" s="3" t="str">
        <f>IFERROR(__xludf.DUMMYFUNCTION("GOOGLETRANSLATE(B116, ""it"", ""en"")"),"The ball lands squarely in the opponent's corner. What's the decision?")</f>
        <v>The ball lands squarely in the opponent's corner. What's the decision?</v>
      </c>
      <c r="H116" s="3" t="str">
        <f>IFERROR(__xludf.DUMMYFUNCTION("GOOGLETRANSLATE(C116, ""it"", ""en"")"),"A. The point is valid B. The point is repeated C. The point goes to the other team D. The game is stopped")</f>
        <v>A. The point is valid B. The point is repeated C. The point goes to the other team D. The game is stopped</v>
      </c>
      <c r="I116" s="3" t="str">
        <f>IFERROR(__xludf.DUMMYFUNCTION("GOOGLETRANSLATE(D116, ""it"", ""en"")"),"The point is valid")</f>
        <v>The point is valid</v>
      </c>
      <c r="J116" s="2"/>
      <c r="K116" s="2"/>
      <c r="L116" s="2"/>
      <c r="M116" s="2"/>
      <c r="N116" s="2"/>
      <c r="O116" s="2"/>
      <c r="P116" s="2"/>
      <c r="Q116" s="2"/>
      <c r="R116" s="2"/>
      <c r="S116" s="2"/>
      <c r="T116" s="2"/>
      <c r="U116" s="2"/>
      <c r="V116" s="2"/>
    </row>
    <row r="117" ht="22.5" customHeight="1">
      <c r="A117" s="3">
        <v>116.0</v>
      </c>
      <c r="B117" s="3" t="s">
        <v>1537</v>
      </c>
      <c r="C117" s="3" t="s">
        <v>1383</v>
      </c>
      <c r="D117" s="3" t="s">
        <v>1538</v>
      </c>
      <c r="E117" s="2"/>
      <c r="F117" s="3" t="str">
        <f>IFERROR(__xludf.DUMMYFUNCTION("GOOGLETRANSLATE(A117, ""it"", ""en"")"),"116")</f>
        <v>116</v>
      </c>
      <c r="G117" s="3" t="str">
        <f>IFERROR(__xludf.DUMMYFUNCTION("GOOGLETRANSLATE(B117, ""it"", ""en"")"),"A player hits the ball with his palm open. What's the decision?")</f>
        <v>A player hits the ball with his palm open. What's the decision?</v>
      </c>
      <c r="H117" s="3" t="str">
        <f>IFERROR(__xludf.DUMMYFUNCTION("GOOGLETRANSLATE(C117, ""it"", ""en"")"),"A. The game continues B. The point goes to the other team C. The point is repeated D. The shot is considered illegal")</f>
        <v>A. The game continues B. The point goes to the other team C. The point is repeated D. The shot is considered illegal</v>
      </c>
      <c r="I117" s="3" t="str">
        <f>IFERROR(__xludf.DUMMYFUNCTION("GOOGLETRANSLATE(D117, ""it"", ""en"")"),"The shot is considered irregular")</f>
        <v>The shot is considered irregular</v>
      </c>
      <c r="J117" s="2"/>
      <c r="K117" s="2"/>
      <c r="L117" s="2"/>
      <c r="M117" s="2"/>
      <c r="N117" s="2"/>
      <c r="O117" s="2"/>
      <c r="P117" s="2"/>
      <c r="Q117" s="2"/>
      <c r="R117" s="2"/>
      <c r="S117" s="2"/>
      <c r="T117" s="2"/>
      <c r="U117" s="2"/>
      <c r="V117" s="2"/>
    </row>
    <row r="118" ht="22.5" customHeight="1">
      <c r="A118" s="3">
        <v>117.0</v>
      </c>
      <c r="B118" s="3" t="s">
        <v>1539</v>
      </c>
      <c r="C118" s="3" t="s">
        <v>1540</v>
      </c>
      <c r="D118" s="3" t="s">
        <v>1346</v>
      </c>
      <c r="E118" s="2"/>
      <c r="F118" s="3" t="str">
        <f>IFERROR(__xludf.DUMMYFUNCTION("GOOGLETRANSLATE(A118, ""it"", ""en"")"),"117")</f>
        <v>117</v>
      </c>
      <c r="G118" s="3" t="str">
        <f>IFERROR(__xludf.DUMMYFUNCTION("GOOGLETRANSLATE(B118, ""it"", ""en"")"),"A player hits the ball but it doesn't go through the net. What happens?")</f>
        <v>A player hits the ball but it doesn't go through the net. What happens?</v>
      </c>
      <c r="H118" s="3" t="str">
        <f>IFERROR(__xludf.DUMMYFUNCTION("GOOGLETRANSLATE(C118, ""it"", ""en"")"),"A. The point goes to the other team B. The game continues C. The point is retaken D. The ball is considered valid")</f>
        <v>A. The point goes to the other team B. The game continues C. The point is retaken D. The ball is considered valid</v>
      </c>
      <c r="I118" s="3" t="str">
        <f>IFERROR(__xludf.DUMMYFUNCTION("GOOGLETRANSLATE(D118, ""it"", ""en"")"),"The point goes to the other team")</f>
        <v>The point goes to the other team</v>
      </c>
      <c r="J118" s="2"/>
      <c r="K118" s="2"/>
      <c r="L118" s="2"/>
      <c r="M118" s="2"/>
      <c r="N118" s="2"/>
      <c r="O118" s="2"/>
      <c r="P118" s="2"/>
      <c r="Q118" s="2"/>
      <c r="R118" s="2"/>
      <c r="S118" s="2"/>
      <c r="T118" s="2"/>
      <c r="U118" s="2"/>
      <c r="V118" s="2"/>
    </row>
    <row r="119" ht="22.5" customHeight="1">
      <c r="A119" s="3">
        <v>118.0</v>
      </c>
      <c r="B119" s="3" t="s">
        <v>1541</v>
      </c>
      <c r="C119" s="3" t="s">
        <v>1501</v>
      </c>
      <c r="D119" s="3" t="s">
        <v>1346</v>
      </c>
      <c r="E119" s="2"/>
      <c r="F119" s="3" t="str">
        <f>IFERROR(__xludf.DUMMYFUNCTION("GOOGLETRANSLATE(A119, ""it"", ""en"")"),"118")</f>
        <v>118</v>
      </c>
      <c r="G119" s="3" t="str">
        <f>IFERROR(__xludf.DUMMYFUNCTION("GOOGLETRANSLATE(B119, ""it"", ""en"")"),"A libero makes an attacking shot by jumping from the backcourt. What's the decision?")</f>
        <v>A libero makes an attacking shot by jumping from the backcourt. What's the decision?</v>
      </c>
      <c r="H119" s="3" t="str">
        <f>IFERROR(__xludf.DUMMYFUNCTION("GOOGLETRANSLATE(C119, ""it"", ""en"")"),"A. The point goes to the other team B. The game continues C. The point is retaken D. The libero is cautioned")</f>
        <v>A. The point goes to the other team B. The game continues C. The point is retaken D. The libero is cautioned</v>
      </c>
      <c r="I119" s="3" t="str">
        <f>IFERROR(__xludf.DUMMYFUNCTION("GOOGLETRANSLATE(D119, ""it"", ""en"")"),"The point goes to the other team")</f>
        <v>The point goes to the other team</v>
      </c>
      <c r="J119" s="2"/>
      <c r="K119" s="2"/>
      <c r="L119" s="2"/>
      <c r="M119" s="2"/>
      <c r="N119" s="2"/>
      <c r="O119" s="2"/>
      <c r="P119" s="2"/>
      <c r="Q119" s="2"/>
      <c r="R119" s="2"/>
      <c r="S119" s="2"/>
      <c r="T119" s="2"/>
      <c r="U119" s="2"/>
      <c r="V119" s="2"/>
    </row>
    <row r="120" ht="22.5" customHeight="1">
      <c r="A120" s="3">
        <v>119.0</v>
      </c>
      <c r="B120" s="3" t="s">
        <v>1542</v>
      </c>
      <c r="C120" s="3" t="s">
        <v>1543</v>
      </c>
      <c r="D120" s="3" t="s">
        <v>1433</v>
      </c>
      <c r="E120" s="2"/>
      <c r="F120" s="3" t="str">
        <f>IFERROR(__xludf.DUMMYFUNCTION("GOOGLETRANSLATE(A120, ""it"", ""en"")"),"119")</f>
        <v>119</v>
      </c>
      <c r="G120" s="3" t="str">
        <f>IFERROR(__xludf.DUMMYFUNCTION("GOOGLETRANSLATE(B120, ""it"", ""en"")"),"A coach calls a timeout while the ball is in play. What happens?")</f>
        <v>A coach calls a timeout while the ball is in play. What happens?</v>
      </c>
      <c r="H120" s="3" t="str">
        <f>IFERROR(__xludf.DUMMYFUNCTION("GOOGLETRANSLATE(C120, ""it"", ""en"")"),"A. The game continues B. The point is retaken C. The coach is cautioned D. A time-out is granted")</f>
        <v>A. The game continues B. The point is retaken C. The coach is cautioned D. A time-out is granted</v>
      </c>
      <c r="I120" s="3" t="str">
        <f>IFERROR(__xludf.DUMMYFUNCTION("GOOGLETRANSLATE(D120, ""it"", ""en"")"),"The coach is cautioned")</f>
        <v>The coach is cautioned</v>
      </c>
      <c r="J120" s="2"/>
      <c r="K120" s="2"/>
      <c r="L120" s="2"/>
      <c r="M120" s="2"/>
      <c r="N120" s="2"/>
      <c r="O120" s="2"/>
      <c r="P120" s="2"/>
      <c r="Q120" s="2"/>
      <c r="R120" s="2"/>
      <c r="S120" s="2"/>
      <c r="T120" s="2"/>
      <c r="U120" s="2"/>
      <c r="V120" s="2"/>
    </row>
    <row r="121" ht="22.5" customHeight="1">
      <c r="A121" s="3">
        <v>120.0</v>
      </c>
      <c r="B121" s="3" t="s">
        <v>1544</v>
      </c>
      <c r="C121" s="3" t="s">
        <v>1545</v>
      </c>
      <c r="D121" s="3" t="s">
        <v>976</v>
      </c>
      <c r="E121" s="2"/>
      <c r="F121" s="3" t="str">
        <f>IFERROR(__xludf.DUMMYFUNCTION("GOOGLETRANSLATE(A121, ""it"", ""en"")"),"120")</f>
        <v>120</v>
      </c>
      <c r="G121" s="3" t="str">
        <f>IFERROR(__xludf.DUMMYFUNCTION("GOOGLETRANSLATE(B121, ""it"", ""en"")"),"The ball hits the top of the net and lands in the opponent's court. What's the decision?")</f>
        <v>The ball hits the top of the net and lands in the opponent's court. What's the decision?</v>
      </c>
      <c r="H121" s="3" t="str">
        <f>IFERROR(__xludf.DUMMYFUNCTION("GOOGLETRANSLATE(C121, ""it"", ""en"")"),"A. The game continues B. The point is valid C. The point is repeated D. The point goes to the other team")</f>
        <v>A. The game continues B. The point is valid C. The point is repeated D. The point goes to the other team</v>
      </c>
      <c r="I121" s="3" t="str">
        <f>IFERROR(__xludf.DUMMYFUNCTION("GOOGLETRANSLATE(D121, ""it"", ""en"")"),"The point is valid")</f>
        <v>The point is valid</v>
      </c>
      <c r="J121" s="2"/>
      <c r="K121" s="2"/>
      <c r="L121" s="2"/>
      <c r="M121" s="2"/>
      <c r="N121" s="2"/>
      <c r="O121" s="2"/>
      <c r="P121" s="2"/>
      <c r="Q121" s="2"/>
      <c r="R121" s="2"/>
      <c r="S121" s="2"/>
      <c r="T121" s="2"/>
      <c r="U121" s="2"/>
      <c r="V121" s="2"/>
    </row>
    <row r="122" ht="22.5" customHeight="1">
      <c r="A122" s="3">
        <v>121.0</v>
      </c>
      <c r="B122" s="3" t="s">
        <v>1546</v>
      </c>
      <c r="C122" s="3" t="s">
        <v>1383</v>
      </c>
      <c r="D122" s="3" t="s">
        <v>1346</v>
      </c>
      <c r="E122" s="2"/>
      <c r="F122" s="3" t="str">
        <f>IFERROR(__xludf.DUMMYFUNCTION("GOOGLETRANSLATE(A122, ""it"", ""en"")"),"121")</f>
        <v>121</v>
      </c>
      <c r="G122" s="3" t="str">
        <f>IFERROR(__xludf.DUMMYFUNCTION("GOOGLETRANSLATE(B122, ""it"", ""en"")"),"A player tries to spike, but the ball hits the wall and bounces back. What happens?")</f>
        <v>A player tries to spike, but the ball hits the wall and bounces back. What happens?</v>
      </c>
      <c r="H122" s="3" t="str">
        <f>IFERROR(__xludf.DUMMYFUNCTION("GOOGLETRANSLATE(C122, ""it"", ""en"")"),"A. The game continues B. The point goes to the other team C. The point is repeated D. The shot is considered illegal")</f>
        <v>A. The game continues B. The point goes to the other team C. The point is repeated D. The shot is considered illegal</v>
      </c>
      <c r="I122" s="3" t="str">
        <f>IFERROR(__xludf.DUMMYFUNCTION("GOOGLETRANSLATE(D122, ""it"", ""en"")"),"The point goes to the other team")</f>
        <v>The point goes to the other team</v>
      </c>
      <c r="J122" s="2"/>
      <c r="K122" s="2"/>
      <c r="L122" s="2"/>
      <c r="M122" s="2"/>
      <c r="N122" s="2"/>
      <c r="O122" s="2"/>
      <c r="P122" s="2"/>
      <c r="Q122" s="2"/>
      <c r="R122" s="2"/>
      <c r="S122" s="2"/>
      <c r="T122" s="2"/>
      <c r="U122" s="2"/>
      <c r="V122" s="2"/>
    </row>
    <row r="123" ht="22.5" customHeight="1">
      <c r="A123" s="3">
        <v>122.0</v>
      </c>
      <c r="B123" s="3" t="s">
        <v>1547</v>
      </c>
      <c r="C123" s="3" t="s">
        <v>1493</v>
      </c>
      <c r="D123" s="3" t="s">
        <v>1346</v>
      </c>
      <c r="E123" s="2"/>
      <c r="F123" s="3" t="str">
        <f>IFERROR(__xludf.DUMMYFUNCTION("GOOGLETRANSLATE(A123, ""it"", ""en"")"),"122")</f>
        <v>122</v>
      </c>
      <c r="G123" s="3" t="str">
        <f>IFERROR(__xludf.DUMMYFUNCTION("GOOGLETRANSLATE(B123, ""it"", ""en"")"),"A player makes a double-touch pass. What's the decision?")</f>
        <v>A player makes a double-touch pass. What's the decision?</v>
      </c>
      <c r="H123" s="3" t="str">
        <f>IFERROR(__xludf.DUMMYFUNCTION("GOOGLETRANSLATE(C123, ""it"", ""en"")"),"A. The point goes to the other team B. The game continues C. The point is repeated D. The shot is considered legal")</f>
        <v>A. The point goes to the other team B. The game continues C. The point is repeated D. The shot is considered legal</v>
      </c>
      <c r="I123" s="3" t="str">
        <f>IFERROR(__xludf.DUMMYFUNCTION("GOOGLETRANSLATE(D123, ""it"", ""en"")"),"The point goes to the other team")</f>
        <v>The point goes to the other team</v>
      </c>
      <c r="J123" s="2"/>
      <c r="K123" s="2"/>
      <c r="L123" s="2"/>
      <c r="M123" s="2"/>
      <c r="N123" s="2"/>
      <c r="O123" s="2"/>
      <c r="P123" s="2"/>
      <c r="Q123" s="2"/>
      <c r="R123" s="2"/>
      <c r="S123" s="2"/>
      <c r="T123" s="2"/>
      <c r="U123" s="2"/>
      <c r="V123" s="2"/>
    </row>
    <row r="124" ht="22.5" customHeight="1">
      <c r="A124" s="3">
        <v>123.0</v>
      </c>
      <c r="B124" s="3" t="s">
        <v>1548</v>
      </c>
      <c r="C124" s="3" t="s">
        <v>1532</v>
      </c>
      <c r="D124" s="3" t="s">
        <v>12</v>
      </c>
      <c r="E124" s="2"/>
      <c r="F124" s="3" t="str">
        <f>IFERROR(__xludf.DUMMYFUNCTION("GOOGLETRANSLATE(A124, ""it"", ""en"")"),"123")</f>
        <v>123</v>
      </c>
      <c r="G124" s="3" t="str">
        <f>IFERROR(__xludf.DUMMYFUNCTION("GOOGLETRANSLATE(B124, ""it"", ""en"")"),"A libero plays the ball beyond the three-meter line. What happens?")</f>
        <v>A libero plays the ball beyond the three-meter line. What happens?</v>
      </c>
      <c r="H124" s="3" t="str">
        <f>IFERROR(__xludf.DUMMYFUNCTION("GOOGLETRANSLATE(C124, ""it"", ""en"")"),"A. The game continues B. The point goes to the other team C. The point is retaken D. The libero is cautioned")</f>
        <v>A. The game continues B. The point goes to the other team C. The point is retaken D. The libero is cautioned</v>
      </c>
      <c r="I124" s="3" t="str">
        <f>IFERROR(__xludf.DUMMYFUNCTION("GOOGLETRANSLATE(D124, ""it"", ""en"")"),"The game continues")</f>
        <v>The game continues</v>
      </c>
      <c r="J124" s="2"/>
      <c r="K124" s="2"/>
      <c r="L124" s="2"/>
      <c r="M124" s="2"/>
      <c r="N124" s="2"/>
      <c r="O124" s="2"/>
      <c r="P124" s="2"/>
      <c r="Q124" s="2"/>
      <c r="R124" s="2"/>
      <c r="S124" s="2"/>
      <c r="T124" s="2"/>
      <c r="U124" s="2"/>
      <c r="V124" s="2"/>
    </row>
    <row r="125" ht="22.5" customHeight="1">
      <c r="A125" s="3">
        <v>124.0</v>
      </c>
      <c r="B125" s="3" t="s">
        <v>1549</v>
      </c>
      <c r="C125" s="3" t="s">
        <v>1383</v>
      </c>
      <c r="D125" s="3" t="s">
        <v>12</v>
      </c>
      <c r="E125" s="2"/>
      <c r="F125" s="3" t="str">
        <f>IFERROR(__xludf.DUMMYFUNCTION("GOOGLETRANSLATE(A125, ""it"", ""en"")"),"124")</f>
        <v>124</v>
      </c>
      <c r="G125" s="3" t="str">
        <f>IFERROR(__xludf.DUMMYFUNCTION("GOOGLETRANSLATE(B125, ""it"", ""en"")"),"A player hits the ball with his elbow during a play. What's the decision?")</f>
        <v>A player hits the ball with his elbow during a play. What's the decision?</v>
      </c>
      <c r="H125" s="3" t="str">
        <f>IFERROR(__xludf.DUMMYFUNCTION("GOOGLETRANSLATE(C125, ""it"", ""en"")"),"A. The game continues B. The point goes to the other team C. The point is repeated D. The shot is considered illegal")</f>
        <v>A. The game continues B. The point goes to the other team C. The point is repeated D. The shot is considered illegal</v>
      </c>
      <c r="I125" s="3" t="str">
        <f>IFERROR(__xludf.DUMMYFUNCTION("GOOGLETRANSLATE(D125, ""it"", ""en"")"),"The game continues")</f>
        <v>The game continues</v>
      </c>
      <c r="J125" s="2"/>
      <c r="K125" s="2"/>
      <c r="L125" s="2"/>
      <c r="M125" s="2"/>
      <c r="N125" s="2"/>
      <c r="O125" s="2"/>
      <c r="P125" s="2"/>
      <c r="Q125" s="2"/>
      <c r="R125" s="2"/>
      <c r="S125" s="2"/>
      <c r="T125" s="2"/>
      <c r="U125" s="2"/>
      <c r="V125" s="2"/>
    </row>
    <row r="126" ht="22.5" customHeight="1">
      <c r="A126" s="3">
        <v>125.0</v>
      </c>
      <c r="B126" s="3" t="s">
        <v>1550</v>
      </c>
      <c r="C126" s="3" t="s">
        <v>1467</v>
      </c>
      <c r="D126" s="3" t="s">
        <v>1442</v>
      </c>
      <c r="E126" s="2"/>
      <c r="F126" s="3" t="str">
        <f>IFERROR(__xludf.DUMMYFUNCTION("GOOGLETRANSLATE(A126, ""it"", ""en"")"),"125")</f>
        <v>125</v>
      </c>
      <c r="G126" s="3" t="str">
        <f>IFERROR(__xludf.DUMMYFUNCTION("GOOGLETRANSLATE(B126, ""it"", ""en"")"),"The ball is hit under the net and returns to the opponent's court. What is the decision?")</f>
        <v>The ball is hit under the net and returns to the opponent's court. What is the decision?</v>
      </c>
      <c r="H126" s="3" t="str">
        <f>IFERROR(__xludf.DUMMYFUNCTION("GOOGLETRANSLATE(C126, ""it"", ""en"")"),"A. The point goes to the other team B. The game continues C. The point is retaken D. The ball is considered out")</f>
        <v>A. The point goes to the other team B. The game continues C. The point is retaken D. The ball is considered out</v>
      </c>
      <c r="I126" s="3" t="str">
        <f>IFERROR(__xludf.DUMMYFUNCTION("GOOGLETRANSLATE(D126, ""it"", ""en"")"),"The ball is considered out")</f>
        <v>The ball is considered out</v>
      </c>
      <c r="J126" s="2"/>
      <c r="K126" s="2"/>
      <c r="L126" s="2"/>
      <c r="M126" s="2"/>
      <c r="N126" s="2"/>
      <c r="O126" s="2"/>
      <c r="P126" s="2"/>
      <c r="Q126" s="2"/>
      <c r="R126" s="2"/>
      <c r="S126" s="2"/>
      <c r="T126" s="2"/>
      <c r="U126" s="2"/>
      <c r="V126" s="2"/>
    </row>
    <row r="127" ht="22.5" customHeight="1">
      <c r="A127" s="3">
        <v>126.0</v>
      </c>
      <c r="B127" s="3" t="s">
        <v>1551</v>
      </c>
      <c r="C127" s="3" t="s">
        <v>1552</v>
      </c>
      <c r="D127" s="3" t="s">
        <v>1433</v>
      </c>
      <c r="E127" s="2"/>
      <c r="F127" s="3" t="str">
        <f>IFERROR(__xludf.DUMMYFUNCTION("GOOGLETRANSLATE(A127, ""it"", ""en"")"),"126")</f>
        <v>126</v>
      </c>
      <c r="G127" s="3" t="str">
        <f>IFERROR(__xludf.DUMMYFUNCTION("GOOGLETRANSLATE(B127, ""it"", ""en"")"),"A coach enters the field to stop a play. What happens?")</f>
        <v>A coach enters the field to stop a play. What happens?</v>
      </c>
      <c r="H127" s="3" t="str">
        <f>IFERROR(__xludf.DUMMYFUNCTION("GOOGLETRANSLATE(C127, ""it"", ""en"")"),"A. The point goes to the other team B. The coach is cautioned C. The game continues D. The point is retaken")</f>
        <v>A. The point goes to the other team B. The coach is cautioned C. The game continues D. The point is retaken</v>
      </c>
      <c r="I127" s="3" t="str">
        <f>IFERROR(__xludf.DUMMYFUNCTION("GOOGLETRANSLATE(D127, ""it"", ""en"")"),"The coach is cautioned")</f>
        <v>The coach is cautioned</v>
      </c>
      <c r="J127" s="2"/>
      <c r="K127" s="2"/>
      <c r="L127" s="2"/>
      <c r="M127" s="2"/>
      <c r="N127" s="2"/>
      <c r="O127" s="2"/>
      <c r="P127" s="2"/>
      <c r="Q127" s="2"/>
      <c r="R127" s="2"/>
      <c r="S127" s="2"/>
      <c r="T127" s="2"/>
      <c r="U127" s="2"/>
      <c r="V127" s="2"/>
    </row>
    <row r="128" ht="22.5" customHeight="1">
      <c r="A128" s="3">
        <v>127.0</v>
      </c>
      <c r="B128" s="3" t="s">
        <v>1553</v>
      </c>
      <c r="C128" s="3" t="s">
        <v>1493</v>
      </c>
      <c r="D128" s="3" t="s">
        <v>1346</v>
      </c>
      <c r="E128" s="2"/>
      <c r="F128" s="3" t="str">
        <f>IFERROR(__xludf.DUMMYFUNCTION("GOOGLETRANSLATE(A128, ""it"", ""en"")"),"127")</f>
        <v>127</v>
      </c>
      <c r="G128" s="3" t="str">
        <f>IFERROR(__xludf.DUMMYFUNCTION("GOOGLETRANSLATE(B128, ""it"", ""en"")"),"A player touches the ball three consecutive times alone. What's the ruling?")</f>
        <v>A player touches the ball three consecutive times alone. What's the ruling?</v>
      </c>
      <c r="H128" s="3" t="str">
        <f>IFERROR(__xludf.DUMMYFUNCTION("GOOGLETRANSLATE(C128, ""it"", ""en"")"),"A. The point goes to the other team B. The game continues C. The point is repeated D. The shot is considered legal")</f>
        <v>A. The point goes to the other team B. The game continues C. The point is repeated D. The shot is considered legal</v>
      </c>
      <c r="I128" s="3" t="str">
        <f>IFERROR(__xludf.DUMMYFUNCTION("GOOGLETRANSLATE(D128, ""it"", ""en"")"),"The point goes to the other team")</f>
        <v>The point goes to the other team</v>
      </c>
      <c r="J128" s="2"/>
      <c r="K128" s="2"/>
      <c r="L128" s="2"/>
      <c r="M128" s="2"/>
      <c r="N128" s="2"/>
      <c r="O128" s="2"/>
      <c r="P128" s="2"/>
      <c r="Q128" s="2"/>
      <c r="R128" s="2"/>
      <c r="S128" s="2"/>
      <c r="T128" s="2"/>
      <c r="U128" s="2"/>
      <c r="V128" s="2"/>
    </row>
    <row r="129" ht="22.5" customHeight="1">
      <c r="A129" s="3">
        <v>128.0</v>
      </c>
      <c r="B129" s="3" t="s">
        <v>1554</v>
      </c>
      <c r="C129" s="3" t="s">
        <v>1447</v>
      </c>
      <c r="D129" s="3" t="s">
        <v>976</v>
      </c>
      <c r="E129" s="2"/>
      <c r="F129" s="3" t="str">
        <f>IFERROR(__xludf.DUMMYFUNCTION("GOOGLETRANSLATE(A129, ""it"", ""en"")"),"128")</f>
        <v>128</v>
      </c>
      <c r="G129" s="3" t="str">
        <f>IFERROR(__xludf.DUMMYFUNCTION("GOOGLETRANSLATE(B129, ""it"", ""en"")"),"The ball lands on the opponent's sideline. What's the decision?")</f>
        <v>The ball lands on the opponent's sideline. What's the decision?</v>
      </c>
      <c r="H129" s="3" t="str">
        <f>IFERROR(__xludf.DUMMYFUNCTION("GOOGLETRANSLATE(C129, ""it"", ""en"")"),"A. The point is valid B. The point is repeated C. The point goes to the other team D. The game is stopped")</f>
        <v>A. The point is valid B. The point is repeated C. The point goes to the other team D. The game is stopped</v>
      </c>
      <c r="I129" s="3" t="str">
        <f>IFERROR(__xludf.DUMMYFUNCTION("GOOGLETRANSLATE(D129, ""it"", ""en"")"),"The point is valid")</f>
        <v>The point is valid</v>
      </c>
      <c r="J129" s="2"/>
      <c r="K129" s="2"/>
      <c r="L129" s="2"/>
      <c r="M129" s="2"/>
      <c r="N129" s="2"/>
      <c r="O129" s="2"/>
      <c r="P129" s="2"/>
      <c r="Q129" s="2"/>
      <c r="R129" s="2"/>
      <c r="S129" s="2"/>
      <c r="T129" s="2"/>
      <c r="U129" s="2"/>
      <c r="V129" s="2"/>
    </row>
    <row r="130" ht="22.5" customHeight="1">
      <c r="A130" s="3">
        <v>129.0</v>
      </c>
      <c r="B130" s="3" t="s">
        <v>1555</v>
      </c>
      <c r="C130" s="3" t="s">
        <v>1556</v>
      </c>
      <c r="D130" s="3" t="s">
        <v>707</v>
      </c>
      <c r="E130" s="2"/>
      <c r="F130" s="3" t="str">
        <f>IFERROR(__xludf.DUMMYFUNCTION("GOOGLETRANSLATE(A130, ""it"", ""en"")"),"129")</f>
        <v>129</v>
      </c>
      <c r="G130" s="3" t="str">
        <f>IFERROR(__xludf.DUMMYFUNCTION("GOOGLETRANSLATE(B130, ""it"", ""en"")"),"A player protests a point awarded to the other team. What happens?")</f>
        <v>A player protests a point awarded to the other team. What happens?</v>
      </c>
      <c r="H130" s="3" t="str">
        <f>IFERROR(__xludf.DUMMYFUNCTION("GOOGLETRANSLATE(C130, ""it"", ""en"")"),"A. The game continues B. The point is repeated C. The player is cautioned D. The point is awarded")</f>
        <v>A. The game continues B. The point is repeated C. The player is cautioned D. The point is awarded</v>
      </c>
      <c r="I130" s="3" t="str">
        <f>IFERROR(__xludf.DUMMYFUNCTION("GOOGLETRANSLATE(D130, ""it"", ""en"")"),"The player is cautioned")</f>
        <v>The player is cautioned</v>
      </c>
      <c r="J130" s="2"/>
      <c r="K130" s="2"/>
      <c r="L130" s="2"/>
      <c r="M130" s="2"/>
      <c r="N130" s="2"/>
      <c r="O130" s="2"/>
      <c r="P130" s="2"/>
      <c r="Q130" s="2"/>
      <c r="R130" s="2"/>
      <c r="S130" s="2"/>
      <c r="T130" s="2"/>
      <c r="U130" s="2"/>
      <c r="V130" s="2"/>
    </row>
    <row r="131" ht="22.5" customHeight="1">
      <c r="A131" s="3">
        <v>130.0</v>
      </c>
      <c r="B131" s="3" t="s">
        <v>1557</v>
      </c>
      <c r="C131" s="3" t="s">
        <v>1558</v>
      </c>
      <c r="D131" s="3" t="s">
        <v>976</v>
      </c>
      <c r="E131" s="2"/>
      <c r="F131" s="3" t="str">
        <f>IFERROR(__xludf.DUMMYFUNCTION("GOOGLETRANSLATE(A131, ""it"", ""en"")"),"130")</f>
        <v>130</v>
      </c>
      <c r="G131" s="3" t="str">
        <f>IFERROR(__xludf.DUMMYFUNCTION("GOOGLETRANSLATE(B131, ""it"", ""en"")"),"The ball hits the net during a serve and ends up in the opponent's court. What's the ruling?")</f>
        <v>The ball hits the net during a serve and ends up in the opponent's court. What's the ruling?</v>
      </c>
      <c r="H131" s="3" t="str">
        <f>IFERROR(__xludf.DUMMYFUNCTION("GOOGLETRANSLATE(C131, ""it"", ""en"")"),"A. The game continues B. The point goes to the other team C. The point is valid D. The service is repeated")</f>
        <v>A. The game continues B. The point goes to the other team C. The point is valid D. The service is repeated</v>
      </c>
      <c r="I131" s="3" t="str">
        <f>IFERROR(__xludf.DUMMYFUNCTION("GOOGLETRANSLATE(D131, ""it"", ""en"")"),"The point is valid")</f>
        <v>The point is valid</v>
      </c>
      <c r="J131" s="2"/>
      <c r="K131" s="2"/>
      <c r="L131" s="2"/>
      <c r="M131" s="2"/>
      <c r="N131" s="2"/>
      <c r="O131" s="2"/>
      <c r="P131" s="2"/>
      <c r="Q131" s="2"/>
      <c r="R131" s="2"/>
      <c r="S131" s="2"/>
      <c r="T131" s="2"/>
      <c r="U131" s="2"/>
      <c r="V131" s="2"/>
    </row>
    <row r="132" ht="22.5" customHeight="1">
      <c r="A132" s="3">
        <v>131.0</v>
      </c>
      <c r="B132" s="3" t="s">
        <v>1559</v>
      </c>
      <c r="C132" s="3" t="s">
        <v>1560</v>
      </c>
      <c r="D132" s="3" t="s">
        <v>1346</v>
      </c>
      <c r="E132" s="2"/>
      <c r="F132" s="3" t="str">
        <f>IFERROR(__xludf.DUMMYFUNCTION("GOOGLETRANSLATE(A132, ""it"", ""en"")"),"131")</f>
        <v>131</v>
      </c>
      <c r="G132" s="3" t="str">
        <f>IFERROR(__xludf.DUMMYFUNCTION("GOOGLETRANSLATE(B132, ""it"", ""en"")"),"A player serves by jumping from the sideline. What's the ruling?")</f>
        <v>A player serves by jumping from the sideline. What's the ruling?</v>
      </c>
      <c r="H132" s="3" t="str">
        <f>IFERROR(__xludf.DUMMYFUNCTION("GOOGLETRANSLATE(C132, ""it"", ""en"")"),"A. The point goes to the other team B. The game continues C. The point is retaken D. The service is considered regular")</f>
        <v>A. The point goes to the other team B. The game continues C. The point is retaken D. The service is considered regular</v>
      </c>
      <c r="I132" s="3" t="str">
        <f>IFERROR(__xludf.DUMMYFUNCTION("GOOGLETRANSLATE(D132, ""it"", ""en"")"),"The point goes to the other team")</f>
        <v>The point goes to the other team</v>
      </c>
      <c r="J132" s="2"/>
      <c r="K132" s="2"/>
      <c r="L132" s="2"/>
      <c r="M132" s="2"/>
      <c r="N132" s="2"/>
      <c r="O132" s="2"/>
      <c r="P132" s="2"/>
      <c r="Q132" s="2"/>
      <c r="R132" s="2"/>
      <c r="S132" s="2"/>
      <c r="T132" s="2"/>
      <c r="U132" s="2"/>
      <c r="V132" s="2"/>
    </row>
    <row r="133" ht="22.5" customHeight="1">
      <c r="A133" s="3">
        <v>132.0</v>
      </c>
      <c r="B133" s="3" t="s">
        <v>1561</v>
      </c>
      <c r="C133" s="3" t="s">
        <v>1532</v>
      </c>
      <c r="D133" s="3" t="s">
        <v>12</v>
      </c>
      <c r="E133" s="2"/>
      <c r="F133" s="3" t="str">
        <f>IFERROR(__xludf.DUMMYFUNCTION("GOOGLETRANSLATE(A133, ""it"", ""en"")"),"132")</f>
        <v>132</v>
      </c>
      <c r="G133" s="3" t="str">
        <f>IFERROR(__xludf.DUMMYFUNCTION("GOOGLETRANSLATE(B133, ""it"", ""en"")"),"A libero hits a high pass near the net. What happens?")</f>
        <v>A libero hits a high pass near the net. What happens?</v>
      </c>
      <c r="H133" s="3" t="str">
        <f>IFERROR(__xludf.DUMMYFUNCTION("GOOGLETRANSLATE(C133, ""it"", ""en"")"),"A. The game continues B. The point goes to the other team C. The point is retaken D. The libero is cautioned")</f>
        <v>A. The game continues B. The point goes to the other team C. The point is retaken D. The libero is cautioned</v>
      </c>
      <c r="I133" s="3" t="str">
        <f>IFERROR(__xludf.DUMMYFUNCTION("GOOGLETRANSLATE(D133, ""it"", ""en"")"),"The game continues")</f>
        <v>The game continues</v>
      </c>
      <c r="J133" s="2"/>
      <c r="K133" s="2"/>
      <c r="L133" s="2"/>
      <c r="M133" s="2"/>
      <c r="N133" s="2"/>
      <c r="O133" s="2"/>
      <c r="P133" s="2"/>
      <c r="Q133" s="2"/>
      <c r="R133" s="2"/>
      <c r="S133" s="2"/>
      <c r="T133" s="2"/>
      <c r="U133" s="2"/>
      <c r="V133" s="2"/>
    </row>
    <row r="134" ht="22.5" customHeight="1">
      <c r="A134" s="3">
        <v>133.0</v>
      </c>
      <c r="B134" s="3" t="s">
        <v>1562</v>
      </c>
      <c r="C134" s="3" t="s">
        <v>1383</v>
      </c>
      <c r="D134" s="3" t="s">
        <v>12</v>
      </c>
      <c r="E134" s="2"/>
      <c r="F134" s="3" t="str">
        <f>IFERROR(__xludf.DUMMYFUNCTION("GOOGLETRANSLATE(A134, ""it"", ""en"")"),"133")</f>
        <v>133</v>
      </c>
      <c r="G134" s="3" t="str">
        <f>IFERROR(__xludf.DUMMYFUNCTION("GOOGLETRANSLATE(B134, ""it"", ""en"")"),"A player touches the ball with both feet at the same time. What's the decision?")</f>
        <v>A player touches the ball with both feet at the same time. What's the decision?</v>
      </c>
      <c r="H134" s="3" t="str">
        <f>IFERROR(__xludf.DUMMYFUNCTION("GOOGLETRANSLATE(C134, ""it"", ""en"")"),"A. The game continues B. The point goes to the other team C. The point is repeated D. The shot is considered illegal")</f>
        <v>A. The game continues B. The point goes to the other team C. The point is repeated D. The shot is considered illegal</v>
      </c>
      <c r="I134" s="3" t="str">
        <f>IFERROR(__xludf.DUMMYFUNCTION("GOOGLETRANSLATE(D134, ""it"", ""en"")"),"The game continues")</f>
        <v>The game continues</v>
      </c>
      <c r="J134" s="2"/>
      <c r="K134" s="2"/>
      <c r="L134" s="2"/>
      <c r="M134" s="2"/>
      <c r="N134" s="2"/>
      <c r="O134" s="2"/>
      <c r="P134" s="2"/>
      <c r="Q134" s="2"/>
      <c r="R134" s="2"/>
      <c r="S134" s="2"/>
      <c r="T134" s="2"/>
      <c r="U134" s="2"/>
      <c r="V134" s="2"/>
    </row>
    <row r="135" ht="22.5" customHeight="1">
      <c r="A135" s="3">
        <v>134.0</v>
      </c>
      <c r="B135" s="3" t="s">
        <v>1563</v>
      </c>
      <c r="C135" s="3" t="s">
        <v>1564</v>
      </c>
      <c r="D135" s="3" t="s">
        <v>1433</v>
      </c>
      <c r="E135" s="2"/>
      <c r="F135" s="3" t="str">
        <f>IFERROR(__xludf.DUMMYFUNCTION("GOOGLETRANSLATE(A135, ""it"", ""en"")"),"134")</f>
        <v>134</v>
      </c>
      <c r="G135" s="3" t="str">
        <f>IFERROR(__xludf.DUMMYFUNCTION("GOOGLETRANSLATE(B135, ""it"", ""en"")"),"A coach refuses to make a substitution requested by the referee. What happens?")</f>
        <v>A coach refuses to make a substitution requested by the referee. What happens?</v>
      </c>
      <c r="H135" s="3" t="str">
        <f>IFERROR(__xludf.DUMMYFUNCTION("GOOGLETRANSLATE(C135, ""it"", ""en"")"),"A. The coach is cautioned B. The point goes to the other team C. The game continues D. The substitution is mandatory")</f>
        <v>A. The coach is cautioned B. The point goes to the other team C. The game continues D. The substitution is mandatory</v>
      </c>
      <c r="I135" s="3" t="str">
        <f>IFERROR(__xludf.DUMMYFUNCTION("GOOGLETRANSLATE(D135, ""it"", ""en"")"),"The coach is cautioned")</f>
        <v>The coach is cautioned</v>
      </c>
      <c r="J135" s="2"/>
      <c r="K135" s="2"/>
      <c r="L135" s="2"/>
      <c r="M135" s="2"/>
      <c r="N135" s="2"/>
      <c r="O135" s="2"/>
      <c r="P135" s="2"/>
      <c r="Q135" s="2"/>
      <c r="R135" s="2"/>
      <c r="S135" s="2"/>
      <c r="T135" s="2"/>
      <c r="U135" s="2"/>
      <c r="V135" s="2"/>
    </row>
    <row r="136" ht="22.5" customHeight="1">
      <c r="A136" s="3">
        <v>135.0</v>
      </c>
      <c r="B136" s="3" t="s">
        <v>1565</v>
      </c>
      <c r="C136" s="3" t="s">
        <v>1566</v>
      </c>
      <c r="D136" s="3" t="s">
        <v>1442</v>
      </c>
      <c r="E136" s="2"/>
      <c r="F136" s="3" t="str">
        <f>IFERROR(__xludf.DUMMYFUNCTION("GOOGLETRANSLATE(A136, ""it"", ""en"")"),"135")</f>
        <v>135</v>
      </c>
      <c r="G136" s="3" t="str">
        <f>IFERROR(__xludf.DUMMYFUNCTION("GOOGLETRANSLATE(B136, ""it"", ""en"")"),"A player makes a save but the ball hits the net post. What's the decision?")</f>
        <v>A player makes a save but the ball hits the net post. What's the decision?</v>
      </c>
      <c r="H136" s="3" t="str">
        <f>IFERROR(__xludf.DUMMYFUNCTION("GOOGLETRANSLATE(C136, ""it"", ""en"")"),"A. The ball is considered out B. The game continues C. The point goes to the other team D. The point is retaken")</f>
        <v>A. The ball is considered out B. The game continues C. The point goes to the other team D. The point is retaken</v>
      </c>
      <c r="I136" s="3" t="str">
        <f>IFERROR(__xludf.DUMMYFUNCTION("GOOGLETRANSLATE(D136, ""it"", ""en"")"),"The ball is considered out")</f>
        <v>The ball is considered out</v>
      </c>
      <c r="J136" s="2"/>
      <c r="K136" s="2"/>
      <c r="L136" s="2"/>
      <c r="M136" s="2"/>
      <c r="N136" s="2"/>
      <c r="O136" s="2"/>
      <c r="P136" s="2"/>
      <c r="Q136" s="2"/>
      <c r="R136" s="2"/>
      <c r="S136" s="2"/>
      <c r="T136" s="2"/>
      <c r="U136" s="2"/>
      <c r="V136" s="2"/>
    </row>
    <row r="137" ht="22.5" customHeight="1">
      <c r="A137" s="3">
        <v>136.0</v>
      </c>
      <c r="B137" s="3" t="s">
        <v>1567</v>
      </c>
      <c r="C137" s="3" t="s">
        <v>1383</v>
      </c>
      <c r="D137" s="3" t="s">
        <v>12</v>
      </c>
      <c r="E137" s="2"/>
      <c r="F137" s="3" t="str">
        <f>IFERROR(__xludf.DUMMYFUNCTION("GOOGLETRANSLATE(A137, ""it"", ""en"")"),"136")</f>
        <v>136</v>
      </c>
      <c r="G137" s="3" t="str">
        <f>IFERROR(__xludf.DUMMYFUNCTION("GOOGLETRANSLATE(B137, ""it"", ""en"")"),"A libero catches the ball with his knee. What happens?")</f>
        <v>A libero catches the ball with his knee. What happens?</v>
      </c>
      <c r="H137" s="3" t="str">
        <f>IFERROR(__xludf.DUMMYFUNCTION("GOOGLETRANSLATE(C137, ""it"", ""en"")"),"A. The game continues B. The point goes to the other team C. The point is repeated D. The shot is considered illegal")</f>
        <v>A. The game continues B. The point goes to the other team C. The point is repeated D. The shot is considered illegal</v>
      </c>
      <c r="I137" s="3" t="str">
        <f>IFERROR(__xludf.DUMMYFUNCTION("GOOGLETRANSLATE(D137, ""it"", ""en"")"),"The game continues")</f>
        <v>The game continues</v>
      </c>
      <c r="J137" s="2"/>
      <c r="K137" s="2"/>
      <c r="L137" s="2"/>
      <c r="M137" s="2"/>
      <c r="N137" s="2"/>
      <c r="O137" s="2"/>
      <c r="P137" s="2"/>
      <c r="Q137" s="2"/>
      <c r="R137" s="2"/>
      <c r="S137" s="2"/>
      <c r="T137" s="2"/>
      <c r="U137" s="2"/>
      <c r="V137" s="2"/>
    </row>
    <row r="138" ht="22.5" customHeight="1">
      <c r="A138" s="3">
        <v>137.0</v>
      </c>
      <c r="B138" s="3" t="s">
        <v>1568</v>
      </c>
      <c r="C138" s="3" t="s">
        <v>1360</v>
      </c>
      <c r="D138" s="3" t="s">
        <v>1346</v>
      </c>
      <c r="E138" s="2"/>
      <c r="F138" s="3" t="str">
        <f>IFERROR(__xludf.DUMMYFUNCTION("GOOGLETRANSLATE(A138, ""it"", ""en"")"),"137")</f>
        <v>137</v>
      </c>
      <c r="G138" s="3" t="str">
        <f>IFERROR(__xludf.DUMMYFUNCTION("GOOGLETRANSLATE(B138, ""it"", ""en"")"),"A player moves out of position during an opponent's serve. What's the ruling?")</f>
        <v>A player moves out of position during an opponent's serve. What's the ruling?</v>
      </c>
      <c r="H138" s="3" t="str">
        <f>IFERROR(__xludf.DUMMYFUNCTION("GOOGLETRANSLATE(C138, ""it"", ""en"")"),"A. The point goes to the other team B. The game continues C. The point is retaken D. The player is cautioned")</f>
        <v>A. The point goes to the other team B. The game continues C. The point is retaken D. The player is cautioned</v>
      </c>
      <c r="I138" s="3" t="str">
        <f>IFERROR(__xludf.DUMMYFUNCTION("GOOGLETRANSLATE(D138, ""it"", ""en"")"),"The point goes to the other team")</f>
        <v>The point goes to the other team</v>
      </c>
      <c r="J138" s="2"/>
      <c r="K138" s="2"/>
      <c r="L138" s="2"/>
      <c r="M138" s="2"/>
      <c r="N138" s="2"/>
      <c r="O138" s="2"/>
      <c r="P138" s="2"/>
      <c r="Q138" s="2"/>
      <c r="R138" s="2"/>
      <c r="S138" s="2"/>
      <c r="T138" s="2"/>
      <c r="U138" s="2"/>
      <c r="V138" s="2"/>
    </row>
    <row r="139" ht="22.5" customHeight="1">
      <c r="A139" s="3">
        <v>138.0</v>
      </c>
      <c r="B139" s="3" t="s">
        <v>1569</v>
      </c>
      <c r="C139" s="3" t="s">
        <v>1383</v>
      </c>
      <c r="D139" s="3" t="s">
        <v>12</v>
      </c>
      <c r="E139" s="2"/>
      <c r="F139" s="3" t="str">
        <f>IFERROR(__xludf.DUMMYFUNCTION("GOOGLETRANSLATE(A139, ""it"", ""en"")"),"138")</f>
        <v>138</v>
      </c>
      <c r="G139" s="3" t="str">
        <f>IFERROR(__xludf.DUMMYFUNCTION("GOOGLETRANSLATE(B139, ""it"", ""en"")"),"A player hits the ball with his back. What's the decision?")</f>
        <v>A player hits the ball with his back. What's the decision?</v>
      </c>
      <c r="H139" s="3" t="str">
        <f>IFERROR(__xludf.DUMMYFUNCTION("GOOGLETRANSLATE(C139, ""it"", ""en"")"),"A. The game continues B. The point goes to the other team C. The point is repeated D. The shot is considered illegal")</f>
        <v>A. The game continues B. The point goes to the other team C. The point is repeated D. The shot is considered illegal</v>
      </c>
      <c r="I139" s="3" t="str">
        <f>IFERROR(__xludf.DUMMYFUNCTION("GOOGLETRANSLATE(D139, ""it"", ""en"")"),"The game continues")</f>
        <v>The game continues</v>
      </c>
      <c r="J139" s="2"/>
      <c r="K139" s="2"/>
      <c r="L139" s="2"/>
      <c r="M139" s="2"/>
      <c r="N139" s="2"/>
      <c r="O139" s="2"/>
      <c r="P139" s="2"/>
      <c r="Q139" s="2"/>
      <c r="R139" s="2"/>
      <c r="S139" s="2"/>
      <c r="T139" s="2"/>
      <c r="U139" s="2"/>
      <c r="V139" s="2"/>
    </row>
    <row r="140" ht="22.5" customHeight="1">
      <c r="A140" s="3">
        <v>139.0</v>
      </c>
      <c r="B140" s="3" t="s">
        <v>1570</v>
      </c>
      <c r="C140" s="3" t="s">
        <v>1447</v>
      </c>
      <c r="D140" s="3" t="s">
        <v>976</v>
      </c>
      <c r="E140" s="2"/>
      <c r="F140" s="3" t="str">
        <f>IFERROR(__xludf.DUMMYFUNCTION("GOOGLETRANSLATE(A140, ""it"", ""en"")"),"139")</f>
        <v>139</v>
      </c>
      <c r="G140" s="3" t="str">
        <f>IFERROR(__xludf.DUMMYFUNCTION("GOOGLETRANSLATE(B140, ""it"", ""en"")"),"The ball goes through the net and hits an opposing player before hitting the ground. What's the ruling?")</f>
        <v>The ball goes through the net and hits an opposing player before hitting the ground. What's the ruling?</v>
      </c>
      <c r="H140" s="3" t="str">
        <f>IFERROR(__xludf.DUMMYFUNCTION("GOOGLETRANSLATE(C140, ""it"", ""en"")"),"A. The point is valid B. The point is repeated C. The point goes to the other team D. The game is stopped")</f>
        <v>A. The point is valid B. The point is repeated C. The point goes to the other team D. The game is stopped</v>
      </c>
      <c r="I140" s="3" t="str">
        <f>IFERROR(__xludf.DUMMYFUNCTION("GOOGLETRANSLATE(D140, ""it"", ""en"")"),"The point is valid")</f>
        <v>The point is valid</v>
      </c>
      <c r="J140" s="2"/>
      <c r="K140" s="2"/>
      <c r="L140" s="2"/>
      <c r="M140" s="2"/>
      <c r="N140" s="2"/>
      <c r="O140" s="2"/>
      <c r="P140" s="2"/>
      <c r="Q140" s="2"/>
      <c r="R140" s="2"/>
      <c r="S140" s="2"/>
      <c r="T140" s="2"/>
      <c r="U140" s="2"/>
      <c r="V140" s="2"/>
    </row>
    <row r="141" ht="22.5" customHeight="1">
      <c r="A141" s="3">
        <v>140.0</v>
      </c>
      <c r="B141" s="3" t="s">
        <v>1571</v>
      </c>
      <c r="C141" s="3" t="s">
        <v>1360</v>
      </c>
      <c r="D141" s="3" t="s">
        <v>1346</v>
      </c>
      <c r="E141" s="2"/>
      <c r="F141" s="3" t="str">
        <f>IFERROR(__xludf.DUMMYFUNCTION("GOOGLETRANSLATE(A141, ""it"", ""en"")"),"140")</f>
        <v>140</v>
      </c>
      <c r="G141" s="3" t="str">
        <f>IFERROR(__xludf.DUMMYFUNCTION("GOOGLETRANSLATE(B141, ""it"", ""en"")"),"A player touches the net with one hand during an offensive play. What happens?")</f>
        <v>A player touches the net with one hand during an offensive play. What happens?</v>
      </c>
      <c r="H141" s="3" t="str">
        <f>IFERROR(__xludf.DUMMYFUNCTION("GOOGLETRANSLATE(C141, ""it"", ""en"")"),"A. The point goes to the other team B. The game continues C. The point is retaken D. The player is cautioned")</f>
        <v>A. The point goes to the other team B. The game continues C. The point is retaken D. The player is cautioned</v>
      </c>
      <c r="I141" s="3" t="str">
        <f>IFERROR(__xludf.DUMMYFUNCTION("GOOGLETRANSLATE(D141, ""it"", ""en"")"),"The point goes to the other team")</f>
        <v>The point goes to the other team</v>
      </c>
      <c r="J141" s="2"/>
      <c r="K141" s="2"/>
      <c r="L141" s="2"/>
      <c r="M141" s="2"/>
      <c r="N141" s="2"/>
      <c r="O141" s="2"/>
      <c r="P141" s="2"/>
      <c r="Q141" s="2"/>
      <c r="R141" s="2"/>
      <c r="S141" s="2"/>
      <c r="T141" s="2"/>
      <c r="U141" s="2"/>
      <c r="V141" s="2"/>
    </row>
    <row r="142" ht="22.5" customHeight="1">
      <c r="A142" s="3">
        <v>141.0</v>
      </c>
      <c r="B142" s="3" t="s">
        <v>1572</v>
      </c>
      <c r="C142" s="3" t="s">
        <v>1532</v>
      </c>
      <c r="D142" s="3" t="s">
        <v>12</v>
      </c>
      <c r="E142" s="2"/>
      <c r="F142" s="3" t="str">
        <f>IFERROR(__xludf.DUMMYFUNCTION("GOOGLETRANSLATE(A142, ""it"", ""en"")"),"141")</f>
        <v>141</v>
      </c>
      <c r="G142" s="3" t="str">
        <f>IFERROR(__xludf.DUMMYFUNCTION("GOOGLETRANSLATE(B142, ""it"", ""en"")"),"A libero attempts to receive the ball overhead near the net. What's the decision?")</f>
        <v>A libero attempts to receive the ball overhead near the net. What's the decision?</v>
      </c>
      <c r="H142" s="3" t="str">
        <f>IFERROR(__xludf.DUMMYFUNCTION("GOOGLETRANSLATE(C142, ""it"", ""en"")"),"A. The game continues B. The point goes to the other team C. The point is retaken D. The libero is cautioned")</f>
        <v>A. The game continues B. The point goes to the other team C. The point is retaken D. The libero is cautioned</v>
      </c>
      <c r="I142" s="3" t="str">
        <f>IFERROR(__xludf.DUMMYFUNCTION("GOOGLETRANSLATE(D142, ""it"", ""en"")"),"The game continues")</f>
        <v>The game continues</v>
      </c>
      <c r="J142" s="2"/>
      <c r="K142" s="2"/>
      <c r="L142" s="2"/>
      <c r="M142" s="2"/>
      <c r="N142" s="2"/>
      <c r="O142" s="2"/>
      <c r="P142" s="2"/>
      <c r="Q142" s="2"/>
      <c r="R142" s="2"/>
      <c r="S142" s="2"/>
      <c r="T142" s="2"/>
      <c r="U142" s="2"/>
      <c r="V142" s="2"/>
    </row>
    <row r="143" ht="22.5" customHeight="1">
      <c r="A143" s="3">
        <v>142.0</v>
      </c>
      <c r="B143" s="3" t="s">
        <v>1573</v>
      </c>
      <c r="C143" s="3" t="s">
        <v>1523</v>
      </c>
      <c r="D143" s="3" t="s">
        <v>707</v>
      </c>
      <c r="E143" s="2"/>
      <c r="F143" s="3" t="str">
        <f>IFERROR(__xludf.DUMMYFUNCTION("GOOGLETRANSLATE(A143, ""it"", ""en"")"),"142")</f>
        <v>142</v>
      </c>
      <c r="G143" s="3" t="str">
        <f>IFERROR(__xludf.DUMMYFUNCTION("GOOGLETRANSLATE(B143, ""it"", ""en"")"),"A player enters the field without the referee's permission. What happens?")</f>
        <v>A player enters the field without the referee's permission. What happens?</v>
      </c>
      <c r="H143" s="3" t="str">
        <f>IFERROR(__xludf.DUMMYFUNCTION("GOOGLETRANSLATE(C143, ""it"", ""en"")"),"A. The player is cautioned B. The game continues C. The point is retaken D. The point goes to the other team")</f>
        <v>A. The player is cautioned B. The game continues C. The point is retaken D. The point goes to the other team</v>
      </c>
      <c r="I143" s="3" t="str">
        <f>IFERROR(__xludf.DUMMYFUNCTION("GOOGLETRANSLATE(D143, ""it"", ""en"")"),"The player is cautioned")</f>
        <v>The player is cautioned</v>
      </c>
      <c r="J143" s="2"/>
      <c r="K143" s="2"/>
      <c r="L143" s="2"/>
      <c r="M143" s="2"/>
      <c r="N143" s="2"/>
      <c r="O143" s="2"/>
      <c r="P143" s="2"/>
      <c r="Q143" s="2"/>
      <c r="R143" s="2"/>
      <c r="S143" s="2"/>
      <c r="T143" s="2"/>
      <c r="U143" s="2"/>
      <c r="V143" s="2"/>
    </row>
    <row r="144" ht="22.5" customHeight="1">
      <c r="A144" s="3">
        <v>143.0</v>
      </c>
      <c r="B144" s="3" t="s">
        <v>1574</v>
      </c>
      <c r="C144" s="3" t="s">
        <v>1575</v>
      </c>
      <c r="D144" s="3" t="s">
        <v>1442</v>
      </c>
      <c r="E144" s="2"/>
      <c r="F144" s="3" t="str">
        <f>IFERROR(__xludf.DUMMYFUNCTION("GOOGLETRANSLATE(A144, ""it"", ""en"")"),"143")</f>
        <v>143</v>
      </c>
      <c r="G144" s="3" t="str">
        <f>IFERROR(__xludf.DUMMYFUNCTION("GOOGLETRANSLATE(B144, ""it"", ""en"")"),"The ball hits the ceiling and lands in the opposing team's court. What's the decision?")</f>
        <v>The ball hits the ceiling and lands in the opposing team's court. What's the decision?</v>
      </c>
      <c r="H144" s="3" t="str">
        <f>IFERROR(__xludf.DUMMYFUNCTION("GOOGLETRANSLATE(C144, ""it"", ""en"")"),"A. The ball is considered out B. The point is valid C. The point is retaken D. The game continues")</f>
        <v>A. The ball is considered out B. The point is valid C. The point is retaken D. The game continues</v>
      </c>
      <c r="I144" s="3" t="str">
        <f>IFERROR(__xludf.DUMMYFUNCTION("GOOGLETRANSLATE(D144, ""it"", ""en"")"),"The ball is considered out")</f>
        <v>The ball is considered out</v>
      </c>
      <c r="J144" s="2"/>
      <c r="K144" s="2"/>
      <c r="L144" s="2"/>
      <c r="M144" s="2"/>
      <c r="N144" s="2"/>
      <c r="O144" s="2"/>
      <c r="P144" s="2"/>
      <c r="Q144" s="2"/>
      <c r="R144" s="2"/>
      <c r="S144" s="2"/>
      <c r="T144" s="2"/>
      <c r="U144" s="2"/>
      <c r="V144" s="2"/>
    </row>
    <row r="145" ht="22.5" customHeight="1">
      <c r="A145" s="3">
        <v>144.0</v>
      </c>
      <c r="B145" s="3" t="s">
        <v>1576</v>
      </c>
      <c r="C145" s="3" t="s">
        <v>1540</v>
      </c>
      <c r="D145" s="3" t="s">
        <v>1346</v>
      </c>
      <c r="E145" s="2"/>
      <c r="F145" s="3" t="str">
        <f>IFERROR(__xludf.DUMMYFUNCTION("GOOGLETRANSLATE(A145, ""it"", ""en"")"),"144")</f>
        <v>144</v>
      </c>
      <c r="G145" s="3" t="str">
        <f>IFERROR(__xludf.DUMMYFUNCTION("GOOGLETRANSLATE(B145, ""it"", ""en"")"),"A player touches the ball, but the blow is too forceful and it goes out of bounds. What happens?")</f>
        <v>A player touches the ball, but the blow is too forceful and it goes out of bounds. What happens?</v>
      </c>
      <c r="H145" s="3" t="str">
        <f>IFERROR(__xludf.DUMMYFUNCTION("GOOGLETRANSLATE(C145, ""it"", ""en"")"),"A. The point goes to the other team B. The game continues C. The point is retaken D. The ball is considered valid")</f>
        <v>A. The point goes to the other team B. The game continues C. The point is retaken D. The ball is considered valid</v>
      </c>
      <c r="I145" s="3" t="str">
        <f>IFERROR(__xludf.DUMMYFUNCTION("GOOGLETRANSLATE(D145, ""it"", ""en"")"),"The point goes to the other team")</f>
        <v>The point goes to the other team</v>
      </c>
      <c r="J145" s="2"/>
      <c r="K145" s="2"/>
      <c r="L145" s="2"/>
      <c r="M145" s="2"/>
      <c r="N145" s="2"/>
      <c r="O145" s="2"/>
      <c r="P145" s="2"/>
      <c r="Q145" s="2"/>
      <c r="R145" s="2"/>
      <c r="S145" s="2"/>
      <c r="T145" s="2"/>
      <c r="U145" s="2"/>
      <c r="V145" s="2"/>
    </row>
    <row r="146" ht="22.5" customHeight="1">
      <c r="A146" s="3">
        <v>145.0</v>
      </c>
      <c r="B146" s="3" t="s">
        <v>1577</v>
      </c>
      <c r="C146" s="3" t="s">
        <v>1383</v>
      </c>
      <c r="D146" s="3" t="s">
        <v>12</v>
      </c>
      <c r="E146" s="2"/>
      <c r="F146" s="3" t="str">
        <f>IFERROR(__xludf.DUMMYFUNCTION("GOOGLETRANSLATE(A146, ""it"", ""en"")"),"145")</f>
        <v>145</v>
      </c>
      <c r="G146" s="3" t="str">
        <f>IFERROR(__xludf.DUMMYFUNCTION("GOOGLETRANSLATE(B146, ""it"", ""en"")"),"The ball is headed by a player in the defensive zone. What's the decision?")</f>
        <v>The ball is headed by a player in the defensive zone. What's the decision?</v>
      </c>
      <c r="H146" s="3" t="str">
        <f>IFERROR(__xludf.DUMMYFUNCTION("GOOGLETRANSLATE(C146, ""it"", ""en"")"),"A. The game continues B. The point goes to the other team C. The point is repeated D. The shot is considered illegal")</f>
        <v>A. The game continues B. The point goes to the other team C. The point is repeated D. The shot is considered illegal</v>
      </c>
      <c r="I146" s="3" t="str">
        <f>IFERROR(__xludf.DUMMYFUNCTION("GOOGLETRANSLATE(D146, ""it"", ""en"")"),"The game continues")</f>
        <v>The game continues</v>
      </c>
      <c r="J146" s="2"/>
      <c r="K146" s="2"/>
      <c r="L146" s="2"/>
      <c r="M146" s="2"/>
      <c r="N146" s="2"/>
      <c r="O146" s="2"/>
      <c r="P146" s="2"/>
      <c r="Q146" s="2"/>
      <c r="R146" s="2"/>
      <c r="S146" s="2"/>
      <c r="T146" s="2"/>
      <c r="U146" s="2"/>
      <c r="V146" s="2"/>
    </row>
    <row r="147" ht="22.5" customHeight="1">
      <c r="A147" s="3">
        <v>146.0</v>
      </c>
      <c r="B147" s="3" t="s">
        <v>1578</v>
      </c>
      <c r="C147" s="3" t="s">
        <v>1540</v>
      </c>
      <c r="D147" s="3" t="s">
        <v>1346</v>
      </c>
      <c r="E147" s="2"/>
      <c r="F147" s="3" t="str">
        <f>IFERROR(__xludf.DUMMYFUNCTION("GOOGLETRANSLATE(A147, ""it"", ""en"")"),"146")</f>
        <v>146</v>
      </c>
      <c r="G147" s="3" t="str">
        <f>IFERROR(__xludf.DUMMYFUNCTION("GOOGLETRANSLATE(B147, ""it"", ""en"")"),"A player attempts a lob, but the ball hits the net and bounces back. What's the decision?")</f>
        <v>A player attempts a lob, but the ball hits the net and bounces back. What's the decision?</v>
      </c>
      <c r="H147" s="3" t="str">
        <f>IFERROR(__xludf.DUMMYFUNCTION("GOOGLETRANSLATE(C147, ""it"", ""en"")"),"A. The point goes to the other team B. The game continues C. The point is retaken D. The ball is considered valid")</f>
        <v>A. The point goes to the other team B. The game continues C. The point is retaken D. The ball is considered valid</v>
      </c>
      <c r="I147" s="3" t="str">
        <f>IFERROR(__xludf.DUMMYFUNCTION("GOOGLETRANSLATE(D147, ""it"", ""en"")"),"The point goes to the other team")</f>
        <v>The point goes to the other team</v>
      </c>
      <c r="J147" s="2"/>
      <c r="K147" s="2"/>
      <c r="L147" s="2"/>
      <c r="M147" s="2"/>
      <c r="N147" s="2"/>
      <c r="O147" s="2"/>
      <c r="P147" s="2"/>
      <c r="Q147" s="2"/>
      <c r="R147" s="2"/>
      <c r="S147" s="2"/>
      <c r="T147" s="2"/>
      <c r="U147" s="2"/>
      <c r="V147" s="2"/>
    </row>
    <row r="148" ht="22.5" customHeight="1">
      <c r="A148" s="3">
        <v>147.0</v>
      </c>
      <c r="B148" s="3" t="s">
        <v>1579</v>
      </c>
      <c r="C148" s="3" t="s">
        <v>1383</v>
      </c>
      <c r="D148" s="3" t="s">
        <v>12</v>
      </c>
      <c r="E148" s="2"/>
      <c r="F148" s="3" t="str">
        <f>IFERROR(__xludf.DUMMYFUNCTION("GOOGLETRANSLATE(A148, ""it"", ""en"")"),"147")</f>
        <v>147</v>
      </c>
      <c r="G148" s="3" t="str">
        <f>IFERROR(__xludf.DUMMYFUNCTION("GOOGLETRANSLATE(B148, ""it"", ""en"")"),"A libero tries to punch the ball. What happens?")</f>
        <v>A libero tries to punch the ball. What happens?</v>
      </c>
      <c r="H148" s="3" t="str">
        <f>IFERROR(__xludf.DUMMYFUNCTION("GOOGLETRANSLATE(C148, ""it"", ""en"")"),"A. The game continues B. The point goes to the other team C. The point is repeated D. The shot is considered illegal")</f>
        <v>A. The game continues B. The point goes to the other team C. The point is repeated D. The shot is considered illegal</v>
      </c>
      <c r="I148" s="3" t="str">
        <f>IFERROR(__xludf.DUMMYFUNCTION("GOOGLETRANSLATE(D148, ""it"", ""en"")"),"The game continues")</f>
        <v>The game continues</v>
      </c>
      <c r="J148" s="2"/>
      <c r="K148" s="2"/>
      <c r="L148" s="2"/>
      <c r="M148" s="2"/>
      <c r="N148" s="2"/>
      <c r="O148" s="2"/>
      <c r="P148" s="2"/>
      <c r="Q148" s="2"/>
      <c r="R148" s="2"/>
      <c r="S148" s="2"/>
      <c r="T148" s="2"/>
      <c r="U148" s="2"/>
      <c r="V148" s="2"/>
    </row>
    <row r="149" ht="22.5" customHeight="1">
      <c r="A149" s="3">
        <v>148.0</v>
      </c>
      <c r="B149" s="3" t="s">
        <v>1580</v>
      </c>
      <c r="C149" s="3" t="s">
        <v>1581</v>
      </c>
      <c r="D149" s="3" t="s">
        <v>1346</v>
      </c>
      <c r="E149" s="2"/>
      <c r="F149" s="3" t="str">
        <f>IFERROR(__xludf.DUMMYFUNCTION("GOOGLETRANSLATE(A149, ""it"", ""en"")"),"148")</f>
        <v>148</v>
      </c>
      <c r="G149" s="3" t="str">
        <f>IFERROR(__xludf.DUMMYFUNCTION("GOOGLETRANSLATE(B149, ""it"", ""en"")"),"A player steps on the baseline while serving. What's the ruling?")</f>
        <v>A player steps on the baseline while serving. What's the ruling?</v>
      </c>
      <c r="H149" s="3" t="str">
        <f>IFERROR(__xludf.DUMMYFUNCTION("GOOGLETRANSLATE(C149, ""it"", ""en"")"),"A. The point goes to the other team B. The game continues C. The service is repeated D. The point is awarded")</f>
        <v>A. The point goes to the other team B. The game continues C. The service is repeated D. The point is awarded</v>
      </c>
      <c r="I149" s="3" t="str">
        <f>IFERROR(__xludf.DUMMYFUNCTION("GOOGLETRANSLATE(D149, ""it"", ""en"")"),"The point goes to the other team")</f>
        <v>The point goes to the other team</v>
      </c>
      <c r="J149" s="2"/>
      <c r="K149" s="2"/>
      <c r="L149" s="2"/>
      <c r="M149" s="2"/>
      <c r="N149" s="2"/>
      <c r="O149" s="2"/>
      <c r="P149" s="2"/>
      <c r="Q149" s="2"/>
      <c r="R149" s="2"/>
      <c r="S149" s="2"/>
      <c r="T149" s="2"/>
      <c r="U149" s="2"/>
      <c r="V149" s="2"/>
    </row>
    <row r="150" ht="22.5" customHeight="1">
      <c r="A150" s="3">
        <v>149.0</v>
      </c>
      <c r="B150" s="3" t="s">
        <v>1582</v>
      </c>
      <c r="C150" s="3" t="s">
        <v>1428</v>
      </c>
      <c r="D150" s="3" t="s">
        <v>976</v>
      </c>
      <c r="E150" s="2"/>
      <c r="F150" s="3" t="str">
        <f>IFERROR(__xludf.DUMMYFUNCTION("GOOGLETRANSLATE(A150, ""it"", ""en"")"),"149")</f>
        <v>149</v>
      </c>
      <c r="G150" s="3" t="str">
        <f>IFERROR(__xludf.DUMMYFUNCTION("GOOGLETRANSLATE(B150, ""it"", ""en"")"),"The ball hits the top tape of the net and lands in the opposing team's attack zone. What happens?")</f>
        <v>The ball hits the top tape of the net and lands in the opposing team's attack zone. What happens?</v>
      </c>
      <c r="H150" s="3" t="str">
        <f>IFERROR(__xludf.DUMMYFUNCTION("GOOGLETRANSLATE(C150, ""it"", ""en"")"),"A. The point is valid B. The point is repeated C. The point goes to the other team D. The ball is considered out")</f>
        <v>A. The point is valid B. The point is repeated C. The point goes to the other team D. The ball is considered out</v>
      </c>
      <c r="I150" s="3" t="str">
        <f>IFERROR(__xludf.DUMMYFUNCTION("GOOGLETRANSLATE(D150, ""it"", ""en"")"),"The point is valid")</f>
        <v>The point is valid</v>
      </c>
      <c r="J150" s="2"/>
      <c r="K150" s="2"/>
      <c r="L150" s="2"/>
      <c r="M150" s="2"/>
      <c r="N150" s="2"/>
      <c r="O150" s="2"/>
      <c r="P150" s="2"/>
      <c r="Q150" s="2"/>
      <c r="R150" s="2"/>
      <c r="S150" s="2"/>
      <c r="T150" s="2"/>
      <c r="U150" s="2"/>
      <c r="V150" s="2"/>
    </row>
    <row r="151" ht="22.5" customHeight="1">
      <c r="A151" s="3">
        <v>150.0</v>
      </c>
      <c r="B151" s="3" t="s">
        <v>1583</v>
      </c>
      <c r="C151" s="3" t="s">
        <v>1584</v>
      </c>
      <c r="D151" s="3" t="s">
        <v>1585</v>
      </c>
      <c r="E151" s="2"/>
      <c r="F151" s="3" t="str">
        <f>IFERROR(__xludf.DUMMYFUNCTION("GOOGLETRANSLATE(A151, ""it"", ""en"")"),"150")</f>
        <v>150</v>
      </c>
      <c r="G151" s="3" t="str">
        <f>IFERROR(__xludf.DUMMYFUNCTION("GOOGLETRANSLATE(B151, ""it"", ""en"")"),"A coach uses all available substitutions. What happens if another change is needed?")</f>
        <v>A coach uses all available substitutions. What happens if another change is needed?</v>
      </c>
      <c r="H151" s="3" t="str">
        <f>IFERROR(__xludf.DUMMYFUNCTION("GOOGLETRANSLATE(C151, ""it"", ""en"")"),"A. No further substitutions are possible B. The referee allows an extraordinary substitution C. The game continues D. The point is retaken")</f>
        <v>A. No further substitutions are possible B. The referee allows an extraordinary substitution C. The game continues D. The point is retaken</v>
      </c>
      <c r="I151" s="3" t="str">
        <f>IFERROR(__xludf.DUMMYFUNCTION("GOOGLETRANSLATE(D151, ""it"", ""en"")"),"No other substitutions can be made")</f>
        <v>No other substitutions can be made</v>
      </c>
      <c r="J151" s="2"/>
      <c r="K151" s="2"/>
      <c r="L151" s="2"/>
      <c r="M151" s="2"/>
      <c r="N151" s="2"/>
      <c r="O151" s="2"/>
      <c r="P151" s="2"/>
      <c r="Q151" s="2"/>
      <c r="R151" s="2"/>
      <c r="S151" s="2"/>
      <c r="T151" s="2"/>
      <c r="U151" s="2"/>
      <c r="V151" s="2"/>
    </row>
    <row r="152" ht="22.5" customHeight="1">
      <c r="A152" s="3">
        <v>151.0</v>
      </c>
      <c r="B152" s="3" t="s">
        <v>1586</v>
      </c>
      <c r="C152" s="3" t="s">
        <v>1587</v>
      </c>
      <c r="D152" s="3" t="s">
        <v>1588</v>
      </c>
      <c r="E152" s="2"/>
      <c r="F152" s="3" t="str">
        <f>IFERROR(__xludf.DUMMYFUNCTION("GOOGLETRANSLATE(A152, ""it"", ""en"")"),"151")</f>
        <v>151</v>
      </c>
      <c r="G152" s="3" t="str">
        <f>IFERROR(__xludf.DUMMYFUNCTION("GOOGLETRANSLATE(B152, ""it"", ""en"")"),"A player enters the field wearing a non-regulation jersey. What's the decision?")</f>
        <v>A player enters the field wearing a non-regulation jersey. What's the decision?</v>
      </c>
      <c r="H152" s="3" t="str">
        <f>IFERROR(__xludf.DUMMYFUNCTION("GOOGLETRANSLATE(C152, ""it"", ""en"")"),"A. The player must leave the field B. The game continues C. The point is awarded D. The player is cautioned")</f>
        <v>A. The player must leave the field B. The game continues C. The point is awarded D. The player is cautioned</v>
      </c>
      <c r="I152" s="3" t="str">
        <f>IFERROR(__xludf.DUMMYFUNCTION("GOOGLETRANSLATE(D152, ""it"", ""en"")"),"The player must leave the field")</f>
        <v>The player must leave the field</v>
      </c>
      <c r="J152" s="2"/>
      <c r="K152" s="2"/>
      <c r="L152" s="2"/>
      <c r="M152" s="2"/>
      <c r="N152" s="2"/>
      <c r="O152" s="2"/>
      <c r="P152" s="2"/>
      <c r="Q152" s="2"/>
      <c r="R152" s="2"/>
      <c r="S152" s="2"/>
      <c r="T152" s="2"/>
      <c r="U152" s="2"/>
      <c r="V152" s="2"/>
    </row>
    <row r="153" ht="22.5" customHeight="1">
      <c r="A153" s="3">
        <v>152.0</v>
      </c>
      <c r="B153" s="3" t="s">
        <v>1589</v>
      </c>
      <c r="C153" s="3" t="s">
        <v>1493</v>
      </c>
      <c r="D153" s="3" t="s">
        <v>1346</v>
      </c>
      <c r="E153" s="2"/>
      <c r="F153" s="3" t="str">
        <f>IFERROR(__xludf.DUMMYFUNCTION("GOOGLETRANSLATE(A153, ""it"", ""en"")"),"152")</f>
        <v>152</v>
      </c>
      <c r="G153" s="3" t="str">
        <f>IFERROR(__xludf.DUMMYFUNCTION("GOOGLETRANSLATE(B153, ""it"", ""en"")"),"A libero touches the ball with both hands simultaneously but in an irregular manner. What happens?")</f>
        <v>A libero touches the ball with both hands simultaneously but in an irregular manner. What happens?</v>
      </c>
      <c r="H153" s="3" t="str">
        <f>IFERROR(__xludf.DUMMYFUNCTION("GOOGLETRANSLATE(C153, ""it"", ""en"")"),"A. The point goes to the other team B. The game continues C. The point is repeated D. The shot is considered legal")</f>
        <v>A. The point goes to the other team B. The game continues C. The point is repeated D. The shot is considered legal</v>
      </c>
      <c r="I153" s="3" t="str">
        <f>IFERROR(__xludf.DUMMYFUNCTION("GOOGLETRANSLATE(D153, ""it"", ""en"")"),"The point goes to the other team")</f>
        <v>The point goes to the other team</v>
      </c>
      <c r="J153" s="2"/>
      <c r="K153" s="2"/>
      <c r="L153" s="2"/>
      <c r="M153" s="2"/>
      <c r="N153" s="2"/>
      <c r="O153" s="2"/>
      <c r="P153" s="2"/>
      <c r="Q153" s="2"/>
      <c r="R153" s="2"/>
      <c r="S153" s="2"/>
      <c r="T153" s="2"/>
      <c r="U153" s="2"/>
      <c r="V153" s="2"/>
    </row>
    <row r="154" ht="22.5" customHeight="1">
      <c r="A154" s="3">
        <v>153.0</v>
      </c>
      <c r="B154" s="3" t="s">
        <v>1590</v>
      </c>
      <c r="C154" s="3" t="s">
        <v>1591</v>
      </c>
      <c r="D154" s="3" t="s">
        <v>976</v>
      </c>
      <c r="E154" s="2"/>
      <c r="F154" s="3" t="str">
        <f>IFERROR(__xludf.DUMMYFUNCTION("GOOGLETRANSLATE(A154, ""it"", ""en"")"),"153")</f>
        <v>153</v>
      </c>
      <c r="G154" s="3" t="str">
        <f>IFERROR(__xludf.DUMMYFUNCTION("GOOGLETRANSLATE(B154, ""it"", ""en"")"),"The ball bounces off the center line and then comes back. What's the decision?")</f>
        <v>The ball bounces off the center line and then comes back. What's the decision?</v>
      </c>
      <c r="H154" s="3" t="str">
        <f>IFERROR(__xludf.DUMMYFUNCTION("GOOGLETRANSLATE(C154, ""it"", ""en"")"),"A. The point is valid B. The point goes to the other team C. The point is retaken D. The ball is considered out")</f>
        <v>A. The point is valid B. The point goes to the other team C. The point is retaken D. The ball is considered out</v>
      </c>
      <c r="I154" s="3" t="str">
        <f>IFERROR(__xludf.DUMMYFUNCTION("GOOGLETRANSLATE(D154, ""it"", ""en"")"),"The point is valid")</f>
        <v>The point is valid</v>
      </c>
      <c r="J154" s="2"/>
      <c r="K154" s="2"/>
      <c r="L154" s="2"/>
      <c r="M154" s="2"/>
      <c r="N154" s="2"/>
      <c r="O154" s="2"/>
      <c r="P154" s="2"/>
      <c r="Q154" s="2"/>
      <c r="R154" s="2"/>
      <c r="S154" s="2"/>
      <c r="T154" s="2"/>
      <c r="U154" s="2"/>
      <c r="V154" s="2"/>
    </row>
    <row r="155" ht="22.5" customHeight="1">
      <c r="A155" s="3">
        <v>154.0</v>
      </c>
      <c r="B155" s="3" t="s">
        <v>1592</v>
      </c>
      <c r="C155" s="3" t="s">
        <v>1593</v>
      </c>
      <c r="D155" s="3" t="s">
        <v>976</v>
      </c>
      <c r="E155" s="2"/>
      <c r="F155" s="3" t="str">
        <f>IFERROR(__xludf.DUMMYFUNCTION("GOOGLETRANSLATE(A155, ""it"", ""en"")"),"154")</f>
        <v>154</v>
      </c>
      <c r="G155" s="3" t="str">
        <f>IFERROR(__xludf.DUMMYFUNCTION("GOOGLETRANSLATE(B155, ""it"", ""en"")"),"A player punches the ball over the net. What happens?")</f>
        <v>A player punches the ball over the net. What happens?</v>
      </c>
      <c r="H155" s="3" t="str">
        <f>IFERROR(__xludf.DUMMYFUNCTION("GOOGLETRANSLATE(C155, ""it"", ""en"")"),"A. The point is valid B. The point goes to the other team C. The point is repeated D. The game continues")</f>
        <v>A. The point is valid B. The point goes to the other team C. The point is repeated D. The game continues</v>
      </c>
      <c r="I155" s="3" t="str">
        <f>IFERROR(__xludf.DUMMYFUNCTION("GOOGLETRANSLATE(D155, ""it"", ""en"")"),"The point is valid")</f>
        <v>The point is valid</v>
      </c>
      <c r="J155" s="2"/>
      <c r="K155" s="2"/>
      <c r="L155" s="2"/>
      <c r="M155" s="2"/>
      <c r="N155" s="2"/>
      <c r="O155" s="2"/>
      <c r="P155" s="2"/>
      <c r="Q155" s="2"/>
      <c r="R155" s="2"/>
      <c r="S155" s="2"/>
      <c r="T155" s="2"/>
      <c r="U155" s="2"/>
      <c r="V155" s="2"/>
    </row>
    <row r="156" ht="22.5" customHeight="1">
      <c r="A156" s="3">
        <v>155.0</v>
      </c>
      <c r="B156" s="3" t="s">
        <v>1594</v>
      </c>
      <c r="C156" s="3" t="s">
        <v>1501</v>
      </c>
      <c r="D156" s="3" t="s">
        <v>1346</v>
      </c>
      <c r="E156" s="2"/>
      <c r="F156" s="3" t="str">
        <f>IFERROR(__xludf.DUMMYFUNCTION("GOOGLETRANSLATE(A156, ""it"", ""en"")"),"155")</f>
        <v>155</v>
      </c>
      <c r="G156" s="3" t="str">
        <f>IFERROR(__xludf.DUMMYFUNCTION("GOOGLETRANSLATE(B156, ""it"", ""en"")"),"A libero tries to save a ball near the net but it touches the three-meter line. What's the decision?")</f>
        <v>A libero tries to save a ball near the net but it touches the three-meter line. What's the decision?</v>
      </c>
      <c r="H156" s="3" t="str">
        <f>IFERROR(__xludf.DUMMYFUNCTION("GOOGLETRANSLATE(C156, ""it"", ""en"")"),"A. The point goes to the other team B. The game continues C. The point is retaken D. The libero is cautioned")</f>
        <v>A. The point goes to the other team B. The game continues C. The point is retaken D. The libero is cautioned</v>
      </c>
      <c r="I156" s="3" t="str">
        <f>IFERROR(__xludf.DUMMYFUNCTION("GOOGLETRANSLATE(D156, ""it"", ""en"")"),"The point goes to the other team")</f>
        <v>The point goes to the other team</v>
      </c>
      <c r="J156" s="2"/>
      <c r="K156" s="2"/>
      <c r="L156" s="2"/>
      <c r="M156" s="2"/>
      <c r="N156" s="2"/>
      <c r="O156" s="2"/>
      <c r="P156" s="2"/>
      <c r="Q156" s="2"/>
      <c r="R156" s="2"/>
      <c r="S156" s="2"/>
      <c r="T156" s="2"/>
      <c r="U156" s="2"/>
      <c r="V156" s="2"/>
    </row>
    <row r="157" ht="22.5" customHeight="1">
      <c r="A157" s="3">
        <v>156.0</v>
      </c>
      <c r="B157" s="3" t="s">
        <v>1595</v>
      </c>
      <c r="C157" s="3" t="s">
        <v>1383</v>
      </c>
      <c r="D157" s="3" t="s">
        <v>12</v>
      </c>
      <c r="E157" s="2"/>
      <c r="F157" s="3" t="str">
        <f>IFERROR(__xludf.DUMMYFUNCTION("GOOGLETRANSLATE(A157, ""it"", ""en"")"),"156")</f>
        <v>156</v>
      </c>
      <c r="G157" s="3" t="str">
        <f>IFERROR(__xludf.DUMMYFUNCTION("GOOGLETRANSLATE(B157, ""it"", ""en"")"),"A player accidentally bumps into a teammate during a defensive play. What happens?")</f>
        <v>A player accidentally bumps into a teammate during a defensive play. What happens?</v>
      </c>
      <c r="H157" s="3" t="str">
        <f>IFERROR(__xludf.DUMMYFUNCTION("GOOGLETRANSLATE(C157, ""it"", ""en"")"),"A. The game continues B. The point goes to the other team C. The point is repeated D. The shot is considered illegal")</f>
        <v>A. The game continues B. The point goes to the other team C. The point is repeated D. The shot is considered illegal</v>
      </c>
      <c r="I157" s="3" t="str">
        <f>IFERROR(__xludf.DUMMYFUNCTION("GOOGLETRANSLATE(D157, ""it"", ""en"")"),"The game continues")</f>
        <v>The game continues</v>
      </c>
      <c r="J157" s="2"/>
      <c r="K157" s="2"/>
      <c r="L157" s="2"/>
      <c r="M157" s="2"/>
      <c r="N157" s="2"/>
      <c r="O157" s="2"/>
      <c r="P157" s="2"/>
      <c r="Q157" s="2"/>
      <c r="R157" s="2"/>
      <c r="S157" s="2"/>
      <c r="T157" s="2"/>
      <c r="U157" s="2"/>
      <c r="V157" s="2"/>
    </row>
    <row r="158" ht="22.5" customHeight="1">
      <c r="A158" s="3">
        <v>157.0</v>
      </c>
      <c r="B158" s="3" t="s">
        <v>1596</v>
      </c>
      <c r="C158" s="3" t="s">
        <v>1575</v>
      </c>
      <c r="D158" s="3" t="s">
        <v>1442</v>
      </c>
      <c r="E158" s="2"/>
      <c r="F158" s="3" t="str">
        <f>IFERROR(__xludf.DUMMYFUNCTION("GOOGLETRANSLATE(A158, ""it"", ""en"")"),"157")</f>
        <v>157</v>
      </c>
      <c r="G158" s="3" t="str">
        <f>IFERROR(__xludf.DUMMYFUNCTION("GOOGLETRANSLATE(B158, ""it"", ""en"")"),"The ball is hit over the net but hits the antenna. What's the decision?")</f>
        <v>The ball is hit over the net but hits the antenna. What's the decision?</v>
      </c>
      <c r="H158" s="3" t="str">
        <f>IFERROR(__xludf.DUMMYFUNCTION("GOOGLETRANSLATE(C158, ""it"", ""en"")"),"A. The ball is considered out B. The point is valid C. The point is retaken D. The game continues")</f>
        <v>A. The ball is considered out B. The point is valid C. The point is retaken D. The game continues</v>
      </c>
      <c r="I158" s="3" t="str">
        <f>IFERROR(__xludf.DUMMYFUNCTION("GOOGLETRANSLATE(D158, ""it"", ""en"")"),"The ball is considered out")</f>
        <v>The ball is considered out</v>
      </c>
      <c r="J158" s="2"/>
      <c r="K158" s="2"/>
      <c r="L158" s="2"/>
      <c r="M158" s="2"/>
      <c r="N158" s="2"/>
      <c r="O158" s="2"/>
      <c r="P158" s="2"/>
      <c r="Q158" s="2"/>
      <c r="R158" s="2"/>
      <c r="S158" s="2"/>
      <c r="T158" s="2"/>
      <c r="U158" s="2"/>
      <c r="V158" s="2"/>
    </row>
    <row r="159" ht="22.5" customHeight="1">
      <c r="A159" s="3">
        <v>158.0</v>
      </c>
      <c r="B159" s="3" t="s">
        <v>1597</v>
      </c>
      <c r="C159" s="3" t="s">
        <v>1503</v>
      </c>
      <c r="D159" s="3" t="s">
        <v>1433</v>
      </c>
      <c r="E159" s="2"/>
      <c r="F159" s="3" t="str">
        <f>IFERROR(__xludf.DUMMYFUNCTION("GOOGLETRANSLATE(A159, ""it"", ""en"")"),"158")</f>
        <v>158</v>
      </c>
      <c r="G159" s="3" t="str">
        <f>IFERROR(__xludf.DUMMYFUNCTION("GOOGLETRANSLATE(B159, ""it"", ""en"")"),"A coach delays the start of a set to talk to the players. What's happening?")</f>
        <v>A coach delays the start of a set to talk to the players. What's happening?</v>
      </c>
      <c r="H159" s="3" t="str">
        <f>IFERROR(__xludf.DUMMYFUNCTION("GOOGLETRANSLATE(C159, ""it"", ""en"")"),"A. The coach is cautioned B. The game continues C. The point is retaken D. The point goes to the other team")</f>
        <v>A. The coach is cautioned B. The game continues C. The point is retaken D. The point goes to the other team</v>
      </c>
      <c r="I159" s="3" t="str">
        <f>IFERROR(__xludf.DUMMYFUNCTION("GOOGLETRANSLATE(D159, ""it"", ""en"")"),"The coach is cautioned")</f>
        <v>The coach is cautioned</v>
      </c>
      <c r="J159" s="2"/>
      <c r="K159" s="2"/>
      <c r="L159" s="2"/>
      <c r="M159" s="2"/>
      <c r="N159" s="2"/>
      <c r="O159" s="2"/>
      <c r="P159" s="2"/>
      <c r="Q159" s="2"/>
      <c r="R159" s="2"/>
      <c r="S159" s="2"/>
      <c r="T159" s="2"/>
      <c r="U159" s="2"/>
      <c r="V159" s="2"/>
    </row>
    <row r="160" ht="22.5" customHeight="1">
      <c r="A160" s="3">
        <v>159.0</v>
      </c>
      <c r="B160" s="3" t="s">
        <v>1598</v>
      </c>
      <c r="C160" s="3" t="s">
        <v>1540</v>
      </c>
      <c r="D160" s="3" t="s">
        <v>1346</v>
      </c>
      <c r="E160" s="2"/>
      <c r="F160" s="3" t="str">
        <f>IFERROR(__xludf.DUMMYFUNCTION("GOOGLETRANSLATE(A160, ""it"", ""en"")"),"159")</f>
        <v>159</v>
      </c>
      <c r="G160" s="3" t="str">
        <f>IFERROR(__xludf.DUMMYFUNCTION("GOOGLETRANSLATE(B160, ""it"", ""en"")"),"The ball touches a player and then goes out of bounds without being touched by anyone else. What's the decision?")</f>
        <v>The ball touches a player and then goes out of bounds without being touched by anyone else. What's the decision?</v>
      </c>
      <c r="H160" s="3" t="str">
        <f>IFERROR(__xludf.DUMMYFUNCTION("GOOGLETRANSLATE(C160, ""it"", ""en"")"),"A. The point goes to the other team B. The game continues C. The point is retaken D. The ball is considered valid")</f>
        <v>A. The point goes to the other team B. The game continues C. The point is retaken D. The ball is considered valid</v>
      </c>
      <c r="I160" s="3" t="str">
        <f>IFERROR(__xludf.DUMMYFUNCTION("GOOGLETRANSLATE(D160, ""it"", ""en"")"),"The point goes to the other team")</f>
        <v>The point goes to the other team</v>
      </c>
      <c r="J160" s="2"/>
      <c r="K160" s="2"/>
      <c r="L160" s="2"/>
      <c r="M160" s="2"/>
      <c r="N160" s="2"/>
      <c r="O160" s="2"/>
      <c r="P160" s="2"/>
      <c r="Q160" s="2"/>
      <c r="R160" s="2"/>
      <c r="S160" s="2"/>
      <c r="T160" s="2"/>
      <c r="U160" s="2"/>
      <c r="V160" s="2"/>
    </row>
    <row r="161" ht="22.5" customHeight="1">
      <c r="A161" s="3">
        <v>160.0</v>
      </c>
      <c r="B161" s="3" t="s">
        <v>1599</v>
      </c>
      <c r="C161" s="3" t="s">
        <v>1600</v>
      </c>
      <c r="D161" s="3" t="s">
        <v>1346</v>
      </c>
      <c r="E161" s="2"/>
      <c r="F161" s="3" t="str">
        <f>IFERROR(__xludf.DUMMYFUNCTION("GOOGLETRANSLATE(A161, ""it"", ""en"")"),"160")</f>
        <v>160</v>
      </c>
      <c r="G161" s="3" t="str">
        <f>IFERROR(__xludf.DUMMYFUNCTION("GOOGLETRANSLATE(B161, ""it"", ""en"")"),"A libero serves. What happens?")</f>
        <v>A libero serves. What happens?</v>
      </c>
      <c r="H161" s="3" t="str">
        <f>IFERROR(__xludf.DUMMYFUNCTION("GOOGLETRANSLATE(C161, ""it"", ""en"")"),"A. The point goes to the other team B. The game continues C. The service is considered regular D. The point is retaken")</f>
        <v>A. The point goes to the other team B. The game continues C. The service is considered regular D. The point is retaken</v>
      </c>
      <c r="I161" s="3" t="str">
        <f>IFERROR(__xludf.DUMMYFUNCTION("GOOGLETRANSLATE(D161, ""it"", ""en"")"),"The point goes to the other team")</f>
        <v>The point goes to the other team</v>
      </c>
      <c r="J161" s="2"/>
      <c r="K161" s="2"/>
      <c r="L161" s="2"/>
      <c r="M161" s="2"/>
      <c r="N161" s="2"/>
      <c r="O161" s="2"/>
      <c r="P161" s="2"/>
      <c r="Q161" s="2"/>
      <c r="R161" s="2"/>
      <c r="S161" s="2"/>
      <c r="T161" s="2"/>
      <c r="U161" s="2"/>
      <c r="V161" s="2"/>
    </row>
    <row r="162" ht="22.5" customHeight="1">
      <c r="A162" s="3">
        <v>161.0</v>
      </c>
      <c r="B162" s="3" t="s">
        <v>1601</v>
      </c>
      <c r="C162" s="3" t="s">
        <v>1383</v>
      </c>
      <c r="D162" s="3" t="s">
        <v>12</v>
      </c>
      <c r="E162" s="2"/>
      <c r="F162" s="3" t="str">
        <f>IFERROR(__xludf.DUMMYFUNCTION("GOOGLETRANSLATE(A162, ""it"", ""en"")"),"161")</f>
        <v>161</v>
      </c>
      <c r="G162" s="3" t="str">
        <f>IFERROR(__xludf.DUMMYFUNCTION("GOOGLETRANSLATE(B162, ""it"", ""en"")"),"A player moves beyond the midfield line to save the ball. What's the decision?")</f>
        <v>A player moves beyond the midfield line to save the ball. What's the decision?</v>
      </c>
      <c r="H162" s="3" t="str">
        <f>IFERROR(__xludf.DUMMYFUNCTION("GOOGLETRANSLATE(C162, ""it"", ""en"")"),"A. The game continues B. The point goes to the other team C. The point is repeated D. The shot is considered illegal")</f>
        <v>A. The game continues B. The point goes to the other team C. The point is repeated D. The shot is considered illegal</v>
      </c>
      <c r="I162" s="3" t="str">
        <f>IFERROR(__xludf.DUMMYFUNCTION("GOOGLETRANSLATE(D162, ""it"", ""en"")"),"The game continues")</f>
        <v>The game continues</v>
      </c>
      <c r="J162" s="2"/>
      <c r="K162" s="2"/>
      <c r="L162" s="2"/>
      <c r="M162" s="2"/>
      <c r="N162" s="2"/>
      <c r="O162" s="2"/>
      <c r="P162" s="2"/>
      <c r="Q162" s="2"/>
      <c r="R162" s="2"/>
      <c r="S162" s="2"/>
      <c r="T162" s="2"/>
      <c r="U162" s="2"/>
      <c r="V162" s="2"/>
    </row>
    <row r="163" ht="22.5" customHeight="1">
      <c r="A163" s="3">
        <v>162.0</v>
      </c>
      <c r="B163" s="3" t="s">
        <v>1602</v>
      </c>
      <c r="C163" s="3" t="s">
        <v>1603</v>
      </c>
      <c r="D163" s="3" t="s">
        <v>1442</v>
      </c>
      <c r="E163" s="2"/>
      <c r="F163" s="3" t="str">
        <f>IFERROR(__xludf.DUMMYFUNCTION("GOOGLETRANSLATE(A163, ""it"", ""en"")"),"162")</f>
        <v>162</v>
      </c>
      <c r="G163" s="3" t="str">
        <f>IFERROR(__xludf.DUMMYFUNCTION("GOOGLETRANSLATE(B163, ""it"", ""en"")"),"The ball bounces off the opposing wall and hits the ceiling above the pitch. What's the decision?")</f>
        <v>The ball bounces off the opposing wall and hits the ceiling above the pitch. What's the decision?</v>
      </c>
      <c r="H163" s="3" t="str">
        <f>IFERROR(__xludf.DUMMYFUNCTION("GOOGLETRANSLATE(C163, ""it"", ""en"")"),"A. The ball is considered out B. The point is retaken C. The point is valid D. The game continues")</f>
        <v>A. The ball is considered out B. The point is retaken C. The point is valid D. The game continues</v>
      </c>
      <c r="I163" s="3" t="str">
        <f>IFERROR(__xludf.DUMMYFUNCTION("GOOGLETRANSLATE(D163, ""it"", ""en"")"),"The ball is considered out")</f>
        <v>The ball is considered out</v>
      </c>
      <c r="J163" s="2"/>
      <c r="K163" s="2"/>
      <c r="L163" s="2"/>
      <c r="M163" s="2"/>
      <c r="N163" s="2"/>
      <c r="O163" s="2"/>
      <c r="P163" s="2"/>
      <c r="Q163" s="2"/>
      <c r="R163" s="2"/>
      <c r="S163" s="2"/>
      <c r="T163" s="2"/>
      <c r="U163" s="2"/>
      <c r="V163" s="2"/>
    </row>
    <row r="164" ht="22.5" customHeight="1">
      <c r="A164" s="3">
        <v>163.0</v>
      </c>
      <c r="B164" s="3" t="s">
        <v>1604</v>
      </c>
      <c r="C164" s="3" t="s">
        <v>1493</v>
      </c>
      <c r="D164" s="3" t="s">
        <v>1346</v>
      </c>
      <c r="E164" s="2"/>
      <c r="F164" s="3" t="str">
        <f>IFERROR(__xludf.DUMMYFUNCTION("GOOGLETRANSLATE(A164, ""it"", ""en"")"),"163")</f>
        <v>163</v>
      </c>
      <c r="G164" s="3" t="str">
        <f>IFERROR(__xludf.DUMMYFUNCTION("GOOGLETRANSLATE(B164, ""it"", ""en"")"),"A player catches a ball above the net but touches the antenna with his hand. What happens?")</f>
        <v>A player catches a ball above the net but touches the antenna with his hand. What happens?</v>
      </c>
      <c r="H164" s="3" t="str">
        <f>IFERROR(__xludf.DUMMYFUNCTION("GOOGLETRANSLATE(C164, ""it"", ""en"")"),"A. The point goes to the other team B. The game continues C. The point is repeated D. The shot is considered legal")</f>
        <v>A. The point goes to the other team B. The game continues C. The point is repeated D. The shot is considered legal</v>
      </c>
      <c r="I164" s="3" t="str">
        <f>IFERROR(__xludf.DUMMYFUNCTION("GOOGLETRANSLATE(D164, ""it"", ""en"")"),"The point goes to the other team")</f>
        <v>The point goes to the other team</v>
      </c>
      <c r="J164" s="2"/>
      <c r="K164" s="2"/>
      <c r="L164" s="2"/>
      <c r="M164" s="2"/>
      <c r="N164" s="2"/>
      <c r="O164" s="2"/>
      <c r="P164" s="2"/>
      <c r="Q164" s="2"/>
      <c r="R164" s="2"/>
      <c r="S164" s="2"/>
      <c r="T164" s="2"/>
      <c r="U164" s="2"/>
      <c r="V164" s="2"/>
    </row>
    <row r="165" ht="22.5" customHeight="1">
      <c r="A165" s="3">
        <v>164.0</v>
      </c>
      <c r="B165" s="3" t="s">
        <v>1605</v>
      </c>
      <c r="C165" s="3" t="s">
        <v>1540</v>
      </c>
      <c r="D165" s="3" t="s">
        <v>1346</v>
      </c>
      <c r="E165" s="2"/>
      <c r="F165" s="3" t="str">
        <f>IFERROR(__xludf.DUMMYFUNCTION("GOOGLETRANSLATE(A165, ""it"", ""en"")"),"164")</f>
        <v>164</v>
      </c>
      <c r="G165" s="3" t="str">
        <f>IFERROR(__xludf.DUMMYFUNCTION("GOOGLETRANSLATE(B165, ""it"", ""en"")"),"The ball touches the netting but doesn't cross the opponent's court. What's the decision?")</f>
        <v>The ball touches the netting but doesn't cross the opponent's court. What's the decision?</v>
      </c>
      <c r="H165" s="3" t="str">
        <f>IFERROR(__xludf.DUMMYFUNCTION("GOOGLETRANSLATE(C165, ""it"", ""en"")"),"A. The point goes to the other team B. The game continues C. The point is retaken D. The ball is considered valid")</f>
        <v>A. The point goes to the other team B. The game continues C. The point is retaken D. The ball is considered valid</v>
      </c>
      <c r="I165" s="3" t="str">
        <f>IFERROR(__xludf.DUMMYFUNCTION("GOOGLETRANSLATE(D165, ""it"", ""en"")"),"The point goes to the other team")</f>
        <v>The point goes to the other team</v>
      </c>
      <c r="J165" s="2"/>
      <c r="K165" s="2"/>
      <c r="L165" s="2"/>
      <c r="M165" s="2"/>
      <c r="N165" s="2"/>
      <c r="O165" s="2"/>
      <c r="P165" s="2"/>
      <c r="Q165" s="2"/>
      <c r="R165" s="2"/>
      <c r="S165" s="2"/>
      <c r="T165" s="2"/>
      <c r="U165" s="2"/>
      <c r="V165" s="2"/>
    </row>
    <row r="166" ht="22.5" customHeight="1">
      <c r="A166" s="3">
        <v>165.0</v>
      </c>
      <c r="B166" s="3" t="s">
        <v>1606</v>
      </c>
      <c r="C166" s="3" t="s">
        <v>1383</v>
      </c>
      <c r="D166" s="3" t="s">
        <v>12</v>
      </c>
      <c r="E166" s="2"/>
      <c r="F166" s="3" t="str">
        <f>IFERROR(__xludf.DUMMYFUNCTION("GOOGLETRANSLATE(A166, ""it"", ""en"")"),"165")</f>
        <v>165</v>
      </c>
      <c r="G166" s="3" t="str">
        <f>IFERROR(__xludf.DUMMYFUNCTION("GOOGLETRANSLATE(B166, ""it"", ""en"")"),"A libero tries to catch the ball with a kick. What happens?")</f>
        <v>A libero tries to catch the ball with a kick. What happens?</v>
      </c>
      <c r="H166" s="3" t="str">
        <f>IFERROR(__xludf.DUMMYFUNCTION("GOOGLETRANSLATE(C166, ""it"", ""en"")"),"A. The game continues B. The point goes to the other team C. The point is repeated D. The shot is considered illegal")</f>
        <v>A. The game continues B. The point goes to the other team C. The point is repeated D. The shot is considered illegal</v>
      </c>
      <c r="I166" s="3" t="str">
        <f>IFERROR(__xludf.DUMMYFUNCTION("GOOGLETRANSLATE(D166, ""it"", ""en"")"),"The game continues")</f>
        <v>The game continues</v>
      </c>
      <c r="J166" s="2"/>
      <c r="K166" s="2"/>
      <c r="L166" s="2"/>
      <c r="M166" s="2"/>
      <c r="N166" s="2"/>
      <c r="O166" s="2"/>
      <c r="P166" s="2"/>
      <c r="Q166" s="2"/>
      <c r="R166" s="2"/>
      <c r="S166" s="2"/>
      <c r="T166" s="2"/>
      <c r="U166" s="2"/>
      <c r="V166" s="2"/>
    </row>
    <row r="167" ht="22.5" customHeight="1">
      <c r="A167" s="3">
        <v>166.0</v>
      </c>
      <c r="B167" s="3" t="s">
        <v>1607</v>
      </c>
      <c r="C167" s="3" t="s">
        <v>1493</v>
      </c>
      <c r="D167" s="3" t="s">
        <v>1346</v>
      </c>
      <c r="E167" s="2"/>
      <c r="F167" s="3" t="str">
        <f>IFERROR(__xludf.DUMMYFUNCTION("GOOGLETRANSLATE(A167, ""it"", ""en"")"),"166")</f>
        <v>166</v>
      </c>
      <c r="G167" s="3" t="str">
        <f>IFERROR(__xludf.DUMMYFUNCTION("GOOGLETRANSLATE(B167, ""it"", ""en"")"),"A player hits the ball but the shot is undershot. What's the ruling?")</f>
        <v>A player hits the ball but the shot is undershot. What's the ruling?</v>
      </c>
      <c r="H167" s="3" t="str">
        <f>IFERROR(__xludf.DUMMYFUNCTION("GOOGLETRANSLATE(C167, ""it"", ""en"")"),"A. The point goes to the other team B. The game continues C. The point is repeated D. The shot is considered legal")</f>
        <v>A. The point goes to the other team B. The game continues C. The point is repeated D. The shot is considered legal</v>
      </c>
      <c r="I167" s="3" t="str">
        <f>IFERROR(__xludf.DUMMYFUNCTION("GOOGLETRANSLATE(D167, ""it"", ""en"")"),"The point goes to the other team")</f>
        <v>The point goes to the other team</v>
      </c>
      <c r="J167" s="2"/>
      <c r="K167" s="2"/>
      <c r="L167" s="2"/>
      <c r="M167" s="2"/>
      <c r="N167" s="2"/>
      <c r="O167" s="2"/>
      <c r="P167" s="2"/>
      <c r="Q167" s="2"/>
      <c r="R167" s="2"/>
      <c r="S167" s="2"/>
      <c r="T167" s="2"/>
      <c r="U167" s="2"/>
      <c r="V167" s="2"/>
    </row>
    <row r="168" ht="22.5" customHeight="1">
      <c r="A168" s="3">
        <v>167.0</v>
      </c>
      <c r="B168" s="3" t="s">
        <v>1608</v>
      </c>
      <c r="C168" s="3" t="s">
        <v>1609</v>
      </c>
      <c r="D168" s="3" t="s">
        <v>976</v>
      </c>
      <c r="E168" s="2"/>
      <c r="F168" s="3" t="str">
        <f>IFERROR(__xludf.DUMMYFUNCTION("GOOGLETRANSLATE(A168, ""it"", ""en"")"),"167")</f>
        <v>167</v>
      </c>
      <c r="G168" s="3" t="str">
        <f>IFERROR(__xludf.DUMMYFUNCTION("GOOGLETRANSLATE(B168, ""it"", ""en"")"),"The ball accidentally touches a teammate and falls into the opponent's court. What's the decision?")</f>
        <v>The ball accidentally touches a teammate and falls into the opponent's court. What's the decision?</v>
      </c>
      <c r="H168" s="3" t="str">
        <f>IFERROR(__xludf.DUMMYFUNCTION("GOOGLETRANSLATE(C168, ""it"", ""en"")"),"A. The point is valid B. The point is repeated C. The point goes to the other team D. The game continues")</f>
        <v>A. The point is valid B. The point is repeated C. The point goes to the other team D. The game continues</v>
      </c>
      <c r="I168" s="3" t="str">
        <f>IFERROR(__xludf.DUMMYFUNCTION("GOOGLETRANSLATE(D168, ""it"", ""en"")"),"The point is valid")</f>
        <v>The point is valid</v>
      </c>
      <c r="J168" s="2"/>
      <c r="K168" s="2"/>
      <c r="L168" s="2"/>
      <c r="M168" s="2"/>
      <c r="N168" s="2"/>
      <c r="O168" s="2"/>
      <c r="P168" s="2"/>
      <c r="Q168" s="2"/>
      <c r="R168" s="2"/>
      <c r="S168" s="2"/>
      <c r="T168" s="2"/>
      <c r="U168" s="2"/>
      <c r="V168" s="2"/>
    </row>
    <row r="169" ht="22.5" customHeight="1">
      <c r="A169" s="3">
        <v>168.0</v>
      </c>
      <c r="B169" s="3" t="s">
        <v>1610</v>
      </c>
      <c r="C169" s="3" t="s">
        <v>1523</v>
      </c>
      <c r="D169" s="3" t="s">
        <v>707</v>
      </c>
      <c r="E169" s="2"/>
      <c r="F169" s="3" t="str">
        <f>IFERROR(__xludf.DUMMYFUNCTION("GOOGLETRANSLATE(A169, ""it"", ""en"")"),"168")</f>
        <v>168</v>
      </c>
      <c r="G169" s="3" t="str">
        <f>IFERROR(__xludf.DUMMYFUNCTION("GOOGLETRANSLATE(B169, ""it"", ""en"")"),"A player approaches the referee to discuss a decision during the game. What happens?")</f>
        <v>A player approaches the referee to discuss a decision during the game. What happens?</v>
      </c>
      <c r="H169" s="3" t="str">
        <f>IFERROR(__xludf.DUMMYFUNCTION("GOOGLETRANSLATE(C169, ""it"", ""en"")"),"A. The player is cautioned B. The game continues C. The point is retaken D. The point goes to the other team")</f>
        <v>A. The player is cautioned B. The game continues C. The point is retaken D. The point goes to the other team</v>
      </c>
      <c r="I169" s="3" t="str">
        <f>IFERROR(__xludf.DUMMYFUNCTION("GOOGLETRANSLATE(D169, ""it"", ""en"")"),"The player is cautioned")</f>
        <v>The player is cautioned</v>
      </c>
      <c r="J169" s="2"/>
      <c r="K169" s="2"/>
      <c r="L169" s="2"/>
      <c r="M169" s="2"/>
      <c r="N169" s="2"/>
      <c r="O169" s="2"/>
      <c r="P169" s="2"/>
      <c r="Q169" s="2"/>
      <c r="R169" s="2"/>
      <c r="S169" s="2"/>
      <c r="T169" s="2"/>
      <c r="U169" s="2"/>
      <c r="V169" s="2"/>
    </row>
    <row r="170" ht="22.5" customHeight="1">
      <c r="A170" s="3">
        <v>169.0</v>
      </c>
      <c r="B170" s="3" t="s">
        <v>1611</v>
      </c>
      <c r="C170" s="3" t="s">
        <v>1575</v>
      </c>
      <c r="D170" s="3" t="s">
        <v>1442</v>
      </c>
      <c r="E170" s="2"/>
      <c r="F170" s="3" t="str">
        <f>IFERROR(__xludf.DUMMYFUNCTION("GOOGLETRANSLATE(A170, ""it"", ""en"")"),"169")</f>
        <v>169</v>
      </c>
      <c r="G170" s="3" t="str">
        <f>IFERROR(__xludf.DUMMYFUNCTION("GOOGLETRANSLATE(B170, ""it"", ""en"")"),"The ball goes through the net but hits the post before falling into the opponent's court. What's the decision?")</f>
        <v>The ball goes through the net but hits the post before falling into the opponent's court. What's the decision?</v>
      </c>
      <c r="H170" s="3" t="str">
        <f>IFERROR(__xludf.DUMMYFUNCTION("GOOGLETRANSLATE(C170, ""it"", ""en"")"),"A. The ball is considered out B. The point is valid C. The point is retaken D. The game continues")</f>
        <v>A. The ball is considered out B. The point is valid C. The point is retaken D. The game continues</v>
      </c>
      <c r="I170" s="3" t="str">
        <f>IFERROR(__xludf.DUMMYFUNCTION("GOOGLETRANSLATE(D170, ""it"", ""en"")"),"The ball is considered out")</f>
        <v>The ball is considered out</v>
      </c>
      <c r="J170" s="2"/>
      <c r="K170" s="2"/>
      <c r="L170" s="2"/>
      <c r="M170" s="2"/>
      <c r="N170" s="2"/>
      <c r="O170" s="2"/>
      <c r="P170" s="2"/>
      <c r="Q170" s="2"/>
      <c r="R170" s="2"/>
      <c r="S170" s="2"/>
      <c r="T170" s="2"/>
      <c r="U170" s="2"/>
      <c r="V170" s="2"/>
    </row>
    <row r="171" ht="22.5" customHeight="1">
      <c r="A171" s="3">
        <v>170.0</v>
      </c>
      <c r="B171" s="3" t="s">
        <v>1612</v>
      </c>
      <c r="C171" s="3" t="s">
        <v>1503</v>
      </c>
      <c r="D171" s="3" t="s">
        <v>1433</v>
      </c>
      <c r="E171" s="2"/>
      <c r="F171" s="3" t="str">
        <f>IFERROR(__xludf.DUMMYFUNCTION("GOOGLETRANSLATE(A171, ""it"", ""en"")"),"170")</f>
        <v>170</v>
      </c>
      <c r="G171" s="3" t="str">
        <f>IFERROR(__xludf.DUMMYFUNCTION("GOOGLETRANSLATE(B171, ""it"", ""en"")"),"A coach goes beyond his technical area to give instructions. What happens?")</f>
        <v>A coach goes beyond his technical area to give instructions. What happens?</v>
      </c>
      <c r="H171" s="3" t="str">
        <f>IFERROR(__xludf.DUMMYFUNCTION("GOOGLETRANSLATE(C171, ""it"", ""en"")"),"A. The coach is cautioned B. The game continues C. The point is retaken D. The point goes to the other team")</f>
        <v>A. The coach is cautioned B. The game continues C. The point is retaken D. The point goes to the other team</v>
      </c>
      <c r="I171" s="3" t="str">
        <f>IFERROR(__xludf.DUMMYFUNCTION("GOOGLETRANSLATE(D171, ""it"", ""en"")"),"The coach is cautioned")</f>
        <v>The coach is cautioned</v>
      </c>
      <c r="J171" s="2"/>
      <c r="K171" s="2"/>
      <c r="L171" s="2"/>
      <c r="M171" s="2"/>
      <c r="N171" s="2"/>
      <c r="O171" s="2"/>
      <c r="P171" s="2"/>
      <c r="Q171" s="2"/>
      <c r="R171" s="2"/>
      <c r="S171" s="2"/>
      <c r="T171" s="2"/>
      <c r="U171" s="2"/>
      <c r="V171" s="2"/>
    </row>
    <row r="172" ht="22.5" customHeight="1">
      <c r="A172" s="3">
        <v>171.0</v>
      </c>
      <c r="B172" s="3" t="s">
        <v>1613</v>
      </c>
      <c r="C172" s="3" t="s">
        <v>1501</v>
      </c>
      <c r="D172" s="3" t="s">
        <v>1346</v>
      </c>
      <c r="E172" s="2"/>
      <c r="F172" s="3" t="str">
        <f>IFERROR(__xludf.DUMMYFUNCTION("GOOGLETRANSLATE(A172, ""it"", ""en"")"),"171")</f>
        <v>171</v>
      </c>
      <c r="G172" s="3" t="str">
        <f>IFERROR(__xludf.DUMMYFUNCTION("GOOGLETRANSLATE(B172, ""it"", ""en"")"),"A libero positions himself in the attack zone during the service. What's the decision?")</f>
        <v>A libero positions himself in the attack zone during the service. What's the decision?</v>
      </c>
      <c r="H172" s="3" t="str">
        <f>IFERROR(__xludf.DUMMYFUNCTION("GOOGLETRANSLATE(C172, ""it"", ""en"")"),"A. The point goes to the other team B. The game continues C. The point is retaken D. The libero is cautioned")</f>
        <v>A. The point goes to the other team B. The game continues C. The point is retaken D. The libero is cautioned</v>
      </c>
      <c r="I172" s="3" t="str">
        <f>IFERROR(__xludf.DUMMYFUNCTION("GOOGLETRANSLATE(D172, ""it"", ""en"")"),"The point goes to the other team")</f>
        <v>The point goes to the other team</v>
      </c>
      <c r="J172" s="2"/>
      <c r="K172" s="2"/>
      <c r="L172" s="2"/>
      <c r="M172" s="2"/>
      <c r="N172" s="2"/>
      <c r="O172" s="2"/>
      <c r="P172" s="2"/>
      <c r="Q172" s="2"/>
      <c r="R172" s="2"/>
      <c r="S172" s="2"/>
      <c r="T172" s="2"/>
      <c r="U172" s="2"/>
      <c r="V172" s="2"/>
    </row>
    <row r="173" ht="22.5" customHeight="1">
      <c r="A173" s="3">
        <v>172.0</v>
      </c>
      <c r="B173" s="3" t="s">
        <v>1614</v>
      </c>
      <c r="C173" s="3" t="s">
        <v>1428</v>
      </c>
      <c r="D173" s="3" t="s">
        <v>976</v>
      </c>
      <c r="E173" s="2"/>
      <c r="F173" s="3" t="str">
        <f>IFERROR(__xludf.DUMMYFUNCTION("GOOGLETRANSLATE(A173, ""it"", ""en"")"),"172")</f>
        <v>172</v>
      </c>
      <c r="G173" s="3" t="str">
        <f>IFERROR(__xludf.DUMMYFUNCTION("GOOGLETRANSLATE(B173, ""it"", ""en"")"),"The ball lands on the opponent's goal line. What's the decision?")</f>
        <v>The ball lands on the opponent's goal line. What's the decision?</v>
      </c>
      <c r="H173" s="3" t="str">
        <f>IFERROR(__xludf.DUMMYFUNCTION("GOOGLETRANSLATE(C173, ""it"", ""en"")"),"A. The point is valid B. The point is repeated C. The point goes to the other team D. The ball is considered out")</f>
        <v>A. The point is valid B. The point is repeated C. The point goes to the other team D. The ball is considered out</v>
      </c>
      <c r="I173" s="3" t="str">
        <f>IFERROR(__xludf.DUMMYFUNCTION("GOOGLETRANSLATE(D173, ""it"", ""en"")"),"The point is valid")</f>
        <v>The point is valid</v>
      </c>
      <c r="J173" s="2"/>
      <c r="K173" s="2"/>
      <c r="L173" s="2"/>
      <c r="M173" s="2"/>
      <c r="N173" s="2"/>
      <c r="O173" s="2"/>
      <c r="P173" s="2"/>
      <c r="Q173" s="2"/>
      <c r="R173" s="2"/>
      <c r="S173" s="2"/>
      <c r="T173" s="2"/>
      <c r="U173" s="2"/>
      <c r="V173" s="2"/>
    </row>
    <row r="174" ht="22.5" customHeight="1">
      <c r="A174" s="3">
        <v>173.0</v>
      </c>
      <c r="B174" s="3" t="s">
        <v>1615</v>
      </c>
      <c r="C174" s="3" t="s">
        <v>1360</v>
      </c>
      <c r="D174" s="3" t="s">
        <v>1346</v>
      </c>
      <c r="E174" s="2"/>
      <c r="F174" s="3" t="str">
        <f>IFERROR(__xludf.DUMMYFUNCTION("GOOGLETRANSLATE(A174, ""it"", ""en"")"),"173")</f>
        <v>173</v>
      </c>
      <c r="G174" s="3" t="str">
        <f>IFERROR(__xludf.DUMMYFUNCTION("GOOGLETRANSLATE(B174, ""it"", ""en"")"),"A player makes an attack but hits an opponent without touching the ball. What's the ruling?")</f>
        <v>A player makes an attack but hits an opponent without touching the ball. What's the ruling?</v>
      </c>
      <c r="H174" s="3" t="str">
        <f>IFERROR(__xludf.DUMMYFUNCTION("GOOGLETRANSLATE(C174, ""it"", ""en"")"),"A. The point goes to the other team B. The game continues C. The point is retaken D. The player is cautioned")</f>
        <v>A. The point goes to the other team B. The game continues C. The point is retaken D. The player is cautioned</v>
      </c>
      <c r="I174" s="3" t="str">
        <f>IFERROR(__xludf.DUMMYFUNCTION("GOOGLETRANSLATE(D174, ""it"", ""en"")"),"The point goes to the other team")</f>
        <v>The point goes to the other team</v>
      </c>
      <c r="J174" s="2"/>
      <c r="K174" s="2"/>
      <c r="L174" s="2"/>
      <c r="M174" s="2"/>
      <c r="N174" s="2"/>
      <c r="O174" s="2"/>
      <c r="P174" s="2"/>
      <c r="Q174" s="2"/>
      <c r="R174" s="2"/>
      <c r="S174" s="2"/>
      <c r="T174" s="2"/>
      <c r="U174" s="2"/>
      <c r="V174" s="2"/>
    </row>
    <row r="175" ht="22.5" customHeight="1">
      <c r="A175" s="3">
        <v>174.0</v>
      </c>
      <c r="B175" s="3" t="s">
        <v>1616</v>
      </c>
      <c r="C175" s="3" t="s">
        <v>1383</v>
      </c>
      <c r="D175" s="3" t="s">
        <v>12</v>
      </c>
      <c r="E175" s="2"/>
      <c r="F175" s="3" t="str">
        <f>IFERROR(__xludf.DUMMYFUNCTION("GOOGLETRANSLATE(A175, ""it"", ""en"")"),"174")</f>
        <v>174</v>
      </c>
      <c r="G175" s="3" t="str">
        <f>IFERROR(__xludf.DUMMYFUNCTION("GOOGLETRANSLATE(B175, ""it"", ""en"")"),"A libero dribbles the ball into the backcourt. What happens?")</f>
        <v>A libero dribbles the ball into the backcourt. What happens?</v>
      </c>
      <c r="H175" s="3" t="str">
        <f>IFERROR(__xludf.DUMMYFUNCTION("GOOGLETRANSLATE(C175, ""it"", ""en"")"),"A. The game continues B. The point goes to the other team C. The point is repeated D. The shot is considered illegal")</f>
        <v>A. The game continues B. The point goes to the other team C. The point is repeated D. The shot is considered illegal</v>
      </c>
      <c r="I175" s="3" t="str">
        <f>IFERROR(__xludf.DUMMYFUNCTION("GOOGLETRANSLATE(D175, ""it"", ""en"")"),"The game continues")</f>
        <v>The game continues</v>
      </c>
      <c r="J175" s="2"/>
      <c r="K175" s="2"/>
      <c r="L175" s="2"/>
      <c r="M175" s="2"/>
      <c r="N175" s="2"/>
      <c r="O175" s="2"/>
      <c r="P175" s="2"/>
      <c r="Q175" s="2"/>
      <c r="R175" s="2"/>
      <c r="S175" s="2"/>
      <c r="T175" s="2"/>
      <c r="U175" s="2"/>
      <c r="V175" s="2"/>
    </row>
    <row r="176" ht="22.5" customHeight="1">
      <c r="A176" s="3">
        <v>175.0</v>
      </c>
      <c r="B176" s="3" t="s">
        <v>1617</v>
      </c>
      <c r="C176" s="3" t="s">
        <v>1486</v>
      </c>
      <c r="D176" s="3" t="s">
        <v>1346</v>
      </c>
      <c r="E176" s="2"/>
      <c r="F176" s="3" t="str">
        <f>IFERROR(__xludf.DUMMYFUNCTION("GOOGLETRANSLATE(A176, ""it"", ""en"")"),"175")</f>
        <v>175</v>
      </c>
      <c r="G176" s="3" t="str">
        <f>IFERROR(__xludf.DUMMYFUNCTION("GOOGLETRANSLATE(B176, ""it"", ""en"")"),"A player gets distracted and can't get the ball during a play. What happens?")</f>
        <v>A player gets distracted and can't get the ball during a play. What happens?</v>
      </c>
      <c r="H176" s="3" t="str">
        <f>IFERROR(__xludf.DUMMYFUNCTION("GOOGLETRANSLATE(C176, ""it"", ""en"")"),"A. The point goes to the other team B. The game continues C. The point is repeated D. The shot is considered valid")</f>
        <v>A. The point goes to the other team B. The game continues C. The point is repeated D. The shot is considered valid</v>
      </c>
      <c r="I176" s="3" t="str">
        <f>IFERROR(__xludf.DUMMYFUNCTION("GOOGLETRANSLATE(D176, ""it"", ""en"")"),"The point goes to the other team")</f>
        <v>The point goes to the other team</v>
      </c>
      <c r="J176" s="2"/>
      <c r="K176" s="2"/>
      <c r="L176" s="2"/>
      <c r="M176" s="2"/>
      <c r="N176" s="2"/>
      <c r="O176" s="2"/>
      <c r="P176" s="2"/>
      <c r="Q176" s="2"/>
      <c r="R176" s="2"/>
      <c r="S176" s="2"/>
      <c r="T176" s="2"/>
      <c r="U176" s="2"/>
      <c r="V176" s="2"/>
    </row>
    <row r="177" ht="22.5" customHeight="1">
      <c r="A177" s="3">
        <v>176.0</v>
      </c>
      <c r="B177" s="3" t="s">
        <v>1618</v>
      </c>
      <c r="C177" s="3" t="s">
        <v>1540</v>
      </c>
      <c r="D177" s="3" t="s">
        <v>1346</v>
      </c>
      <c r="E177" s="2"/>
      <c r="F177" s="3" t="str">
        <f>IFERROR(__xludf.DUMMYFUNCTION("GOOGLETRANSLATE(A177, ""it"", ""en"")"),"176")</f>
        <v>176</v>
      </c>
      <c r="G177" s="3" t="str">
        <f>IFERROR(__xludf.DUMMYFUNCTION("GOOGLETRANSLATE(B177, ""it"", ""en"")"),"A player hits an attacking shot but the ball hits the top of the net and bounces back. What's the ruling?")</f>
        <v>A player hits an attacking shot but the ball hits the top of the net and bounces back. What's the ruling?</v>
      </c>
      <c r="H177" s="3" t="str">
        <f>IFERROR(__xludf.DUMMYFUNCTION("GOOGLETRANSLATE(C177, ""it"", ""en"")"),"A. The point goes to the other team B. The game continues C. The point is retaken D. The ball is considered valid")</f>
        <v>A. The point goes to the other team B. The game continues C. The point is retaken D. The ball is considered valid</v>
      </c>
      <c r="I177" s="3" t="str">
        <f>IFERROR(__xludf.DUMMYFUNCTION("GOOGLETRANSLATE(D177, ""it"", ""en"")"),"The point goes to the other team")</f>
        <v>The point goes to the other team</v>
      </c>
      <c r="J177" s="2"/>
      <c r="K177" s="2"/>
      <c r="L177" s="2"/>
      <c r="M177" s="2"/>
      <c r="N177" s="2"/>
      <c r="O177" s="2"/>
      <c r="P177" s="2"/>
      <c r="Q177" s="2"/>
      <c r="R177" s="2"/>
      <c r="S177" s="2"/>
      <c r="T177" s="2"/>
      <c r="U177" s="2"/>
      <c r="V177" s="2"/>
    </row>
    <row r="178" ht="22.5" customHeight="1">
      <c r="A178" s="3">
        <v>177.0</v>
      </c>
      <c r="B178" s="3" t="s">
        <v>1619</v>
      </c>
      <c r="C178" s="3" t="s">
        <v>1383</v>
      </c>
      <c r="D178" s="3" t="s">
        <v>12</v>
      </c>
      <c r="E178" s="2"/>
      <c r="F178" s="3" t="str">
        <f>IFERROR(__xludf.DUMMYFUNCTION("GOOGLETRANSLATE(A178, ""it"", ""en"")"),"177")</f>
        <v>177</v>
      </c>
      <c r="G178" s="3" t="str">
        <f>IFERROR(__xludf.DUMMYFUNCTION("GOOGLETRANSLATE(B178, ""it"", ""en"")"),"A libero stands in the backcourt and flicks the ball. What happens?")</f>
        <v>A libero stands in the backcourt and flicks the ball. What happens?</v>
      </c>
      <c r="H178" s="3" t="str">
        <f>IFERROR(__xludf.DUMMYFUNCTION("GOOGLETRANSLATE(C178, ""it"", ""en"")"),"A. The game continues B. The point goes to the other team C. The point is repeated D. The shot is considered illegal")</f>
        <v>A. The game continues B. The point goes to the other team C. The point is repeated D. The shot is considered illegal</v>
      </c>
      <c r="I178" s="3" t="str">
        <f>IFERROR(__xludf.DUMMYFUNCTION("GOOGLETRANSLATE(D178, ""it"", ""en"")"),"The game continues")</f>
        <v>The game continues</v>
      </c>
      <c r="J178" s="2"/>
      <c r="K178" s="2"/>
      <c r="L178" s="2"/>
      <c r="M178" s="2"/>
      <c r="N178" s="2"/>
      <c r="O178" s="2"/>
      <c r="P178" s="2"/>
      <c r="Q178" s="2"/>
      <c r="R178" s="2"/>
      <c r="S178" s="2"/>
      <c r="T178" s="2"/>
      <c r="U178" s="2"/>
      <c r="V178" s="2"/>
    </row>
    <row r="179" ht="22.5" customHeight="1">
      <c r="A179" s="3">
        <v>178.0</v>
      </c>
      <c r="B179" s="3" t="s">
        <v>1620</v>
      </c>
      <c r="C179" s="3" t="s">
        <v>1621</v>
      </c>
      <c r="D179" s="3" t="s">
        <v>707</v>
      </c>
      <c r="E179" s="2"/>
      <c r="F179" s="3" t="str">
        <f>IFERROR(__xludf.DUMMYFUNCTION("GOOGLETRANSLATE(A179, ""it"", ""en"")"),"178")</f>
        <v>178</v>
      </c>
      <c r="G179" s="3" t="str">
        <f>IFERROR(__xludf.DUMMYFUNCTION("GOOGLETRANSLATE(B179, ""it"", ""en"")"),"A player protests heatedly with the referee during a play. What happens?")</f>
        <v>A player protests heatedly with the referee during a play. What happens?</v>
      </c>
      <c r="H179" s="3" t="str">
        <f>IFERROR(__xludf.DUMMYFUNCTION("GOOGLETRANSLATE(C179, ""it"", ""en"")"),"A. The player is cautioned B. The point goes to the other team C. The game continues D. The point is retaken")</f>
        <v>A. The player is cautioned B. The point goes to the other team C. The game continues D. The point is retaken</v>
      </c>
      <c r="I179" s="3" t="str">
        <f>IFERROR(__xludf.DUMMYFUNCTION("GOOGLETRANSLATE(D179, ""it"", ""en"")"),"The player is cautioned")</f>
        <v>The player is cautioned</v>
      </c>
      <c r="J179" s="2"/>
      <c r="K179" s="2"/>
      <c r="L179" s="2"/>
      <c r="M179" s="2"/>
      <c r="N179" s="2"/>
      <c r="O179" s="2"/>
      <c r="P179" s="2"/>
      <c r="Q179" s="2"/>
      <c r="R179" s="2"/>
      <c r="S179" s="2"/>
      <c r="T179" s="2"/>
      <c r="U179" s="2"/>
      <c r="V179" s="2"/>
    </row>
    <row r="180" ht="22.5" customHeight="1">
      <c r="A180" s="3">
        <v>179.0</v>
      </c>
      <c r="B180" s="3" t="s">
        <v>1622</v>
      </c>
      <c r="C180" s="3" t="s">
        <v>1591</v>
      </c>
      <c r="D180" s="3" t="s">
        <v>976</v>
      </c>
      <c r="E180" s="2"/>
      <c r="F180" s="3" t="str">
        <f>IFERROR(__xludf.DUMMYFUNCTION("GOOGLETRANSLATE(A180, ""it"", ""en"")"),"179")</f>
        <v>179</v>
      </c>
      <c r="G180" s="3" t="str">
        <f>IFERROR(__xludf.DUMMYFUNCTION("GOOGLETRANSLATE(B180, ""it"", ""en"")"),"The ball is served and touches the opponent's baseline. What is the decision?")</f>
        <v>The ball is served and touches the opponent's baseline. What is the decision?</v>
      </c>
      <c r="H180" s="3" t="str">
        <f>IFERROR(__xludf.DUMMYFUNCTION("GOOGLETRANSLATE(C180, ""it"", ""en"")"),"A. The point is valid B. The point goes to the other team C. The point is retaken D. The ball is considered out")</f>
        <v>A. The point is valid B. The point goes to the other team C. The point is retaken D. The ball is considered out</v>
      </c>
      <c r="I180" s="3" t="str">
        <f>IFERROR(__xludf.DUMMYFUNCTION("GOOGLETRANSLATE(D180, ""it"", ""en"")"),"The point is valid")</f>
        <v>The point is valid</v>
      </c>
      <c r="J180" s="2"/>
      <c r="K180" s="2"/>
      <c r="L180" s="2"/>
      <c r="M180" s="2"/>
      <c r="N180" s="2"/>
      <c r="O180" s="2"/>
      <c r="P180" s="2"/>
      <c r="Q180" s="2"/>
      <c r="R180" s="2"/>
      <c r="S180" s="2"/>
      <c r="T180" s="2"/>
      <c r="U180" s="2"/>
      <c r="V180" s="2"/>
    </row>
    <row r="181" ht="22.5" customHeight="1">
      <c r="A181" s="3">
        <v>180.0</v>
      </c>
      <c r="B181" s="3" t="s">
        <v>1623</v>
      </c>
      <c r="C181" s="3" t="s">
        <v>1503</v>
      </c>
      <c r="D181" s="3" t="s">
        <v>1433</v>
      </c>
      <c r="E181" s="2"/>
      <c r="F181" s="3" t="str">
        <f>IFERROR(__xludf.DUMMYFUNCTION("GOOGLETRANSLATE(A181, ""it"", ""en"")"),"180")</f>
        <v>180</v>
      </c>
      <c r="G181" s="3" t="str">
        <f>IFERROR(__xludf.DUMMYFUNCTION("GOOGLETRANSLATE(B181, ""it"", ""en"")"),"A coach calls a timeout when his team has already used up all its available timeouts. What happens?")</f>
        <v>A coach calls a timeout when his team has already used up all its available timeouts. What happens?</v>
      </c>
      <c r="H181" s="3" t="str">
        <f>IFERROR(__xludf.DUMMYFUNCTION("GOOGLETRANSLATE(C181, ""it"", ""en"")"),"A. The coach is cautioned B. The game continues C. The point is retaken D. The point goes to the other team")</f>
        <v>A. The coach is cautioned B. The game continues C. The point is retaken D. The point goes to the other team</v>
      </c>
      <c r="I181" s="3" t="str">
        <f>IFERROR(__xludf.DUMMYFUNCTION("GOOGLETRANSLATE(D181, ""it"", ""en"")"),"The coach is cautioned")</f>
        <v>The coach is cautioned</v>
      </c>
      <c r="J181" s="2"/>
      <c r="K181" s="2"/>
      <c r="L181" s="2"/>
      <c r="M181" s="2"/>
      <c r="N181" s="2"/>
      <c r="O181" s="2"/>
      <c r="P181" s="2"/>
      <c r="Q181" s="2"/>
      <c r="R181" s="2"/>
      <c r="S181" s="2"/>
      <c r="T181" s="2"/>
      <c r="U181" s="2"/>
      <c r="V181" s="2"/>
    </row>
    <row r="182" ht="22.5" customHeight="1">
      <c r="A182" s="3">
        <v>181.0</v>
      </c>
      <c r="B182" s="3" t="s">
        <v>1624</v>
      </c>
      <c r="C182" s="3" t="s">
        <v>1493</v>
      </c>
      <c r="D182" s="3" t="s">
        <v>12</v>
      </c>
      <c r="E182" s="2"/>
      <c r="F182" s="3" t="str">
        <f>IFERROR(__xludf.DUMMYFUNCTION("GOOGLETRANSLATE(A182, ""it"", ""en"")"),"181")</f>
        <v>181</v>
      </c>
      <c r="G182" s="3" t="str">
        <f>IFERROR(__xludf.DUMMYFUNCTION("GOOGLETRANSLATE(B182, ""it"", ""en"")"),"A player jumps to dunk but accidentally hits a teammate. What's the decision?")</f>
        <v>A player jumps to dunk but accidentally hits a teammate. What's the decision?</v>
      </c>
      <c r="H182" s="3" t="str">
        <f>IFERROR(__xludf.DUMMYFUNCTION("GOOGLETRANSLATE(C182, ""it"", ""en"")"),"A. The point goes to the other team B. The game continues C. The point is repeated D. The shot is considered legal")</f>
        <v>A. The point goes to the other team B. The game continues C. The point is repeated D. The shot is considered legal</v>
      </c>
      <c r="I182" s="3" t="str">
        <f>IFERROR(__xludf.DUMMYFUNCTION("GOOGLETRANSLATE(D182, ""it"", ""en"")"),"The game continues")</f>
        <v>The game continues</v>
      </c>
      <c r="J182" s="2"/>
      <c r="K182" s="2"/>
      <c r="L182" s="2"/>
      <c r="M182" s="2"/>
      <c r="N182" s="2"/>
      <c r="O182" s="2"/>
      <c r="P182" s="2"/>
      <c r="Q182" s="2"/>
      <c r="R182" s="2"/>
      <c r="S182" s="2"/>
      <c r="T182" s="2"/>
      <c r="U182" s="2"/>
      <c r="V182" s="2"/>
    </row>
    <row r="183" ht="22.5" customHeight="1">
      <c r="A183" s="3">
        <v>182.0</v>
      </c>
      <c r="B183" s="3" t="s">
        <v>1625</v>
      </c>
      <c r="C183" s="3" t="s">
        <v>1505</v>
      </c>
      <c r="D183" s="3" t="s">
        <v>12</v>
      </c>
      <c r="E183" s="2"/>
      <c r="F183" s="3" t="str">
        <f>IFERROR(__xludf.DUMMYFUNCTION("GOOGLETRANSLATE(A183, ""it"", ""en"")"),"182")</f>
        <v>182</v>
      </c>
      <c r="G183" s="3" t="str">
        <f>IFERROR(__xludf.DUMMYFUNCTION("GOOGLETRANSLATE(B183, ""it"", ""en"")"),"A libero approaches the three-meter line and dribbles the ball. What happens?")</f>
        <v>A libero approaches the three-meter line and dribbles the ball. What happens?</v>
      </c>
      <c r="H183" s="3" t="str">
        <f>IFERROR(__xludf.DUMMYFUNCTION("GOOGLETRANSLATE(C183, ""it"", ""en"")"),"A. The game continues B. The point goes to the other team C. The point is repeated D. The shot is considered legal")</f>
        <v>A. The game continues B. The point goes to the other team C. The point is repeated D. The shot is considered legal</v>
      </c>
      <c r="I183" s="3" t="str">
        <f>IFERROR(__xludf.DUMMYFUNCTION("GOOGLETRANSLATE(D183, ""it"", ""en"")"),"The game continues")</f>
        <v>The game continues</v>
      </c>
      <c r="J183" s="2"/>
      <c r="K183" s="2"/>
      <c r="L183" s="2"/>
      <c r="M183" s="2"/>
      <c r="N183" s="2"/>
      <c r="O183" s="2"/>
      <c r="P183" s="2"/>
      <c r="Q183" s="2"/>
      <c r="R183" s="2"/>
      <c r="S183" s="2"/>
      <c r="T183" s="2"/>
      <c r="U183" s="2"/>
      <c r="V183" s="2"/>
    </row>
    <row r="184" ht="22.5" customHeight="1">
      <c r="A184" s="3">
        <v>183.0</v>
      </c>
      <c r="B184" s="3" t="s">
        <v>1626</v>
      </c>
      <c r="C184" s="3" t="s">
        <v>1383</v>
      </c>
      <c r="D184" s="3" t="s">
        <v>12</v>
      </c>
      <c r="E184" s="2"/>
      <c r="F184" s="3" t="str">
        <f>IFERROR(__xludf.DUMMYFUNCTION("GOOGLETRANSLATE(A184, ""it"", ""en"")"),"183")</f>
        <v>183</v>
      </c>
      <c r="G184" s="3" t="str">
        <f>IFERROR(__xludf.DUMMYFUNCTION("GOOGLETRANSLATE(B184, ""it"", ""en"")"),"A player hits the ball with a closed fist during a defensive play. What's the decision?")</f>
        <v>A player hits the ball with a closed fist during a defensive play. What's the decision?</v>
      </c>
      <c r="H184" s="3" t="str">
        <f>IFERROR(__xludf.DUMMYFUNCTION("GOOGLETRANSLATE(C184, ""it"", ""en"")"),"A. The game continues B. The point goes to the other team C. The point is repeated D. The shot is considered illegal")</f>
        <v>A. The game continues B. The point goes to the other team C. The point is repeated D. The shot is considered illegal</v>
      </c>
      <c r="I184" s="3" t="str">
        <f>IFERROR(__xludf.DUMMYFUNCTION("GOOGLETRANSLATE(D184, ""it"", ""en"")"),"The game continues")</f>
        <v>The game continues</v>
      </c>
      <c r="J184" s="2"/>
      <c r="K184" s="2"/>
      <c r="L184" s="2"/>
      <c r="M184" s="2"/>
      <c r="N184" s="2"/>
      <c r="O184" s="2"/>
      <c r="P184" s="2"/>
      <c r="Q184" s="2"/>
      <c r="R184" s="2"/>
      <c r="S184" s="2"/>
      <c r="T184" s="2"/>
      <c r="U184" s="2"/>
      <c r="V184" s="2"/>
    </row>
    <row r="185" ht="22.5" customHeight="1">
      <c r="A185" s="3">
        <v>184.0</v>
      </c>
      <c r="B185" s="3" t="s">
        <v>1627</v>
      </c>
      <c r="C185" s="3" t="s">
        <v>1621</v>
      </c>
      <c r="D185" s="3" t="s">
        <v>707</v>
      </c>
      <c r="E185" s="2"/>
      <c r="F185" s="3" t="str">
        <f>IFERROR(__xludf.DUMMYFUNCTION("GOOGLETRANSLATE(A185, ""it"", ""en"")"),"184")</f>
        <v>184</v>
      </c>
      <c r="G185" s="3" t="str">
        <f>IFERROR(__xludf.DUMMYFUNCTION("GOOGLETRANSLATE(B185, ""it"", ""en"")"),"A player enters the field without having indicated the substitution to the scorekeeper. What happens?")</f>
        <v>A player enters the field without having indicated the substitution to the scorekeeper. What happens?</v>
      </c>
      <c r="H185" s="3" t="str">
        <f>IFERROR(__xludf.DUMMYFUNCTION("GOOGLETRANSLATE(C185, ""it"", ""en"")"),"A. The player is cautioned B. The point goes to the other team C. The game continues D. The point is retaken")</f>
        <v>A. The player is cautioned B. The point goes to the other team C. The game continues D. The point is retaken</v>
      </c>
      <c r="I185" s="3" t="str">
        <f>IFERROR(__xludf.DUMMYFUNCTION("GOOGLETRANSLATE(D185, ""it"", ""en"")"),"The player is cautioned")</f>
        <v>The player is cautioned</v>
      </c>
      <c r="J185" s="2"/>
      <c r="K185" s="2"/>
      <c r="L185" s="2"/>
      <c r="M185" s="2"/>
      <c r="N185" s="2"/>
      <c r="O185" s="2"/>
      <c r="P185" s="2"/>
      <c r="Q185" s="2"/>
      <c r="R185" s="2"/>
      <c r="S185" s="2"/>
      <c r="T185" s="2"/>
      <c r="U185" s="2"/>
      <c r="V185" s="2"/>
    </row>
    <row r="186" ht="22.5" customHeight="1">
      <c r="A186" s="3">
        <v>185.0</v>
      </c>
      <c r="B186" s="3" t="s">
        <v>1628</v>
      </c>
      <c r="C186" s="3" t="s">
        <v>1629</v>
      </c>
      <c r="D186" s="3" t="s">
        <v>1433</v>
      </c>
      <c r="E186" s="2"/>
      <c r="F186" s="3" t="str">
        <f>IFERROR(__xludf.DUMMYFUNCTION("GOOGLETRANSLATE(A186, ""it"", ""en"")"),"185")</f>
        <v>185</v>
      </c>
      <c r="G186" s="3" t="str">
        <f>IFERROR(__xludf.DUMMYFUNCTION("GOOGLETRANSLATE(B186, ""it"", ""en"")"),"A coach enters the pitch to discuss a referee's decision. What is the decision?")</f>
        <v>A coach enters the pitch to discuss a referee's decision. What is the decision?</v>
      </c>
      <c r="H186" s="3" t="str">
        <f>IFERROR(__xludf.DUMMYFUNCTION("GOOGLETRANSLATE(C186, ""it"", ""en"")"),"A. The coach is cautioned B. The point goes to the other team C. The game continues D. The point is retaken")</f>
        <v>A. The coach is cautioned B. The point goes to the other team C. The game continues D. The point is retaken</v>
      </c>
      <c r="I186" s="3" t="str">
        <f>IFERROR(__xludf.DUMMYFUNCTION("GOOGLETRANSLATE(D186, ""it"", ""en"")"),"The coach is cautioned")</f>
        <v>The coach is cautioned</v>
      </c>
      <c r="J186" s="2"/>
      <c r="K186" s="2"/>
      <c r="L186" s="2"/>
      <c r="M186" s="2"/>
      <c r="N186" s="2"/>
      <c r="O186" s="2"/>
      <c r="P186" s="2"/>
      <c r="Q186" s="2"/>
      <c r="R186" s="2"/>
      <c r="S186" s="2"/>
      <c r="T186" s="2"/>
      <c r="U186" s="2"/>
      <c r="V186" s="2"/>
    </row>
    <row r="187" ht="22.5" customHeight="1">
      <c r="A187" s="3">
        <v>186.0</v>
      </c>
      <c r="B187" s="3" t="s">
        <v>1630</v>
      </c>
      <c r="C187" s="3" t="s">
        <v>1493</v>
      </c>
      <c r="D187" s="3" t="s">
        <v>1346</v>
      </c>
      <c r="E187" s="2"/>
      <c r="F187" s="3" t="str">
        <f>IFERROR(__xludf.DUMMYFUNCTION("GOOGLETRANSLATE(A187, ""it"", ""en"")"),"186")</f>
        <v>186</v>
      </c>
      <c r="G187" s="3" t="str">
        <f>IFERROR(__xludf.DUMMYFUNCTION("GOOGLETRANSLATE(B187, ""it"", ""en"")"),"A player hits the ball twice in a row during a play. What happens?")</f>
        <v>A player hits the ball twice in a row during a play. What happens?</v>
      </c>
      <c r="H187" s="3" t="str">
        <f>IFERROR(__xludf.DUMMYFUNCTION("GOOGLETRANSLATE(C187, ""it"", ""en"")"),"A. The point goes to the other team B. The game continues C. The point is repeated D. The shot is considered legal")</f>
        <v>A. The point goes to the other team B. The game continues C. The point is repeated D. The shot is considered legal</v>
      </c>
      <c r="I187" s="3" t="str">
        <f>IFERROR(__xludf.DUMMYFUNCTION("GOOGLETRANSLATE(D187, ""it"", ""en"")"),"The point goes to the other team")</f>
        <v>The point goes to the other team</v>
      </c>
      <c r="J187" s="2"/>
      <c r="K187" s="2"/>
      <c r="L187" s="2"/>
      <c r="M187" s="2"/>
      <c r="N187" s="2"/>
      <c r="O187" s="2"/>
      <c r="P187" s="2"/>
      <c r="Q187" s="2"/>
      <c r="R187" s="2"/>
      <c r="S187" s="2"/>
      <c r="T187" s="2"/>
      <c r="U187" s="2"/>
      <c r="V187" s="2"/>
    </row>
    <row r="188" ht="22.5" customHeight="1">
      <c r="A188" s="3">
        <v>187.0</v>
      </c>
      <c r="B188" s="3" t="s">
        <v>1631</v>
      </c>
      <c r="C188" s="3" t="s">
        <v>1593</v>
      </c>
      <c r="D188" s="3" t="s">
        <v>976</v>
      </c>
      <c r="E188" s="2"/>
      <c r="F188" s="3" t="str">
        <f>IFERROR(__xludf.DUMMYFUNCTION("GOOGLETRANSLATE(A188, ""it"", ""en"")"),"187")</f>
        <v>187</v>
      </c>
      <c r="G188" s="3" t="str">
        <f>IFERROR(__xludf.DUMMYFUNCTION("GOOGLETRANSLATE(B188, ""it"", ""en"")"),"The ball crosses the net but accidentally hits an opposing player. What's the decision?")</f>
        <v>The ball crosses the net but accidentally hits an opposing player. What's the decision?</v>
      </c>
      <c r="H188" s="3" t="str">
        <f>IFERROR(__xludf.DUMMYFUNCTION("GOOGLETRANSLATE(C188, ""it"", ""en"")"),"A. The point is valid B. The point goes to the other team C. The point is repeated D. The game continues")</f>
        <v>A. The point is valid B. The point goes to the other team C. The point is repeated D. The game continues</v>
      </c>
      <c r="I188" s="3" t="str">
        <f>IFERROR(__xludf.DUMMYFUNCTION("GOOGLETRANSLATE(D188, ""it"", ""en"")"),"The point is valid")</f>
        <v>The point is valid</v>
      </c>
      <c r="J188" s="2"/>
      <c r="K188" s="2"/>
      <c r="L188" s="2"/>
      <c r="M188" s="2"/>
      <c r="N188" s="2"/>
      <c r="O188" s="2"/>
      <c r="P188" s="2"/>
      <c r="Q188" s="2"/>
      <c r="R188" s="2"/>
      <c r="S188" s="2"/>
      <c r="T188" s="2"/>
      <c r="U188" s="2"/>
      <c r="V188" s="2"/>
    </row>
    <row r="189" ht="22.5" customHeight="1">
      <c r="A189" s="3">
        <v>188.0</v>
      </c>
      <c r="B189" s="3" t="s">
        <v>1632</v>
      </c>
      <c r="C189" s="3" t="s">
        <v>1501</v>
      </c>
      <c r="D189" s="3" t="s">
        <v>1346</v>
      </c>
      <c r="E189" s="2"/>
      <c r="F189" s="3" t="str">
        <f>IFERROR(__xludf.DUMMYFUNCTION("GOOGLETRANSLATE(A189, ""it"", ""en"")"),"188")</f>
        <v>188</v>
      </c>
      <c r="G189" s="3" t="str">
        <f>IFERROR(__xludf.DUMMYFUNCTION("GOOGLETRANSLATE(B189, ""it"", ""en"")"),"A libero tries to dribble the ball near the net and lifts it into the attack zone. What's the decision?")</f>
        <v>A libero tries to dribble the ball near the net and lifts it into the attack zone. What's the decision?</v>
      </c>
      <c r="H189" s="3" t="str">
        <f>IFERROR(__xludf.DUMMYFUNCTION("GOOGLETRANSLATE(C189, ""it"", ""en"")"),"A. The point goes to the other team B. The game continues C. The point is retaken D. The libero is cautioned")</f>
        <v>A. The point goes to the other team B. The game continues C. The point is retaken D. The libero is cautioned</v>
      </c>
      <c r="I189" s="3" t="str">
        <f>IFERROR(__xludf.DUMMYFUNCTION("GOOGLETRANSLATE(D189, ""it"", ""en"")"),"The point goes to the other team")</f>
        <v>The point goes to the other team</v>
      </c>
      <c r="J189" s="2"/>
      <c r="K189" s="2"/>
      <c r="L189" s="2"/>
      <c r="M189" s="2"/>
      <c r="N189" s="2"/>
      <c r="O189" s="2"/>
      <c r="P189" s="2"/>
      <c r="Q189" s="2"/>
      <c r="R189" s="2"/>
      <c r="S189" s="2"/>
      <c r="T189" s="2"/>
      <c r="U189" s="2"/>
      <c r="V189" s="2"/>
    </row>
    <row r="190" ht="22.5" customHeight="1">
      <c r="A190" s="3">
        <v>189.0</v>
      </c>
      <c r="B190" s="3" t="s">
        <v>1633</v>
      </c>
      <c r="C190" s="3" t="s">
        <v>1467</v>
      </c>
      <c r="D190" s="3" t="s">
        <v>1346</v>
      </c>
      <c r="E190" s="2"/>
      <c r="F190" s="3" t="str">
        <f>IFERROR(__xludf.DUMMYFUNCTION("GOOGLETRANSLATE(A190, ""it"", ""en"")"),"189")</f>
        <v>189</v>
      </c>
      <c r="G190" s="3" t="str">
        <f>IFERROR(__xludf.DUMMYFUNCTION("GOOGLETRANSLATE(B190, ""it"", ""en"")"),"A player misses a serve and the ball hits the net without crossing it. What's the ruling?")</f>
        <v>A player misses a serve and the ball hits the net without crossing it. What's the ruling?</v>
      </c>
      <c r="H190" s="3" t="str">
        <f>IFERROR(__xludf.DUMMYFUNCTION("GOOGLETRANSLATE(C190, ""it"", ""en"")"),"A. The point goes to the other team B. The game continues C. The point is retaken D. The ball is considered out")</f>
        <v>A. The point goes to the other team B. The game continues C. The point is retaken D. The ball is considered out</v>
      </c>
      <c r="I190" s="3" t="str">
        <f>IFERROR(__xludf.DUMMYFUNCTION("GOOGLETRANSLATE(D190, ""it"", ""en"")"),"The point goes to the other team")</f>
        <v>The point goes to the other team</v>
      </c>
      <c r="J190" s="2"/>
      <c r="K190" s="2"/>
      <c r="L190" s="2"/>
      <c r="M190" s="2"/>
      <c r="N190" s="2"/>
      <c r="O190" s="2"/>
      <c r="P190" s="2"/>
      <c r="Q190" s="2"/>
      <c r="R190" s="2"/>
      <c r="S190" s="2"/>
      <c r="T190" s="2"/>
      <c r="U190" s="2"/>
      <c r="V190" s="2"/>
    </row>
    <row r="191" ht="22.5" customHeight="1">
      <c r="A191" s="3">
        <v>190.0</v>
      </c>
      <c r="B191" s="3" t="s">
        <v>1634</v>
      </c>
      <c r="C191" s="3" t="s">
        <v>1635</v>
      </c>
      <c r="D191" s="3" t="s">
        <v>1636</v>
      </c>
      <c r="E191" s="2"/>
      <c r="F191" s="3" t="str">
        <f>IFERROR(__xludf.DUMMYFUNCTION("GOOGLETRANSLATE(A191, ""it"", ""en"")"),"190")</f>
        <v>190</v>
      </c>
      <c r="G191" s="3" t="str">
        <f>IFERROR(__xludf.DUMMYFUNCTION("GOOGLETRANSLATE(B191, ""it"", ""en"")"),"A coach requests a VAR review for a questionable point. What happens?")</f>
        <v>A coach requests a VAR review for a questionable point. What happens?</v>
      </c>
      <c r="H191" s="3" t="str">
        <f>IFERROR(__xludf.DUMMYFUNCTION("GOOGLETRANSLATE(C191, ""it"", ""en"")"),"A. Control is granted B. Play continues without VAR C. The point is retaken D. The coach is cautioned")</f>
        <v>A. Control is granted B. Play continues without VAR C. The point is retaken D. The coach is cautioned</v>
      </c>
      <c r="I191" s="3" t="str">
        <f>IFERROR(__xludf.DUMMYFUNCTION("GOOGLETRANSLATE(D191, ""it"", ""en"")"),"Control is granted")</f>
        <v>Control is granted</v>
      </c>
      <c r="J191" s="2"/>
      <c r="K191" s="2"/>
      <c r="L191" s="2"/>
      <c r="M191" s="2"/>
      <c r="N191" s="2"/>
      <c r="O191" s="2"/>
      <c r="P191" s="2"/>
      <c r="Q191" s="2"/>
      <c r="R191" s="2"/>
      <c r="S191" s="2"/>
      <c r="T191" s="2"/>
      <c r="U191" s="2"/>
      <c r="V191" s="2"/>
    </row>
    <row r="192" ht="22.5" customHeight="1">
      <c r="A192" s="3">
        <v>191.0</v>
      </c>
      <c r="B192" s="3" t="s">
        <v>1637</v>
      </c>
      <c r="C192" s="3" t="s">
        <v>1591</v>
      </c>
      <c r="D192" s="3" t="s">
        <v>976</v>
      </c>
      <c r="E192" s="2"/>
      <c r="F192" s="3" t="str">
        <f>IFERROR(__xludf.DUMMYFUNCTION("GOOGLETRANSLATE(A192, ""it"", ""en"")"),"191")</f>
        <v>191</v>
      </c>
      <c r="G192" s="3" t="str">
        <f>IFERROR(__xludf.DUMMYFUNCTION("GOOGLETRANSLATE(B192, ""it"", ""en"")"),"A player makes an attacking pass and the ball lands on the opponent's sideline. What's the decision?")</f>
        <v>A player makes an attacking pass and the ball lands on the opponent's sideline. What's the decision?</v>
      </c>
      <c r="H192" s="3" t="str">
        <f>IFERROR(__xludf.DUMMYFUNCTION("GOOGLETRANSLATE(C192, ""it"", ""en"")"),"A. The point is valid B. The point goes to the other team C. The point is retaken D. The ball is considered out")</f>
        <v>A. The point is valid B. The point goes to the other team C. The point is retaken D. The ball is considered out</v>
      </c>
      <c r="I192" s="3" t="str">
        <f>IFERROR(__xludf.DUMMYFUNCTION("GOOGLETRANSLATE(D192, ""it"", ""en"")"),"The point is valid")</f>
        <v>The point is valid</v>
      </c>
      <c r="J192" s="2"/>
      <c r="K192" s="2"/>
      <c r="L192" s="2"/>
      <c r="M192" s="2"/>
      <c r="N192" s="2"/>
      <c r="O192" s="2"/>
      <c r="P192" s="2"/>
      <c r="Q192" s="2"/>
      <c r="R192" s="2"/>
      <c r="S192" s="2"/>
      <c r="T192" s="2"/>
      <c r="U192" s="2"/>
      <c r="V192" s="2"/>
    </row>
    <row r="193" ht="22.5" customHeight="1">
      <c r="A193" s="3">
        <v>192.0</v>
      </c>
      <c r="B193" s="3" t="s">
        <v>1638</v>
      </c>
      <c r="C193" s="3" t="s">
        <v>1493</v>
      </c>
      <c r="D193" s="3" t="s">
        <v>1346</v>
      </c>
      <c r="E193" s="2"/>
      <c r="F193" s="3" t="str">
        <f>IFERROR(__xludf.DUMMYFUNCTION("GOOGLETRANSLATE(A193, ""it"", ""en"")"),"192")</f>
        <v>192</v>
      </c>
      <c r="G193" s="3" t="str">
        <f>IFERROR(__xludf.DUMMYFUNCTION("GOOGLETRANSLATE(B193, ""it"", ""en"")"),"A libero touches the ball with an open hand, but the blow is too strong. What happens?")</f>
        <v>A libero touches the ball with an open hand, but the blow is too strong. What happens?</v>
      </c>
      <c r="H193" s="3" t="str">
        <f>IFERROR(__xludf.DUMMYFUNCTION("GOOGLETRANSLATE(C193, ""it"", ""en"")"),"A. The point goes to the other team B. The game continues C. The point is repeated D. The shot is considered legal")</f>
        <v>A. The point goes to the other team B. The game continues C. The point is repeated D. The shot is considered legal</v>
      </c>
      <c r="I193" s="3" t="str">
        <f>IFERROR(__xludf.DUMMYFUNCTION("GOOGLETRANSLATE(D193, ""it"", ""en"")"),"The point goes to the other team")</f>
        <v>The point goes to the other team</v>
      </c>
      <c r="J193" s="2"/>
      <c r="K193" s="2"/>
      <c r="L193" s="2"/>
      <c r="M193" s="2"/>
      <c r="N193" s="2"/>
      <c r="O193" s="2"/>
      <c r="P193" s="2"/>
      <c r="Q193" s="2"/>
      <c r="R193" s="2"/>
      <c r="S193" s="2"/>
      <c r="T193" s="2"/>
      <c r="U193" s="2"/>
      <c r="V193" s="2"/>
    </row>
    <row r="194" ht="22.5" customHeight="1">
      <c r="A194" s="3">
        <v>193.0</v>
      </c>
      <c r="B194" s="3" t="s">
        <v>1639</v>
      </c>
      <c r="C194" s="3" t="s">
        <v>1493</v>
      </c>
      <c r="D194" s="3" t="s">
        <v>1346</v>
      </c>
      <c r="E194" s="2"/>
      <c r="F194" s="3" t="str">
        <f>IFERROR(__xludf.DUMMYFUNCTION("GOOGLETRANSLATE(A194, ""it"", ""en"")"),"193")</f>
        <v>193</v>
      </c>
      <c r="G194" s="3" t="str">
        <f>IFERROR(__xludf.DUMMYFUNCTION("GOOGLETRANSLATE(B194, ""it"", ""en"")"),"A player touches the net with his foot during an attacking play. What's the ruling?")</f>
        <v>A player touches the net with his foot during an attacking play. What's the ruling?</v>
      </c>
      <c r="H194" s="3" t="str">
        <f>IFERROR(__xludf.DUMMYFUNCTION("GOOGLETRANSLATE(C194, ""it"", ""en"")"),"A. The point goes to the other team B. The game continues C. The point is repeated D. The shot is considered legal")</f>
        <v>A. The point goes to the other team B. The game continues C. The point is repeated D. The shot is considered legal</v>
      </c>
      <c r="I194" s="3" t="str">
        <f>IFERROR(__xludf.DUMMYFUNCTION("GOOGLETRANSLATE(D194, ""it"", ""en"")"),"The point goes to the other team")</f>
        <v>The point goes to the other team</v>
      </c>
      <c r="J194" s="2"/>
      <c r="K194" s="2"/>
      <c r="L194" s="2"/>
      <c r="M194" s="2"/>
      <c r="N194" s="2"/>
      <c r="O194" s="2"/>
      <c r="P194" s="2"/>
      <c r="Q194" s="2"/>
      <c r="R194" s="2"/>
      <c r="S194" s="2"/>
      <c r="T194" s="2"/>
      <c r="U194" s="2"/>
      <c r="V194" s="2"/>
    </row>
    <row r="195" ht="22.5" customHeight="1">
      <c r="A195" s="3">
        <v>194.0</v>
      </c>
      <c r="B195" s="3" t="s">
        <v>1640</v>
      </c>
      <c r="C195" s="3" t="s">
        <v>1641</v>
      </c>
      <c r="D195" s="3" t="s">
        <v>976</v>
      </c>
      <c r="E195" s="2"/>
      <c r="F195" s="3" t="str">
        <f>IFERROR(__xludf.DUMMYFUNCTION("GOOGLETRANSLATE(A195, ""it"", ""en"")"),"194")</f>
        <v>194</v>
      </c>
      <c r="G195" s="3" t="str">
        <f>IFERROR(__xludf.DUMMYFUNCTION("GOOGLETRANSLATE(B195, ""it"", ""en"")"),"The ball is served and bounces off the top of the net before entering the opponent's court. What is the decision?")</f>
        <v>The ball is served and bounces off the top of the net before entering the opponent's court. What is the decision?</v>
      </c>
      <c r="H195" s="3" t="str">
        <f>IFERROR(__xludf.DUMMYFUNCTION("GOOGLETRANSLATE(C195, ""it"", ""en"")"),"A. The point is valid B. The point goes to the other team C. The point is retaken D. The service is considered irregular")</f>
        <v>A. The point is valid B. The point goes to the other team C. The point is retaken D. The service is considered irregular</v>
      </c>
      <c r="I195" s="3" t="str">
        <f>IFERROR(__xludf.DUMMYFUNCTION("GOOGLETRANSLATE(D195, ""it"", ""en"")"),"The point is valid")</f>
        <v>The point is valid</v>
      </c>
      <c r="J195" s="2"/>
      <c r="K195" s="2"/>
      <c r="L195" s="2"/>
      <c r="M195" s="2"/>
      <c r="N195" s="2"/>
      <c r="O195" s="2"/>
      <c r="P195" s="2"/>
      <c r="Q195" s="2"/>
      <c r="R195" s="2"/>
      <c r="S195" s="2"/>
      <c r="T195" s="2"/>
      <c r="U195" s="2"/>
      <c r="V195" s="2"/>
    </row>
    <row r="196" ht="22.5" customHeight="1">
      <c r="A196" s="3">
        <v>195.0</v>
      </c>
      <c r="B196" s="3" t="s">
        <v>1642</v>
      </c>
      <c r="C196" s="3" t="s">
        <v>1360</v>
      </c>
      <c r="D196" s="3" t="s">
        <v>1346</v>
      </c>
      <c r="E196" s="2"/>
      <c r="F196" s="3" t="str">
        <f>IFERROR(__xludf.DUMMYFUNCTION("GOOGLETRANSLATE(A196, ""it"", ""en"")"),"195")</f>
        <v>195</v>
      </c>
      <c r="G196" s="3" t="str">
        <f>IFERROR(__xludf.DUMMYFUNCTION("GOOGLETRANSLATE(B196, ""it"", ""en"")"),"A player moves into the wrong position before serving. What happens?")</f>
        <v>A player moves into the wrong position before serving. What happens?</v>
      </c>
      <c r="H196" s="3" t="str">
        <f>IFERROR(__xludf.DUMMYFUNCTION("GOOGLETRANSLATE(C196, ""it"", ""en"")"),"A. The point goes to the other team B. The game continues C. The point is retaken D. The player is cautioned")</f>
        <v>A. The point goes to the other team B. The game continues C. The point is retaken D. The player is cautioned</v>
      </c>
      <c r="I196" s="3" t="str">
        <f>IFERROR(__xludf.DUMMYFUNCTION("GOOGLETRANSLATE(D196, ""it"", ""en"")"),"The point goes to the other team")</f>
        <v>The point goes to the other team</v>
      </c>
      <c r="J196" s="2"/>
      <c r="K196" s="2"/>
      <c r="L196" s="2"/>
      <c r="M196" s="2"/>
      <c r="N196" s="2"/>
      <c r="O196" s="2"/>
      <c r="P196" s="2"/>
      <c r="Q196" s="2"/>
      <c r="R196" s="2"/>
      <c r="S196" s="2"/>
      <c r="T196" s="2"/>
      <c r="U196" s="2"/>
      <c r="V196" s="2"/>
    </row>
    <row r="197" ht="22.5" customHeight="1">
      <c r="A197" s="3">
        <v>196.0</v>
      </c>
      <c r="B197" s="3" t="s">
        <v>1643</v>
      </c>
      <c r="C197" s="3" t="s">
        <v>1520</v>
      </c>
      <c r="D197" s="3" t="s">
        <v>12</v>
      </c>
      <c r="E197" s="2"/>
      <c r="F197" s="3" t="str">
        <f>IFERROR(__xludf.DUMMYFUNCTION("GOOGLETRANSLATE(A197, ""it"", ""en"")"),"196")</f>
        <v>196</v>
      </c>
      <c r="G197" s="3" t="str">
        <f>IFERROR(__xludf.DUMMYFUNCTION("GOOGLETRANSLATE(B197, ""it"", ""en"")"),"The ball bounces off the opposing wall and hits a player's shoulder. What's the decision?")</f>
        <v>The ball bounces off the opposing wall and hits a player's shoulder. What's the decision?</v>
      </c>
      <c r="H197" s="3" t="str">
        <f>IFERROR(__xludf.DUMMYFUNCTION("GOOGLETRANSLATE(C197, ""it"", ""en"")"),"A. The game continues B. The point goes to the other team C. The point is retaken D. The ball is considered out")</f>
        <v>A. The game continues B. The point goes to the other team C. The point is retaken D. The ball is considered out</v>
      </c>
      <c r="I197" s="3" t="str">
        <f>IFERROR(__xludf.DUMMYFUNCTION("GOOGLETRANSLATE(D197, ""it"", ""en"")"),"The game continues")</f>
        <v>The game continues</v>
      </c>
      <c r="J197" s="2"/>
      <c r="K197" s="2"/>
      <c r="L197" s="2"/>
      <c r="M197" s="2"/>
      <c r="N197" s="2"/>
      <c r="O197" s="2"/>
      <c r="P197" s="2"/>
      <c r="Q197" s="2"/>
      <c r="R197" s="2"/>
      <c r="S197" s="2"/>
      <c r="T197" s="2"/>
      <c r="U197" s="2"/>
      <c r="V197" s="2"/>
    </row>
    <row r="198" ht="22.5" customHeight="1">
      <c r="A198" s="3">
        <v>197.0</v>
      </c>
      <c r="B198" s="3" t="s">
        <v>1644</v>
      </c>
      <c r="C198" s="3" t="s">
        <v>1645</v>
      </c>
      <c r="D198" s="3" t="s">
        <v>976</v>
      </c>
      <c r="E198" s="2"/>
      <c r="F198" s="3" t="str">
        <f>IFERROR(__xludf.DUMMYFUNCTION("GOOGLETRANSLATE(A198, ""it"", ""en"")"),"197")</f>
        <v>197</v>
      </c>
      <c r="G198" s="3" t="str">
        <f>IFERROR(__xludf.DUMMYFUNCTION("GOOGLETRANSLATE(B198, ""it"", ""en"")"),"A libero saves a difficult ball but pushes it toward the opponent's court. What's the decision?")</f>
        <v>A libero saves a difficult ball but pushes it toward the opponent's court. What's the decision?</v>
      </c>
      <c r="H198" s="3" t="str">
        <f>IFERROR(__xludf.DUMMYFUNCTION("GOOGLETRANSLATE(C198, ""it"", ""en"")"),"A. The point is valid B. The point goes to the other team C. The point is repeated D. The libero is cautioned")</f>
        <v>A. The point is valid B. The point goes to the other team C. The point is repeated D. The libero is cautioned</v>
      </c>
      <c r="I198" s="3" t="str">
        <f>IFERROR(__xludf.DUMMYFUNCTION("GOOGLETRANSLATE(D198, ""it"", ""en"")"),"The point is valid")</f>
        <v>The point is valid</v>
      </c>
      <c r="J198" s="2"/>
      <c r="K198" s="2"/>
      <c r="L198" s="2"/>
      <c r="M198" s="2"/>
      <c r="N198" s="2"/>
      <c r="O198" s="2"/>
      <c r="P198" s="2"/>
      <c r="Q198" s="2"/>
      <c r="R198" s="2"/>
      <c r="S198" s="2"/>
      <c r="T198" s="2"/>
      <c r="U198" s="2"/>
      <c r="V198" s="2"/>
    </row>
    <row r="199" ht="22.5" customHeight="1">
      <c r="A199" s="3">
        <v>198.0</v>
      </c>
      <c r="B199" s="3" t="s">
        <v>1646</v>
      </c>
      <c r="C199" s="3" t="s">
        <v>1472</v>
      </c>
      <c r="D199" s="3" t="s">
        <v>12</v>
      </c>
      <c r="E199" s="2"/>
      <c r="F199" s="3" t="str">
        <f>IFERROR(__xludf.DUMMYFUNCTION("GOOGLETRANSLATE(A199, ""it"", ""en"")"),"198")</f>
        <v>198</v>
      </c>
      <c r="G199" s="3" t="str">
        <f>IFERROR(__xludf.DUMMYFUNCTION("GOOGLETRANSLATE(B199, ""it"", ""en"")"),"A player interrupts play by raising his hand to call a foul. What happens?")</f>
        <v>A player interrupts play by raising his hand to call a foul. What happens?</v>
      </c>
      <c r="H199" s="3" t="str">
        <f>IFERROR(__xludf.DUMMYFUNCTION("GOOGLETRANSLATE(C199, ""it"", ""en"")"),"A. The game continues B. The point is repeated C. The point goes to the other team D. The player is cautioned")</f>
        <v>A. The game continues B. The point is repeated C. The point goes to the other team D. The player is cautioned</v>
      </c>
      <c r="I199" s="3" t="str">
        <f>IFERROR(__xludf.DUMMYFUNCTION("GOOGLETRANSLATE(D199, ""it"", ""en"")"),"The game continues")</f>
        <v>The game continues</v>
      </c>
      <c r="J199" s="2"/>
      <c r="K199" s="2"/>
      <c r="L199" s="2"/>
      <c r="M199" s="2"/>
      <c r="N199" s="2"/>
      <c r="O199" s="2"/>
      <c r="P199" s="2"/>
      <c r="Q199" s="2"/>
      <c r="R199" s="2"/>
      <c r="S199" s="2"/>
      <c r="T199" s="2"/>
      <c r="U199" s="2"/>
      <c r="V199" s="2"/>
    </row>
    <row r="200" ht="22.5" customHeight="1">
      <c r="A200" s="3">
        <v>199.0</v>
      </c>
      <c r="B200" s="3" t="s">
        <v>1647</v>
      </c>
      <c r="C200" s="3" t="s">
        <v>1503</v>
      </c>
      <c r="D200" s="3" t="s">
        <v>1433</v>
      </c>
      <c r="E200" s="2"/>
      <c r="F200" s="3" t="str">
        <f>IFERROR(__xludf.DUMMYFUNCTION("GOOGLETRANSLATE(A200, ""it"", ""en"")"),"199")</f>
        <v>199</v>
      </c>
      <c r="G200" s="3" t="str">
        <f>IFERROR(__xludf.DUMMYFUNCTION("GOOGLETRANSLATE(B200, ""it"", ""en"")"),"A coach protests a referee's decision by clapping his hands in a provocative manner. What is the decision?")</f>
        <v>A coach protests a referee's decision by clapping his hands in a provocative manner. What is the decision?</v>
      </c>
      <c r="H200" s="3" t="str">
        <f>IFERROR(__xludf.DUMMYFUNCTION("GOOGLETRANSLATE(C200, ""it"", ""en"")"),"A. The coach is cautioned B. The game continues C. The point is retaken D. The point goes to the other team")</f>
        <v>A. The coach is cautioned B. The game continues C. The point is retaken D. The point goes to the other team</v>
      </c>
      <c r="I200" s="3" t="str">
        <f>IFERROR(__xludf.DUMMYFUNCTION("GOOGLETRANSLATE(D200, ""it"", ""en"")"),"The coach is cautioned")</f>
        <v>The coach is cautioned</v>
      </c>
      <c r="J200" s="2"/>
      <c r="K200" s="2"/>
      <c r="L200" s="2"/>
      <c r="M200" s="2"/>
      <c r="N200" s="2"/>
      <c r="O200" s="2"/>
      <c r="P200" s="2"/>
      <c r="Q200" s="2"/>
      <c r="R200" s="2"/>
      <c r="S200" s="2"/>
      <c r="T200" s="2"/>
      <c r="U200" s="2"/>
      <c r="V200" s="2"/>
    </row>
    <row r="201" ht="22.5" customHeight="1">
      <c r="A201" s="3">
        <v>200.0</v>
      </c>
      <c r="B201" s="3" t="s">
        <v>1648</v>
      </c>
      <c r="C201" s="3" t="s">
        <v>1649</v>
      </c>
      <c r="D201" s="3" t="s">
        <v>1442</v>
      </c>
      <c r="E201" s="2"/>
      <c r="F201" s="3" t="str">
        <f>IFERROR(__xludf.DUMMYFUNCTION("GOOGLETRANSLATE(A201, ""it"", ""en"")"),"200")</f>
        <v>200</v>
      </c>
      <c r="G201" s="3" t="str">
        <f>IFERROR(__xludf.DUMMYFUNCTION("GOOGLETRANSLATE(B201, ""it"", ""en"")"),"The ball hits the sideline and bounces into the opponent's court. What's the decision?")</f>
        <v>The ball hits the sideline and bounces into the opponent's court. What's the decision?</v>
      </c>
      <c r="H201" s="3" t="str">
        <f>IFERROR(__xludf.DUMMYFUNCTION("GOOGLETRANSLATE(C201, ""it"", ""en"")"),"A. The ball is considered out B. The point goes to the other team C. The point is retaken D. The game continues")</f>
        <v>A. The ball is considered out B. The point goes to the other team C. The point is retaken D. The game continues</v>
      </c>
      <c r="I201" s="3" t="str">
        <f>IFERROR(__xludf.DUMMYFUNCTION("GOOGLETRANSLATE(D201, ""it"", ""en"")"),"The ball is considered out")</f>
        <v>The ball is considered out</v>
      </c>
      <c r="J201" s="2"/>
      <c r="K201" s="2"/>
      <c r="L201" s="2"/>
      <c r="M201" s="2"/>
      <c r="N201" s="2"/>
      <c r="O201" s="2"/>
      <c r="P201" s="2"/>
      <c r="Q201" s="2"/>
      <c r="R201" s="2"/>
      <c r="S201" s="2"/>
      <c r="T201" s="2"/>
      <c r="U201" s="2"/>
      <c r="V201" s="2"/>
    </row>
    <row r="202" ht="22.5" customHeight="1">
      <c r="A202" s="3">
        <v>201.0</v>
      </c>
      <c r="B202" s="3" t="s">
        <v>1650</v>
      </c>
      <c r="C202" s="3" t="s">
        <v>1493</v>
      </c>
      <c r="D202" s="3" t="s">
        <v>1346</v>
      </c>
      <c r="E202" s="2"/>
      <c r="F202" s="3" t="str">
        <f>IFERROR(__xludf.DUMMYFUNCTION("GOOGLETRANSLATE(A202, ""it"", ""en"")"),"201")</f>
        <v>201</v>
      </c>
      <c r="G202" s="3" t="str">
        <f>IFERROR(__xludf.DUMMYFUNCTION("GOOGLETRANSLATE(B202, ""it"", ""en"")"),"A player throws the ball during a play but doesn't hit the ground. What's the ruling?")</f>
        <v>A player throws the ball during a play but doesn't hit the ground. What's the ruling?</v>
      </c>
      <c r="H202" s="3" t="str">
        <f>IFERROR(__xludf.DUMMYFUNCTION("GOOGLETRANSLATE(C202, ""it"", ""en"")"),"A. The point goes to the other team B. The game continues C. The point is repeated D. The shot is considered legal")</f>
        <v>A. The point goes to the other team B. The game continues C. The point is repeated D. The shot is considered legal</v>
      </c>
      <c r="I202" s="3" t="str">
        <f>IFERROR(__xludf.DUMMYFUNCTION("GOOGLETRANSLATE(D202, ""it"", ""en"")"),"The point goes to the other team")</f>
        <v>The point goes to the other team</v>
      </c>
      <c r="J202" s="2"/>
      <c r="K202" s="2"/>
      <c r="L202" s="2"/>
      <c r="M202" s="2"/>
      <c r="N202" s="2"/>
      <c r="O202" s="2"/>
      <c r="P202" s="2"/>
      <c r="Q202" s="2"/>
      <c r="R202" s="2"/>
      <c r="S202" s="2"/>
      <c r="T202" s="2"/>
      <c r="U202" s="2"/>
      <c r="V202" s="2"/>
    </row>
    <row r="203" ht="22.5" customHeight="1">
      <c r="A203" s="3">
        <v>202.0</v>
      </c>
      <c r="B203" s="3" t="s">
        <v>1651</v>
      </c>
      <c r="C203" s="3" t="s">
        <v>1501</v>
      </c>
      <c r="D203" s="3" t="s">
        <v>1346</v>
      </c>
      <c r="E203" s="2"/>
      <c r="F203" s="3" t="str">
        <f>IFERROR(__xludf.DUMMYFUNCTION("GOOGLETRANSLATE(A203, ""it"", ""en"")"),"202")</f>
        <v>202</v>
      </c>
      <c r="G203" s="3" t="str">
        <f>IFERROR(__xludf.DUMMYFUNCTION("GOOGLETRANSLATE(B203, ""it"", ""en"")"),"A libero is in the attacking zone during a defensive play. What happens?")</f>
        <v>A libero is in the attacking zone during a defensive play. What happens?</v>
      </c>
      <c r="H203" s="3" t="str">
        <f>IFERROR(__xludf.DUMMYFUNCTION("GOOGLETRANSLATE(C203, ""it"", ""en"")"),"A. The point goes to the other team B. The game continues C. The point is retaken D. The libero is cautioned")</f>
        <v>A. The point goes to the other team B. The game continues C. The point is retaken D. The libero is cautioned</v>
      </c>
      <c r="I203" s="3" t="str">
        <f>IFERROR(__xludf.DUMMYFUNCTION("GOOGLETRANSLATE(D203, ""it"", ""en"")"),"The point goes to the other team")</f>
        <v>The point goes to the other team</v>
      </c>
      <c r="J203" s="2"/>
      <c r="K203" s="2"/>
      <c r="L203" s="2"/>
      <c r="M203" s="2"/>
      <c r="N203" s="2"/>
      <c r="O203" s="2"/>
      <c r="P203" s="2"/>
      <c r="Q203" s="2"/>
      <c r="R203" s="2"/>
      <c r="S203" s="2"/>
      <c r="T203" s="2"/>
      <c r="U203" s="2"/>
      <c r="V203" s="2"/>
    </row>
    <row r="204" ht="22.5" customHeight="1">
      <c r="A204" s="3">
        <v>203.0</v>
      </c>
      <c r="B204" s="3" t="s">
        <v>1652</v>
      </c>
      <c r="C204" s="3" t="s">
        <v>1653</v>
      </c>
      <c r="D204" s="3" t="s">
        <v>12</v>
      </c>
      <c r="E204" s="2"/>
      <c r="F204" s="3" t="str">
        <f>IFERROR(__xludf.DUMMYFUNCTION("GOOGLETRANSLATE(A204, ""it"", ""en"")"),"203")</f>
        <v>203</v>
      </c>
      <c r="G204" s="3" t="str">
        <f>IFERROR(__xludf.DUMMYFUNCTION("GOOGLETRANSLATE(B204, ""it"", ""en"")"),"A player moves to the bench to drink during a timeout. What happens?")</f>
        <v>A player moves to the bench to drink during a timeout. What happens?</v>
      </c>
      <c r="H204" s="3" t="str">
        <f>IFERROR(__xludf.DUMMYFUNCTION("GOOGLETRANSLATE(C204, ""it"", ""en"")"),"A. The game continues B. The point is repeated C. The player is cautioned D. Nothing happens")</f>
        <v>A. The game continues B. The point is repeated C. The player is cautioned D. Nothing happens</v>
      </c>
      <c r="I204" s="3" t="str">
        <f>IFERROR(__xludf.DUMMYFUNCTION("GOOGLETRANSLATE(D204, ""it"", ""en"")"),"The game continues")</f>
        <v>The game continues</v>
      </c>
      <c r="J204" s="2"/>
      <c r="K204" s="2"/>
      <c r="L204" s="2"/>
      <c r="M204" s="2"/>
      <c r="N204" s="2"/>
      <c r="O204" s="2"/>
      <c r="P204" s="2"/>
      <c r="Q204" s="2"/>
      <c r="R204" s="2"/>
      <c r="S204" s="2"/>
      <c r="T204" s="2"/>
      <c r="U204" s="2"/>
      <c r="V204" s="2"/>
    </row>
    <row r="205" ht="22.5" customHeight="1">
      <c r="A205" s="3">
        <v>204.0</v>
      </c>
      <c r="B205" s="3" t="s">
        <v>1654</v>
      </c>
      <c r="C205" s="3" t="s">
        <v>1591</v>
      </c>
      <c r="D205" s="3" t="s">
        <v>976</v>
      </c>
      <c r="E205" s="2"/>
      <c r="F205" s="3" t="str">
        <f>IFERROR(__xludf.DUMMYFUNCTION("GOOGLETRANSLATE(A205, ""it"", ""en"")"),"204")</f>
        <v>204</v>
      </c>
      <c r="G205" s="3" t="str">
        <f>IFERROR(__xludf.DUMMYFUNCTION("GOOGLETRANSLATE(B205, ""it"", ""en"")"),"The ball crosses the net and lands exactly on the opponent's midfield line. What's the decision?")</f>
        <v>The ball crosses the net and lands exactly on the opponent's midfield line. What's the decision?</v>
      </c>
      <c r="H205" s="3" t="str">
        <f>IFERROR(__xludf.DUMMYFUNCTION("GOOGLETRANSLATE(C205, ""it"", ""en"")"),"A. The point is valid B. The point goes to the other team C. The point is retaken D. The ball is considered out")</f>
        <v>A. The point is valid B. The point goes to the other team C. The point is retaken D. The ball is considered out</v>
      </c>
      <c r="I205" s="3" t="str">
        <f>IFERROR(__xludf.DUMMYFUNCTION("GOOGLETRANSLATE(D205, ""it"", ""en"")"),"The point is valid")</f>
        <v>The point is valid</v>
      </c>
      <c r="J205" s="2"/>
      <c r="K205" s="2"/>
      <c r="L205" s="2"/>
      <c r="M205" s="2"/>
      <c r="N205" s="2"/>
      <c r="O205" s="2"/>
      <c r="P205" s="2"/>
      <c r="Q205" s="2"/>
      <c r="R205" s="2"/>
      <c r="S205" s="2"/>
      <c r="T205" s="2"/>
      <c r="U205" s="2"/>
      <c r="V205" s="2"/>
    </row>
    <row r="206" ht="22.5" customHeight="1">
      <c r="A206" s="3">
        <v>205.0</v>
      </c>
      <c r="B206" s="3" t="s">
        <v>1655</v>
      </c>
      <c r="C206" s="3" t="s">
        <v>1503</v>
      </c>
      <c r="D206" s="3" t="s">
        <v>1433</v>
      </c>
      <c r="E206" s="2"/>
      <c r="F206" s="3" t="str">
        <f>IFERROR(__xludf.DUMMYFUNCTION("GOOGLETRANSLATE(A206, ""it"", ""en"")"),"205")</f>
        <v>205</v>
      </c>
      <c r="G206" s="3" t="str">
        <f>IFERROR(__xludf.DUMMYFUNCTION("GOOGLETRANSLATE(B206, ""it"", ""en"")"),"A coach delays the start of a set to talk to the captain. What's happening?")</f>
        <v>A coach delays the start of a set to talk to the captain. What's happening?</v>
      </c>
      <c r="H206" s="3" t="str">
        <f>IFERROR(__xludf.DUMMYFUNCTION("GOOGLETRANSLATE(C206, ""it"", ""en"")"),"A. The coach is cautioned B. The game continues C. The point is retaken D. The point goes to the other team")</f>
        <v>A. The coach is cautioned B. The game continues C. The point is retaken D. The point goes to the other team</v>
      </c>
      <c r="I206" s="3" t="str">
        <f>IFERROR(__xludf.DUMMYFUNCTION("GOOGLETRANSLATE(D206, ""it"", ""en"")"),"The coach is cautioned")</f>
        <v>The coach is cautioned</v>
      </c>
      <c r="J206" s="2"/>
      <c r="K206" s="2"/>
      <c r="L206" s="2"/>
      <c r="M206" s="2"/>
      <c r="N206" s="2"/>
      <c r="O206" s="2"/>
      <c r="P206" s="2"/>
      <c r="Q206" s="2"/>
      <c r="R206" s="2"/>
      <c r="S206" s="2"/>
      <c r="T206" s="2"/>
      <c r="U206" s="2"/>
      <c r="V206" s="2"/>
    </row>
    <row r="207" ht="22.5" customHeight="1">
      <c r="A207" s="3">
        <v>206.0</v>
      </c>
      <c r="B207" s="3" t="s">
        <v>1656</v>
      </c>
      <c r="C207" s="3" t="s">
        <v>1657</v>
      </c>
      <c r="D207" s="3" t="s">
        <v>1346</v>
      </c>
      <c r="E207" s="2"/>
      <c r="F207" s="3" t="str">
        <f>IFERROR(__xludf.DUMMYFUNCTION("GOOGLETRANSLATE(A207, ""it"", ""en"")"),"206")</f>
        <v>206</v>
      </c>
      <c r="G207" s="3" t="str">
        <f>IFERROR(__xludf.DUMMYFUNCTION("GOOGLETRANSLATE(B207, ""it"", ""en"")"),"A player dribbles the ball over the net but touches the baseline first. What's the ruling?")</f>
        <v>A player dribbles the ball over the net but touches the baseline first. What's the ruling?</v>
      </c>
      <c r="H207" s="3" t="str">
        <f>IFERROR(__xludf.DUMMYFUNCTION("GOOGLETRANSLATE(C207, ""it"", ""en"")"),"A. The point goes to the other team B. The point is valid C. The game continues D. The point is repeated")</f>
        <v>A. The point goes to the other team B. The point is valid C. The game continues D. The point is repeated</v>
      </c>
      <c r="I207" s="3" t="str">
        <f>IFERROR(__xludf.DUMMYFUNCTION("GOOGLETRANSLATE(D207, ""it"", ""en"")"),"The point goes to the other team")</f>
        <v>The point goes to the other team</v>
      </c>
      <c r="J207" s="2"/>
      <c r="K207" s="2"/>
      <c r="L207" s="2"/>
      <c r="M207" s="2"/>
      <c r="N207" s="2"/>
      <c r="O207" s="2"/>
      <c r="P207" s="2"/>
      <c r="Q207" s="2"/>
      <c r="R207" s="2"/>
      <c r="S207" s="2"/>
      <c r="T207" s="2"/>
      <c r="U207" s="2"/>
      <c r="V207" s="2"/>
    </row>
    <row r="208" ht="22.5" customHeight="1">
      <c r="A208" s="3">
        <v>207.0</v>
      </c>
      <c r="B208" s="3" t="s">
        <v>1658</v>
      </c>
      <c r="C208" s="3" t="s">
        <v>1493</v>
      </c>
      <c r="D208" s="3" t="s">
        <v>1346</v>
      </c>
      <c r="E208" s="2"/>
      <c r="F208" s="3" t="str">
        <f>IFERROR(__xludf.DUMMYFUNCTION("GOOGLETRANSLATE(A208, ""it"", ""en"")"),"207")</f>
        <v>207</v>
      </c>
      <c r="G208" s="3" t="str">
        <f>IFERROR(__xludf.DUMMYFUNCTION("GOOGLETRANSLATE(B208, ""it"", ""en"")"),"A player touches the net during an attack. What happens?")</f>
        <v>A player touches the net during an attack. What happens?</v>
      </c>
      <c r="H208" s="3" t="str">
        <f>IFERROR(__xludf.DUMMYFUNCTION("GOOGLETRANSLATE(C208, ""it"", ""en"")"),"A. The point goes to the other team B. The game continues C. The point is repeated D. The shot is considered legal")</f>
        <v>A. The point goes to the other team B. The game continues C. The point is repeated D. The shot is considered legal</v>
      </c>
      <c r="I208" s="3" t="str">
        <f>IFERROR(__xludf.DUMMYFUNCTION("GOOGLETRANSLATE(D208, ""it"", ""en"")"),"The point goes to the other team")</f>
        <v>The point goes to the other team</v>
      </c>
      <c r="J208" s="2"/>
      <c r="K208" s="2"/>
      <c r="L208" s="2"/>
      <c r="M208" s="2"/>
      <c r="N208" s="2"/>
      <c r="O208" s="2"/>
      <c r="P208" s="2"/>
      <c r="Q208" s="2"/>
      <c r="R208" s="2"/>
      <c r="S208" s="2"/>
      <c r="T208" s="2"/>
      <c r="U208" s="2"/>
      <c r="V208" s="2"/>
    </row>
    <row r="209" ht="22.5" customHeight="1">
      <c r="A209" s="3">
        <v>208.0</v>
      </c>
      <c r="B209" s="3" t="s">
        <v>1659</v>
      </c>
      <c r="C209" s="3" t="s">
        <v>1428</v>
      </c>
      <c r="D209" s="3" t="s">
        <v>976</v>
      </c>
      <c r="E209" s="2"/>
      <c r="F209" s="3" t="str">
        <f>IFERROR(__xludf.DUMMYFUNCTION("GOOGLETRANSLATE(A209, ""it"", ""en"")"),"208")</f>
        <v>208</v>
      </c>
      <c r="G209" s="3" t="str">
        <f>IFERROR(__xludf.DUMMYFUNCTION("GOOGLETRANSLATE(B209, ""it"", ""en"")"),"The ball hits the top of the net and lands in the opponent's court. What's the decision?")</f>
        <v>The ball hits the top of the net and lands in the opponent's court. What's the decision?</v>
      </c>
      <c r="H209" s="3" t="str">
        <f>IFERROR(__xludf.DUMMYFUNCTION("GOOGLETRANSLATE(C209, ""it"", ""en"")"),"A. The point is valid B. The point is repeated C. The point goes to the other team D. The ball is considered out")</f>
        <v>A. The point is valid B. The point is repeated C. The point goes to the other team D. The ball is considered out</v>
      </c>
      <c r="I209" s="3" t="str">
        <f>IFERROR(__xludf.DUMMYFUNCTION("GOOGLETRANSLATE(D209, ""it"", ""en"")"),"The point is valid")</f>
        <v>The point is valid</v>
      </c>
      <c r="J209" s="2"/>
      <c r="K209" s="2"/>
      <c r="L209" s="2"/>
      <c r="M209" s="2"/>
      <c r="N209" s="2"/>
      <c r="O209" s="2"/>
      <c r="P209" s="2"/>
      <c r="Q209" s="2"/>
      <c r="R209" s="2"/>
      <c r="S209" s="2"/>
      <c r="T209" s="2"/>
      <c r="U209" s="2"/>
      <c r="V209" s="2"/>
    </row>
    <row r="210" ht="22.5" customHeight="1">
      <c r="A210" s="3">
        <v>209.0</v>
      </c>
      <c r="B210" s="3" t="s">
        <v>1660</v>
      </c>
      <c r="C210" s="3" t="s">
        <v>1501</v>
      </c>
      <c r="D210" s="3" t="s">
        <v>1346</v>
      </c>
      <c r="E210" s="2"/>
      <c r="F210" s="3" t="str">
        <f>IFERROR(__xludf.DUMMYFUNCTION("GOOGLETRANSLATE(A210, ""it"", ""en"")"),"209")</f>
        <v>209</v>
      </c>
      <c r="G210" s="3" t="str">
        <f>IFERROR(__xludf.DUMMYFUNCTION("GOOGLETRANSLATE(B210, ""it"", ""en"")"),"A libero touches the ball with his hands, but not legally. What happens?")</f>
        <v>A libero touches the ball with his hands, but not legally. What happens?</v>
      </c>
      <c r="H210" s="3" t="str">
        <f>IFERROR(__xludf.DUMMYFUNCTION("GOOGLETRANSLATE(C210, ""it"", ""en"")"),"A. The point goes to the other team B. The game continues C. The point is retaken D. The libero is cautioned")</f>
        <v>A. The point goes to the other team B. The game continues C. The point is retaken D. The libero is cautioned</v>
      </c>
      <c r="I210" s="3" t="str">
        <f>IFERROR(__xludf.DUMMYFUNCTION("GOOGLETRANSLATE(D210, ""it"", ""en"")"),"The point goes to the other team")</f>
        <v>The point goes to the other team</v>
      </c>
      <c r="J210" s="2"/>
      <c r="K210" s="2"/>
      <c r="L210" s="2"/>
      <c r="M210" s="2"/>
      <c r="N210" s="2"/>
      <c r="O210" s="2"/>
      <c r="P210" s="2"/>
      <c r="Q210" s="2"/>
      <c r="R210" s="2"/>
      <c r="S210" s="2"/>
      <c r="T210" s="2"/>
      <c r="U210" s="2"/>
      <c r="V210" s="2"/>
    </row>
    <row r="211" ht="22.5" customHeight="1">
      <c r="A211" s="3">
        <v>210.0</v>
      </c>
      <c r="B211" s="3" t="s">
        <v>1661</v>
      </c>
      <c r="C211" s="3" t="s">
        <v>1662</v>
      </c>
      <c r="D211" s="3" t="s">
        <v>1346</v>
      </c>
      <c r="E211" s="2"/>
      <c r="F211" s="3" t="str">
        <f>IFERROR(__xludf.DUMMYFUNCTION("GOOGLETRANSLATE(A211, ""it"", ""en"")"),"210")</f>
        <v>210</v>
      </c>
      <c r="G211" s="3" t="str">
        <f>IFERROR(__xludf.DUMMYFUNCTION("GOOGLETRANSLATE(B211, ""it"", ""en"")"),"A player serves but the ball hits the ceiling before crossing the net. What's the ruling?")</f>
        <v>A player serves but the ball hits the ceiling before crossing the net. What's the ruling?</v>
      </c>
      <c r="H211" s="3" t="str">
        <f>IFERROR(__xludf.DUMMYFUNCTION("GOOGLETRANSLATE(C211, ""it"", ""en"")"),"A. The point goes to the other team B. The service is repeated C. The game continues D. The point is valid")</f>
        <v>A. The point goes to the other team B. The service is repeated C. The game continues D. The point is valid</v>
      </c>
      <c r="I211" s="3" t="str">
        <f>IFERROR(__xludf.DUMMYFUNCTION("GOOGLETRANSLATE(D211, ""it"", ""en"")"),"The point goes to the other team")</f>
        <v>The point goes to the other team</v>
      </c>
      <c r="J211" s="2"/>
      <c r="K211" s="2"/>
      <c r="L211" s="2"/>
      <c r="M211" s="2"/>
      <c r="N211" s="2"/>
      <c r="O211" s="2"/>
      <c r="P211" s="2"/>
      <c r="Q211" s="2"/>
      <c r="R211" s="2"/>
      <c r="S211" s="2"/>
      <c r="T211" s="2"/>
      <c r="U211" s="2"/>
      <c r="V211" s="2"/>
    </row>
    <row r="212" ht="22.5" customHeight="1">
      <c r="A212" s="3">
        <v>211.0</v>
      </c>
      <c r="B212" s="3" t="s">
        <v>1663</v>
      </c>
      <c r="C212" s="3" t="s">
        <v>1593</v>
      </c>
      <c r="D212" s="3" t="s">
        <v>976</v>
      </c>
      <c r="E212" s="2"/>
      <c r="F212" s="3" t="str">
        <f>IFERROR(__xludf.DUMMYFUNCTION("GOOGLETRANSLATE(A212, ""it"", ""en"")"),"211")</f>
        <v>211</v>
      </c>
      <c r="G212" s="3" t="str">
        <f>IFERROR(__xludf.DUMMYFUNCTION("GOOGLETRANSLATE(B212, ""it"", ""en"")"),"A player heads the ball and it goes through the net. What's the decision?")</f>
        <v>A player heads the ball and it goes through the net. What's the decision?</v>
      </c>
      <c r="H212" s="3" t="str">
        <f>IFERROR(__xludf.DUMMYFUNCTION("GOOGLETRANSLATE(C212, ""it"", ""en"")"),"A. The point is valid B. The point goes to the other team C. The point is repeated D. The game continues")</f>
        <v>A. The point is valid B. The point goes to the other team C. The point is repeated D. The game continues</v>
      </c>
      <c r="I212" s="3" t="str">
        <f>IFERROR(__xludf.DUMMYFUNCTION("GOOGLETRANSLATE(D212, ""it"", ""en"")"),"The point is valid")</f>
        <v>The point is valid</v>
      </c>
      <c r="J212" s="2"/>
      <c r="K212" s="2"/>
      <c r="L212" s="2"/>
      <c r="M212" s="2"/>
      <c r="N212" s="2"/>
      <c r="O212" s="2"/>
      <c r="P212" s="2"/>
      <c r="Q212" s="2"/>
      <c r="R212" s="2"/>
      <c r="S212" s="2"/>
      <c r="T212" s="2"/>
      <c r="U212" s="2"/>
      <c r="V212" s="2"/>
    </row>
    <row r="213" ht="22.5" customHeight="1">
      <c r="A213" s="3">
        <v>212.0</v>
      </c>
      <c r="B213" s="3" t="s">
        <v>1664</v>
      </c>
      <c r="C213" s="3" t="s">
        <v>1493</v>
      </c>
      <c r="D213" s="3" t="s">
        <v>1346</v>
      </c>
      <c r="E213" s="2"/>
      <c r="F213" s="3" t="str">
        <f>IFERROR(__xludf.DUMMYFUNCTION("GOOGLETRANSLATE(A213, ""it"", ""en"")"),"212")</f>
        <v>212</v>
      </c>
      <c r="G213" s="3" t="str">
        <f>IFERROR(__xludf.DUMMYFUNCTION("GOOGLETRANSLATE(B213, ""it"", ""en"")"),"A player attacks but touches the net with his foot. What happens?")</f>
        <v>A player attacks but touches the net with his foot. What happens?</v>
      </c>
      <c r="H213" s="3" t="str">
        <f>IFERROR(__xludf.DUMMYFUNCTION("GOOGLETRANSLATE(C213, ""it"", ""en"")"),"A. The point goes to the other team B. The game continues C. The point is repeated D. The shot is considered legal")</f>
        <v>A. The point goes to the other team B. The game continues C. The point is repeated D. The shot is considered legal</v>
      </c>
      <c r="I213" s="3" t="str">
        <f>IFERROR(__xludf.DUMMYFUNCTION("GOOGLETRANSLATE(D213, ""it"", ""en"")"),"The point goes to the other team")</f>
        <v>The point goes to the other team</v>
      </c>
      <c r="J213" s="2"/>
      <c r="K213" s="2"/>
      <c r="L213" s="2"/>
      <c r="M213" s="2"/>
      <c r="N213" s="2"/>
      <c r="O213" s="2"/>
      <c r="P213" s="2"/>
      <c r="Q213" s="2"/>
      <c r="R213" s="2"/>
      <c r="S213" s="2"/>
      <c r="T213" s="2"/>
      <c r="U213" s="2"/>
      <c r="V213" s="2"/>
    </row>
    <row r="214" ht="22.5" customHeight="1">
      <c r="A214" s="3">
        <v>213.0</v>
      </c>
      <c r="B214" s="3" t="s">
        <v>1665</v>
      </c>
      <c r="C214" s="3" t="s">
        <v>1666</v>
      </c>
      <c r="D214" s="3" t="s">
        <v>12</v>
      </c>
      <c r="E214" s="2"/>
      <c r="F214" s="3" t="str">
        <f>IFERROR(__xludf.DUMMYFUNCTION("GOOGLETRANSLATE(A214, ""it"", ""en"")"),"213")</f>
        <v>213</v>
      </c>
      <c r="G214" s="3" t="str">
        <f>IFERROR(__xludf.DUMMYFUNCTION("GOOGLETRANSLATE(B214, ""it"", ""en"")"),"The ball is thrown over the net but accidentally touches an opposing player. What is the ruling?")</f>
        <v>The ball is thrown over the net but accidentally touches an opposing player. What is the ruling?</v>
      </c>
      <c r="H214" s="3" t="str">
        <f>IFERROR(__xludf.DUMMYFUNCTION("GOOGLETRANSLATE(C214, ""it"", ""en"")"),"A. The point goes to the other team B. The game continues C. The point is repeated D. The point is valid")</f>
        <v>A. The point goes to the other team B. The game continues C. The point is repeated D. The point is valid</v>
      </c>
      <c r="I214" s="3" t="str">
        <f>IFERROR(__xludf.DUMMYFUNCTION("GOOGLETRANSLATE(D214, ""it"", ""en"")"),"The game continues")</f>
        <v>The game continues</v>
      </c>
      <c r="J214" s="2"/>
      <c r="K214" s="2"/>
      <c r="L214" s="2"/>
      <c r="M214" s="2"/>
      <c r="N214" s="2"/>
      <c r="O214" s="2"/>
      <c r="P214" s="2"/>
      <c r="Q214" s="2"/>
      <c r="R214" s="2"/>
      <c r="S214" s="2"/>
      <c r="T214" s="2"/>
      <c r="U214" s="2"/>
      <c r="V214" s="2"/>
    </row>
    <row r="215" ht="22.5" customHeight="1">
      <c r="A215" s="3">
        <v>214.0</v>
      </c>
      <c r="B215" s="3" t="s">
        <v>1667</v>
      </c>
      <c r="C215" s="3" t="s">
        <v>1668</v>
      </c>
      <c r="D215" s="3" t="s">
        <v>1669</v>
      </c>
      <c r="E215" s="2"/>
      <c r="F215" s="3" t="str">
        <f>IFERROR(__xludf.DUMMYFUNCTION("GOOGLETRANSLATE(A215, ""it"", ""en"")"),"214")</f>
        <v>214</v>
      </c>
      <c r="G215" s="3" t="str">
        <f>IFERROR(__xludf.DUMMYFUNCTION("GOOGLETRANSLATE(B215, ""it"", ""en"")"),"A player serves but the ball hits the net and returns to his side. What happens?")</f>
        <v>A player serves but the ball hits the net and returns to his side. What happens?</v>
      </c>
      <c r="H215" s="3" t="str">
        <f>IFERROR(__xludf.DUMMYFUNCTION("GOOGLETRANSLATE(C215, ""it"", ""en"")"),"A. The service is repeated B. The point goes to the other team C. The game continues D. The point is valid")</f>
        <v>A. The service is repeated B. The point goes to the other team C. The game continues D. The point is valid</v>
      </c>
      <c r="I215" s="3" t="str">
        <f>IFERROR(__xludf.DUMMYFUNCTION("GOOGLETRANSLATE(D215, ""it"", ""en"")"),"The service is repeated")</f>
        <v>The service is repeated</v>
      </c>
      <c r="J215" s="2"/>
      <c r="K215" s="2"/>
      <c r="L215" s="2"/>
      <c r="M215" s="2"/>
      <c r="N215" s="2"/>
      <c r="O215" s="2"/>
      <c r="P215" s="2"/>
      <c r="Q215" s="2"/>
      <c r="R215" s="2"/>
      <c r="S215" s="2"/>
      <c r="T215" s="2"/>
      <c r="U215" s="2"/>
      <c r="V215" s="2"/>
    </row>
    <row r="216" ht="22.5" customHeight="1">
      <c r="A216" s="3">
        <v>215.0</v>
      </c>
      <c r="B216" s="3" t="s">
        <v>1670</v>
      </c>
      <c r="C216" s="3" t="s">
        <v>1501</v>
      </c>
      <c r="D216" s="3" t="s">
        <v>1346</v>
      </c>
      <c r="E216" s="2"/>
      <c r="F216" s="3" t="str">
        <f>IFERROR(__xludf.DUMMYFUNCTION("GOOGLETRANSLATE(A216, ""it"", ""en"")"),"215")</f>
        <v>215</v>
      </c>
      <c r="G216" s="3" t="str">
        <f>IFERROR(__xludf.DUMMYFUNCTION("GOOGLETRANSLATE(B216, ""it"", ""en"")"),"A libero is in the attacking zone while receiving a ball. What happens?")</f>
        <v>A libero is in the attacking zone while receiving a ball. What happens?</v>
      </c>
      <c r="H216" s="3" t="str">
        <f>IFERROR(__xludf.DUMMYFUNCTION("GOOGLETRANSLATE(C216, ""it"", ""en"")"),"A. The point goes to the other team B. The game continues C. The point is retaken D. The libero is cautioned")</f>
        <v>A. The point goes to the other team B. The game continues C. The point is retaken D. The libero is cautioned</v>
      </c>
      <c r="I216" s="3" t="str">
        <f>IFERROR(__xludf.DUMMYFUNCTION("GOOGLETRANSLATE(D216, ""it"", ""en"")"),"The point goes to the other team")</f>
        <v>The point goes to the other team</v>
      </c>
      <c r="J216" s="2"/>
      <c r="K216" s="2"/>
      <c r="L216" s="2"/>
      <c r="M216" s="2"/>
      <c r="N216" s="2"/>
      <c r="O216" s="2"/>
      <c r="P216" s="2"/>
      <c r="Q216" s="2"/>
      <c r="R216" s="2"/>
      <c r="S216" s="2"/>
      <c r="T216" s="2"/>
      <c r="U216" s="2"/>
      <c r="V216" s="2"/>
    </row>
    <row r="217" ht="22.5" customHeight="1">
      <c r="A217" s="3">
        <v>216.0</v>
      </c>
      <c r="B217" s="3" t="s">
        <v>1671</v>
      </c>
      <c r="C217" s="3" t="s">
        <v>1672</v>
      </c>
      <c r="D217" s="3" t="s">
        <v>1346</v>
      </c>
      <c r="E217" s="2"/>
      <c r="F217" s="3" t="str">
        <f>IFERROR(__xludf.DUMMYFUNCTION("GOOGLETRANSLATE(A217, ""it"", ""en"")"),"216")</f>
        <v>216</v>
      </c>
      <c r="G217" s="3" t="str">
        <f>IFERROR(__xludf.DUMMYFUNCTION("GOOGLETRANSLATE(B217, ""it"", ""en"")"),"A player hits the ball with an illegal touch and it goes out. What's the ruling?")</f>
        <v>A player hits the ball with an illegal touch and it goes out. What's the ruling?</v>
      </c>
      <c r="H217" s="3" t="str">
        <f>IFERROR(__xludf.DUMMYFUNCTION("GOOGLETRANSLATE(C217, ""it"", ""en"")"),"A. The point goes to the other team B. The point is repeated C. The game continues D. The point is valid")</f>
        <v>A. The point goes to the other team B. The point is repeated C. The game continues D. The point is valid</v>
      </c>
      <c r="I217" s="3" t="str">
        <f>IFERROR(__xludf.DUMMYFUNCTION("GOOGLETRANSLATE(D217, ""it"", ""en"")"),"The point goes to the other team")</f>
        <v>The point goes to the other team</v>
      </c>
      <c r="J217" s="2"/>
      <c r="K217" s="2"/>
      <c r="L217" s="2"/>
      <c r="M217" s="2"/>
      <c r="N217" s="2"/>
      <c r="O217" s="2"/>
      <c r="P217" s="2"/>
      <c r="Q217" s="2"/>
      <c r="R217" s="2"/>
      <c r="S217" s="2"/>
      <c r="T217" s="2"/>
      <c r="U217" s="2"/>
      <c r="V217" s="2"/>
    </row>
    <row r="218" ht="22.5" customHeight="1">
      <c r="A218" s="3">
        <v>217.0</v>
      </c>
      <c r="B218" s="3" t="s">
        <v>1673</v>
      </c>
      <c r="C218" s="3" t="s">
        <v>1515</v>
      </c>
      <c r="D218" s="3" t="s">
        <v>1346</v>
      </c>
      <c r="E218" s="2"/>
      <c r="F218" s="3" t="str">
        <f>IFERROR(__xludf.DUMMYFUNCTION("GOOGLETRANSLATE(A218, ""it"", ""en"")"),"217")</f>
        <v>217</v>
      </c>
      <c r="G218" s="3" t="str">
        <f>IFERROR(__xludf.DUMMYFUNCTION("GOOGLETRANSLATE(B218, ""it"", ""en"")"),"A player hits the ball, but the blow is too strong and it goes out of bounds. What's the decision?")</f>
        <v>A player hits the ball, but the blow is too strong and it goes out of bounds. What's the decision?</v>
      </c>
      <c r="H218" s="3" t="str">
        <f>IFERROR(__xludf.DUMMYFUNCTION("GOOGLETRANSLATE(C218, ""it"", ""en"")"),"A. The point goes to the other team B. The point is retaken C. The game continues D. The ball is considered out")</f>
        <v>A. The point goes to the other team B. The point is retaken C. The game continues D. The ball is considered out</v>
      </c>
      <c r="I218" s="3" t="str">
        <f>IFERROR(__xludf.DUMMYFUNCTION("GOOGLETRANSLATE(D218, ""it"", ""en"")"),"The point goes to the other team")</f>
        <v>The point goes to the other team</v>
      </c>
      <c r="J218" s="2"/>
      <c r="K218" s="2"/>
      <c r="L218" s="2"/>
      <c r="M218" s="2"/>
      <c r="N218" s="2"/>
      <c r="O218" s="2"/>
      <c r="P218" s="2"/>
      <c r="Q218" s="2"/>
      <c r="R218" s="2"/>
      <c r="S218" s="2"/>
      <c r="T218" s="2"/>
      <c r="U218" s="2"/>
      <c r="V218" s="2"/>
    </row>
    <row r="219" ht="22.5" customHeight="1">
      <c r="A219" s="3">
        <v>218.0</v>
      </c>
      <c r="B219" s="3" t="s">
        <v>1674</v>
      </c>
      <c r="C219" s="3" t="s">
        <v>1428</v>
      </c>
      <c r="D219" s="3" t="s">
        <v>976</v>
      </c>
      <c r="E219" s="2"/>
      <c r="F219" s="3" t="str">
        <f>IFERROR(__xludf.DUMMYFUNCTION("GOOGLETRANSLATE(A219, ""it"", ""en"")"),"218")</f>
        <v>218</v>
      </c>
      <c r="G219" s="3" t="str">
        <f>IFERROR(__xludf.DUMMYFUNCTION("GOOGLETRANSLATE(B219, ""it"", ""en"")"),"A player hits an attacking shot, but the ball hits the net before landing in the opponent's court. What's the ruling?")</f>
        <v>A player hits an attacking shot, but the ball hits the net before landing in the opponent's court. What's the ruling?</v>
      </c>
      <c r="H219" s="3" t="str">
        <f>IFERROR(__xludf.DUMMYFUNCTION("GOOGLETRANSLATE(C219, ""it"", ""en"")"),"A. The point is valid B. The point is repeated C. The point goes to the other team D. The ball is considered out")</f>
        <v>A. The point is valid B. The point is repeated C. The point goes to the other team D. The ball is considered out</v>
      </c>
      <c r="I219" s="3" t="str">
        <f>IFERROR(__xludf.DUMMYFUNCTION("GOOGLETRANSLATE(D219, ""it"", ""en"")"),"The point is valid")</f>
        <v>The point is valid</v>
      </c>
      <c r="J219" s="2"/>
      <c r="K219" s="2"/>
      <c r="L219" s="2"/>
      <c r="M219" s="2"/>
      <c r="N219" s="2"/>
      <c r="O219" s="2"/>
      <c r="P219" s="2"/>
      <c r="Q219" s="2"/>
      <c r="R219" s="2"/>
      <c r="S219" s="2"/>
      <c r="T219" s="2"/>
      <c r="U219" s="2"/>
      <c r="V219" s="2"/>
    </row>
    <row r="220" ht="22.5" customHeight="1">
      <c r="A220" s="3">
        <v>219.0</v>
      </c>
      <c r="B220" s="3" t="s">
        <v>1675</v>
      </c>
      <c r="C220" s="3" t="s">
        <v>1676</v>
      </c>
      <c r="D220" s="3" t="s">
        <v>1677</v>
      </c>
      <c r="E220" s="2"/>
      <c r="F220" s="3" t="str">
        <f>IFERROR(__xludf.DUMMYFUNCTION("GOOGLETRANSLATE(A220, ""it"", ""en"")"),"219")</f>
        <v>219</v>
      </c>
      <c r="G220" s="3" t="str">
        <f>IFERROR(__xludf.DUMMYFUNCTION("GOOGLETRANSLATE(B220, ""it"", ""en"")"),"A coach makes a substitution during the game without respecting the time limit. What's the decision?")</f>
        <v>A coach makes a substitution during the game without respecting the time limit. What's the decision?</v>
      </c>
      <c r="H220" s="3" t="str">
        <f>IFERROR(__xludf.DUMMYFUNCTION("GOOGLETRANSLATE(C220, ""it"", ""en"")"),"A. The change is not valid B. The point goes to the other team C. The game continues D. The point is repeated")</f>
        <v>A. The change is not valid B. The point goes to the other team C. The game continues D. The point is repeated</v>
      </c>
      <c r="I220" s="3" t="str">
        <f>IFERROR(__xludf.DUMMYFUNCTION("GOOGLETRANSLATE(D220, ""it"", ""en"")"),"The exchange is not valid")</f>
        <v>The exchange is not valid</v>
      </c>
      <c r="J220" s="2"/>
      <c r="K220" s="2"/>
      <c r="L220" s="2"/>
      <c r="M220" s="2"/>
      <c r="N220" s="2"/>
      <c r="O220" s="2"/>
      <c r="P220" s="2"/>
      <c r="Q220" s="2"/>
      <c r="R220" s="2"/>
      <c r="S220" s="2"/>
      <c r="T220" s="2"/>
      <c r="U220" s="2"/>
      <c r="V220" s="2"/>
    </row>
    <row r="221" ht="22.5" customHeight="1">
      <c r="A221" s="3">
        <v>220.0</v>
      </c>
      <c r="B221" s="3" t="s">
        <v>1678</v>
      </c>
      <c r="C221" s="3" t="s">
        <v>1679</v>
      </c>
      <c r="D221" s="3" t="s">
        <v>1669</v>
      </c>
      <c r="E221" s="2"/>
      <c r="F221" s="3" t="str">
        <f>IFERROR(__xludf.DUMMYFUNCTION("GOOGLETRANSLATE(A221, ""it"", ""en"")"),"220")</f>
        <v>220</v>
      </c>
      <c r="G221" s="3" t="str">
        <f>IFERROR(__xludf.DUMMYFUNCTION("GOOGLETRANSLATE(B221, ""it"", ""en"")"),"The ball hits the top of the net and then returns to the server's court. What's the ruling?")</f>
        <v>The ball hits the top of the net and then returns to the server's court. What's the ruling?</v>
      </c>
      <c r="H221" s="3" t="str">
        <f>IFERROR(__xludf.DUMMYFUNCTION("GOOGLETRANSLATE(C221, ""it"", ""en"")"),"A. The point goes to the other team B. The service is repeated C. The point is valid D. The game continues")</f>
        <v>A. The point goes to the other team B. The service is repeated C. The point is valid D. The game continues</v>
      </c>
      <c r="I221" s="3" t="str">
        <f>IFERROR(__xludf.DUMMYFUNCTION("GOOGLETRANSLATE(D221, ""it"", ""en"")"),"The service is repeated")</f>
        <v>The service is repeated</v>
      </c>
      <c r="J221" s="2"/>
      <c r="K221" s="2"/>
      <c r="L221" s="2"/>
      <c r="M221" s="2"/>
      <c r="N221" s="2"/>
      <c r="O221" s="2"/>
      <c r="P221" s="2"/>
      <c r="Q221" s="2"/>
      <c r="R221" s="2"/>
      <c r="S221" s="2"/>
      <c r="T221" s="2"/>
      <c r="U221" s="2"/>
      <c r="V221" s="2"/>
    </row>
    <row r="222" ht="22.5" customHeight="1">
      <c r="A222" s="3">
        <v>221.0</v>
      </c>
      <c r="B222" s="3" t="s">
        <v>1680</v>
      </c>
      <c r="C222" s="3" t="s">
        <v>1681</v>
      </c>
      <c r="D222" s="3" t="s">
        <v>1346</v>
      </c>
      <c r="E222" s="2"/>
      <c r="F222" s="3" t="str">
        <f>IFERROR(__xludf.DUMMYFUNCTION("GOOGLETRANSLATE(A222, ""it"", ""en"")"),"221")</f>
        <v>221</v>
      </c>
      <c r="G222" s="3" t="str">
        <f>IFERROR(__xludf.DUMMYFUNCTION("GOOGLETRANSLATE(B222, ""it"", ""en"")"),"A player makes a powerful pass but the ball bounces out. What's the decision?")</f>
        <v>A player makes a powerful pass but the ball bounces out. What's the decision?</v>
      </c>
      <c r="H222" s="3" t="str">
        <f>IFERROR(__xludf.DUMMYFUNCTION("GOOGLETRANSLATE(C222, ""it"", ""en"")"),"A. The point goes to the other team B. The point is repeated C. The point is valid D. The game continues")</f>
        <v>A. The point goes to the other team B. The point is repeated C. The point is valid D. The game continues</v>
      </c>
      <c r="I222" s="3" t="str">
        <f>IFERROR(__xludf.DUMMYFUNCTION("GOOGLETRANSLATE(D222, ""it"", ""en"")"),"The point goes to the other team")</f>
        <v>The point goes to the other team</v>
      </c>
      <c r="J222" s="2"/>
      <c r="K222" s="2"/>
      <c r="L222" s="2"/>
      <c r="M222" s="2"/>
      <c r="N222" s="2"/>
      <c r="O222" s="2"/>
      <c r="P222" s="2"/>
      <c r="Q222" s="2"/>
      <c r="R222" s="2"/>
      <c r="S222" s="2"/>
      <c r="T222" s="2"/>
      <c r="U222" s="2"/>
      <c r="V222" s="2"/>
    </row>
    <row r="223" ht="22.5" customHeight="1">
      <c r="A223" s="3">
        <v>222.0</v>
      </c>
      <c r="B223" s="3" t="s">
        <v>1682</v>
      </c>
      <c r="C223" s="3" t="s">
        <v>1467</v>
      </c>
      <c r="D223" s="3" t="s">
        <v>1346</v>
      </c>
      <c r="E223" s="2"/>
      <c r="F223" s="3" t="str">
        <f>IFERROR(__xludf.DUMMYFUNCTION("GOOGLETRANSLATE(A223, ""it"", ""en"")"),"222")</f>
        <v>222</v>
      </c>
      <c r="G223" s="3" t="str">
        <f>IFERROR(__xludf.DUMMYFUNCTION("GOOGLETRANSLATE(B223, ""it"", ""en"")"),"A player makes an attack, but the ball hits the ceiling and then bounces back. What happens?")</f>
        <v>A player makes an attack, but the ball hits the ceiling and then bounces back. What happens?</v>
      </c>
      <c r="H223" s="3" t="str">
        <f>IFERROR(__xludf.DUMMYFUNCTION("GOOGLETRANSLATE(C223, ""it"", ""en"")"),"A. The point goes to the other team B. The game continues C. The point is retaken D. The ball is considered out")</f>
        <v>A. The point goes to the other team B. The game continues C. The point is retaken D. The ball is considered out</v>
      </c>
      <c r="I223" s="3" t="str">
        <f>IFERROR(__xludf.DUMMYFUNCTION("GOOGLETRANSLATE(D223, ""it"", ""en"")"),"The point goes to the other team")</f>
        <v>The point goes to the other team</v>
      </c>
      <c r="J223" s="2"/>
      <c r="K223" s="2"/>
      <c r="L223" s="2"/>
      <c r="M223" s="2"/>
      <c r="N223" s="2"/>
      <c r="O223" s="2"/>
      <c r="P223" s="2"/>
      <c r="Q223" s="2"/>
      <c r="R223" s="2"/>
      <c r="S223" s="2"/>
      <c r="T223" s="2"/>
      <c r="U223" s="2"/>
      <c r="V223" s="2"/>
    </row>
    <row r="224" ht="22.5" customHeight="1">
      <c r="A224" s="3">
        <v>223.0</v>
      </c>
      <c r="B224" s="3" t="s">
        <v>1683</v>
      </c>
      <c r="C224" s="3" t="s">
        <v>1493</v>
      </c>
      <c r="D224" s="3" t="s">
        <v>1346</v>
      </c>
      <c r="E224" s="2"/>
      <c r="F224" s="3" t="str">
        <f>IFERROR(__xludf.DUMMYFUNCTION("GOOGLETRANSLATE(A224, ""it"", ""en"")"),"223")</f>
        <v>223</v>
      </c>
      <c r="G224" s="3" t="str">
        <f>IFERROR(__xludf.DUMMYFUNCTION("GOOGLETRANSLATE(B224, ""it"", ""en"")"),"A libero hits the ball illegally, but play doesn't stop. What happens?")</f>
        <v>A libero hits the ball illegally, but play doesn't stop. What happens?</v>
      </c>
      <c r="H224" s="3" t="str">
        <f>IFERROR(__xludf.DUMMYFUNCTION("GOOGLETRANSLATE(C224, ""it"", ""en"")"),"A. The point goes to the other team B. The game continues C. The point is repeated D. The shot is considered legal")</f>
        <v>A. The point goes to the other team B. The game continues C. The point is repeated D. The shot is considered legal</v>
      </c>
      <c r="I224" s="3" t="str">
        <f>IFERROR(__xludf.DUMMYFUNCTION("GOOGLETRANSLATE(D224, ""it"", ""en"")"),"The point goes to the other team")</f>
        <v>The point goes to the other team</v>
      </c>
      <c r="J224" s="2"/>
      <c r="K224" s="2"/>
      <c r="L224" s="2"/>
      <c r="M224" s="2"/>
      <c r="N224" s="2"/>
      <c r="O224" s="2"/>
      <c r="P224" s="2"/>
      <c r="Q224" s="2"/>
      <c r="R224" s="2"/>
      <c r="S224" s="2"/>
      <c r="T224" s="2"/>
      <c r="U224" s="2"/>
      <c r="V224" s="2"/>
    </row>
    <row r="225" ht="22.5" customHeight="1">
      <c r="A225" s="3">
        <v>224.0</v>
      </c>
      <c r="B225" s="3" t="s">
        <v>1684</v>
      </c>
      <c r="C225" s="3" t="s">
        <v>1444</v>
      </c>
      <c r="D225" s="3" t="s">
        <v>1346</v>
      </c>
      <c r="E225" s="2"/>
      <c r="F225" s="3" t="str">
        <f>IFERROR(__xludf.DUMMYFUNCTION("GOOGLETRANSLATE(A225, ""it"", ""en"")"),"224")</f>
        <v>224</v>
      </c>
      <c r="G225" s="3" t="str">
        <f>IFERROR(__xludf.DUMMYFUNCTION("GOOGLETRANSLATE(B225, ""it"", ""en"")"),"A player receives the ball but touches it with both hands simultaneously. What happens?")</f>
        <v>A player receives the ball but touches it with both hands simultaneously. What happens?</v>
      </c>
      <c r="H225" s="3" t="str">
        <f>IFERROR(__xludf.DUMMYFUNCTION("GOOGLETRANSLATE(C225, ""it"", ""en"")"),"A. The point goes to the other team B. The game continues C. The point is retaken D. The shot is considered illegal")</f>
        <v>A. The point goes to the other team B. The game continues C. The point is retaken D. The shot is considered illegal</v>
      </c>
      <c r="I225" s="3" t="str">
        <f>IFERROR(__xludf.DUMMYFUNCTION("GOOGLETRANSLATE(D225, ""it"", ""en"")"),"The point goes to the other team")</f>
        <v>The point goes to the other team</v>
      </c>
      <c r="J225" s="2"/>
      <c r="K225" s="2"/>
      <c r="L225" s="2"/>
      <c r="M225" s="2"/>
      <c r="N225" s="2"/>
      <c r="O225" s="2"/>
      <c r="P225" s="2"/>
      <c r="Q225" s="2"/>
      <c r="R225" s="2"/>
      <c r="S225" s="2"/>
      <c r="T225" s="2"/>
      <c r="U225" s="2"/>
      <c r="V225" s="2"/>
    </row>
    <row r="226" ht="22.5" customHeight="1">
      <c r="A226" s="3">
        <v>225.0</v>
      </c>
      <c r="B226" s="3" t="s">
        <v>1685</v>
      </c>
      <c r="C226" s="3" t="s">
        <v>1657</v>
      </c>
      <c r="D226" s="3" t="s">
        <v>1346</v>
      </c>
      <c r="E226" s="2"/>
      <c r="F226" s="3" t="str">
        <f>IFERROR(__xludf.DUMMYFUNCTION("GOOGLETRANSLATE(A226, ""it"", ""en"")"),"225")</f>
        <v>225</v>
      </c>
      <c r="G226" s="3" t="str">
        <f>IFERROR(__xludf.DUMMYFUNCTION("GOOGLETRANSLATE(B226, ""it"", ""en"")"),"A libero dribbles the ball but it hits the net before crossing it. What's the ruling?")</f>
        <v>A libero dribbles the ball but it hits the net before crossing it. What's the ruling?</v>
      </c>
      <c r="H226" s="3" t="str">
        <f>IFERROR(__xludf.DUMMYFUNCTION("GOOGLETRANSLATE(C226, ""it"", ""en"")"),"A. The point goes to the other team B. The point is valid C. The game continues D. The point is repeated")</f>
        <v>A. The point goes to the other team B. The point is valid C. The game continues D. The point is repeated</v>
      </c>
      <c r="I226" s="3" t="str">
        <f>IFERROR(__xludf.DUMMYFUNCTION("GOOGLETRANSLATE(D226, ""it"", ""en"")"),"The point goes to the other team")</f>
        <v>The point goes to the other team</v>
      </c>
      <c r="J226" s="2"/>
      <c r="K226" s="2"/>
      <c r="L226" s="2"/>
      <c r="M226" s="2"/>
      <c r="N226" s="2"/>
      <c r="O226" s="2"/>
      <c r="P226" s="2"/>
      <c r="Q226" s="2"/>
      <c r="R226" s="2"/>
      <c r="S226" s="2"/>
      <c r="T226" s="2"/>
      <c r="U226" s="2"/>
      <c r="V226" s="2"/>
    </row>
    <row r="227" ht="22.5" customHeight="1">
      <c r="A227" s="3">
        <v>226.0</v>
      </c>
      <c r="B227" s="3" t="s">
        <v>1686</v>
      </c>
      <c r="C227" s="3" t="s">
        <v>1591</v>
      </c>
      <c r="D227" s="3" t="s">
        <v>976</v>
      </c>
      <c r="E227" s="2"/>
      <c r="F227" s="3" t="str">
        <f>IFERROR(__xludf.DUMMYFUNCTION("GOOGLETRANSLATE(A227, ""it"", ""en"")"),"226")</f>
        <v>226</v>
      </c>
      <c r="G227" s="3" t="str">
        <f>IFERROR(__xludf.DUMMYFUNCTION("GOOGLETRANSLATE(B227, ""it"", ""en"")"),"A player attacks but the ball bounces off the opponent's goal line. What's the decision?")</f>
        <v>A player attacks but the ball bounces off the opponent's goal line. What's the decision?</v>
      </c>
      <c r="H227" s="3" t="str">
        <f>IFERROR(__xludf.DUMMYFUNCTION("GOOGLETRANSLATE(C227, ""it"", ""en"")"),"A. The point is valid B. The point goes to the other team C. The point is retaken D. The ball is considered out")</f>
        <v>A. The point is valid B. The point goes to the other team C. The point is retaken D. The ball is considered out</v>
      </c>
      <c r="I227" s="3" t="str">
        <f>IFERROR(__xludf.DUMMYFUNCTION("GOOGLETRANSLATE(D227, ""it"", ""en"")"),"The point is valid")</f>
        <v>The point is valid</v>
      </c>
      <c r="J227" s="2"/>
      <c r="K227" s="2"/>
      <c r="L227" s="2"/>
      <c r="M227" s="2"/>
      <c r="N227" s="2"/>
      <c r="O227" s="2"/>
      <c r="P227" s="2"/>
      <c r="Q227" s="2"/>
      <c r="R227" s="2"/>
      <c r="S227" s="2"/>
      <c r="T227" s="2"/>
      <c r="U227" s="2"/>
      <c r="V227" s="2"/>
    </row>
    <row r="228" ht="22.5" customHeight="1">
      <c r="A228" s="3">
        <v>227.0</v>
      </c>
      <c r="B228" s="3" t="s">
        <v>1687</v>
      </c>
      <c r="C228" s="3" t="s">
        <v>1360</v>
      </c>
      <c r="D228" s="3" t="s">
        <v>12</v>
      </c>
      <c r="E228" s="2"/>
      <c r="F228" s="3" t="str">
        <f>IFERROR(__xludf.DUMMYFUNCTION("GOOGLETRANSLATE(A228, ""it"", ""en"")"),"227")</f>
        <v>227</v>
      </c>
      <c r="G228" s="3" t="str">
        <f>IFERROR(__xludf.DUMMYFUNCTION("GOOGLETRANSLATE(B228, ""it"", ""en"")"),"A coach is cautioned for misconduct during a match. What happens?")</f>
        <v>A coach is cautioned for misconduct during a match. What happens?</v>
      </c>
      <c r="H228" s="3" t="str">
        <f>IFERROR(__xludf.DUMMYFUNCTION("GOOGLETRANSLATE(C228, ""it"", ""en"")"),"A. The point goes to the other team B. The game continues C. The point is retaken D. The player is cautioned")</f>
        <v>A. The point goes to the other team B. The game continues C. The point is retaken D. The player is cautioned</v>
      </c>
      <c r="I228" s="3" t="str">
        <f>IFERROR(__xludf.DUMMYFUNCTION("GOOGLETRANSLATE(D228, ""it"", ""en"")"),"The game continues")</f>
        <v>The game continues</v>
      </c>
      <c r="J228" s="2"/>
      <c r="K228" s="2"/>
      <c r="L228" s="2"/>
      <c r="M228" s="2"/>
      <c r="N228" s="2"/>
      <c r="O228" s="2"/>
      <c r="P228" s="2"/>
      <c r="Q228" s="2"/>
      <c r="R228" s="2"/>
      <c r="S228" s="2"/>
      <c r="T228" s="2"/>
      <c r="U228" s="2"/>
      <c r="V228" s="2"/>
    </row>
    <row r="229" ht="22.5" customHeight="1">
      <c r="A229" s="3">
        <v>228.0</v>
      </c>
      <c r="B229" s="3" t="s">
        <v>1688</v>
      </c>
      <c r="C229" s="3" t="s">
        <v>1679</v>
      </c>
      <c r="D229" s="3" t="s">
        <v>1669</v>
      </c>
      <c r="E229" s="2"/>
      <c r="F229" s="3" t="str">
        <f>IFERROR(__xludf.DUMMYFUNCTION("GOOGLETRANSLATE(A229, ""it"", ""en"")"),"228")</f>
        <v>228</v>
      </c>
      <c r="G229" s="3" t="str">
        <f>IFERROR(__xludf.DUMMYFUNCTION("GOOGLETRANSLATE(B229, ""it"", ""en"")"),"A player serves but the ball hits the net and doesn't go into the opponent's court. What's the ruling?")</f>
        <v>A player serves but the ball hits the net and doesn't go into the opponent's court. What's the ruling?</v>
      </c>
      <c r="H229" s="3" t="str">
        <f>IFERROR(__xludf.DUMMYFUNCTION("GOOGLETRANSLATE(C229, ""it"", ""en"")"),"A. The point goes to the other team B. The service is repeated C. The point is valid D. The game continues")</f>
        <v>A. The point goes to the other team B. The service is repeated C. The point is valid D. The game continues</v>
      </c>
      <c r="I229" s="3" t="str">
        <f>IFERROR(__xludf.DUMMYFUNCTION("GOOGLETRANSLATE(D229, ""it"", ""en"")"),"The service is repeated")</f>
        <v>The service is repeated</v>
      </c>
      <c r="J229" s="2"/>
      <c r="K229" s="2"/>
      <c r="L229" s="2"/>
      <c r="M229" s="2"/>
      <c r="N229" s="2"/>
      <c r="O229" s="2"/>
      <c r="P229" s="2"/>
      <c r="Q229" s="2"/>
      <c r="R229" s="2"/>
      <c r="S229" s="2"/>
      <c r="T229" s="2"/>
      <c r="U229" s="2"/>
      <c r="V229" s="2"/>
    </row>
    <row r="230" ht="22.5" customHeight="1">
      <c r="A230" s="3">
        <v>229.0</v>
      </c>
      <c r="B230" s="3" t="s">
        <v>1689</v>
      </c>
      <c r="C230" s="3" t="s">
        <v>1493</v>
      </c>
      <c r="D230" s="3" t="s">
        <v>1346</v>
      </c>
      <c r="E230" s="2"/>
      <c r="F230" s="3" t="str">
        <f>IFERROR(__xludf.DUMMYFUNCTION("GOOGLETRANSLATE(A230, ""it"", ""en"")"),"229")</f>
        <v>229</v>
      </c>
      <c r="G230" s="3" t="str">
        <f>IFERROR(__xludf.DUMMYFUNCTION("GOOGLETRANSLATE(B230, ""it"", ""en"")"),"A libero receives the ball and lifts it illegally. What happens?")</f>
        <v>A libero receives the ball and lifts it illegally. What happens?</v>
      </c>
      <c r="H230" s="3" t="str">
        <f>IFERROR(__xludf.DUMMYFUNCTION("GOOGLETRANSLATE(C230, ""it"", ""en"")"),"A. The point goes to the other team B. The game continues C. The point is repeated D. The shot is considered legal")</f>
        <v>A. The point goes to the other team B. The game continues C. The point is repeated D. The shot is considered legal</v>
      </c>
      <c r="I230" s="3" t="str">
        <f>IFERROR(__xludf.DUMMYFUNCTION("GOOGLETRANSLATE(D230, ""it"", ""en"")"),"The point goes to the other team")</f>
        <v>The point goes to the other team</v>
      </c>
      <c r="J230" s="2"/>
      <c r="K230" s="2"/>
      <c r="L230" s="2"/>
      <c r="M230" s="2"/>
      <c r="N230" s="2"/>
      <c r="O230" s="2"/>
      <c r="P230" s="2"/>
      <c r="Q230" s="2"/>
      <c r="R230" s="2"/>
      <c r="S230" s="2"/>
      <c r="T230" s="2"/>
      <c r="U230" s="2"/>
      <c r="V230" s="2"/>
    </row>
    <row r="231" ht="22.5" customHeight="1">
      <c r="A231" s="3">
        <v>230.0</v>
      </c>
      <c r="B231" s="3" t="s">
        <v>1690</v>
      </c>
      <c r="C231" s="3" t="s">
        <v>1493</v>
      </c>
      <c r="D231" s="3" t="s">
        <v>1346</v>
      </c>
      <c r="E231" s="2"/>
      <c r="F231" s="3" t="str">
        <f>IFERROR(__xludf.DUMMYFUNCTION("GOOGLETRANSLATE(A231, ""it"", ""en"")"),"230")</f>
        <v>230</v>
      </c>
      <c r="G231" s="3" t="str">
        <f>IFERROR(__xludf.DUMMYFUNCTION("GOOGLETRANSLATE(B231, ""it"", ""en"")"),"A player hits the ball but accidentally touches it with his foot. What happens?")</f>
        <v>A player hits the ball but accidentally touches it with his foot. What happens?</v>
      </c>
      <c r="H231" s="3" t="str">
        <f>IFERROR(__xludf.DUMMYFUNCTION("GOOGLETRANSLATE(C231, ""it"", ""en"")"),"A. The point goes to the other team B. The game continues C. The point is repeated D. The shot is considered legal")</f>
        <v>A. The point goes to the other team B. The game continues C. The point is repeated D. The shot is considered legal</v>
      </c>
      <c r="I231" s="3" t="str">
        <f>IFERROR(__xludf.DUMMYFUNCTION("GOOGLETRANSLATE(D231, ""it"", ""en"")"),"The point goes to the other team")</f>
        <v>The point goes to the other team</v>
      </c>
      <c r="J231" s="2"/>
      <c r="K231" s="2"/>
      <c r="L231" s="2"/>
      <c r="M231" s="2"/>
      <c r="N231" s="2"/>
      <c r="O231" s="2"/>
      <c r="P231" s="2"/>
      <c r="Q231" s="2"/>
      <c r="R231" s="2"/>
      <c r="S231" s="2"/>
      <c r="T231" s="2"/>
      <c r="U231" s="2"/>
      <c r="V231" s="2"/>
    </row>
    <row r="232" ht="22.5" customHeight="1">
      <c r="A232" s="3">
        <v>231.0</v>
      </c>
      <c r="B232" s="3" t="s">
        <v>1691</v>
      </c>
      <c r="C232" s="3" t="s">
        <v>1692</v>
      </c>
      <c r="D232" s="3" t="s">
        <v>1693</v>
      </c>
      <c r="E232" s="2"/>
      <c r="F232" s="3" t="str">
        <f>IFERROR(__xludf.DUMMYFUNCTION("GOOGLETRANSLATE(A232, ""it"", ""en"")"),"231")</f>
        <v>231</v>
      </c>
      <c r="G232" s="3" t="str">
        <f>IFERROR(__xludf.DUMMYFUNCTION("GOOGLETRANSLATE(B232, ""it"", ""en"")"),"A coach makes a substitution during a timeout. What happens?")</f>
        <v>A coach makes a substitution during a timeout. What happens?</v>
      </c>
      <c r="H232" s="3" t="str">
        <f>IFERROR(__xludf.DUMMYFUNCTION("GOOGLETRANSLATE(C232, ""it"", ""en"")"),"A. The substitution is valid B. The point goes to the other team C. The game continues D. The point is repeated")</f>
        <v>A. The substitution is valid B. The point goes to the other team C. The game continues D. The point is repeated</v>
      </c>
      <c r="I232" s="3" t="str">
        <f>IFERROR(__xludf.DUMMYFUNCTION("GOOGLETRANSLATE(D232, ""it"", ""en"")"),"The replacement is valid")</f>
        <v>The replacement is valid</v>
      </c>
      <c r="J232" s="2"/>
      <c r="K232" s="2"/>
      <c r="L232" s="2"/>
      <c r="M232" s="2"/>
      <c r="N232" s="2"/>
      <c r="O232" s="2"/>
      <c r="P232" s="2"/>
      <c r="Q232" s="2"/>
      <c r="R232" s="2"/>
      <c r="S232" s="2"/>
      <c r="T232" s="2"/>
      <c r="U232" s="2"/>
      <c r="V232" s="2"/>
    </row>
    <row r="233" ht="22.5" customHeight="1">
      <c r="A233" s="3">
        <v>232.0</v>
      </c>
      <c r="B233" s="3" t="s">
        <v>1694</v>
      </c>
      <c r="C233" s="3" t="s">
        <v>1679</v>
      </c>
      <c r="D233" s="3" t="s">
        <v>1669</v>
      </c>
      <c r="E233" s="2"/>
      <c r="F233" s="3" t="str">
        <f>IFERROR(__xludf.DUMMYFUNCTION("GOOGLETRANSLATE(A233, ""it"", ""en"")"),"232")</f>
        <v>232</v>
      </c>
      <c r="G233" s="3" t="str">
        <f>IFERROR(__xludf.DUMMYFUNCTION("GOOGLETRANSLATE(B233, ""it"", ""en"")"),"A libero serves but the ball hits the top of the net and doesn't go over. What happens?")</f>
        <v>A libero serves but the ball hits the top of the net and doesn't go over. What happens?</v>
      </c>
      <c r="H233" s="3" t="str">
        <f>IFERROR(__xludf.DUMMYFUNCTION("GOOGLETRANSLATE(C233, ""it"", ""en"")"),"A. The point goes to the other team B. The service is repeated C. The point is valid D. The game continues")</f>
        <v>A. The point goes to the other team B. The service is repeated C. The point is valid D. The game continues</v>
      </c>
      <c r="I233" s="3" t="str">
        <f>IFERROR(__xludf.DUMMYFUNCTION("GOOGLETRANSLATE(D233, ""it"", ""en"")"),"The service is repeated")</f>
        <v>The service is repeated</v>
      </c>
      <c r="J233" s="2"/>
      <c r="K233" s="2"/>
      <c r="L233" s="2"/>
      <c r="M233" s="2"/>
      <c r="N233" s="2"/>
      <c r="O233" s="2"/>
      <c r="P233" s="2"/>
      <c r="Q233" s="2"/>
      <c r="R233" s="2"/>
      <c r="S233" s="2"/>
      <c r="T233" s="2"/>
      <c r="U233" s="2"/>
      <c r="V233" s="2"/>
    </row>
    <row r="234" ht="22.5" customHeight="1">
      <c r="A234" s="3">
        <v>233.0</v>
      </c>
      <c r="B234" s="3" t="s">
        <v>1695</v>
      </c>
      <c r="C234" s="3" t="s">
        <v>1666</v>
      </c>
      <c r="D234" s="3" t="s">
        <v>1346</v>
      </c>
      <c r="E234" s="2"/>
      <c r="F234" s="3" t="str">
        <f>IFERROR(__xludf.DUMMYFUNCTION("GOOGLETRANSLATE(A234, ""it"", ""en"")"),"233")</f>
        <v>233</v>
      </c>
      <c r="G234" s="3" t="str">
        <f>IFERROR(__xludf.DUMMYFUNCTION("GOOGLETRANSLATE(B234, ""it"", ""en"")"),"A player dribbles and the ball hits the net. What's the ruling?")</f>
        <v>A player dribbles and the ball hits the net. What's the ruling?</v>
      </c>
      <c r="H234" s="3" t="str">
        <f>IFERROR(__xludf.DUMMYFUNCTION("GOOGLETRANSLATE(C234, ""it"", ""en"")"),"A. The point goes to the other team B. The game continues C. The point is repeated D. The point is valid")</f>
        <v>A. The point goes to the other team B. The game continues C. The point is repeated D. The point is valid</v>
      </c>
      <c r="I234" s="3" t="str">
        <f>IFERROR(__xludf.DUMMYFUNCTION("GOOGLETRANSLATE(D234, ""it"", ""en"")"),"The point goes to the other team")</f>
        <v>The point goes to the other team</v>
      </c>
      <c r="J234" s="2"/>
      <c r="K234" s="2"/>
      <c r="L234" s="2"/>
      <c r="M234" s="2"/>
      <c r="N234" s="2"/>
      <c r="O234" s="2"/>
      <c r="P234" s="2"/>
      <c r="Q234" s="2"/>
      <c r="R234" s="2"/>
      <c r="S234" s="2"/>
      <c r="T234" s="2"/>
      <c r="U234" s="2"/>
      <c r="V234" s="2"/>
    </row>
    <row r="235" ht="22.5" customHeight="1">
      <c r="A235" s="3">
        <v>234.0</v>
      </c>
      <c r="B235" s="3" t="s">
        <v>1696</v>
      </c>
      <c r="C235" s="3" t="s">
        <v>1593</v>
      </c>
      <c r="D235" s="3" t="s">
        <v>976</v>
      </c>
      <c r="E235" s="2"/>
      <c r="F235" s="3" t="str">
        <f>IFERROR(__xludf.DUMMYFUNCTION("GOOGLETRANSLATE(A235, ""it"", ""en"")"),"234")</f>
        <v>234</v>
      </c>
      <c r="G235" s="3" t="str">
        <f>IFERROR(__xludf.DUMMYFUNCTION("GOOGLETRANSLATE(B235, ""it"", ""en"")"),"A libero dribbles the ball and it goes over the net without touching it. What's the decision?")</f>
        <v>A libero dribbles the ball and it goes over the net without touching it. What's the decision?</v>
      </c>
      <c r="H235" s="3" t="str">
        <f>IFERROR(__xludf.DUMMYFUNCTION("GOOGLETRANSLATE(C235, ""it"", ""en"")"),"A. The point is valid B. The point goes to the other team C. The point is repeated D. The game continues")</f>
        <v>A. The point is valid B. The point goes to the other team C. The point is repeated D. The game continues</v>
      </c>
      <c r="I235" s="3" t="str">
        <f>IFERROR(__xludf.DUMMYFUNCTION("GOOGLETRANSLATE(D235, ""it"", ""en"")"),"The point is valid")</f>
        <v>The point is valid</v>
      </c>
      <c r="J235" s="2"/>
      <c r="K235" s="2"/>
      <c r="L235" s="2"/>
      <c r="M235" s="2"/>
      <c r="N235" s="2"/>
      <c r="O235" s="2"/>
      <c r="P235" s="2"/>
      <c r="Q235" s="2"/>
      <c r="R235" s="2"/>
      <c r="S235" s="2"/>
      <c r="T235" s="2"/>
      <c r="U235" s="2"/>
      <c r="V235" s="2"/>
    </row>
    <row r="236" ht="22.5" customHeight="1">
      <c r="A236" s="3">
        <v>235.0</v>
      </c>
      <c r="B236" s="3" t="s">
        <v>1697</v>
      </c>
      <c r="C236" s="3" t="s">
        <v>1698</v>
      </c>
      <c r="D236" s="3" t="s">
        <v>976</v>
      </c>
      <c r="E236" s="2"/>
      <c r="F236" s="3" t="str">
        <f>IFERROR(__xludf.DUMMYFUNCTION("GOOGLETRANSLATE(A236, ""it"", ""en"")"),"235")</f>
        <v>235</v>
      </c>
      <c r="G236" s="3" t="str">
        <f>IFERROR(__xludf.DUMMYFUNCTION("GOOGLETRANSLATE(B236, ""it"", ""en"")"),"A player serves a ball that hits the side of the net and then lands in the opponent's court. What's the ruling?")</f>
        <v>A player serves a ball that hits the side of the net and then lands in the opponent's court. What's the ruling?</v>
      </c>
      <c r="H236" s="3" t="str">
        <f>IFERROR(__xludf.DUMMYFUNCTION("GOOGLETRANSLATE(C236, ""it"", ""en"")"),"A. The point is valid B. The service is repeated C. The point goes to the other team D. The game continues")</f>
        <v>A. The point is valid B. The service is repeated C. The point goes to the other team D. The game continues</v>
      </c>
      <c r="I236" s="3" t="str">
        <f>IFERROR(__xludf.DUMMYFUNCTION("GOOGLETRANSLATE(D236, ""it"", ""en"")"),"The point is valid")</f>
        <v>The point is valid</v>
      </c>
      <c r="J236" s="2"/>
      <c r="K236" s="2"/>
      <c r="L236" s="2"/>
      <c r="M236" s="2"/>
      <c r="N236" s="2"/>
      <c r="O236" s="2"/>
      <c r="P236" s="2"/>
      <c r="Q236" s="2"/>
      <c r="R236" s="2"/>
      <c r="S236" s="2"/>
      <c r="T236" s="2"/>
      <c r="U236" s="2"/>
      <c r="V236" s="2"/>
    </row>
    <row r="237" ht="22.5" customHeight="1">
      <c r="A237" s="3">
        <v>236.0</v>
      </c>
      <c r="B237" s="3" t="s">
        <v>1699</v>
      </c>
      <c r="C237" s="3" t="s">
        <v>1467</v>
      </c>
      <c r="D237" s="3" t="s">
        <v>1346</v>
      </c>
      <c r="E237" s="2"/>
      <c r="F237" s="3" t="str">
        <f>IFERROR(__xludf.DUMMYFUNCTION("GOOGLETRANSLATE(A237, ""it"", ""en"")"),"236")</f>
        <v>236</v>
      </c>
      <c r="G237" s="3" t="str">
        <f>IFERROR(__xludf.DUMMYFUNCTION("GOOGLETRANSLATE(B237, ""it"", ""en"")"),"A player heads the ball and it goes out of bounds. What's the decision?")</f>
        <v>A player heads the ball and it goes out of bounds. What's the decision?</v>
      </c>
      <c r="H237" s="3" t="str">
        <f>IFERROR(__xludf.DUMMYFUNCTION("GOOGLETRANSLATE(C237, ""it"", ""en"")"),"A. The point goes to the other team B. The game continues C. The point is retaken D. The ball is considered out")</f>
        <v>A. The point goes to the other team B. The game continues C. The point is retaken D. The ball is considered out</v>
      </c>
      <c r="I237" s="3" t="str">
        <f>IFERROR(__xludf.DUMMYFUNCTION("GOOGLETRANSLATE(D237, ""it"", ""en"")"),"The point goes to the other team")</f>
        <v>The point goes to the other team</v>
      </c>
      <c r="J237" s="2"/>
      <c r="K237" s="2"/>
      <c r="L237" s="2"/>
      <c r="M237" s="2"/>
      <c r="N237" s="2"/>
      <c r="O237" s="2"/>
      <c r="P237" s="2"/>
      <c r="Q237" s="2"/>
      <c r="R237" s="2"/>
      <c r="S237" s="2"/>
      <c r="T237" s="2"/>
      <c r="U237" s="2"/>
      <c r="V237" s="2"/>
    </row>
    <row r="238" ht="22.5" customHeight="1">
      <c r="A238" s="3">
        <v>237.0</v>
      </c>
      <c r="B238" s="3" t="s">
        <v>1700</v>
      </c>
      <c r="C238" s="3" t="s">
        <v>1467</v>
      </c>
      <c r="D238" s="3" t="s">
        <v>1346</v>
      </c>
      <c r="E238" s="2"/>
      <c r="F238" s="3" t="str">
        <f>IFERROR(__xludf.DUMMYFUNCTION("GOOGLETRANSLATE(A238, ""it"", ""en"")"),"237")</f>
        <v>237</v>
      </c>
      <c r="G238" s="3" t="str">
        <f>IFERROR(__xludf.DUMMYFUNCTION("GOOGLETRANSLATE(B238, ""it"", ""en"")"),"A player launches an attack, but the ball hits the ceiling and returns to his side. What's the decision?")</f>
        <v>A player launches an attack, but the ball hits the ceiling and returns to his side. What's the decision?</v>
      </c>
      <c r="H238" s="3" t="str">
        <f>IFERROR(__xludf.DUMMYFUNCTION("GOOGLETRANSLATE(C238, ""it"", ""en"")"),"A. The point goes to the other team B. The game continues C. The point is retaken D. The ball is considered out")</f>
        <v>A. The point goes to the other team B. The game continues C. The point is retaken D. The ball is considered out</v>
      </c>
      <c r="I238" s="3" t="str">
        <f>IFERROR(__xludf.DUMMYFUNCTION("GOOGLETRANSLATE(D238, ""it"", ""en"")"),"The point goes to the other team")</f>
        <v>The point goes to the other team</v>
      </c>
      <c r="J238" s="2"/>
      <c r="K238" s="2"/>
      <c r="L238" s="2"/>
      <c r="M238" s="2"/>
      <c r="N238" s="2"/>
      <c r="O238" s="2"/>
      <c r="P238" s="2"/>
      <c r="Q238" s="2"/>
      <c r="R238" s="2"/>
      <c r="S238" s="2"/>
      <c r="T238" s="2"/>
      <c r="U238" s="2"/>
      <c r="V238" s="2"/>
    </row>
    <row r="239" ht="22.5" customHeight="1">
      <c r="A239" s="3">
        <v>238.0</v>
      </c>
      <c r="B239" s="3" t="s">
        <v>1701</v>
      </c>
      <c r="C239" s="3" t="s">
        <v>1501</v>
      </c>
      <c r="D239" s="3" t="s">
        <v>12</v>
      </c>
      <c r="E239" s="2"/>
      <c r="F239" s="3" t="str">
        <f>IFERROR(__xludf.DUMMYFUNCTION("GOOGLETRANSLATE(A239, ""it"", ""en"")"),"238")</f>
        <v>238</v>
      </c>
      <c r="G239" s="3" t="str">
        <f>IFERROR(__xludf.DUMMYFUNCTION("GOOGLETRANSLATE(B239, ""it"", ""en"")"),"A libero touches the ball illegally but isn't penalized by the referee. What happens?")</f>
        <v>A libero touches the ball illegally but isn't penalized by the referee. What happens?</v>
      </c>
      <c r="H239" s="3" t="str">
        <f>IFERROR(__xludf.DUMMYFUNCTION("GOOGLETRANSLATE(C239, ""it"", ""en"")"),"A. The point goes to the other team B. The game continues C. The point is retaken D. The libero is cautioned")</f>
        <v>A. The point goes to the other team B. The game continues C. The point is retaken D. The libero is cautioned</v>
      </c>
      <c r="I239" s="3" t="str">
        <f>IFERROR(__xludf.DUMMYFUNCTION("GOOGLETRANSLATE(D239, ""it"", ""en"")"),"The game continues")</f>
        <v>The game continues</v>
      </c>
      <c r="J239" s="2"/>
      <c r="K239" s="2"/>
      <c r="L239" s="2"/>
      <c r="M239" s="2"/>
      <c r="N239" s="2"/>
      <c r="O239" s="2"/>
      <c r="P239" s="2"/>
      <c r="Q239" s="2"/>
      <c r="R239" s="2"/>
      <c r="S239" s="2"/>
      <c r="T239" s="2"/>
      <c r="U239" s="2"/>
      <c r="V239" s="2"/>
    </row>
    <row r="240" ht="22.5" customHeight="1">
      <c r="A240" s="3">
        <v>239.0</v>
      </c>
      <c r="B240" s="3" t="s">
        <v>1702</v>
      </c>
      <c r="C240" s="3" t="s">
        <v>1666</v>
      </c>
      <c r="D240" s="3" t="s">
        <v>1346</v>
      </c>
      <c r="E240" s="2"/>
      <c r="F240" s="3" t="str">
        <f>IFERROR(__xludf.DUMMYFUNCTION("GOOGLETRANSLATE(A240, ""it"", ""en"")"),"239")</f>
        <v>239</v>
      </c>
      <c r="G240" s="3" t="str">
        <f>IFERROR(__xludf.DUMMYFUNCTION("GOOGLETRANSLATE(B240, ""it"", ""en"")"),"A player hits an attacking shot, but the ball hits the net before landing in the opponent's court. What happens?")</f>
        <v>A player hits an attacking shot, but the ball hits the net before landing in the opponent's court. What happens?</v>
      </c>
      <c r="H240" s="3" t="str">
        <f>IFERROR(__xludf.DUMMYFUNCTION("GOOGLETRANSLATE(C240, ""it"", ""en"")"),"A. The point goes to the other team B. The game continues C. The point is repeated D. The point is valid")</f>
        <v>A. The point goes to the other team B. The game continues C. The point is repeated D. The point is valid</v>
      </c>
      <c r="I240" s="3" t="str">
        <f>IFERROR(__xludf.DUMMYFUNCTION("GOOGLETRANSLATE(D240, ""it"", ""en"")"),"The point goes to the other team")</f>
        <v>The point goes to the other team</v>
      </c>
      <c r="J240" s="2"/>
      <c r="K240" s="2"/>
      <c r="L240" s="2"/>
      <c r="M240" s="2"/>
      <c r="N240" s="2"/>
      <c r="O240" s="2"/>
      <c r="P240" s="2"/>
      <c r="Q240" s="2"/>
      <c r="R240" s="2"/>
      <c r="S240" s="2"/>
      <c r="T240" s="2"/>
      <c r="U240" s="2"/>
      <c r="V240" s="2"/>
    </row>
    <row r="241" ht="22.5" customHeight="1">
      <c r="A241" s="3">
        <v>240.0</v>
      </c>
      <c r="B241" s="3" t="s">
        <v>1703</v>
      </c>
      <c r="C241" s="3" t="s">
        <v>1467</v>
      </c>
      <c r="D241" s="3" t="s">
        <v>1346</v>
      </c>
      <c r="E241" s="2"/>
      <c r="F241" s="3" t="str">
        <f>IFERROR(__xludf.DUMMYFUNCTION("GOOGLETRANSLATE(A241, ""it"", ""en"")"),"240")</f>
        <v>240</v>
      </c>
      <c r="G241" s="3" t="str">
        <f>IFERROR(__xludf.DUMMYFUNCTION("GOOGLETRANSLATE(B241, ""it"", ""en"")"),"A player launches an attack, but the ball goes too high and doesn't land in the opponent's court. What's the decision?")</f>
        <v>A player launches an attack, but the ball goes too high and doesn't land in the opponent's court. What's the decision?</v>
      </c>
      <c r="H241" s="3" t="str">
        <f>IFERROR(__xludf.DUMMYFUNCTION("GOOGLETRANSLATE(C241, ""it"", ""en"")"),"A. The point goes to the other team B. The game continues C. The point is retaken D. The ball is considered out")</f>
        <v>A. The point goes to the other team B. The game continues C. The point is retaken D. The ball is considered out</v>
      </c>
      <c r="I241" s="3" t="str">
        <f>IFERROR(__xludf.DUMMYFUNCTION("GOOGLETRANSLATE(D241, ""it"", ""en"")"),"The point goes to the other team")</f>
        <v>The point goes to the other team</v>
      </c>
      <c r="J241" s="2"/>
      <c r="K241" s="2"/>
      <c r="L241" s="2"/>
      <c r="M241" s="2"/>
      <c r="N241" s="2"/>
      <c r="O241" s="2"/>
      <c r="P241" s="2"/>
      <c r="Q241" s="2"/>
      <c r="R241" s="2"/>
      <c r="S241" s="2"/>
      <c r="T241" s="2"/>
      <c r="U241" s="2"/>
      <c r="V241" s="2"/>
    </row>
    <row r="242" ht="22.5" customHeight="1">
      <c r="A242" s="3">
        <v>241.0</v>
      </c>
      <c r="B242" s="3" t="s">
        <v>1704</v>
      </c>
      <c r="C242" s="3" t="s">
        <v>1493</v>
      </c>
      <c r="D242" s="3" t="s">
        <v>1346</v>
      </c>
      <c r="E242" s="2"/>
      <c r="F242" s="3" t="str">
        <f>IFERROR(__xludf.DUMMYFUNCTION("GOOGLETRANSLATE(A242, ""it"", ""en"")"),"241")</f>
        <v>241</v>
      </c>
      <c r="G242" s="3" t="str">
        <f>IFERROR(__xludf.DUMMYFUNCTION("GOOGLETRANSLATE(B242, ""it"", ""en"")"),"The libero dribbles the ball with both hands simultaneously. What happens?")</f>
        <v>The libero dribbles the ball with both hands simultaneously. What happens?</v>
      </c>
      <c r="H242" s="3" t="str">
        <f>IFERROR(__xludf.DUMMYFUNCTION("GOOGLETRANSLATE(C242, ""it"", ""en"")"),"A. The point goes to the other team B. The game continues C. The point is repeated D. The shot is considered legal")</f>
        <v>A. The point goes to the other team B. The game continues C. The point is repeated D. The shot is considered legal</v>
      </c>
      <c r="I242" s="3" t="str">
        <f>IFERROR(__xludf.DUMMYFUNCTION("GOOGLETRANSLATE(D242, ""it"", ""en"")"),"The point goes to the other team")</f>
        <v>The point goes to the other team</v>
      </c>
      <c r="J242" s="2"/>
      <c r="K242" s="2"/>
      <c r="L242" s="2"/>
      <c r="M242" s="2"/>
      <c r="N242" s="2"/>
      <c r="O242" s="2"/>
      <c r="P242" s="2"/>
      <c r="Q242" s="2"/>
      <c r="R242" s="2"/>
      <c r="S242" s="2"/>
      <c r="T242" s="2"/>
      <c r="U242" s="2"/>
      <c r="V242" s="2"/>
    </row>
    <row r="243" ht="22.5" customHeight="1">
      <c r="A243" s="3">
        <v>242.0</v>
      </c>
      <c r="B243" s="3" t="s">
        <v>1705</v>
      </c>
      <c r="C243" s="3" t="s">
        <v>1591</v>
      </c>
      <c r="D243" s="3" t="s">
        <v>976</v>
      </c>
      <c r="E243" s="2"/>
      <c r="F243" s="3" t="str">
        <f>IFERROR(__xludf.DUMMYFUNCTION("GOOGLETRANSLATE(A243, ""it"", ""en"")"),"242")</f>
        <v>242</v>
      </c>
      <c r="G243" s="3" t="str">
        <f>IFERROR(__xludf.DUMMYFUNCTION("GOOGLETRANSLATE(B243, ""it"", ""en"")"),"A player attacks but the ball hits the top of the net and lands in his opponent's court. What's the ruling?")</f>
        <v>A player attacks but the ball hits the top of the net and lands in his opponent's court. What's the ruling?</v>
      </c>
      <c r="H243" s="3" t="str">
        <f>IFERROR(__xludf.DUMMYFUNCTION("GOOGLETRANSLATE(C243, ""it"", ""en"")"),"A. The point is valid B. The point goes to the other team C. The point is retaken D. The ball is considered out")</f>
        <v>A. The point is valid B. The point goes to the other team C. The point is retaken D. The ball is considered out</v>
      </c>
      <c r="I243" s="3" t="str">
        <f>IFERROR(__xludf.DUMMYFUNCTION("GOOGLETRANSLATE(D243, ""it"", ""en"")"),"The point is valid")</f>
        <v>The point is valid</v>
      </c>
      <c r="J243" s="2"/>
      <c r="K243" s="2"/>
      <c r="L243" s="2"/>
      <c r="M243" s="2"/>
      <c r="N243" s="2"/>
      <c r="O243" s="2"/>
      <c r="P243" s="2"/>
      <c r="Q243" s="2"/>
      <c r="R243" s="2"/>
      <c r="S243" s="2"/>
      <c r="T243" s="2"/>
      <c r="U243" s="2"/>
      <c r="V243" s="2"/>
    </row>
    <row r="244" ht="22.5" customHeight="1">
      <c r="A244" s="3">
        <v>243.0</v>
      </c>
      <c r="B244" s="3" t="s">
        <v>1706</v>
      </c>
      <c r="C244" s="3" t="s">
        <v>1662</v>
      </c>
      <c r="D244" s="3" t="s">
        <v>1669</v>
      </c>
      <c r="E244" s="2"/>
      <c r="F244" s="3" t="str">
        <f>IFERROR(__xludf.DUMMYFUNCTION("GOOGLETRANSLATE(A244, ""it"", ""en"")"),"243")</f>
        <v>243</v>
      </c>
      <c r="G244" s="3" t="str">
        <f>IFERROR(__xludf.DUMMYFUNCTION("GOOGLETRANSLATE(B244, ""it"", ""en"")"),"A player misses a serve and the ball hits the net and returns to his side. What happens?")</f>
        <v>A player misses a serve and the ball hits the net and returns to his side. What happens?</v>
      </c>
      <c r="H244" s="3" t="str">
        <f>IFERROR(__xludf.DUMMYFUNCTION("GOOGLETRANSLATE(C244, ""it"", ""en"")"),"A. The point goes to the other team B. The service is repeated C. The game continues D. The point is valid")</f>
        <v>A. The point goes to the other team B. The service is repeated C. The game continues D. The point is valid</v>
      </c>
      <c r="I244" s="3" t="str">
        <f>IFERROR(__xludf.DUMMYFUNCTION("GOOGLETRANSLATE(D244, ""it"", ""en"")"),"The service is repeated")</f>
        <v>The service is repeated</v>
      </c>
      <c r="J244" s="2"/>
      <c r="K244" s="2"/>
      <c r="L244" s="2"/>
      <c r="M244" s="2"/>
      <c r="N244" s="2"/>
      <c r="O244" s="2"/>
      <c r="P244" s="2"/>
      <c r="Q244" s="2"/>
      <c r="R244" s="2"/>
      <c r="S244" s="2"/>
      <c r="T244" s="2"/>
      <c r="U244" s="2"/>
      <c r="V244" s="2"/>
    </row>
    <row r="245" ht="22.5" customHeight="1">
      <c r="A245" s="3">
        <v>244.0</v>
      </c>
      <c r="B245" s="3" t="s">
        <v>1707</v>
      </c>
      <c r="C245" s="3" t="s">
        <v>1493</v>
      </c>
      <c r="D245" s="3" t="s">
        <v>1346</v>
      </c>
      <c r="E245" s="2"/>
      <c r="F245" s="3" t="str">
        <f>IFERROR(__xludf.DUMMYFUNCTION("GOOGLETRANSLATE(A245, ""it"", ""en"")"),"244")</f>
        <v>244</v>
      </c>
      <c r="G245" s="3" t="str">
        <f>IFERROR(__xludf.DUMMYFUNCTION("GOOGLETRANSLATE(B245, ""it"", ""en"")"),"A player touches the net with one hand during an attack. What's the ruling?")</f>
        <v>A player touches the net with one hand during an attack. What's the ruling?</v>
      </c>
      <c r="H245" s="3" t="str">
        <f>IFERROR(__xludf.DUMMYFUNCTION("GOOGLETRANSLATE(C245, ""it"", ""en"")"),"A. The point goes to the other team B. The game continues C. The point is repeated D. The shot is considered legal")</f>
        <v>A. The point goes to the other team B. The game continues C. The point is repeated D. The shot is considered legal</v>
      </c>
      <c r="I245" s="3" t="str">
        <f>IFERROR(__xludf.DUMMYFUNCTION("GOOGLETRANSLATE(D245, ""it"", ""en"")"),"The point goes to the other team")</f>
        <v>The point goes to the other team</v>
      </c>
      <c r="J245" s="2"/>
      <c r="K245" s="2"/>
      <c r="L245" s="2"/>
      <c r="M245" s="2"/>
      <c r="N245" s="2"/>
      <c r="O245" s="2"/>
      <c r="P245" s="2"/>
      <c r="Q245" s="2"/>
      <c r="R245" s="2"/>
      <c r="S245" s="2"/>
      <c r="T245" s="2"/>
      <c r="U245" s="2"/>
      <c r="V245" s="2"/>
    </row>
    <row r="246" ht="22.5" customHeight="1">
      <c r="A246" s="3">
        <v>245.0</v>
      </c>
      <c r="B246" s="3" t="s">
        <v>1708</v>
      </c>
      <c r="C246" s="3" t="s">
        <v>1593</v>
      </c>
      <c r="D246" s="3" t="s">
        <v>976</v>
      </c>
      <c r="E246" s="2"/>
      <c r="F246" s="3" t="str">
        <f>IFERROR(__xludf.DUMMYFUNCTION("GOOGLETRANSLATE(A246, ""it"", ""en"")"),"245")</f>
        <v>245</v>
      </c>
      <c r="G246" s="3" t="str">
        <f>IFERROR(__xludf.DUMMYFUNCTION("GOOGLETRANSLATE(B246, ""it"", ""en"")"),"The ball hits the top of the net and then bounces into the opponent's court. What's the decision?")</f>
        <v>The ball hits the top of the net and then bounces into the opponent's court. What's the decision?</v>
      </c>
      <c r="H246" s="3" t="str">
        <f>IFERROR(__xludf.DUMMYFUNCTION("GOOGLETRANSLATE(C246, ""it"", ""en"")"),"A. The point is valid B. The point goes to the other team C. The point is repeated D. The game continues")</f>
        <v>A. The point is valid B. The point goes to the other team C. The point is repeated D. The game continues</v>
      </c>
      <c r="I246" s="3" t="str">
        <f>IFERROR(__xludf.DUMMYFUNCTION("GOOGLETRANSLATE(D246, ""it"", ""en"")"),"The point is valid")</f>
        <v>The point is valid</v>
      </c>
      <c r="J246" s="2"/>
      <c r="K246" s="2"/>
      <c r="L246" s="2"/>
      <c r="M246" s="2"/>
      <c r="N246" s="2"/>
      <c r="O246" s="2"/>
      <c r="P246" s="2"/>
      <c r="Q246" s="2"/>
      <c r="R246" s="2"/>
      <c r="S246" s="2"/>
      <c r="T246" s="2"/>
      <c r="U246" s="2"/>
      <c r="V246" s="2"/>
    </row>
    <row r="247" ht="22.5" customHeight="1">
      <c r="A247" s="3">
        <v>246.0</v>
      </c>
      <c r="B247" s="3" t="s">
        <v>1709</v>
      </c>
      <c r="C247" s="3" t="s">
        <v>1662</v>
      </c>
      <c r="D247" s="3" t="s">
        <v>1669</v>
      </c>
      <c r="E247" s="2"/>
      <c r="F247" s="3" t="str">
        <f>IFERROR(__xludf.DUMMYFUNCTION("GOOGLETRANSLATE(A247, ""it"", ""en"")"),"246")</f>
        <v>246</v>
      </c>
      <c r="G247" s="3" t="str">
        <f>IFERROR(__xludf.DUMMYFUNCTION("GOOGLETRANSLATE(B247, ""it"", ""en"")"),"A player serves but the ball hits the side of the net and doesn't go into the opponent's court. What happens?")</f>
        <v>A player serves but the ball hits the side of the net and doesn't go into the opponent's court. What happens?</v>
      </c>
      <c r="H247" s="3" t="str">
        <f>IFERROR(__xludf.DUMMYFUNCTION("GOOGLETRANSLATE(C247, ""it"", ""en"")"),"A. The point goes to the other team B. The service is repeated C. The game continues D. The point is valid")</f>
        <v>A. The point goes to the other team B. The service is repeated C. The game continues D. The point is valid</v>
      </c>
      <c r="I247" s="3" t="str">
        <f>IFERROR(__xludf.DUMMYFUNCTION("GOOGLETRANSLATE(D247, ""it"", ""en"")"),"The service is repeated")</f>
        <v>The service is repeated</v>
      </c>
      <c r="J247" s="2"/>
      <c r="K247" s="2"/>
      <c r="L247" s="2"/>
      <c r="M247" s="2"/>
      <c r="N247" s="2"/>
      <c r="O247" s="2"/>
      <c r="P247" s="2"/>
      <c r="Q247" s="2"/>
      <c r="R247" s="2"/>
      <c r="S247" s="2"/>
      <c r="T247" s="2"/>
      <c r="U247" s="2"/>
      <c r="V247" s="2"/>
    </row>
    <row r="248" ht="22.5" customHeight="1">
      <c r="A248" s="3">
        <v>247.0</v>
      </c>
      <c r="B248" s="3" t="s">
        <v>1710</v>
      </c>
      <c r="C248" s="3" t="s">
        <v>1467</v>
      </c>
      <c r="D248" s="3" t="s">
        <v>1346</v>
      </c>
      <c r="E248" s="2"/>
      <c r="F248" s="3" t="str">
        <f>IFERROR(__xludf.DUMMYFUNCTION("GOOGLETRANSLATE(A248, ""it"", ""en"")"),"247")</f>
        <v>247</v>
      </c>
      <c r="G248" s="3" t="str">
        <f>IFERROR(__xludf.DUMMYFUNCTION("GOOGLETRANSLATE(B248, ""it"", ""en"")"),"A player makes an attacking pass and the ball goes out of bounds. What's the decision?")</f>
        <v>A player makes an attacking pass and the ball goes out of bounds. What's the decision?</v>
      </c>
      <c r="H248" s="3" t="str">
        <f>IFERROR(__xludf.DUMMYFUNCTION("GOOGLETRANSLATE(C248, ""it"", ""en"")"),"A. The point goes to the other team B. The game continues C. The point is retaken D. The ball is considered out")</f>
        <v>A. The point goes to the other team B. The game continues C. The point is retaken D. The ball is considered out</v>
      </c>
      <c r="I248" s="3" t="str">
        <f>IFERROR(__xludf.DUMMYFUNCTION("GOOGLETRANSLATE(D248, ""it"", ""en"")"),"The point goes to the other team")</f>
        <v>The point goes to the other team</v>
      </c>
      <c r="J248" s="2"/>
      <c r="K248" s="2"/>
      <c r="L248" s="2"/>
      <c r="M248" s="2"/>
      <c r="N248" s="2"/>
      <c r="O248" s="2"/>
      <c r="P248" s="2"/>
      <c r="Q248" s="2"/>
      <c r="R248" s="2"/>
      <c r="S248" s="2"/>
      <c r="T248" s="2"/>
      <c r="U248" s="2"/>
      <c r="V248" s="2"/>
    </row>
    <row r="249" ht="22.5" customHeight="1">
      <c r="A249" s="3">
        <v>248.0</v>
      </c>
      <c r="B249" s="3" t="s">
        <v>1711</v>
      </c>
      <c r="C249" s="3" t="s">
        <v>1666</v>
      </c>
      <c r="D249" s="3" t="s">
        <v>1346</v>
      </c>
      <c r="E249" s="2"/>
      <c r="F249" s="3" t="str">
        <f>IFERROR(__xludf.DUMMYFUNCTION("GOOGLETRANSLATE(A249, ""it"", ""en"")"),"248")</f>
        <v>248</v>
      </c>
      <c r="G249" s="3" t="str">
        <f>IFERROR(__xludf.DUMMYFUNCTION("GOOGLETRANSLATE(B249, ""it"", ""en"")"),"A player jumps to spike the ball and touches the net during the move. What's the decision?")</f>
        <v>A player jumps to spike the ball and touches the net during the move. What's the decision?</v>
      </c>
      <c r="H249" s="3" t="str">
        <f>IFERROR(__xludf.DUMMYFUNCTION("GOOGLETRANSLATE(C249, ""it"", ""en"")"),"A. The point goes to the other team B. The game continues C. The point is repeated D. The point is valid")</f>
        <v>A. The point goes to the other team B. The game continues C. The point is repeated D. The point is valid</v>
      </c>
      <c r="I249" s="3" t="str">
        <f>IFERROR(__xludf.DUMMYFUNCTION("GOOGLETRANSLATE(D249, ""it"", ""en"")"),"The point goes to the other team")</f>
        <v>The point goes to the other team</v>
      </c>
      <c r="J249" s="2"/>
      <c r="K249" s="2"/>
      <c r="L249" s="2"/>
      <c r="M249" s="2"/>
      <c r="N249" s="2"/>
      <c r="O249" s="2"/>
      <c r="P249" s="2"/>
      <c r="Q249" s="2"/>
      <c r="R249" s="2"/>
      <c r="S249" s="2"/>
      <c r="T249" s="2"/>
      <c r="U249" s="2"/>
      <c r="V249" s="2"/>
    </row>
    <row r="250" ht="22.5" customHeight="1">
      <c r="A250" s="3">
        <v>249.0</v>
      </c>
      <c r="B250" s="3" t="s">
        <v>1712</v>
      </c>
      <c r="C250" s="3" t="s">
        <v>1591</v>
      </c>
      <c r="D250" s="3" t="s">
        <v>976</v>
      </c>
      <c r="E250" s="2"/>
      <c r="F250" s="3" t="str">
        <f>IFERROR(__xludf.DUMMYFUNCTION("GOOGLETRANSLATE(A250, ""it"", ""en"")"),"249")</f>
        <v>249</v>
      </c>
      <c r="G250" s="3" t="str">
        <f>IFERROR(__xludf.DUMMYFUNCTION("GOOGLETRANSLATE(B250, ""it"", ""en"")"),"A player hits an attacking shot, but the ball hits the top of the net and then lands in the opponent's court. What's the ruling?")</f>
        <v>A player hits an attacking shot, but the ball hits the top of the net and then lands in the opponent's court. What's the ruling?</v>
      </c>
      <c r="H250" s="3" t="str">
        <f>IFERROR(__xludf.DUMMYFUNCTION("GOOGLETRANSLATE(C250, ""it"", ""en"")"),"A. The point is valid B. The point goes to the other team C. The point is retaken D. The ball is considered out")</f>
        <v>A. The point is valid B. The point goes to the other team C. The point is retaken D. The ball is considered out</v>
      </c>
      <c r="I250" s="3" t="str">
        <f>IFERROR(__xludf.DUMMYFUNCTION("GOOGLETRANSLATE(D250, ""it"", ""en"")"),"The point is valid")</f>
        <v>The point is valid</v>
      </c>
      <c r="J250" s="2"/>
      <c r="K250" s="2"/>
      <c r="L250" s="2"/>
      <c r="M250" s="2"/>
      <c r="N250" s="2"/>
      <c r="O250" s="2"/>
      <c r="P250" s="2"/>
      <c r="Q250" s="2"/>
      <c r="R250" s="2"/>
      <c r="S250" s="2"/>
      <c r="T250" s="2"/>
      <c r="U250" s="2"/>
      <c r="V250" s="2"/>
    </row>
    <row r="251" ht="22.5" customHeight="1">
      <c r="A251" s="3">
        <v>250.0</v>
      </c>
      <c r="B251" s="3" t="s">
        <v>1713</v>
      </c>
      <c r="C251" s="3" t="s">
        <v>1501</v>
      </c>
      <c r="D251" s="3" t="s">
        <v>1346</v>
      </c>
      <c r="E251" s="2"/>
      <c r="F251" s="3" t="str">
        <f>IFERROR(__xludf.DUMMYFUNCTION("GOOGLETRANSLATE(A251, ""it"", ""en"")"),"250")</f>
        <v>250</v>
      </c>
      <c r="G251" s="3" t="str">
        <f>IFERROR(__xludf.DUMMYFUNCTION("GOOGLETRANSLATE(B251, ""it"", ""en"")"),"A libero touches the ball illegally and the referee blows his whistle. What's the decision?")</f>
        <v>A libero touches the ball illegally and the referee blows his whistle. What's the decision?</v>
      </c>
      <c r="H251" s="3" t="str">
        <f>IFERROR(__xludf.DUMMYFUNCTION("GOOGLETRANSLATE(C251, ""it"", ""en"")"),"A. The point goes to the other team B. The game continues C. The point is retaken D. The libero is cautioned")</f>
        <v>A. The point goes to the other team B. The game continues C. The point is retaken D. The libero is cautioned</v>
      </c>
      <c r="I251" s="3" t="str">
        <f>IFERROR(__xludf.DUMMYFUNCTION("GOOGLETRANSLATE(D251, ""it"", ""en"")"),"The point goes to the other team")</f>
        <v>The point goes to the other team</v>
      </c>
      <c r="J251" s="2"/>
      <c r="K251" s="2"/>
      <c r="L251" s="2"/>
      <c r="M251" s="2"/>
      <c r="N251" s="2"/>
      <c r="O251" s="2"/>
      <c r="P251" s="2"/>
      <c r="Q251" s="2"/>
      <c r="R251" s="2"/>
      <c r="S251" s="2"/>
      <c r="T251" s="2"/>
      <c r="U251" s="2"/>
      <c r="V251" s="2"/>
    </row>
    <row r="252" ht="22.5" customHeight="1">
      <c r="A252" s="3">
        <v>251.0</v>
      </c>
      <c r="B252" s="3" t="s">
        <v>1714</v>
      </c>
      <c r="C252" s="3" t="s">
        <v>1666</v>
      </c>
      <c r="D252" s="3" t="s">
        <v>1346</v>
      </c>
      <c r="E252" s="2"/>
      <c r="F252" s="3" t="str">
        <f>IFERROR(__xludf.DUMMYFUNCTION("GOOGLETRANSLATE(A252, ""it"", ""en"")"),"251")</f>
        <v>251</v>
      </c>
      <c r="G252" s="3" t="str">
        <f>IFERROR(__xludf.DUMMYFUNCTION("GOOGLETRANSLATE(B252, ""it"", ""en"")"),"A player hits an attacking shot but the ball doesn't cross the net. What's the ruling?")</f>
        <v>A player hits an attacking shot but the ball doesn't cross the net. What's the ruling?</v>
      </c>
      <c r="H252" s="3" t="str">
        <f>IFERROR(__xludf.DUMMYFUNCTION("GOOGLETRANSLATE(C252, ""it"", ""en"")"),"A. The point goes to the other team B. The game continues C. The point is repeated D. The point is valid")</f>
        <v>A. The point goes to the other team B. The game continues C. The point is repeated D. The point is valid</v>
      </c>
      <c r="I252" s="3" t="str">
        <f>IFERROR(__xludf.DUMMYFUNCTION("GOOGLETRANSLATE(D252, ""it"", ""en"")"),"The point goes to the other team")</f>
        <v>The point goes to the other team</v>
      </c>
      <c r="J252" s="2"/>
      <c r="K252" s="2"/>
      <c r="L252" s="2"/>
      <c r="M252" s="2"/>
      <c r="N252" s="2"/>
      <c r="O252" s="2"/>
      <c r="P252" s="2"/>
      <c r="Q252" s="2"/>
      <c r="R252" s="2"/>
      <c r="S252" s="2"/>
      <c r="T252" s="2"/>
      <c r="U252" s="2"/>
      <c r="V252" s="2"/>
    </row>
    <row r="253" ht="22.5" customHeight="1">
      <c r="A253" s="3">
        <v>252.0</v>
      </c>
      <c r="B253" s="3" t="s">
        <v>1715</v>
      </c>
      <c r="C253" s="3" t="s">
        <v>1501</v>
      </c>
      <c r="D253" s="3" t="s">
        <v>1346</v>
      </c>
      <c r="E253" s="2"/>
      <c r="F253" s="3" t="str">
        <f>IFERROR(__xludf.DUMMYFUNCTION("GOOGLETRANSLATE(A253, ""it"", ""en"")"),"252")</f>
        <v>252</v>
      </c>
      <c r="G253" s="3" t="str">
        <f>IFERROR(__xludf.DUMMYFUNCTION("GOOGLETRANSLATE(B253, ""it"", ""en"")"),"A libero touches the ball twice in a row during a defense. What's the ruling?")</f>
        <v>A libero touches the ball twice in a row during a defense. What's the ruling?</v>
      </c>
      <c r="H253" s="3" t="str">
        <f>IFERROR(__xludf.DUMMYFUNCTION("GOOGLETRANSLATE(C253, ""it"", ""en"")"),"A. The point goes to the other team B. The game continues C. The point is retaken D. The libero is cautioned")</f>
        <v>A. The point goes to the other team B. The game continues C. The point is retaken D. The libero is cautioned</v>
      </c>
      <c r="I253" s="3" t="str">
        <f>IFERROR(__xludf.DUMMYFUNCTION("GOOGLETRANSLATE(D253, ""it"", ""en"")"),"The point goes to the other team")</f>
        <v>The point goes to the other team</v>
      </c>
      <c r="J253" s="2"/>
      <c r="K253" s="2"/>
      <c r="L253" s="2"/>
      <c r="M253" s="2"/>
      <c r="N253" s="2"/>
      <c r="O253" s="2"/>
      <c r="P253" s="2"/>
      <c r="Q253" s="2"/>
      <c r="R253" s="2"/>
      <c r="S253" s="2"/>
      <c r="T253" s="2"/>
      <c r="U253" s="2"/>
      <c r="V253" s="2"/>
    </row>
    <row r="254" ht="22.5" customHeight="1">
      <c r="A254" s="3">
        <v>253.0</v>
      </c>
      <c r="B254" s="3" t="s">
        <v>1716</v>
      </c>
      <c r="C254" s="3" t="s">
        <v>1467</v>
      </c>
      <c r="D254" s="3" t="s">
        <v>1346</v>
      </c>
      <c r="E254" s="2"/>
      <c r="F254" s="3" t="str">
        <f>IFERROR(__xludf.DUMMYFUNCTION("GOOGLETRANSLATE(A254, ""it"", ""en"")"),"253")</f>
        <v>253</v>
      </c>
      <c r="G254" s="3" t="str">
        <f>IFERROR(__xludf.DUMMYFUNCTION("GOOGLETRANSLATE(B254, ""it"", ""en"")"),"A player makes a powerful pass, but the ball hits the ceiling and bounces back to his side. What happens?")</f>
        <v>A player makes a powerful pass, but the ball hits the ceiling and bounces back to his side. What happens?</v>
      </c>
      <c r="H254" s="3" t="str">
        <f>IFERROR(__xludf.DUMMYFUNCTION("GOOGLETRANSLATE(C254, ""it"", ""en"")"),"A. The point goes to the other team B. The game continues C. The point is retaken D. The ball is considered out")</f>
        <v>A. The point goes to the other team B. The game continues C. The point is retaken D. The ball is considered out</v>
      </c>
      <c r="I254" s="3" t="str">
        <f>IFERROR(__xludf.DUMMYFUNCTION("GOOGLETRANSLATE(D254, ""it"", ""en"")"),"The point goes to the other team")</f>
        <v>The point goes to the other team</v>
      </c>
      <c r="J254" s="2"/>
      <c r="K254" s="2"/>
      <c r="L254" s="2"/>
      <c r="M254" s="2"/>
      <c r="N254" s="2"/>
      <c r="O254" s="2"/>
      <c r="P254" s="2"/>
      <c r="Q254" s="2"/>
      <c r="R254" s="2"/>
      <c r="S254" s="2"/>
      <c r="T254" s="2"/>
      <c r="U254" s="2"/>
      <c r="V254" s="2"/>
    </row>
    <row r="255" ht="22.5" customHeight="1">
      <c r="A255" s="3">
        <v>254.0</v>
      </c>
      <c r="B255" s="3" t="s">
        <v>1717</v>
      </c>
      <c r="C255" s="3" t="s">
        <v>1503</v>
      </c>
      <c r="D255" s="3" t="s">
        <v>1433</v>
      </c>
      <c r="E255" s="2"/>
      <c r="F255" s="3" t="str">
        <f>IFERROR(__xludf.DUMMYFUNCTION("GOOGLETRANSLATE(A255, ""it"", ""en"")"),"254")</f>
        <v>254</v>
      </c>
      <c r="G255" s="3" t="str">
        <f>IFERROR(__xludf.DUMMYFUNCTION("GOOGLETRANSLATE(B255, ""it"", ""en"")"),"A coach protests a referee's action loudly. What happens?")</f>
        <v>A coach protests a referee's action loudly. What happens?</v>
      </c>
      <c r="H255" s="3" t="str">
        <f>IFERROR(__xludf.DUMMYFUNCTION("GOOGLETRANSLATE(C255, ""it"", ""en"")"),"A. The coach is cautioned B. The game continues C. The point is retaken D. The point goes to the other team")</f>
        <v>A. The coach is cautioned B. The game continues C. The point is retaken D. The point goes to the other team</v>
      </c>
      <c r="I255" s="3" t="str">
        <f>IFERROR(__xludf.DUMMYFUNCTION("GOOGLETRANSLATE(D255, ""it"", ""en"")"),"The coach is cautioned")</f>
        <v>The coach is cautioned</v>
      </c>
      <c r="J255" s="2"/>
      <c r="K255" s="2"/>
      <c r="L255" s="2"/>
      <c r="M255" s="2"/>
      <c r="N255" s="2"/>
      <c r="O255" s="2"/>
      <c r="P255" s="2"/>
      <c r="Q255" s="2"/>
      <c r="R255" s="2"/>
      <c r="S255" s="2"/>
      <c r="T255" s="2"/>
      <c r="U255" s="2"/>
      <c r="V255" s="2"/>
    </row>
    <row r="256" ht="22.5" customHeight="1">
      <c r="A256" s="3">
        <v>255.0</v>
      </c>
      <c r="B256" s="3" t="s">
        <v>1718</v>
      </c>
      <c r="C256" s="3" t="s">
        <v>1593</v>
      </c>
      <c r="D256" s="3" t="s">
        <v>976</v>
      </c>
      <c r="E256" s="2"/>
      <c r="F256" s="3" t="str">
        <f>IFERROR(__xludf.DUMMYFUNCTION("GOOGLETRANSLATE(A256, ""it"", ""en"")"),"255")</f>
        <v>255</v>
      </c>
      <c r="G256" s="3" t="str">
        <f>IFERROR(__xludf.DUMMYFUNCTION("GOOGLETRANSLATE(B256, ""it"", ""en"")"),"A player dribbles the ball but it goes through the net without touching it. What's the ruling?")</f>
        <v>A player dribbles the ball but it goes through the net without touching it. What's the ruling?</v>
      </c>
      <c r="H256" s="3" t="str">
        <f>IFERROR(__xludf.DUMMYFUNCTION("GOOGLETRANSLATE(C256, ""it"", ""en"")"),"A. The point is valid B. The point goes to the other team C. The point is repeated D. The game continues")</f>
        <v>A. The point is valid B. The point goes to the other team C. The point is repeated D. The game continues</v>
      </c>
      <c r="I256" s="3" t="str">
        <f>IFERROR(__xludf.DUMMYFUNCTION("GOOGLETRANSLATE(D256, ""it"", ""en"")"),"The point is valid")</f>
        <v>The point is valid</v>
      </c>
      <c r="J256" s="2"/>
      <c r="K256" s="2"/>
      <c r="L256" s="2"/>
      <c r="M256" s="2"/>
      <c r="N256" s="2"/>
      <c r="O256" s="2"/>
      <c r="P256" s="2"/>
      <c r="Q256" s="2"/>
      <c r="R256" s="2"/>
      <c r="S256" s="2"/>
      <c r="T256" s="2"/>
      <c r="U256" s="2"/>
      <c r="V256" s="2"/>
    </row>
    <row r="257" ht="22.5" customHeight="1">
      <c r="A257" s="3">
        <v>256.0</v>
      </c>
      <c r="B257" s="3" t="s">
        <v>1719</v>
      </c>
      <c r="C257" s="3" t="s">
        <v>1501</v>
      </c>
      <c r="D257" s="3" t="s">
        <v>1346</v>
      </c>
      <c r="E257" s="2"/>
      <c r="F257" s="3" t="str">
        <f>IFERROR(__xludf.DUMMYFUNCTION("GOOGLETRANSLATE(A257, ""it"", ""en"")"),"256")</f>
        <v>256</v>
      </c>
      <c r="G257" s="3" t="str">
        <f>IFERROR(__xludf.DUMMYFUNCTION("GOOGLETRANSLATE(B257, ""it"", ""en"")"),"A libero lifts the ball over the net and touches the top of the net during the play. What's the ruling?")</f>
        <v>A libero lifts the ball over the net and touches the top of the net during the play. What's the ruling?</v>
      </c>
      <c r="H257" s="3" t="str">
        <f>IFERROR(__xludf.DUMMYFUNCTION("GOOGLETRANSLATE(C257, ""it"", ""en"")"),"A. The point goes to the other team B. The game continues C. The point is retaken D. The libero is cautioned")</f>
        <v>A. The point goes to the other team B. The game continues C. The point is retaken D. The libero is cautioned</v>
      </c>
      <c r="I257" s="3" t="str">
        <f>IFERROR(__xludf.DUMMYFUNCTION("GOOGLETRANSLATE(D257, ""it"", ""en"")"),"The point goes to the other team")</f>
        <v>The point goes to the other team</v>
      </c>
      <c r="J257" s="2"/>
      <c r="K257" s="2"/>
      <c r="L257" s="2"/>
      <c r="M257" s="2"/>
      <c r="N257" s="2"/>
      <c r="O257" s="2"/>
      <c r="P257" s="2"/>
      <c r="Q257" s="2"/>
      <c r="R257" s="2"/>
      <c r="S257" s="2"/>
      <c r="T257" s="2"/>
      <c r="U257" s="2"/>
      <c r="V257" s="2"/>
    </row>
    <row r="258" ht="22.5" customHeight="1">
      <c r="A258" s="3">
        <v>257.0</v>
      </c>
      <c r="B258" s="3" t="s">
        <v>1720</v>
      </c>
      <c r="C258" s="3" t="s">
        <v>1467</v>
      </c>
      <c r="D258" s="3" t="s">
        <v>1346</v>
      </c>
      <c r="E258" s="2"/>
      <c r="F258" s="3" t="str">
        <f>IFERROR(__xludf.DUMMYFUNCTION("GOOGLETRANSLATE(A258, ""it"", ""en"")"),"257")</f>
        <v>257</v>
      </c>
      <c r="G258" s="3" t="str">
        <f>IFERROR(__xludf.DUMMYFUNCTION("GOOGLETRANSLATE(B258, ""it"", ""en"")"),"A player hits the ball but it's too weak and doesn't cross the net. What's the ruling?")</f>
        <v>A player hits the ball but it's too weak and doesn't cross the net. What's the ruling?</v>
      </c>
      <c r="H258" s="3" t="str">
        <f>IFERROR(__xludf.DUMMYFUNCTION("GOOGLETRANSLATE(C258, ""it"", ""en"")"),"A. The point goes to the other team B. The game continues C. The point is retaken D. The ball is considered out")</f>
        <v>A. The point goes to the other team B. The game continues C. The point is retaken D. The ball is considered out</v>
      </c>
      <c r="I258" s="3" t="str">
        <f>IFERROR(__xludf.DUMMYFUNCTION("GOOGLETRANSLATE(D258, ""it"", ""en"")"),"The point goes to the other team")</f>
        <v>The point goes to the other team</v>
      </c>
      <c r="J258" s="2"/>
      <c r="K258" s="2"/>
      <c r="L258" s="2"/>
      <c r="M258" s="2"/>
      <c r="N258" s="2"/>
      <c r="O258" s="2"/>
      <c r="P258" s="2"/>
      <c r="Q258" s="2"/>
      <c r="R258" s="2"/>
      <c r="S258" s="2"/>
      <c r="T258" s="2"/>
      <c r="U258" s="2"/>
      <c r="V258" s="2"/>
    </row>
    <row r="259" ht="22.5" customHeight="1">
      <c r="A259" s="3">
        <v>258.0</v>
      </c>
      <c r="B259" s="3" t="s">
        <v>1721</v>
      </c>
      <c r="C259" s="3" t="s">
        <v>1679</v>
      </c>
      <c r="D259" s="3" t="s">
        <v>1669</v>
      </c>
      <c r="E259" s="2"/>
      <c r="F259" s="3" t="str">
        <f>IFERROR(__xludf.DUMMYFUNCTION("GOOGLETRANSLATE(A259, ""it"", ""en"")"),"258")</f>
        <v>258</v>
      </c>
      <c r="G259" s="3" t="str">
        <f>IFERROR(__xludf.DUMMYFUNCTION("GOOGLETRANSLATE(B259, ""it"", ""en"")"),"A player serves but the ball hits the net and bounces back to his side. What's the ruling?")</f>
        <v>A player serves but the ball hits the net and bounces back to his side. What's the ruling?</v>
      </c>
      <c r="H259" s="3" t="str">
        <f>IFERROR(__xludf.DUMMYFUNCTION("GOOGLETRANSLATE(C259, ""it"", ""en"")"),"A. The point goes to the other team B. The service is repeated C. The point is valid D. The game continues")</f>
        <v>A. The point goes to the other team B. The service is repeated C. The point is valid D. The game continues</v>
      </c>
      <c r="I259" s="3" t="str">
        <f>IFERROR(__xludf.DUMMYFUNCTION("GOOGLETRANSLATE(D259, ""it"", ""en"")"),"The service is repeated")</f>
        <v>The service is repeated</v>
      </c>
      <c r="J259" s="2"/>
      <c r="K259" s="2"/>
      <c r="L259" s="2"/>
      <c r="M259" s="2"/>
      <c r="N259" s="2"/>
      <c r="O259" s="2"/>
      <c r="P259" s="2"/>
      <c r="Q259" s="2"/>
      <c r="R259" s="2"/>
      <c r="S259" s="2"/>
      <c r="T259" s="2"/>
      <c r="U259" s="2"/>
      <c r="V259" s="2"/>
    </row>
    <row r="260" ht="22.5" customHeight="1">
      <c r="A260" s="3">
        <v>259.0</v>
      </c>
      <c r="B260" s="3" t="s">
        <v>1722</v>
      </c>
      <c r="C260" s="3" t="s">
        <v>1676</v>
      </c>
      <c r="D260" s="3" t="s">
        <v>1677</v>
      </c>
      <c r="E260" s="2"/>
      <c r="F260" s="3" t="str">
        <f>IFERROR(__xludf.DUMMYFUNCTION("GOOGLETRANSLATE(A260, ""it"", ""en"")"),"259")</f>
        <v>259</v>
      </c>
      <c r="G260" s="3" t="str">
        <f>IFERROR(__xludf.DUMMYFUNCTION("GOOGLETRANSLATE(B260, ""it"", ""en"")"),"A coach makes a substitution without waiting for the right moment. What's the decision?")</f>
        <v>A coach makes a substitution without waiting for the right moment. What's the decision?</v>
      </c>
      <c r="H260" s="3" t="str">
        <f>IFERROR(__xludf.DUMMYFUNCTION("GOOGLETRANSLATE(C260, ""it"", ""en"")"),"A. The change is not valid B. The point goes to the other team C. The game continues D. The point is repeated")</f>
        <v>A. The change is not valid B. The point goes to the other team C. The game continues D. The point is repeated</v>
      </c>
      <c r="I260" s="3" t="str">
        <f>IFERROR(__xludf.DUMMYFUNCTION("GOOGLETRANSLATE(D260, ""it"", ""en"")"),"The exchange is not valid")</f>
        <v>The exchange is not valid</v>
      </c>
      <c r="J260" s="2"/>
      <c r="K260" s="2"/>
      <c r="L260" s="2"/>
      <c r="M260" s="2"/>
      <c r="N260" s="2"/>
      <c r="O260" s="2"/>
      <c r="P260" s="2"/>
      <c r="Q260" s="2"/>
      <c r="R260" s="2"/>
      <c r="S260" s="2"/>
      <c r="T260" s="2"/>
      <c r="U260" s="2"/>
      <c r="V260" s="2"/>
    </row>
    <row r="261" ht="22.5" customHeight="1">
      <c r="A261" s="3">
        <v>260.0</v>
      </c>
      <c r="B261" s="3" t="s">
        <v>1723</v>
      </c>
      <c r="C261" s="3" t="s">
        <v>1493</v>
      </c>
      <c r="D261" s="3" t="s">
        <v>1346</v>
      </c>
      <c r="E261" s="2"/>
      <c r="F261" s="3" t="str">
        <f>IFERROR(__xludf.DUMMYFUNCTION("GOOGLETRANSLATE(A261, ""it"", ""en"")"),"260")</f>
        <v>260</v>
      </c>
      <c r="G261" s="3" t="str">
        <f>IFERROR(__xludf.DUMMYFUNCTION("GOOGLETRANSLATE(B261, ""it"", ""en"")"),"A player touches the net while attacking. What happens?")</f>
        <v>A player touches the net while attacking. What happens?</v>
      </c>
      <c r="H261" s="3" t="str">
        <f>IFERROR(__xludf.DUMMYFUNCTION("GOOGLETRANSLATE(C261, ""it"", ""en"")"),"A. The point goes to the other team B. The game continues C. The point is repeated D. The shot is considered legal")</f>
        <v>A. The point goes to the other team B. The game continues C. The point is repeated D. The shot is considered legal</v>
      </c>
      <c r="I261" s="3" t="str">
        <f>IFERROR(__xludf.DUMMYFUNCTION("GOOGLETRANSLATE(D261, ""it"", ""en"")"),"The point goes to the other team")</f>
        <v>The point goes to the other team</v>
      </c>
      <c r="J261" s="2"/>
      <c r="K261" s="2"/>
      <c r="L261" s="2"/>
      <c r="M261" s="2"/>
      <c r="N261" s="2"/>
      <c r="O261" s="2"/>
      <c r="P261" s="2"/>
      <c r="Q261" s="2"/>
      <c r="R261" s="2"/>
      <c r="S261" s="2"/>
      <c r="T261" s="2"/>
      <c r="U261" s="2"/>
      <c r="V261" s="2"/>
    </row>
    <row r="262" ht="22.5" customHeight="1">
      <c r="A262" s="3">
        <v>261.0</v>
      </c>
      <c r="B262" s="3" t="s">
        <v>1724</v>
      </c>
      <c r="C262" s="3" t="s">
        <v>1501</v>
      </c>
      <c r="D262" s="3" t="s">
        <v>1346</v>
      </c>
      <c r="E262" s="2"/>
      <c r="F262" s="3" t="str">
        <f>IFERROR(__xludf.DUMMYFUNCTION("GOOGLETRANSLATE(A262, ""it"", ""en"")"),"261")</f>
        <v>261</v>
      </c>
      <c r="G262" s="3" t="str">
        <f>IFERROR(__xludf.DUMMYFUNCTION("GOOGLETRANSLATE(B262, ""it"", ""en"")"),"A libero receives the ball with an illegal hit and the referee blows his whistle. What happens?")</f>
        <v>A libero receives the ball with an illegal hit and the referee blows his whistle. What happens?</v>
      </c>
      <c r="H262" s="3" t="str">
        <f>IFERROR(__xludf.DUMMYFUNCTION("GOOGLETRANSLATE(C262, ""it"", ""en"")"),"A. The point goes to the other team B. The game continues C. The point is retaken D. The libero is cautioned")</f>
        <v>A. The point goes to the other team B. The game continues C. The point is retaken D. The libero is cautioned</v>
      </c>
      <c r="I262" s="3" t="str">
        <f>IFERROR(__xludf.DUMMYFUNCTION("GOOGLETRANSLATE(D262, ""it"", ""en"")"),"The point goes to the other team")</f>
        <v>The point goes to the other team</v>
      </c>
      <c r="J262" s="2"/>
      <c r="K262" s="2"/>
      <c r="L262" s="2"/>
      <c r="M262" s="2"/>
      <c r="N262" s="2"/>
      <c r="O262" s="2"/>
      <c r="P262" s="2"/>
      <c r="Q262" s="2"/>
      <c r="R262" s="2"/>
      <c r="S262" s="2"/>
      <c r="T262" s="2"/>
      <c r="U262" s="2"/>
      <c r="V262" s="2"/>
    </row>
    <row r="263" ht="22.5" customHeight="1">
      <c r="A263" s="3">
        <v>262.0</v>
      </c>
      <c r="B263" s="3" t="s">
        <v>1725</v>
      </c>
      <c r="C263" s="3" t="s">
        <v>1662</v>
      </c>
      <c r="D263" s="3" t="s">
        <v>1669</v>
      </c>
      <c r="E263" s="2"/>
      <c r="F263" s="3" t="str">
        <f>IFERROR(__xludf.DUMMYFUNCTION("GOOGLETRANSLATE(A263, ""it"", ""en"")"),"262")</f>
        <v>262</v>
      </c>
      <c r="G263" s="3" t="str">
        <f>IFERROR(__xludf.DUMMYFUNCTION("GOOGLETRANSLATE(B263, ""it"", ""en"")"),"A player serves but the ball hits the side of the net and returns to his side. What's the ruling?")</f>
        <v>A player serves but the ball hits the side of the net and returns to his side. What's the ruling?</v>
      </c>
      <c r="H263" s="3" t="str">
        <f>IFERROR(__xludf.DUMMYFUNCTION("GOOGLETRANSLATE(C263, ""it"", ""en"")"),"A. The point goes to the other team B. The service is repeated C. The game continues D. The point is valid")</f>
        <v>A. The point goes to the other team B. The service is repeated C. The game continues D. The point is valid</v>
      </c>
      <c r="I263" s="3" t="str">
        <f>IFERROR(__xludf.DUMMYFUNCTION("GOOGLETRANSLATE(D263, ""it"", ""en"")"),"The service is repeated")</f>
        <v>The service is repeated</v>
      </c>
      <c r="J263" s="2"/>
      <c r="K263" s="2"/>
      <c r="L263" s="2"/>
      <c r="M263" s="2"/>
      <c r="N263" s="2"/>
      <c r="O263" s="2"/>
      <c r="P263" s="2"/>
      <c r="Q263" s="2"/>
      <c r="R263" s="2"/>
      <c r="S263" s="2"/>
      <c r="T263" s="2"/>
      <c r="U263" s="2"/>
      <c r="V263" s="2"/>
    </row>
    <row r="264" ht="22.5" customHeight="1">
      <c r="A264" s="3">
        <v>263.0</v>
      </c>
      <c r="B264" s="3" t="s">
        <v>1726</v>
      </c>
      <c r="C264" s="3" t="s">
        <v>1467</v>
      </c>
      <c r="D264" s="3" t="s">
        <v>1346</v>
      </c>
      <c r="E264" s="2"/>
      <c r="F264" s="3" t="str">
        <f>IFERROR(__xludf.DUMMYFUNCTION("GOOGLETRANSLATE(A264, ""it"", ""en"")"),"263")</f>
        <v>263</v>
      </c>
      <c r="G264" s="3" t="str">
        <f>IFERROR(__xludf.DUMMYFUNCTION("GOOGLETRANSLATE(B264, ""it"", ""en"")"),"A player makes an attack, but the ball hits the ceiling and returns to his side. What's the decision?")</f>
        <v>A player makes an attack, but the ball hits the ceiling and returns to his side. What's the decision?</v>
      </c>
      <c r="H264" s="3" t="str">
        <f>IFERROR(__xludf.DUMMYFUNCTION("GOOGLETRANSLATE(C264, ""it"", ""en"")"),"A. The point goes to the other team B. The game continues C. The point is retaken D. The ball is considered out")</f>
        <v>A. The point goes to the other team B. The game continues C. The point is retaken D. The ball is considered out</v>
      </c>
      <c r="I264" s="3" t="str">
        <f>IFERROR(__xludf.DUMMYFUNCTION("GOOGLETRANSLATE(D264, ""it"", ""en"")"),"The point goes to the other team")</f>
        <v>The point goes to the other team</v>
      </c>
      <c r="J264" s="2"/>
      <c r="K264" s="2"/>
      <c r="L264" s="2"/>
      <c r="M264" s="2"/>
      <c r="N264" s="2"/>
      <c r="O264" s="2"/>
      <c r="P264" s="2"/>
      <c r="Q264" s="2"/>
      <c r="R264" s="2"/>
      <c r="S264" s="2"/>
      <c r="T264" s="2"/>
      <c r="U264" s="2"/>
      <c r="V264" s="2"/>
    </row>
    <row r="265" ht="22.5" customHeight="1">
      <c r="A265" s="3">
        <v>264.0</v>
      </c>
      <c r="B265" s="3" t="s">
        <v>1727</v>
      </c>
      <c r="C265" s="3" t="s">
        <v>1666</v>
      </c>
      <c r="D265" s="3" t="s">
        <v>1346</v>
      </c>
      <c r="E265" s="2"/>
      <c r="F265" s="3" t="str">
        <f>IFERROR(__xludf.DUMMYFUNCTION("GOOGLETRANSLATE(A265, ""it"", ""en"")"),"264")</f>
        <v>264</v>
      </c>
      <c r="G265" s="3" t="str">
        <f>IFERROR(__xludf.DUMMYFUNCTION("GOOGLETRANSLATE(B265, ""it"", ""en"")"),"A libero dribbles the ball, but it hits the net before crossing. What happens?")</f>
        <v>A libero dribbles the ball, but it hits the net before crossing. What happens?</v>
      </c>
      <c r="H265" s="3" t="str">
        <f>IFERROR(__xludf.DUMMYFUNCTION("GOOGLETRANSLATE(C265, ""it"", ""en"")"),"A. The point goes to the other team B. The game continues C. The point is repeated D. The point is valid")</f>
        <v>A. The point goes to the other team B. The game continues C. The point is repeated D. The point is valid</v>
      </c>
      <c r="I265" s="3" t="str">
        <f>IFERROR(__xludf.DUMMYFUNCTION("GOOGLETRANSLATE(D265, ""it"", ""en"")"),"The point goes to the other team")</f>
        <v>The point goes to the other team</v>
      </c>
      <c r="J265" s="2"/>
      <c r="K265" s="2"/>
      <c r="L265" s="2"/>
      <c r="M265" s="2"/>
      <c r="N265" s="2"/>
      <c r="O265" s="2"/>
      <c r="P265" s="2"/>
      <c r="Q265" s="2"/>
      <c r="R265" s="2"/>
      <c r="S265" s="2"/>
      <c r="T265" s="2"/>
      <c r="U265" s="2"/>
      <c r="V265" s="2"/>
    </row>
    <row r="266" ht="22.5" customHeight="1">
      <c r="A266" s="3">
        <v>265.0</v>
      </c>
      <c r="B266" s="3" t="s">
        <v>1728</v>
      </c>
      <c r="C266" s="3" t="s">
        <v>1662</v>
      </c>
      <c r="D266" s="3" t="s">
        <v>1669</v>
      </c>
      <c r="E266" s="2"/>
      <c r="F266" s="3" t="str">
        <f>IFERROR(__xludf.DUMMYFUNCTION("GOOGLETRANSLATE(A266, ""it"", ""en"")"),"265")</f>
        <v>265</v>
      </c>
      <c r="G266" s="3" t="str">
        <f>IFERROR(__xludf.DUMMYFUNCTION("GOOGLETRANSLATE(B266, ""it"", ""en"")"),"A player serves but the ball hits the net and doesn't go into the opponent's court. What's the ruling?")</f>
        <v>A player serves but the ball hits the net and doesn't go into the opponent's court. What's the ruling?</v>
      </c>
      <c r="H266" s="3" t="str">
        <f>IFERROR(__xludf.DUMMYFUNCTION("GOOGLETRANSLATE(C266, ""it"", ""en"")"),"A. The point goes to the other team B. The service is repeated C. The game continues D. The point is valid")</f>
        <v>A. The point goes to the other team B. The service is repeated C. The game continues D. The point is valid</v>
      </c>
      <c r="I266" s="3" t="str">
        <f>IFERROR(__xludf.DUMMYFUNCTION("GOOGLETRANSLATE(D266, ""it"", ""en"")"),"The service is repeated")</f>
        <v>The service is repeated</v>
      </c>
      <c r="J266" s="2"/>
      <c r="K266" s="2"/>
      <c r="L266" s="2"/>
      <c r="M266" s="2"/>
      <c r="N266" s="2"/>
      <c r="O266" s="2"/>
      <c r="P266" s="2"/>
      <c r="Q266" s="2"/>
      <c r="R266" s="2"/>
      <c r="S266" s="2"/>
      <c r="T266" s="2"/>
      <c r="U266" s="2"/>
      <c r="V266" s="2"/>
    </row>
    <row r="267" ht="22.5" customHeight="1">
      <c r="A267" s="3">
        <v>266.0</v>
      </c>
      <c r="B267" s="3" t="s">
        <v>1729</v>
      </c>
      <c r="C267" s="3" t="s">
        <v>1493</v>
      </c>
      <c r="D267" s="3" t="s">
        <v>1346</v>
      </c>
      <c r="E267" s="2"/>
      <c r="F267" s="3" t="str">
        <f>IFERROR(__xludf.DUMMYFUNCTION("GOOGLETRANSLATE(A267, ""it"", ""en"")"),"266")</f>
        <v>266</v>
      </c>
      <c r="G267" s="3" t="str">
        <f>IFERROR(__xludf.DUMMYFUNCTION("GOOGLETRANSLATE(B267, ""it"", ""en"")"),"A libero is attacking but touches the net during the action. What happens?")</f>
        <v>A libero is attacking but touches the net during the action. What happens?</v>
      </c>
      <c r="H267" s="3" t="str">
        <f>IFERROR(__xludf.DUMMYFUNCTION("GOOGLETRANSLATE(C267, ""it"", ""en"")"),"A. The point goes to the other team B. The game continues C. The point is repeated D. The shot is considered legal")</f>
        <v>A. The point goes to the other team B. The game continues C. The point is repeated D. The shot is considered legal</v>
      </c>
      <c r="I267" s="3" t="str">
        <f>IFERROR(__xludf.DUMMYFUNCTION("GOOGLETRANSLATE(D267, ""it"", ""en"")"),"The point goes to the other team")</f>
        <v>The point goes to the other team</v>
      </c>
      <c r="J267" s="2"/>
      <c r="K267" s="2"/>
      <c r="L267" s="2"/>
      <c r="M267" s="2"/>
      <c r="N267" s="2"/>
      <c r="O267" s="2"/>
      <c r="P267" s="2"/>
      <c r="Q267" s="2"/>
      <c r="R267" s="2"/>
      <c r="S267" s="2"/>
      <c r="T267" s="2"/>
      <c r="U267" s="2"/>
      <c r="V267" s="2"/>
    </row>
    <row r="268" ht="22.5" customHeight="1">
      <c r="A268" s="3">
        <v>267.0</v>
      </c>
      <c r="B268" s="3" t="s">
        <v>1730</v>
      </c>
      <c r="C268" s="3" t="s">
        <v>1493</v>
      </c>
      <c r="D268" s="3" t="s">
        <v>1346</v>
      </c>
      <c r="E268" s="2"/>
      <c r="F268" s="3" t="str">
        <f>IFERROR(__xludf.DUMMYFUNCTION("GOOGLETRANSLATE(A268, ""it"", ""en"")"),"267")</f>
        <v>267</v>
      </c>
      <c r="G268" s="3" t="str">
        <f>IFERROR(__xludf.DUMMYFUNCTION("GOOGLETRANSLATE(B268, ""it"", ""en"")"),"A player kicks the ball but doesn't kick it properly. What happens?")</f>
        <v>A player kicks the ball but doesn't kick it properly. What happens?</v>
      </c>
      <c r="H268" s="3" t="str">
        <f>IFERROR(__xludf.DUMMYFUNCTION("GOOGLETRANSLATE(C268, ""it"", ""en"")"),"A. The point goes to the other team B. The game continues C. The point is repeated D. The shot is considered legal")</f>
        <v>A. The point goes to the other team B. The game continues C. The point is repeated D. The shot is considered legal</v>
      </c>
      <c r="I268" s="3" t="str">
        <f>IFERROR(__xludf.DUMMYFUNCTION("GOOGLETRANSLATE(D268, ""it"", ""en"")"),"The point goes to the other team")</f>
        <v>The point goes to the other team</v>
      </c>
      <c r="J268" s="2"/>
      <c r="K268" s="2"/>
      <c r="L268" s="2"/>
      <c r="M268" s="2"/>
      <c r="N268" s="2"/>
      <c r="O268" s="2"/>
      <c r="P268" s="2"/>
      <c r="Q268" s="2"/>
      <c r="R268" s="2"/>
      <c r="S268" s="2"/>
      <c r="T268" s="2"/>
      <c r="U268" s="2"/>
      <c r="V268" s="2"/>
    </row>
    <row r="269" ht="22.5" customHeight="1">
      <c r="A269" s="3">
        <v>268.0</v>
      </c>
      <c r="B269" s="3" t="s">
        <v>1731</v>
      </c>
      <c r="C269" s="3" t="s">
        <v>1676</v>
      </c>
      <c r="D269" s="3" t="s">
        <v>1677</v>
      </c>
      <c r="E269" s="2"/>
      <c r="F269" s="3" t="str">
        <f>IFERROR(__xludf.DUMMYFUNCTION("GOOGLETRANSLATE(A269, ""it"", ""en"")"),"268")</f>
        <v>268</v>
      </c>
      <c r="G269" s="3" t="str">
        <f>IFERROR(__xludf.DUMMYFUNCTION("GOOGLETRANSLATE(B269, ""it"", ""en"")"),"A coach makes a substitution during a game without following the rules. What happens?")</f>
        <v>A coach makes a substitution during a game without following the rules. What happens?</v>
      </c>
      <c r="H269" s="3" t="str">
        <f>IFERROR(__xludf.DUMMYFUNCTION("GOOGLETRANSLATE(C269, ""it"", ""en"")"),"A. The change is not valid B. The point goes to the other team C. The game continues D. The point is repeated")</f>
        <v>A. The change is not valid B. The point goes to the other team C. The game continues D. The point is repeated</v>
      </c>
      <c r="I269" s="3" t="str">
        <f>IFERROR(__xludf.DUMMYFUNCTION("GOOGLETRANSLATE(D269, ""it"", ""en"")"),"The exchange is not valid")</f>
        <v>The exchange is not valid</v>
      </c>
      <c r="J269" s="2"/>
      <c r="K269" s="2"/>
      <c r="L269" s="2"/>
      <c r="M269" s="2"/>
      <c r="N269" s="2"/>
      <c r="O269" s="2"/>
      <c r="P269" s="2"/>
      <c r="Q269" s="2"/>
      <c r="R269" s="2"/>
      <c r="S269" s="2"/>
      <c r="T269" s="2"/>
      <c r="U269" s="2"/>
      <c r="V269" s="2"/>
    </row>
    <row r="270" ht="22.5" customHeight="1">
      <c r="A270" s="3">
        <v>269.0</v>
      </c>
      <c r="B270" s="3" t="s">
        <v>1732</v>
      </c>
      <c r="C270" s="3" t="s">
        <v>1666</v>
      </c>
      <c r="D270" s="3" t="s">
        <v>1346</v>
      </c>
      <c r="E270" s="2"/>
      <c r="F270" s="3" t="str">
        <f>IFERROR(__xludf.DUMMYFUNCTION("GOOGLETRANSLATE(A270, ""it"", ""en"")"),"269")</f>
        <v>269</v>
      </c>
      <c r="G270" s="3" t="str">
        <f>IFERROR(__xludf.DUMMYFUNCTION("GOOGLETRANSLATE(B270, ""it"", ""en"")"),"A player hits the ball but does so illegally. What happens?")</f>
        <v>A player hits the ball but does so illegally. What happens?</v>
      </c>
      <c r="H270" s="3" t="str">
        <f>IFERROR(__xludf.DUMMYFUNCTION("GOOGLETRANSLATE(C270, ""it"", ""en"")"),"A. The point goes to the other team B. The game continues C. The point is repeated D. The point is valid")</f>
        <v>A. The point goes to the other team B. The game continues C. The point is repeated D. The point is valid</v>
      </c>
      <c r="I270" s="3" t="str">
        <f>IFERROR(__xludf.DUMMYFUNCTION("GOOGLETRANSLATE(D270, ""it"", ""en"")"),"The point goes to the other team")</f>
        <v>The point goes to the other team</v>
      </c>
      <c r="J270" s="2"/>
      <c r="K270" s="2"/>
      <c r="L270" s="2"/>
      <c r="M270" s="2"/>
      <c r="N270" s="2"/>
      <c r="O270" s="2"/>
      <c r="P270" s="2"/>
      <c r="Q270" s="2"/>
      <c r="R270" s="2"/>
      <c r="S270" s="2"/>
      <c r="T270" s="2"/>
      <c r="U270" s="2"/>
      <c r="V270" s="2"/>
    </row>
    <row r="271" ht="22.5" customHeight="1">
      <c r="A271" s="3">
        <v>270.0</v>
      </c>
      <c r="B271" s="3" t="s">
        <v>1733</v>
      </c>
      <c r="C271" s="3" t="s">
        <v>1467</v>
      </c>
      <c r="D271" s="3" t="s">
        <v>1346</v>
      </c>
      <c r="E271" s="2"/>
      <c r="F271" s="3" t="str">
        <f>IFERROR(__xludf.DUMMYFUNCTION("GOOGLETRANSLATE(A271, ""it"", ""en"")"),"270")</f>
        <v>270</v>
      </c>
      <c r="G271" s="3" t="str">
        <f>IFERROR(__xludf.DUMMYFUNCTION("GOOGLETRANSLATE(B271, ""it"", ""en"")"),"A libero dribbles the ball, but it hits the net and bounces back. What's the decision?")</f>
        <v>A libero dribbles the ball, but it hits the net and bounces back. What's the decision?</v>
      </c>
      <c r="H271" s="3" t="str">
        <f>IFERROR(__xludf.DUMMYFUNCTION("GOOGLETRANSLATE(C271, ""it"", ""en"")"),"A. The point goes to the other team B. The game continues C. The point is retaken D. The ball is considered out")</f>
        <v>A. The point goes to the other team B. The game continues C. The point is retaken D. The ball is considered out</v>
      </c>
      <c r="I271" s="3" t="str">
        <f>IFERROR(__xludf.DUMMYFUNCTION("GOOGLETRANSLATE(D271, ""it"", ""en"")"),"The point goes to the other team")</f>
        <v>The point goes to the other team</v>
      </c>
      <c r="J271" s="2"/>
      <c r="K271" s="2"/>
      <c r="L271" s="2"/>
      <c r="M271" s="2"/>
      <c r="N271" s="2"/>
      <c r="O271" s="2"/>
      <c r="P271" s="2"/>
      <c r="Q271" s="2"/>
      <c r="R271" s="2"/>
      <c r="S271" s="2"/>
      <c r="T271" s="2"/>
      <c r="U271" s="2"/>
      <c r="V271" s="2"/>
    </row>
    <row r="272" ht="22.5" customHeight="1">
      <c r="A272" s="3">
        <v>271.0</v>
      </c>
      <c r="B272" s="3" t="s">
        <v>1734</v>
      </c>
      <c r="C272" s="3" t="s">
        <v>1666</v>
      </c>
      <c r="D272" s="3" t="s">
        <v>1346</v>
      </c>
      <c r="E272" s="2"/>
      <c r="F272" s="3" t="str">
        <f>IFERROR(__xludf.DUMMYFUNCTION("GOOGLETRANSLATE(A272, ""it"", ""en"")"),"271")</f>
        <v>271</v>
      </c>
      <c r="G272" s="3" t="str">
        <f>IFERROR(__xludf.DUMMYFUNCTION("GOOGLETRANSLATE(B272, ""it"", ""en"")"),"A player attacks, but the ball never touches the opponent's side. What happens?")</f>
        <v>A player attacks, but the ball never touches the opponent's side. What happens?</v>
      </c>
      <c r="H272" s="3" t="str">
        <f>IFERROR(__xludf.DUMMYFUNCTION("GOOGLETRANSLATE(C272, ""it"", ""en"")"),"A. The point goes to the other team B. The game continues C. The point is repeated D. The point is valid")</f>
        <v>A. The point goes to the other team B. The game continues C. The point is repeated D. The point is valid</v>
      </c>
      <c r="I272" s="3" t="str">
        <f>IFERROR(__xludf.DUMMYFUNCTION("GOOGLETRANSLATE(D272, ""it"", ""en"")"),"The point goes to the other team")</f>
        <v>The point goes to the other team</v>
      </c>
      <c r="J272" s="2"/>
      <c r="K272" s="2"/>
      <c r="L272" s="2"/>
      <c r="M272" s="2"/>
      <c r="N272" s="2"/>
      <c r="O272" s="2"/>
      <c r="P272" s="2"/>
      <c r="Q272" s="2"/>
      <c r="R272" s="2"/>
      <c r="S272" s="2"/>
      <c r="T272" s="2"/>
      <c r="U272" s="2"/>
      <c r="V272" s="2"/>
    </row>
    <row r="273" ht="22.5" customHeight="1">
      <c r="A273" s="3">
        <v>272.0</v>
      </c>
      <c r="B273" s="3" t="s">
        <v>1735</v>
      </c>
      <c r="C273" s="3" t="s">
        <v>1501</v>
      </c>
      <c r="D273" s="3" t="s">
        <v>1346</v>
      </c>
      <c r="E273" s="2"/>
      <c r="F273" s="3" t="str">
        <f>IFERROR(__xludf.DUMMYFUNCTION("GOOGLETRANSLATE(A273, ""it"", ""en"")"),"272")</f>
        <v>272</v>
      </c>
      <c r="G273" s="3" t="str">
        <f>IFERROR(__xludf.DUMMYFUNCTION("GOOGLETRANSLATE(B273, ""it"", ""en"")"),"A libero touches the ball during an attack, but not legally. What happens?")</f>
        <v>A libero touches the ball during an attack, but not legally. What happens?</v>
      </c>
      <c r="H273" s="3" t="str">
        <f>IFERROR(__xludf.DUMMYFUNCTION("GOOGLETRANSLATE(C273, ""it"", ""en"")"),"A. The point goes to the other team B. The game continues C. The point is retaken D. The libero is cautioned")</f>
        <v>A. The point goes to the other team B. The game continues C. The point is retaken D. The libero is cautioned</v>
      </c>
      <c r="I273" s="3" t="str">
        <f>IFERROR(__xludf.DUMMYFUNCTION("GOOGLETRANSLATE(D273, ""it"", ""en"")"),"The point goes to the other team")</f>
        <v>The point goes to the other team</v>
      </c>
      <c r="J273" s="2"/>
      <c r="K273" s="2"/>
      <c r="L273" s="2"/>
      <c r="M273" s="2"/>
      <c r="N273" s="2"/>
      <c r="O273" s="2"/>
      <c r="P273" s="2"/>
      <c r="Q273" s="2"/>
      <c r="R273" s="2"/>
      <c r="S273" s="2"/>
      <c r="T273" s="2"/>
      <c r="U273" s="2"/>
      <c r="V273" s="2"/>
    </row>
    <row r="274" ht="22.5" customHeight="1">
      <c r="A274" s="3">
        <v>273.0</v>
      </c>
      <c r="B274" s="3" t="s">
        <v>1736</v>
      </c>
      <c r="C274" s="3" t="s">
        <v>1467</v>
      </c>
      <c r="D274" s="3" t="s">
        <v>1346</v>
      </c>
      <c r="E274" s="2"/>
      <c r="F274" s="3" t="str">
        <f>IFERROR(__xludf.DUMMYFUNCTION("GOOGLETRANSLATE(A274, ""it"", ""en"")"),"273")</f>
        <v>273</v>
      </c>
      <c r="G274" s="3" t="str">
        <f>IFERROR(__xludf.DUMMYFUNCTION("GOOGLETRANSLATE(B274, ""it"", ""en"")"),"A player hits the ball but it goes out of bounds. What happens?")</f>
        <v>A player hits the ball but it goes out of bounds. What happens?</v>
      </c>
      <c r="H274" s="3" t="str">
        <f>IFERROR(__xludf.DUMMYFUNCTION("GOOGLETRANSLATE(C274, ""it"", ""en"")"),"A. The point goes to the other team B. The game continues C. The point is retaken D. The ball is considered out")</f>
        <v>A. The point goes to the other team B. The game continues C. The point is retaken D. The ball is considered out</v>
      </c>
      <c r="I274" s="3" t="str">
        <f>IFERROR(__xludf.DUMMYFUNCTION("GOOGLETRANSLATE(D274, ""it"", ""en"")"),"The point goes to the other team")</f>
        <v>The point goes to the other team</v>
      </c>
      <c r="J274" s="2"/>
      <c r="K274" s="2"/>
      <c r="L274" s="2"/>
      <c r="M274" s="2"/>
      <c r="N274" s="2"/>
      <c r="O274" s="2"/>
      <c r="P274" s="2"/>
      <c r="Q274" s="2"/>
      <c r="R274" s="2"/>
      <c r="S274" s="2"/>
      <c r="T274" s="2"/>
      <c r="U274" s="2"/>
      <c r="V274" s="2"/>
    </row>
    <row r="275" ht="22.5" customHeight="1">
      <c r="A275" s="3">
        <v>274.0</v>
      </c>
      <c r="B275" s="3" t="s">
        <v>1737</v>
      </c>
      <c r="C275" s="3" t="s">
        <v>1666</v>
      </c>
      <c r="D275" s="3" t="s">
        <v>1346</v>
      </c>
      <c r="E275" s="2"/>
      <c r="F275" s="3" t="str">
        <f>IFERROR(__xludf.DUMMYFUNCTION("GOOGLETRANSLATE(A275, ""it"", ""en"")"),"274")</f>
        <v>274</v>
      </c>
      <c r="G275" s="3" t="str">
        <f>IFERROR(__xludf.DUMMYFUNCTION("GOOGLETRANSLATE(B275, ""it"", ""en"")"),"A player attacks but the ball hits the ceiling and doesn't go over the net. What's the decision?")</f>
        <v>A player attacks but the ball hits the ceiling and doesn't go over the net. What's the decision?</v>
      </c>
      <c r="H275" s="3" t="str">
        <f>IFERROR(__xludf.DUMMYFUNCTION("GOOGLETRANSLATE(C275, ""it"", ""en"")"),"A. The point goes to the other team B. The game continues C. The point is repeated D. The point is valid")</f>
        <v>A. The point goes to the other team B. The game continues C. The point is repeated D. The point is valid</v>
      </c>
      <c r="I275" s="3" t="str">
        <f>IFERROR(__xludf.DUMMYFUNCTION("GOOGLETRANSLATE(D275, ""it"", ""en"")"),"The point goes to the other team")</f>
        <v>The point goes to the other team</v>
      </c>
      <c r="J275" s="2"/>
      <c r="K275" s="2"/>
      <c r="L275" s="2"/>
      <c r="M275" s="2"/>
      <c r="N275" s="2"/>
      <c r="O275" s="2"/>
      <c r="P275" s="2"/>
      <c r="Q275" s="2"/>
      <c r="R275" s="2"/>
      <c r="S275" s="2"/>
      <c r="T275" s="2"/>
      <c r="U275" s="2"/>
      <c r="V275" s="2"/>
    </row>
    <row r="276" ht="22.5" customHeight="1">
      <c r="A276" s="3">
        <v>275.0</v>
      </c>
      <c r="B276" s="3" t="s">
        <v>1738</v>
      </c>
      <c r="C276" s="3" t="s">
        <v>1676</v>
      </c>
      <c r="D276" s="3" t="s">
        <v>1677</v>
      </c>
      <c r="E276" s="2"/>
      <c r="F276" s="3" t="str">
        <f>IFERROR(__xludf.DUMMYFUNCTION("GOOGLETRANSLATE(A276, ""it"", ""en"")"),"275")</f>
        <v>275</v>
      </c>
      <c r="G276" s="3" t="str">
        <f>IFERROR(__xludf.DUMMYFUNCTION("GOOGLETRANSLATE(B276, ""it"", ""en"")"),"A coach makes a substitution without waiting for the right moment. What's the decision?")</f>
        <v>A coach makes a substitution without waiting for the right moment. What's the decision?</v>
      </c>
      <c r="H276" s="3" t="str">
        <f>IFERROR(__xludf.DUMMYFUNCTION("GOOGLETRANSLATE(C276, ""it"", ""en"")"),"A. The change is not valid B. The point goes to the other team C. The game continues D. The point is repeated")</f>
        <v>A. The change is not valid B. The point goes to the other team C. The game continues D. The point is repeated</v>
      </c>
      <c r="I276" s="3" t="str">
        <f>IFERROR(__xludf.DUMMYFUNCTION("GOOGLETRANSLATE(D276, ""it"", ""en"")"),"The exchange is not valid")</f>
        <v>The exchange is not valid</v>
      </c>
      <c r="J276" s="2"/>
      <c r="K276" s="2"/>
      <c r="L276" s="2"/>
      <c r="M276" s="2"/>
      <c r="N276" s="2"/>
      <c r="O276" s="2"/>
      <c r="P276" s="2"/>
      <c r="Q276" s="2"/>
      <c r="R276" s="2"/>
      <c r="S276" s="2"/>
      <c r="T276" s="2"/>
      <c r="U276" s="2"/>
      <c r="V276" s="2"/>
    </row>
    <row r="277" ht="22.5" customHeight="1">
      <c r="A277" s="3">
        <v>276.0</v>
      </c>
      <c r="B277" s="3" t="s">
        <v>1739</v>
      </c>
      <c r="C277" s="3" t="s">
        <v>1666</v>
      </c>
      <c r="D277" s="3" t="s">
        <v>1346</v>
      </c>
      <c r="E277" s="2"/>
      <c r="F277" s="3" t="str">
        <f>IFERROR(__xludf.DUMMYFUNCTION("GOOGLETRANSLATE(A277, ""it"", ""en"")"),"276")</f>
        <v>276</v>
      </c>
      <c r="G277" s="3" t="str">
        <f>IFERROR(__xludf.DUMMYFUNCTION("GOOGLETRANSLATE(B277, ""it"", ""en"")"),"A libero lifts the ball, but it hits the net and lands in his court. What happens?")</f>
        <v>A libero lifts the ball, but it hits the net and lands in his court. What happens?</v>
      </c>
      <c r="H277" s="3" t="str">
        <f>IFERROR(__xludf.DUMMYFUNCTION("GOOGLETRANSLATE(C277, ""it"", ""en"")"),"A. The point goes to the other team B. The game continues C. The point is repeated D. The point is valid")</f>
        <v>A. The point goes to the other team B. The game continues C. The point is repeated D. The point is valid</v>
      </c>
      <c r="I277" s="3" t="str">
        <f>IFERROR(__xludf.DUMMYFUNCTION("GOOGLETRANSLATE(D277, ""it"", ""en"")"),"The point goes to the other team")</f>
        <v>The point goes to the other team</v>
      </c>
      <c r="J277" s="2"/>
      <c r="K277" s="2"/>
      <c r="L277" s="2"/>
      <c r="M277" s="2"/>
      <c r="N277" s="2"/>
      <c r="O277" s="2"/>
      <c r="P277" s="2"/>
      <c r="Q277" s="2"/>
      <c r="R277" s="2"/>
      <c r="S277" s="2"/>
      <c r="T277" s="2"/>
      <c r="U277" s="2"/>
      <c r="V277" s="2"/>
    </row>
    <row r="278" ht="22.5" customHeight="1">
      <c r="A278" s="3">
        <v>277.0</v>
      </c>
      <c r="B278" s="3" t="s">
        <v>1740</v>
      </c>
      <c r="C278" s="3" t="s">
        <v>1666</v>
      </c>
      <c r="D278" s="3" t="s">
        <v>1346</v>
      </c>
      <c r="E278" s="2"/>
      <c r="F278" s="3" t="str">
        <f>IFERROR(__xludf.DUMMYFUNCTION("GOOGLETRANSLATE(A278, ""it"", ""en"")"),"277")</f>
        <v>277</v>
      </c>
      <c r="G278" s="3" t="str">
        <f>IFERROR(__xludf.DUMMYFUNCTION("GOOGLETRANSLATE(B278, ""it"", ""en"")"),"A player spikes the ball, but the shot is too weak and it doesn't go over the net. What's the decision?")</f>
        <v>A player spikes the ball, but the shot is too weak and it doesn't go over the net. What's the decision?</v>
      </c>
      <c r="H278" s="3" t="str">
        <f>IFERROR(__xludf.DUMMYFUNCTION("GOOGLETRANSLATE(C278, ""it"", ""en"")"),"A. The point goes to the other team B. The game continues C. The point is repeated D. The point is valid")</f>
        <v>A. The point goes to the other team B. The game continues C. The point is repeated D. The point is valid</v>
      </c>
      <c r="I278" s="3" t="str">
        <f>IFERROR(__xludf.DUMMYFUNCTION("GOOGLETRANSLATE(D278, ""it"", ""en"")"),"The point goes to the other team")</f>
        <v>The point goes to the other team</v>
      </c>
      <c r="J278" s="2"/>
      <c r="K278" s="2"/>
      <c r="L278" s="2"/>
      <c r="M278" s="2"/>
      <c r="N278" s="2"/>
      <c r="O278" s="2"/>
      <c r="P278" s="2"/>
      <c r="Q278" s="2"/>
      <c r="R278" s="2"/>
      <c r="S278" s="2"/>
      <c r="T278" s="2"/>
      <c r="U278" s="2"/>
      <c r="V278" s="2"/>
    </row>
    <row r="279" ht="22.5" customHeight="1">
      <c r="A279" s="3">
        <v>278.0</v>
      </c>
      <c r="B279" s="3" t="s">
        <v>1741</v>
      </c>
      <c r="C279" s="3" t="s">
        <v>1698</v>
      </c>
      <c r="D279" s="3" t="s">
        <v>976</v>
      </c>
      <c r="E279" s="2"/>
      <c r="F279" s="3" t="str">
        <f>IFERROR(__xludf.DUMMYFUNCTION("GOOGLETRANSLATE(A279, ""it"", ""en"")"),"278")</f>
        <v>278</v>
      </c>
      <c r="G279" s="3" t="str">
        <f>IFERROR(__xludf.DUMMYFUNCTION("GOOGLETRANSLATE(B279, ""it"", ""en"")"),"A player serves but the ball hits the net and goes over into the opponent's court. What's the ruling?")</f>
        <v>A player serves but the ball hits the net and goes over into the opponent's court. What's the ruling?</v>
      </c>
      <c r="H279" s="3" t="str">
        <f>IFERROR(__xludf.DUMMYFUNCTION("GOOGLETRANSLATE(C279, ""it"", ""en"")"),"A. The point is valid B. The service is repeated C. The point goes to the other team D. The game continues")</f>
        <v>A. The point is valid B. The service is repeated C. The point goes to the other team D. The game continues</v>
      </c>
      <c r="I279" s="3" t="str">
        <f>IFERROR(__xludf.DUMMYFUNCTION("GOOGLETRANSLATE(D279, ""it"", ""en"")"),"The point is valid")</f>
        <v>The point is valid</v>
      </c>
      <c r="J279" s="2"/>
      <c r="K279" s="2"/>
      <c r="L279" s="2"/>
      <c r="M279" s="2"/>
      <c r="N279" s="2"/>
      <c r="O279" s="2"/>
      <c r="P279" s="2"/>
      <c r="Q279" s="2"/>
      <c r="R279" s="2"/>
      <c r="S279" s="2"/>
      <c r="T279" s="2"/>
      <c r="U279" s="2"/>
      <c r="V279" s="2"/>
    </row>
    <row r="280" ht="22.5" customHeight="1">
      <c r="A280" s="3">
        <v>279.0</v>
      </c>
      <c r="B280" s="3" t="s">
        <v>1742</v>
      </c>
      <c r="C280" s="3" t="s">
        <v>1501</v>
      </c>
      <c r="D280" s="3" t="s">
        <v>12</v>
      </c>
      <c r="E280" s="2"/>
      <c r="F280" s="3" t="str">
        <f>IFERROR(__xludf.DUMMYFUNCTION("GOOGLETRANSLATE(A280, ""it"", ""en"")"),"279")</f>
        <v>279</v>
      </c>
      <c r="G280" s="3" t="str">
        <f>IFERROR(__xludf.DUMMYFUNCTION("GOOGLETRANSLATE(B280, ""it"", ""en"")"),"A libero hits the ball illegally but isn't penalized. What happens?")</f>
        <v>A libero hits the ball illegally but isn't penalized. What happens?</v>
      </c>
      <c r="H280" s="3" t="str">
        <f>IFERROR(__xludf.DUMMYFUNCTION("GOOGLETRANSLATE(C280, ""it"", ""en"")"),"A. The point goes to the other team B. The game continues C. The point is retaken D. The libero is cautioned")</f>
        <v>A. The point goes to the other team B. The game continues C. The point is retaken D. The libero is cautioned</v>
      </c>
      <c r="I280" s="3" t="str">
        <f>IFERROR(__xludf.DUMMYFUNCTION("GOOGLETRANSLATE(D280, ""it"", ""en"")"),"The game continues")</f>
        <v>The game continues</v>
      </c>
      <c r="J280" s="2"/>
      <c r="K280" s="2"/>
      <c r="L280" s="2"/>
      <c r="M280" s="2"/>
      <c r="N280" s="2"/>
      <c r="O280" s="2"/>
      <c r="P280" s="2"/>
      <c r="Q280" s="2"/>
      <c r="R280" s="2"/>
      <c r="S280" s="2"/>
      <c r="T280" s="2"/>
      <c r="U280" s="2"/>
      <c r="V280" s="2"/>
    </row>
    <row r="281" ht="22.5" customHeight="1">
      <c r="A281" s="3">
        <v>280.0</v>
      </c>
      <c r="B281" s="3" t="s">
        <v>1743</v>
      </c>
      <c r="C281" s="3" t="s">
        <v>1467</v>
      </c>
      <c r="D281" s="3" t="s">
        <v>1346</v>
      </c>
      <c r="E281" s="2"/>
      <c r="F281" s="3" t="str">
        <f>IFERROR(__xludf.DUMMYFUNCTION("GOOGLETRANSLATE(A281, ""it"", ""en"")"),"280")</f>
        <v>280</v>
      </c>
      <c r="G281" s="3" t="str">
        <f>IFERROR(__xludf.DUMMYFUNCTION("GOOGLETRANSLATE(B281, ""it"", ""en"")"),"A player makes an attack, but the ball hits the ceiling and returns to his side. What happens?")</f>
        <v>A player makes an attack, but the ball hits the ceiling and returns to his side. What happens?</v>
      </c>
      <c r="H281" s="3" t="str">
        <f>IFERROR(__xludf.DUMMYFUNCTION("GOOGLETRANSLATE(C281, ""it"", ""en"")"),"A. The point goes to the other team B. The game continues C. The point is retaken D. The ball is considered out")</f>
        <v>A. The point goes to the other team B. The game continues C. The point is retaken D. The ball is considered out</v>
      </c>
      <c r="I281" s="3" t="str">
        <f>IFERROR(__xludf.DUMMYFUNCTION("GOOGLETRANSLATE(D281, ""it"", ""en"")"),"The point goes to the other team")</f>
        <v>The point goes to the other team</v>
      </c>
      <c r="J281" s="2"/>
      <c r="K281" s="2"/>
      <c r="L281" s="2"/>
      <c r="M281" s="2"/>
      <c r="N281" s="2"/>
      <c r="O281" s="2"/>
      <c r="P281" s="2"/>
      <c r="Q281" s="2"/>
      <c r="R281" s="2"/>
      <c r="S281" s="2"/>
      <c r="T281" s="2"/>
      <c r="U281" s="2"/>
      <c r="V281" s="2"/>
    </row>
    <row r="282" ht="22.5" customHeight="1">
      <c r="A282" s="3">
        <v>281.0</v>
      </c>
      <c r="B282" s="3" t="s">
        <v>1717</v>
      </c>
      <c r="C282" s="3" t="s">
        <v>1503</v>
      </c>
      <c r="D282" s="3" t="s">
        <v>1398</v>
      </c>
      <c r="E282" s="2"/>
      <c r="F282" s="3" t="str">
        <f>IFERROR(__xludf.DUMMYFUNCTION("GOOGLETRANSLATE(A282, ""it"", ""en"")"),"281")</f>
        <v>281</v>
      </c>
      <c r="G282" s="3" t="str">
        <f>IFERROR(__xludf.DUMMYFUNCTION("GOOGLETRANSLATE(B282, ""it"", ""en"")"),"A coach protests a referee's action loudly. What happens?")</f>
        <v>A coach protests a referee's action loudly. What happens?</v>
      </c>
      <c r="H282" s="3" t="str">
        <f>IFERROR(__xludf.DUMMYFUNCTION("GOOGLETRANSLATE(C282, ""it"", ""en"")"),"A. The coach is cautioned B. The game continues C. The point is retaken D. The point goes to the other team")</f>
        <v>A. The coach is cautioned B. The game continues C. The point is retaken D. The point goes to the other team</v>
      </c>
      <c r="I282" s="3" t="str">
        <f>IFERROR(__xludf.DUMMYFUNCTION("GOOGLETRANSLATE(D282, ""it"", ""en"")"),"The point is repeated")</f>
        <v>The point is repeated</v>
      </c>
      <c r="J282" s="2"/>
      <c r="K282" s="2"/>
      <c r="L282" s="2"/>
      <c r="M282" s="2"/>
      <c r="N282" s="2"/>
      <c r="O282" s="2"/>
      <c r="P282" s="2"/>
      <c r="Q282" s="2"/>
      <c r="R282" s="2"/>
      <c r="S282" s="2"/>
      <c r="T282" s="2"/>
      <c r="U282" s="2"/>
      <c r="V282" s="2"/>
    </row>
    <row r="283" ht="22.5" customHeight="1">
      <c r="A283" s="3">
        <v>282.0</v>
      </c>
      <c r="B283" s="3" t="s">
        <v>1744</v>
      </c>
      <c r="C283" s="3" t="s">
        <v>1666</v>
      </c>
      <c r="D283" s="3" t="s">
        <v>1346</v>
      </c>
      <c r="E283" s="2"/>
      <c r="F283" s="3" t="str">
        <f>IFERROR(__xludf.DUMMYFUNCTION("GOOGLETRANSLATE(A283, ""it"", ""en"")"),"282")</f>
        <v>282</v>
      </c>
      <c r="G283" s="3" t="str">
        <f>IFERROR(__xludf.DUMMYFUNCTION("GOOGLETRANSLATE(B283, ""it"", ""en"")"),"A player hits the ball, but the strike is illegal and the ball goes out of bounds. What happens?")</f>
        <v>A player hits the ball, but the strike is illegal and the ball goes out of bounds. What happens?</v>
      </c>
      <c r="H283" s="3" t="str">
        <f>IFERROR(__xludf.DUMMYFUNCTION("GOOGLETRANSLATE(C283, ""it"", ""en"")"),"A. The point goes to the other team B. The game continues C. The point is repeated D. The point is valid")</f>
        <v>A. The point goes to the other team B. The game continues C. The point is repeated D. The point is valid</v>
      </c>
      <c r="I283" s="3" t="str">
        <f>IFERROR(__xludf.DUMMYFUNCTION("GOOGLETRANSLATE(D283, ""it"", ""en"")"),"The point goes to the other team")</f>
        <v>The point goes to the other team</v>
      </c>
      <c r="J283" s="2"/>
      <c r="K283" s="2"/>
      <c r="L283" s="2"/>
      <c r="M283" s="2"/>
      <c r="N283" s="2"/>
      <c r="O283" s="2"/>
      <c r="P283" s="2"/>
      <c r="Q283" s="2"/>
      <c r="R283" s="2"/>
      <c r="S283" s="2"/>
      <c r="T283" s="2"/>
      <c r="U283" s="2"/>
      <c r="V283" s="2"/>
    </row>
    <row r="284" ht="22.5" customHeight="1">
      <c r="A284" s="3">
        <v>283.0</v>
      </c>
      <c r="B284" s="3" t="s">
        <v>1745</v>
      </c>
      <c r="C284" s="3" t="s">
        <v>1501</v>
      </c>
      <c r="D284" s="3" t="s">
        <v>12</v>
      </c>
      <c r="E284" s="2"/>
      <c r="F284" s="3" t="str">
        <f>IFERROR(__xludf.DUMMYFUNCTION("GOOGLETRANSLATE(A284, ""it"", ""en"")"),"283")</f>
        <v>283</v>
      </c>
      <c r="G284" s="3" t="str">
        <f>IFERROR(__xludf.DUMMYFUNCTION("GOOGLETRANSLATE(B284, ""it"", ""en"")"),"A libero lifts the ball illegally, but the referee doesn't blow his whistle. What happens?")</f>
        <v>A libero lifts the ball illegally, but the referee doesn't blow his whistle. What happens?</v>
      </c>
      <c r="H284" s="3" t="str">
        <f>IFERROR(__xludf.DUMMYFUNCTION("GOOGLETRANSLATE(C284, ""it"", ""en"")"),"A. The point goes to the other team B. The game continues C. The point is retaken D. The libero is cautioned")</f>
        <v>A. The point goes to the other team B. The game continues C. The point is retaken D. The libero is cautioned</v>
      </c>
      <c r="I284" s="3" t="str">
        <f>IFERROR(__xludf.DUMMYFUNCTION("GOOGLETRANSLATE(D284, ""it"", ""en"")"),"The game continues")</f>
        <v>The game continues</v>
      </c>
      <c r="J284" s="2"/>
      <c r="K284" s="2"/>
      <c r="L284" s="2"/>
      <c r="M284" s="2"/>
      <c r="N284" s="2"/>
      <c r="O284" s="2"/>
      <c r="P284" s="2"/>
      <c r="Q284" s="2"/>
      <c r="R284" s="2"/>
      <c r="S284" s="2"/>
      <c r="T284" s="2"/>
      <c r="U284" s="2"/>
      <c r="V284" s="2"/>
    </row>
    <row r="285" ht="22.5" customHeight="1">
      <c r="A285" s="3">
        <v>284.0</v>
      </c>
      <c r="B285" s="3" t="s">
        <v>1746</v>
      </c>
      <c r="C285" s="3" t="s">
        <v>1662</v>
      </c>
      <c r="D285" s="3" t="s">
        <v>1669</v>
      </c>
      <c r="E285" s="2"/>
      <c r="F285" s="3" t="str">
        <f>IFERROR(__xludf.DUMMYFUNCTION("GOOGLETRANSLATE(A285, ""it"", ""en"")"),"284")</f>
        <v>284</v>
      </c>
      <c r="G285" s="3" t="str">
        <f>IFERROR(__xludf.DUMMYFUNCTION("GOOGLETRANSLATE(B285, ""it"", ""en"")"),"A player serves but the ball hits the side of the net and doesn't go into the opponent's court. What happens?")</f>
        <v>A player serves but the ball hits the side of the net and doesn't go into the opponent's court. What happens?</v>
      </c>
      <c r="H285" s="3" t="str">
        <f>IFERROR(__xludf.DUMMYFUNCTION("GOOGLETRANSLATE(C285, ""it"", ""en"")"),"A. The point goes to the other team B. The service is repeated C. The game continues D. The point is valid")</f>
        <v>A. The point goes to the other team B. The service is repeated C. The game continues D. The point is valid</v>
      </c>
      <c r="I285" s="3" t="str">
        <f>IFERROR(__xludf.DUMMYFUNCTION("GOOGLETRANSLATE(D285, ""it"", ""en"")"),"The service is repeated")</f>
        <v>The service is repeated</v>
      </c>
      <c r="J285" s="2"/>
      <c r="K285" s="2"/>
      <c r="L285" s="2"/>
      <c r="M285" s="2"/>
      <c r="N285" s="2"/>
      <c r="O285" s="2"/>
      <c r="P285" s="2"/>
      <c r="Q285" s="2"/>
      <c r="R285" s="2"/>
      <c r="S285" s="2"/>
      <c r="T285" s="2"/>
      <c r="U285" s="2"/>
      <c r="V285" s="2"/>
    </row>
    <row r="286" ht="22.5" customHeight="1">
      <c r="A286" s="3">
        <v>285.0</v>
      </c>
      <c r="B286" s="3" t="s">
        <v>1747</v>
      </c>
      <c r="C286" s="3" t="s">
        <v>1591</v>
      </c>
      <c r="D286" s="3" t="s">
        <v>976</v>
      </c>
      <c r="E286" s="2"/>
      <c r="F286" s="3" t="str">
        <f>IFERROR(__xludf.DUMMYFUNCTION("GOOGLETRANSLATE(A286, ""it"", ""en"")"),"285")</f>
        <v>285</v>
      </c>
      <c r="G286" s="3" t="str">
        <f>IFERROR(__xludf.DUMMYFUNCTION("GOOGLETRANSLATE(B286, ""it"", ""en"")"),"A player attacks but the ball hits the top of the net and then lands in the opponent's court. What's the ruling?")</f>
        <v>A player attacks but the ball hits the top of the net and then lands in the opponent's court. What's the ruling?</v>
      </c>
      <c r="H286" s="3" t="str">
        <f>IFERROR(__xludf.DUMMYFUNCTION("GOOGLETRANSLATE(C286, ""it"", ""en"")"),"A. The point is valid B. The point goes to the other team C. The point is retaken D. The ball is considered out")</f>
        <v>A. The point is valid B. The point goes to the other team C. The point is retaken D. The ball is considered out</v>
      </c>
      <c r="I286" s="3" t="str">
        <f>IFERROR(__xludf.DUMMYFUNCTION("GOOGLETRANSLATE(D286, ""it"", ""en"")"),"The point is valid")</f>
        <v>The point is valid</v>
      </c>
      <c r="J286" s="2"/>
      <c r="K286" s="2"/>
      <c r="L286" s="2"/>
      <c r="M286" s="2"/>
      <c r="N286" s="2"/>
      <c r="O286" s="2"/>
      <c r="P286" s="2"/>
      <c r="Q286" s="2"/>
      <c r="R286" s="2"/>
      <c r="S286" s="2"/>
      <c r="T286" s="2"/>
      <c r="U286" s="2"/>
      <c r="V286" s="2"/>
    </row>
    <row r="287" ht="22.5" customHeight="1">
      <c r="A287" s="3">
        <v>286.0</v>
      </c>
      <c r="B287" s="3" t="s">
        <v>1748</v>
      </c>
      <c r="C287" s="3" t="s">
        <v>1467</v>
      </c>
      <c r="D287" s="3" t="s">
        <v>1346</v>
      </c>
      <c r="E287" s="2"/>
      <c r="F287" s="3" t="str">
        <f>IFERROR(__xludf.DUMMYFUNCTION("GOOGLETRANSLATE(A287, ""it"", ""en"")"),"286")</f>
        <v>286</v>
      </c>
      <c r="G287" s="3" t="str">
        <f>IFERROR(__xludf.DUMMYFUNCTION("GOOGLETRANSLATE(B287, ""it"", ""en"")"),"A libero dribbles the ball but it hits the ceiling and goes back to his court. What's the decision?")</f>
        <v>A libero dribbles the ball but it hits the ceiling and goes back to his court. What's the decision?</v>
      </c>
      <c r="H287" s="3" t="str">
        <f>IFERROR(__xludf.DUMMYFUNCTION("GOOGLETRANSLATE(C287, ""it"", ""en"")"),"A. The point goes to the other team B. The game continues C. The point is retaken D. The ball is considered out")</f>
        <v>A. The point goes to the other team B. The game continues C. The point is retaken D. The ball is considered out</v>
      </c>
      <c r="I287" s="3" t="str">
        <f>IFERROR(__xludf.DUMMYFUNCTION("GOOGLETRANSLATE(D287, ""it"", ""en"")"),"The point goes to the other team")</f>
        <v>The point goes to the other team</v>
      </c>
      <c r="J287" s="2"/>
      <c r="K287" s="2"/>
      <c r="L287" s="2"/>
      <c r="M287" s="2"/>
      <c r="N287" s="2"/>
      <c r="O287" s="2"/>
      <c r="P287" s="2"/>
      <c r="Q287" s="2"/>
      <c r="R287" s="2"/>
      <c r="S287" s="2"/>
      <c r="T287" s="2"/>
      <c r="U287" s="2"/>
      <c r="V287" s="2"/>
    </row>
    <row r="288" ht="22.5" customHeight="1">
      <c r="A288" s="3">
        <v>287.0</v>
      </c>
      <c r="B288" s="3" t="s">
        <v>1749</v>
      </c>
      <c r="C288" s="3" t="s">
        <v>1666</v>
      </c>
      <c r="D288" s="3" t="s">
        <v>1346</v>
      </c>
      <c r="E288" s="2"/>
      <c r="F288" s="3" t="str">
        <f>IFERROR(__xludf.DUMMYFUNCTION("GOOGLETRANSLATE(A288, ""it"", ""en"")"),"287")</f>
        <v>287</v>
      </c>
      <c r="G288" s="3" t="str">
        <f>IFERROR(__xludf.DUMMYFUNCTION("GOOGLETRANSLATE(B288, ""it"", ""en"")"),"A player hits the ball but does so illegally. What's the ruling?")</f>
        <v>A player hits the ball but does so illegally. What's the ruling?</v>
      </c>
      <c r="H288" s="3" t="str">
        <f>IFERROR(__xludf.DUMMYFUNCTION("GOOGLETRANSLATE(C288, ""it"", ""en"")"),"A. The point goes to the other team B. The game continues C. The point is repeated D. The point is valid")</f>
        <v>A. The point goes to the other team B. The game continues C. The point is repeated D. The point is valid</v>
      </c>
      <c r="I288" s="3" t="str">
        <f>IFERROR(__xludf.DUMMYFUNCTION("GOOGLETRANSLATE(D288, ""it"", ""en"")"),"The point goes to the other team")</f>
        <v>The point goes to the other team</v>
      </c>
      <c r="J288" s="2"/>
      <c r="K288" s="2"/>
      <c r="L288" s="2"/>
      <c r="M288" s="2"/>
      <c r="N288" s="2"/>
      <c r="O288" s="2"/>
      <c r="P288" s="2"/>
      <c r="Q288" s="2"/>
      <c r="R288" s="2"/>
      <c r="S288" s="2"/>
      <c r="T288" s="2"/>
      <c r="U288" s="2"/>
      <c r="V288" s="2"/>
    </row>
    <row r="289" ht="22.5" customHeight="1">
      <c r="A289" s="3">
        <v>288.0</v>
      </c>
      <c r="B289" s="3" t="s">
        <v>1750</v>
      </c>
      <c r="C289" s="3" t="s">
        <v>1501</v>
      </c>
      <c r="D289" s="3" t="s">
        <v>1346</v>
      </c>
      <c r="E289" s="2"/>
      <c r="F289" s="3" t="str">
        <f>IFERROR(__xludf.DUMMYFUNCTION("GOOGLETRANSLATE(A289, ""it"", ""en"")"),"288")</f>
        <v>288</v>
      </c>
      <c r="G289" s="3" t="str">
        <f>IFERROR(__xludf.DUMMYFUNCTION("GOOGLETRANSLATE(B289, ""it"", ""en"")"),"A libero receives the ball illegally while defending. What happens?")</f>
        <v>A libero receives the ball illegally while defending. What happens?</v>
      </c>
      <c r="H289" s="3" t="str">
        <f>IFERROR(__xludf.DUMMYFUNCTION("GOOGLETRANSLATE(C289, ""it"", ""en"")"),"A. The point goes to the other team B. The game continues C. The point is retaken D. The libero is cautioned")</f>
        <v>A. The point goes to the other team B. The game continues C. The point is retaken D. The libero is cautioned</v>
      </c>
      <c r="I289" s="3" t="str">
        <f>IFERROR(__xludf.DUMMYFUNCTION("GOOGLETRANSLATE(D289, ""it"", ""en"")"),"The point goes to the other team")</f>
        <v>The point goes to the other team</v>
      </c>
      <c r="J289" s="2"/>
      <c r="K289" s="2"/>
      <c r="L289" s="2"/>
      <c r="M289" s="2"/>
      <c r="N289" s="2"/>
      <c r="O289" s="2"/>
      <c r="P289" s="2"/>
      <c r="Q289" s="2"/>
      <c r="R289" s="2"/>
      <c r="S289" s="2"/>
      <c r="T289" s="2"/>
      <c r="U289" s="2"/>
      <c r="V289" s="2"/>
    </row>
    <row r="290" ht="22.5" customHeight="1">
      <c r="A290" s="3">
        <v>289.0</v>
      </c>
      <c r="B290" s="3" t="s">
        <v>1751</v>
      </c>
      <c r="C290" s="3" t="s">
        <v>1666</v>
      </c>
      <c r="D290" s="3" t="s">
        <v>1346</v>
      </c>
      <c r="E290" s="2"/>
      <c r="F290" s="3" t="str">
        <f>IFERROR(__xludf.DUMMYFUNCTION("GOOGLETRANSLATE(A290, ""it"", ""en"")"),"289")</f>
        <v>289</v>
      </c>
      <c r="G290" s="3" t="str">
        <f>IFERROR(__xludf.DUMMYFUNCTION("GOOGLETRANSLATE(B290, ""it"", ""en"")"),"A player jumps to spike the ball but hits the net during the move. What happens?")</f>
        <v>A player jumps to spike the ball but hits the net during the move. What happens?</v>
      </c>
      <c r="H290" s="3" t="str">
        <f>IFERROR(__xludf.DUMMYFUNCTION("GOOGLETRANSLATE(C290, ""it"", ""en"")"),"A. The point goes to the other team B. The game continues C. The point is repeated D. The point is valid")</f>
        <v>A. The point goes to the other team B. The game continues C. The point is repeated D. The point is valid</v>
      </c>
      <c r="I290" s="3" t="str">
        <f>IFERROR(__xludf.DUMMYFUNCTION("GOOGLETRANSLATE(D290, ""it"", ""en"")"),"The point goes to the other team")</f>
        <v>The point goes to the other team</v>
      </c>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0</v>
      </c>
      <c r="G1" s="1" t="s">
        <v>4</v>
      </c>
      <c r="H1" s="1" t="s">
        <v>5</v>
      </c>
      <c r="I1" s="1" t="s">
        <v>1752</v>
      </c>
      <c r="J1" s="2"/>
      <c r="K1" s="2"/>
      <c r="L1" s="2"/>
      <c r="M1" s="2"/>
      <c r="N1" s="2"/>
      <c r="O1" s="2"/>
      <c r="P1" s="2"/>
      <c r="Q1" s="2"/>
      <c r="R1" s="2"/>
    </row>
    <row r="2" ht="22.5" customHeight="1">
      <c r="A2" s="3">
        <v>1.0</v>
      </c>
      <c r="B2" s="3" t="s">
        <v>1753</v>
      </c>
      <c r="C2" s="3" t="s">
        <v>1754</v>
      </c>
      <c r="D2" s="3" t="s">
        <v>1755</v>
      </c>
      <c r="E2" s="2"/>
      <c r="F2" s="3" t="str">
        <f>IFERROR(__xludf.DUMMYFUNCTION("GOOGLETRANSLATE(A2, ""it"", ""en"")"),"1")</f>
        <v>1</v>
      </c>
      <c r="G2" s="3" t="str">
        <f>IFERROR(__xludf.DUMMYFUNCTION("GOOGLETRANSLATE(B2, ""it"", ""en"")"),"During a game of bocce, you throw a ball but it goes out of bounds. What happens?")</f>
        <v>During a game of bocce, you throw a ball but it goes out of bounds. What happens?</v>
      </c>
      <c r="H2" s="3" t="str">
        <f>IFERROR(__xludf.DUMMYFUNCTION("GOOGLETRANSLATE(C2, ""it"", ""en"")"),"A. The ball is returned and thrown again B. The ball is put back into play C. The throw is cancelled D. The ball is considered out of play")</f>
        <v>A. The ball is returned and thrown again B. The ball is put back into play C. The throw is cancelled D. The ball is considered out of play</v>
      </c>
      <c r="I2" s="3" t="str">
        <f>IFERROR(__xludf.DUMMYFUNCTION("GOOGLETRANSLATE(D2, ""it"", ""en"")"),"The bowl is considered out of play")</f>
        <v>The bowl is considered out of play</v>
      </c>
      <c r="J2" s="2"/>
      <c r="K2" s="2"/>
      <c r="L2" s="2"/>
      <c r="M2" s="2"/>
      <c r="N2" s="2"/>
      <c r="O2" s="2"/>
      <c r="P2" s="2"/>
      <c r="Q2" s="2"/>
      <c r="R2" s="2"/>
    </row>
    <row r="3" ht="22.5" customHeight="1">
      <c r="A3" s="3">
        <v>2.0</v>
      </c>
      <c r="B3" s="3" t="s">
        <v>1756</v>
      </c>
      <c r="C3" s="3" t="s">
        <v>1757</v>
      </c>
      <c r="D3" s="3" t="s">
        <v>1758</v>
      </c>
      <c r="E3" s="2"/>
      <c r="F3" s="3" t="str">
        <f>IFERROR(__xludf.DUMMYFUNCTION("GOOGLETRANSLATE(A3, ""it"", ""en"")"),"2")</f>
        <v>2</v>
      </c>
      <c r="G3" s="3" t="str">
        <f>IFERROR(__xludf.DUMMYFUNCTION("GOOGLETRANSLATE(B3, ""it"", ""en"")"),"In a game of bocce, your throw is closer to the jack than your opponent's. What happens?")</f>
        <v>In a game of bocce, your throw is closer to the jack than your opponent's. What happens?</v>
      </c>
      <c r="H3" s="3" t="str">
        <f>IFERROR(__xludf.DUMMYFUNCTION("GOOGLETRANSLATE(C3, ""it"", ""en"")"),"A. You win the point B. Your opponent wins the point C. The point is cancelled D. The score is decided by the judge")</f>
        <v>A. You win the point B. Your opponent wins the point C. The point is cancelled D. The score is decided by the judge</v>
      </c>
      <c r="I3" s="3" t="str">
        <f>IFERROR(__xludf.DUMMYFUNCTION("GOOGLETRANSLATE(D3, ""it"", ""en"")"),"You won the point")</f>
        <v>You won the point</v>
      </c>
      <c r="J3" s="2"/>
      <c r="K3" s="2"/>
      <c r="L3" s="2"/>
      <c r="M3" s="2"/>
      <c r="N3" s="2"/>
      <c r="O3" s="2"/>
      <c r="P3" s="2"/>
      <c r="Q3" s="2"/>
      <c r="R3" s="2"/>
    </row>
    <row r="4" ht="22.5" customHeight="1">
      <c r="A4" s="3">
        <v>3.0</v>
      </c>
      <c r="B4" s="3" t="s">
        <v>1759</v>
      </c>
      <c r="C4" s="3" t="s">
        <v>1760</v>
      </c>
      <c r="D4" s="3" t="s">
        <v>1755</v>
      </c>
      <c r="E4" s="2"/>
      <c r="F4" s="3" t="str">
        <f>IFERROR(__xludf.DUMMYFUNCTION("GOOGLETRANSLATE(A4, ""it"", ""en"")"),"3")</f>
        <v>3</v>
      </c>
      <c r="G4" s="3" t="str">
        <f>IFERROR(__xludf.DUMMYFUNCTION("GOOGLETRANSLATE(B4, ""it"", ""en"")"),"During the throw, your ball hits the jack, but then the jack goes out of bounds. What happens?")</f>
        <v>During the throw, your ball hits the jack, but then the jack goes out of bounds. What happens?</v>
      </c>
      <c r="H4" s="3" t="str">
        <f>IFERROR(__xludf.DUMMYFUNCTION("GOOGLETRANSLATE(C4, ""it"", ""en"")"),"A. The ball is considered out of play B. The ball is replaced C. The point goes to the opponent D. The game is cancelled")</f>
        <v>A. The ball is considered out of play B. The ball is replaced C. The point goes to the opponent D. The game is cancelled</v>
      </c>
      <c r="I4" s="3" t="str">
        <f>IFERROR(__xludf.DUMMYFUNCTION("GOOGLETRANSLATE(D4, ""it"", ""en"")"),"The bowl is considered out of play")</f>
        <v>The bowl is considered out of play</v>
      </c>
      <c r="J4" s="2"/>
      <c r="K4" s="2"/>
      <c r="L4" s="2"/>
      <c r="M4" s="2"/>
      <c r="N4" s="2"/>
      <c r="O4" s="2"/>
      <c r="P4" s="2"/>
      <c r="Q4" s="2"/>
      <c r="R4" s="2"/>
    </row>
    <row r="5" ht="22.5" customHeight="1">
      <c r="A5" s="3">
        <v>4.0</v>
      </c>
      <c r="B5" s="3" t="s">
        <v>1761</v>
      </c>
      <c r="C5" s="3" t="s">
        <v>1762</v>
      </c>
      <c r="D5" s="3" t="s">
        <v>1763</v>
      </c>
      <c r="E5" s="2"/>
      <c r="F5" s="3" t="str">
        <f>IFERROR(__xludf.DUMMYFUNCTION("GOOGLETRANSLATE(A5, ""it"", ""en"")"),"4")</f>
        <v>4</v>
      </c>
      <c r="G5" s="3" t="str">
        <f>IFERROR(__xludf.DUMMYFUNCTION("GOOGLETRANSLATE(B5, ""it"", ""en"")"),"If a ball lands on the jack, what happens?")</f>
        <v>If a ball lands on the jack, what happens?</v>
      </c>
      <c r="H5" s="3" t="str">
        <f>IFERROR(__xludf.DUMMYFUNCTION("GOOGLETRANSLATE(C5, ""it"", ""en"")"),"A. The ball is closer to the jack and earns a point B. The ball is cancelled C. The opponent wins the point D. Nothing happens")</f>
        <v>A. The ball is closer to the jack and earns a point B. The ball is cancelled C. The opponent wins the point D. Nothing happens</v>
      </c>
      <c r="I5" s="3" t="str">
        <f>IFERROR(__xludf.DUMMYFUNCTION("GOOGLETRANSLATE(D5, ""it"", ""en"")"),"The ball is closer to the jack and earns a point")</f>
        <v>The ball is closer to the jack and earns a point</v>
      </c>
      <c r="J5" s="2"/>
      <c r="K5" s="2"/>
      <c r="L5" s="2"/>
      <c r="M5" s="2"/>
      <c r="N5" s="2"/>
      <c r="O5" s="2"/>
      <c r="P5" s="2"/>
      <c r="Q5" s="2"/>
      <c r="R5" s="2"/>
    </row>
    <row r="6" ht="22.5" customHeight="1">
      <c r="A6" s="3">
        <v>5.0</v>
      </c>
      <c r="B6" s="3" t="s">
        <v>1764</v>
      </c>
      <c r="C6" s="3" t="s">
        <v>1765</v>
      </c>
      <c r="D6" s="3" t="s">
        <v>1766</v>
      </c>
      <c r="E6" s="2"/>
      <c r="F6" s="3" t="str">
        <f>IFERROR(__xludf.DUMMYFUNCTION("GOOGLETRANSLATE(A6, ""it"", ""en"")"),"5")</f>
        <v>5</v>
      </c>
      <c r="G6" s="3" t="str">
        <f>IFERROR(__xludf.DUMMYFUNCTION("GOOGLETRANSLATE(B6, ""it"", ""en"")"),"In bocce, the maximum number of bowls per team is:")</f>
        <v>In bocce, the maximum number of bowls per team is:</v>
      </c>
      <c r="H6" s="3" t="str">
        <f>IFERROR(__xludf.DUMMYFUNCTION("GOOGLETRANSLATE(C6, ""it"", ""en"")"),"A. 4 bowls per team B. 6 bowls per team C. 8 bowls per team D. 3 bowls per team")</f>
        <v>A. 4 bowls per team B. 6 bowls per team C. 8 bowls per team D. 3 bowls per team</v>
      </c>
      <c r="I6" s="3" t="str">
        <f>IFERROR(__xludf.DUMMYFUNCTION("GOOGLETRANSLATE(D6, ""it"", ""en"")"),"4 bowls per team")</f>
        <v>4 bowls per team</v>
      </c>
      <c r="J6" s="2"/>
      <c r="K6" s="2"/>
      <c r="L6" s="2"/>
      <c r="M6" s="2"/>
      <c r="N6" s="2"/>
      <c r="O6" s="2"/>
      <c r="P6" s="2"/>
      <c r="Q6" s="2"/>
      <c r="R6" s="2"/>
    </row>
    <row r="7" ht="22.5" customHeight="1">
      <c r="A7" s="3">
        <v>6.0</v>
      </c>
      <c r="B7" s="3" t="s">
        <v>1767</v>
      </c>
      <c r="C7" s="3" t="s">
        <v>1768</v>
      </c>
      <c r="D7" s="3" t="s">
        <v>1755</v>
      </c>
      <c r="E7" s="2"/>
      <c r="F7" s="3" t="str">
        <f>IFERROR(__xludf.DUMMYFUNCTION("GOOGLETRANSLATE(A7, ""it"", ""en"")"),"6")</f>
        <v>6</v>
      </c>
      <c r="G7" s="3" t="str">
        <f>IFERROR(__xludf.DUMMYFUNCTION("GOOGLETRANSLATE(B7, ""it"", ""en"")"),"If a ball slips over the throwing line without touching anything, what happens?")</f>
        <v>If a ball slips over the throwing line without touching anything, what happens?</v>
      </c>
      <c r="H7" s="3" t="str">
        <f>IFERROR(__xludf.DUMMYFUNCTION("GOOGLETRANSLATE(C7, ""it"", ""en"")"),"A. The ball is considered out of play B. The ball is replaced C. The throw is redone D. The opponent earns a point")</f>
        <v>A. The ball is considered out of play B. The ball is replaced C. The throw is redone D. The opponent earns a point</v>
      </c>
      <c r="I7" s="3" t="str">
        <f>IFERROR(__xludf.DUMMYFUNCTION("GOOGLETRANSLATE(D7, ""it"", ""en"")"),"The bowl is considered out of play")</f>
        <v>The bowl is considered out of play</v>
      </c>
      <c r="J7" s="2"/>
      <c r="K7" s="2"/>
      <c r="L7" s="2"/>
      <c r="M7" s="2"/>
      <c r="N7" s="2"/>
      <c r="O7" s="2"/>
      <c r="P7" s="2"/>
      <c r="Q7" s="2"/>
      <c r="R7" s="2"/>
    </row>
    <row r="8" ht="22.5" customHeight="1">
      <c r="A8" s="3">
        <v>7.0</v>
      </c>
      <c r="B8" s="3" t="s">
        <v>1769</v>
      </c>
      <c r="C8" s="3" t="s">
        <v>1770</v>
      </c>
      <c r="D8" s="3" t="s">
        <v>1771</v>
      </c>
      <c r="E8" s="2"/>
      <c r="F8" s="3" t="str">
        <f>IFERROR(__xludf.DUMMYFUNCTION("GOOGLETRANSLATE(A8, ""it"", ""en"")"),"7")</f>
        <v>7</v>
      </c>
      <c r="G8" s="3" t="str">
        <f>IFERROR(__xludf.DUMMYFUNCTION("GOOGLETRANSLATE(B8, ""it"", ""en"")"),"During a game of bocce, a player throws a ball and hits another ball, but without moving it off the court. What happens?")</f>
        <v>During a game of bocce, a player throws a ball and hits another ball, but without moving it off the court. What happens?</v>
      </c>
      <c r="H8" s="3" t="str">
        <f>IFERROR(__xludf.DUMMYFUNCTION("GOOGLETRANSLATE(C8, ""it"", ""en"")"),"A. The point goes to the opposing team B. The ball does not count C. The point goes to the team that threw the ball D. The ball is removed")</f>
        <v>A. The point goes to the opposing team B. The ball does not count C. The point goes to the team that threw the ball D. The ball is removed</v>
      </c>
      <c r="I8" s="3" t="str">
        <f>IFERROR(__xludf.DUMMYFUNCTION("GOOGLETRANSLATE(D8, ""it"", ""en"")"),"The point goes to the team that threw the ball")</f>
        <v>The point goes to the team that threw the ball</v>
      </c>
      <c r="J8" s="2"/>
      <c r="K8" s="2"/>
      <c r="L8" s="2"/>
      <c r="M8" s="2"/>
      <c r="N8" s="2"/>
      <c r="O8" s="2"/>
      <c r="P8" s="2"/>
      <c r="Q8" s="2"/>
      <c r="R8" s="2"/>
    </row>
    <row r="9" ht="22.5" customHeight="1">
      <c r="A9" s="3">
        <v>8.0</v>
      </c>
      <c r="B9" s="3" t="s">
        <v>1772</v>
      </c>
      <c r="C9" s="3" t="s">
        <v>1773</v>
      </c>
      <c r="D9" s="3" t="s">
        <v>1774</v>
      </c>
      <c r="E9" s="2"/>
      <c r="F9" s="3" t="str">
        <f>IFERROR(__xludf.DUMMYFUNCTION("GOOGLETRANSLATE(A9, ""it"", ""en"")"),"8")</f>
        <v>8</v>
      </c>
      <c r="G9" s="3" t="str">
        <f>IFERROR(__xludf.DUMMYFUNCTION("GOOGLETRANSLATE(B9, ""it"", ""en"")"),"What happens if no ball is near the jack?")</f>
        <v>What happens if no ball is near the jack?</v>
      </c>
      <c r="H9" s="3" t="str">
        <f>IFERROR(__xludf.DUMMYFUNCTION("GOOGLETRANSLATE(C9, ""it"", ""en"")"),"A. Play continues until a ball comes close B. The point goes to the opponent C. The game is declared void D. A point is scored for each ball closest to the jack")</f>
        <v>A. Play continues until a ball comes close B. The point goes to the opponent C. The game is declared void D. A point is scored for each ball closest to the jack</v>
      </c>
      <c r="I9" s="3" t="str">
        <f>IFERROR(__xludf.DUMMYFUNCTION("GOOGLETRANSLATE(D9, ""it"", ""en"")"),"We continue playing until a ball comes near")</f>
        <v>We continue playing until a ball comes near</v>
      </c>
      <c r="J9" s="2"/>
      <c r="K9" s="2"/>
      <c r="L9" s="2"/>
      <c r="M9" s="2"/>
      <c r="N9" s="2"/>
      <c r="O9" s="2"/>
      <c r="P9" s="2"/>
      <c r="Q9" s="2"/>
      <c r="R9" s="2"/>
    </row>
    <row r="10" ht="22.5" customHeight="1">
      <c r="A10" s="3">
        <v>9.0</v>
      </c>
      <c r="B10" s="3" t="s">
        <v>1775</v>
      </c>
      <c r="C10" s="3" t="s">
        <v>1776</v>
      </c>
      <c r="D10" s="3" t="s">
        <v>1777</v>
      </c>
      <c r="E10" s="2"/>
      <c r="F10" s="3" t="str">
        <f>IFERROR(__xludf.DUMMYFUNCTION("GOOGLETRANSLATE(A10, ""it"", ""en"")"),"9")</f>
        <v>9</v>
      </c>
      <c r="G10" s="3" t="str">
        <f>IFERROR(__xludf.DUMMYFUNCTION("GOOGLETRANSLATE(B10, ""it"", ""en"")"),"If a player accidentally kicks a ball out of bounds during his turn, what happens?")</f>
        <v>If a player accidentally kicks a ball out of bounds during his turn, what happens?</v>
      </c>
      <c r="H10" s="3" t="str">
        <f>IFERROR(__xludf.DUMMYFUNCTION("GOOGLETRANSLATE(C10, ""it"", ""en"")"),"A. The ball is cancelled and the point goes to the opposing team B. The player loses the turn C. The player can throw the ball again D. The ball is put back in its place")</f>
        <v>A. The ball is cancelled and the point goes to the opposing team B. The player loses the turn C. The player can throw the ball again D. The ball is put back in its place</v>
      </c>
      <c r="I10" s="3" t="str">
        <f>IFERROR(__xludf.DUMMYFUNCTION("GOOGLETRANSLATE(D10, ""it"", ""en"")"),"The ball is cancelled and the point goes to the opposing team")</f>
        <v>The ball is cancelled and the point goes to the opposing team</v>
      </c>
      <c r="J10" s="2"/>
      <c r="K10" s="2"/>
      <c r="L10" s="2"/>
      <c r="M10" s="2"/>
      <c r="N10" s="2"/>
      <c r="O10" s="2"/>
      <c r="P10" s="2"/>
      <c r="Q10" s="2"/>
      <c r="R10" s="2"/>
    </row>
    <row r="11" ht="22.5" customHeight="1">
      <c r="A11" s="3">
        <v>10.0</v>
      </c>
      <c r="B11" s="3" t="s">
        <v>1778</v>
      </c>
      <c r="C11" s="3" t="s">
        <v>1779</v>
      </c>
      <c r="D11" s="3" t="s">
        <v>1780</v>
      </c>
      <c r="E11" s="2"/>
      <c r="F11" s="3" t="str">
        <f>IFERROR(__xludf.DUMMYFUNCTION("GOOGLETRANSLATE(A11, ""it"", ""en"")"),"10")</f>
        <v>10</v>
      </c>
      <c r="G11" s="3" t="str">
        <f>IFERROR(__xludf.DUMMYFUNCTION("GOOGLETRANSLATE(B11, ""it"", ""en"")"),"What happens if the jack is hit by a bowl and moved into a prohibited playing area?")</f>
        <v>What happens if the jack is hit by a bowl and moved into a prohibited playing area?</v>
      </c>
      <c r="H11" s="3" t="str">
        <f>IFERROR(__xludf.DUMMYFUNCTION("GOOGLETRANSLATE(C11, ""it"", ""en"")"),"A. The game is cancelled B. The point goes to the opponent C. The cue ball is repositioned in the centre of the court D. The cue ball is put back in its place")</f>
        <v>A. The game is cancelled B. The point goes to the opponent C. The cue ball is repositioned in the centre of the court D. The cue ball is put back in its place</v>
      </c>
      <c r="I11" s="3" t="str">
        <f>IFERROR(__xludf.DUMMYFUNCTION("GOOGLETRANSLATE(D11, ""it"", ""en"")"),"The match is cancelled")</f>
        <v>The match is cancelled</v>
      </c>
      <c r="J11" s="2"/>
      <c r="K11" s="2"/>
      <c r="L11" s="2"/>
      <c r="M11" s="2"/>
      <c r="N11" s="2"/>
      <c r="O11" s="2"/>
      <c r="P11" s="2"/>
      <c r="Q11" s="2"/>
      <c r="R11" s="2"/>
    </row>
    <row r="12" ht="22.5" customHeight="1">
      <c r="A12" s="3">
        <v>11.0</v>
      </c>
      <c r="B12" s="3" t="s">
        <v>1781</v>
      </c>
      <c r="C12" s="3" t="s">
        <v>1782</v>
      </c>
      <c r="D12" s="3" t="s">
        <v>1783</v>
      </c>
      <c r="E12" s="2"/>
      <c r="F12" s="3" t="str">
        <f>IFERROR(__xludf.DUMMYFUNCTION("GOOGLETRANSLATE(A12, ""it"", ""en"")"),"11")</f>
        <v>11</v>
      </c>
      <c r="G12" s="3" t="str">
        <f>IFERROR(__xludf.DUMMYFUNCTION("GOOGLETRANSLATE(B12, ""it"", ""en"")"),"In bocce, how many bowls are used in a singles match?")</f>
        <v>In bocce, how many bowls are used in a singles match?</v>
      </c>
      <c r="H12" s="3" t="str">
        <f>IFERROR(__xludf.DUMMYFUNCTION("GOOGLETRANSLATE(C12, ""it"", ""en"")"),"A. 1 bowl per player B. 2 bowls per player C. 3 bowls per player D. 5 bowls per player")</f>
        <v>A. 1 bowl per player B. 2 bowls per player C. 3 bowls per player D. 5 bowls per player</v>
      </c>
      <c r="I12" s="3" t="str">
        <f>IFERROR(__xludf.DUMMYFUNCTION("GOOGLETRANSLATE(D12, ""it"", ""en"")"),"1 bowl per player")</f>
        <v>1 bowl per player</v>
      </c>
      <c r="J12" s="2"/>
      <c r="K12" s="2"/>
      <c r="L12" s="2"/>
      <c r="M12" s="2"/>
      <c r="N12" s="2"/>
      <c r="O12" s="2"/>
      <c r="P12" s="2"/>
      <c r="Q12" s="2"/>
      <c r="R12" s="2"/>
    </row>
    <row r="13" ht="22.5" customHeight="1">
      <c r="A13" s="3">
        <v>12.0</v>
      </c>
      <c r="B13" s="3" t="s">
        <v>1784</v>
      </c>
      <c r="C13" s="3" t="s">
        <v>1785</v>
      </c>
      <c r="D13" s="3" t="s">
        <v>1786</v>
      </c>
      <c r="E13" s="2"/>
      <c r="F13" s="3" t="str">
        <f>IFERROR(__xludf.DUMMYFUNCTION("GOOGLETRANSLATE(A13, ""it"", ""en"")"),"12")</f>
        <v>12</v>
      </c>
      <c r="G13" s="3" t="str">
        <f>IFERROR(__xludf.DUMMYFUNCTION("GOOGLETRANSLATE(B13, ""it"", ""en"")"),"If a player throws a boccia and it hits the jack, but the jack stays in place, what happens?")</f>
        <v>If a player throws a boccia and it hits the jack, but the jack stays in place, what happens?</v>
      </c>
      <c r="H13" s="3" t="str">
        <f>IFERROR(__xludf.DUMMYFUNCTION("GOOGLETRANSLATE(C13, ""it"", ""en"")"),"A. The point goes to the player who threw the ball B. The point goes to the opposing team C. The ball is cancelled D. The ball is replaced")</f>
        <v>A. The point goes to the player who threw the ball B. The point goes to the opposing team C. The ball is cancelled D. The ball is replaced</v>
      </c>
      <c r="I13" s="3" t="str">
        <f>IFERROR(__xludf.DUMMYFUNCTION("GOOGLETRANSLATE(D13, ""it"", ""en"")"),"The point goes to the player who threw the ball")</f>
        <v>The point goes to the player who threw the ball</v>
      </c>
      <c r="J13" s="2"/>
      <c r="K13" s="2"/>
      <c r="L13" s="2"/>
      <c r="M13" s="2"/>
      <c r="N13" s="2"/>
      <c r="O13" s="2"/>
      <c r="P13" s="2"/>
      <c r="Q13" s="2"/>
      <c r="R13" s="2"/>
    </row>
    <row r="14" ht="22.5" customHeight="1">
      <c r="A14" s="3">
        <v>13.0</v>
      </c>
      <c r="B14" s="3" t="s">
        <v>1787</v>
      </c>
      <c r="C14" s="3" t="s">
        <v>1788</v>
      </c>
      <c r="D14" s="3" t="s">
        <v>1789</v>
      </c>
      <c r="E14" s="2"/>
      <c r="F14" s="3" t="str">
        <f>IFERROR(__xludf.DUMMYFUNCTION("GOOGLETRANSLATE(A14, ""it"", ""en"")"),"13")</f>
        <v>13</v>
      </c>
      <c r="G14" s="3" t="str">
        <f>IFERROR(__xludf.DUMMYFUNCTION("GOOGLETRANSLATE(B14, ""it"", ""en"")"),"When a team has finished throwing all its balls, what happens?")</f>
        <v>When a team has finished throwing all its balls, what happens?</v>
      </c>
      <c r="H14" s="3" t="str">
        <f>IFERROR(__xludf.DUMMYFUNCTION("GOOGLETRANSLATE(C14, ""it"", ""en"")"),"A. The game is over B. The score is calculated and the turn passes to the opponent C. The game resumes with a new set of bowls D. The game is interrupted")</f>
        <v>A. The game is over B. The score is calculated and the turn passes to the opponent C. The game resumes with a new set of bowls D. The game is interrupted</v>
      </c>
      <c r="I14" s="3" t="str">
        <f>IFERROR(__xludf.DUMMYFUNCTION("GOOGLETRANSLATE(D14, ""it"", ""en"")"),"The score is calculated and the turn passes to the opponent")</f>
        <v>The score is calculated and the turn passes to the opponent</v>
      </c>
      <c r="J14" s="2"/>
      <c r="K14" s="2"/>
      <c r="L14" s="2"/>
      <c r="M14" s="2"/>
      <c r="N14" s="2"/>
      <c r="O14" s="2"/>
      <c r="P14" s="2"/>
      <c r="Q14" s="2"/>
      <c r="R14" s="2"/>
    </row>
    <row r="15" ht="22.5" customHeight="1">
      <c r="A15" s="3">
        <v>14.0</v>
      </c>
      <c r="B15" s="3" t="s">
        <v>1790</v>
      </c>
      <c r="C15" s="3" t="s">
        <v>1791</v>
      </c>
      <c r="D15" s="3" t="s">
        <v>1792</v>
      </c>
      <c r="E15" s="2"/>
      <c r="F15" s="3" t="str">
        <f>IFERROR(__xludf.DUMMYFUNCTION("GOOGLETRANSLATE(A15, ""it"", ""en"")"),"14")</f>
        <v>14</v>
      </c>
      <c r="G15" s="3" t="str">
        <f>IFERROR(__xludf.DUMMYFUNCTION("GOOGLETRANSLATE(B15, ""it"", ""en"")"),"During a game, a player throws a ball and it goes out of bounds. What happens?")</f>
        <v>During a game, a player throws a ball and it goes out of bounds. What happens?</v>
      </c>
      <c r="H15" s="3" t="str">
        <f>IFERROR(__xludf.DUMMYFUNCTION("GOOGLETRANSLATE(C15, ""it"", ""en"")"),"A. The ball is cancelled and the score is not counted B. The ball is placed back in its place C. The player loses a point D. The throw is redone")</f>
        <v>A. The ball is cancelled and the score is not counted B. The ball is placed back in its place C. The player loses a point D. The throw is redone</v>
      </c>
      <c r="I15" s="3" t="str">
        <f>IFERROR(__xludf.DUMMYFUNCTION("GOOGLETRANSLATE(D15, ""it"", ""en"")"),"The ball is cancelled and the score is not counted")</f>
        <v>The ball is cancelled and the score is not counted</v>
      </c>
      <c r="J15" s="2"/>
      <c r="K15" s="2"/>
      <c r="L15" s="2"/>
      <c r="M15" s="2"/>
      <c r="N15" s="2"/>
      <c r="O15" s="2"/>
      <c r="P15" s="2"/>
      <c r="Q15" s="2"/>
      <c r="R15" s="2"/>
    </row>
    <row r="16" ht="22.5" customHeight="1">
      <c r="A16" s="3">
        <v>15.0</v>
      </c>
      <c r="B16" s="3" t="s">
        <v>1793</v>
      </c>
      <c r="C16" s="3" t="s">
        <v>1794</v>
      </c>
      <c r="D16" s="3" t="s">
        <v>1795</v>
      </c>
      <c r="E16" s="2"/>
      <c r="F16" s="3" t="str">
        <f>IFERROR(__xludf.DUMMYFUNCTION("GOOGLETRANSLATE(A16, ""it"", ""en"")"),"15")</f>
        <v>15</v>
      </c>
      <c r="G16" s="3" t="str">
        <f>IFERROR(__xludf.DUMMYFUNCTION("GOOGLETRANSLATE(B16, ""it"", ""en"")"),"In the game of bocce, if a ball goes out of bounds during a throw, who gets the point?")</f>
        <v>In the game of bocce, if a ball goes out of bounds during a throw, who gets the point?</v>
      </c>
      <c r="H16" s="3" t="str">
        <f>IFERROR(__xludf.DUMMYFUNCTION("GOOGLETRANSLATE(C16, ""it"", ""en"")"),"A. To the opponent B. To the team that threw C. To no one D. To the team that has the nearest jack")</f>
        <v>A. To the opponent B. To the team that threw C. To no one D. To the team that has the nearest jack</v>
      </c>
      <c r="I16" s="3" t="str">
        <f>IFERROR(__xludf.DUMMYFUNCTION("GOOGLETRANSLATE(D16, ""it"", ""en"")"),"To the opponent")</f>
        <v>To the opponent</v>
      </c>
      <c r="J16" s="2"/>
      <c r="K16" s="2"/>
      <c r="L16" s="2"/>
      <c r="M16" s="2"/>
      <c r="N16" s="2"/>
      <c r="O16" s="2"/>
      <c r="P16" s="2"/>
      <c r="Q16" s="2"/>
      <c r="R16" s="2"/>
    </row>
    <row r="17" ht="22.5" customHeight="1">
      <c r="A17" s="3">
        <v>16.0</v>
      </c>
      <c r="B17" s="3" t="s">
        <v>1796</v>
      </c>
      <c r="C17" s="3" t="s">
        <v>1797</v>
      </c>
      <c r="D17" s="3" t="s">
        <v>1798</v>
      </c>
      <c r="E17" s="2"/>
      <c r="F17" s="3" t="str">
        <f>IFERROR(__xludf.DUMMYFUNCTION("GOOGLETRANSLATE(A17, ""it"", ""en"")"),"16")</f>
        <v>16</v>
      </c>
      <c r="G17" s="3" t="str">
        <f>IFERROR(__xludf.DUMMYFUNCTION("GOOGLETRANSLATE(B17, ""it"", ""en"")"),"During a game of bocce, a player throws a ball and it bounces off the court without hitting anything. What happens?")</f>
        <v>During a game of bocce, a player throws a ball and it bounces off the court without hitting anything. What happens?</v>
      </c>
      <c r="H17" s="3" t="str">
        <f>IFERROR(__xludf.DUMMYFUNCTION("GOOGLETRANSLATE(C17, ""it"", ""en"")"),"A. The player loses the point B. The throw is cancelled C. The point goes to the opponent D. The game continues without penalty")</f>
        <v>A. The player loses the point B. The throw is cancelled C. The point goes to the opponent D. The game continues without penalty</v>
      </c>
      <c r="I17" s="3" t="str">
        <f>IFERROR(__xludf.DUMMYFUNCTION("GOOGLETRANSLATE(D17, ""it"", ""en"")"),"The launch is cancelled")</f>
        <v>The launch is cancelled</v>
      </c>
      <c r="J17" s="2"/>
      <c r="K17" s="2"/>
      <c r="L17" s="2"/>
      <c r="M17" s="2"/>
      <c r="N17" s="2"/>
      <c r="O17" s="2"/>
      <c r="P17" s="2"/>
      <c r="Q17" s="2"/>
      <c r="R17" s="2"/>
    </row>
    <row r="18" ht="22.5" customHeight="1">
      <c r="A18" s="3">
        <v>17.0</v>
      </c>
      <c r="B18" s="3" t="s">
        <v>1799</v>
      </c>
      <c r="C18" s="3" t="s">
        <v>1800</v>
      </c>
      <c r="D18" s="3" t="s">
        <v>1801</v>
      </c>
      <c r="E18" s="2"/>
      <c r="F18" s="3" t="str">
        <f>IFERROR(__xludf.DUMMYFUNCTION("GOOGLETRANSLATE(A18, ""it"", ""en"")"),"17")</f>
        <v>17</v>
      </c>
      <c r="G18" s="3" t="str">
        <f>IFERROR(__xludf.DUMMYFUNCTION("GOOGLETRANSLATE(B18, ""it"", ""en"")"),"If the ball goes out of bounds, what happens?")</f>
        <v>If the ball goes out of bounds, what happens?</v>
      </c>
      <c r="H18" s="3" t="str">
        <f>IFERROR(__xludf.DUMMYFUNCTION("GOOGLETRANSLATE(C18, ""it"", ""en"")"),"A. The game continues normally B. The game continues with a new cue ball C. The point goes to the opponent D. The game is cancelled")</f>
        <v>A. The game continues normally B. The game continues with a new cue ball C. The point goes to the opponent D. The game is cancelled</v>
      </c>
      <c r="I18" s="3" t="str">
        <f>IFERROR(__xludf.DUMMYFUNCTION("GOOGLETRANSLATE(D18, ""it"", ""en"")"),"The game continues with a new ball")</f>
        <v>The game continues with a new ball</v>
      </c>
      <c r="J18" s="2"/>
      <c r="K18" s="2"/>
      <c r="L18" s="2"/>
      <c r="M18" s="2"/>
      <c r="N18" s="2"/>
      <c r="O18" s="2"/>
      <c r="P18" s="2"/>
      <c r="Q18" s="2"/>
      <c r="R18" s="2"/>
    </row>
    <row r="19" ht="22.5" customHeight="1">
      <c r="A19" s="3">
        <v>18.0</v>
      </c>
      <c r="B19" s="3" t="s">
        <v>1802</v>
      </c>
      <c r="C19" s="3" t="s">
        <v>1803</v>
      </c>
      <c r="D19" s="3" t="s">
        <v>1804</v>
      </c>
      <c r="E19" s="2"/>
      <c r="F19" s="3" t="str">
        <f>IFERROR(__xludf.DUMMYFUNCTION("GOOGLETRANSLATE(A19, ""it"", ""en"")"),"18")</f>
        <v>18</v>
      </c>
      <c r="G19" s="3" t="str">
        <f>IFERROR(__xludf.DUMMYFUNCTION("GOOGLETRANSLATE(B19, ""it"", ""en"")"),"In the game of bocce, what happens if all of your team's balls are closer to the jack than your opponent's?")</f>
        <v>In the game of bocce, what happens if all of your team's balls are closer to the jack than your opponent's?</v>
      </c>
      <c r="H19" s="3" t="str">
        <f>IFERROR(__xludf.DUMMYFUNCTION("GOOGLETRANSLATE(C19, ""it"", ""en"")"),"A. Your team wins the round B. The score is null C. Your team loses the round D. The game is suspended")</f>
        <v>A. Your team wins the round B. The score is null C. Your team loses the round D. The game is suspended</v>
      </c>
      <c r="I19" s="3" t="str">
        <f>IFERROR(__xludf.DUMMYFUNCTION("GOOGLETRANSLATE(D19, ""it"", ""en"")"),"Your team wins the round")</f>
        <v>Your team wins the round</v>
      </c>
      <c r="J19" s="2"/>
      <c r="K19" s="2"/>
      <c r="L19" s="2"/>
      <c r="M19" s="2"/>
      <c r="N19" s="2"/>
      <c r="O19" s="2"/>
      <c r="P19" s="2"/>
      <c r="Q19" s="2"/>
      <c r="R19" s="2"/>
    </row>
    <row r="20" ht="22.5" customHeight="1">
      <c r="A20" s="3">
        <v>19.0</v>
      </c>
      <c r="B20" s="3" t="s">
        <v>1805</v>
      </c>
      <c r="C20" s="3" t="s">
        <v>1806</v>
      </c>
      <c r="D20" s="3" t="s">
        <v>1807</v>
      </c>
      <c r="E20" s="2"/>
      <c r="F20" s="3" t="str">
        <f>IFERROR(__xludf.DUMMYFUNCTION("GOOGLETRANSLATE(A20, ""it"", ""en"")"),"19")</f>
        <v>19</v>
      </c>
      <c r="G20" s="3" t="str">
        <f>IFERROR(__xludf.DUMMYFUNCTION("GOOGLETRANSLATE(B20, ""it"", ""en"")"),"In a game of bocce, can a player throw the ball in any direction?")</f>
        <v>In a game of bocce, can a player throw the ball in any direction?</v>
      </c>
      <c r="H20" s="3" t="str">
        <f>IFERROR(__xludf.DUMMYFUNCTION("GOOGLETRANSLATE(C20, ""it"", ""en"")"),"A. No, he must always throw towards the jack B. Yes, there are no restrictions C. Only if the ball is out of bounds D. Only if the jack is further away")</f>
        <v>A. No, he must always throw towards the jack B. Yes, there are no restrictions C. Only if the ball is out of bounds D. Only if the jack is further away</v>
      </c>
      <c r="I20" s="3" t="str">
        <f>IFERROR(__xludf.DUMMYFUNCTION("GOOGLETRANSLATE(D20, ""it"", ""en"")"),"No, he must always throw towards the jack")</f>
        <v>No, he must always throw towards the jack</v>
      </c>
      <c r="J20" s="2"/>
      <c r="K20" s="2"/>
      <c r="L20" s="2"/>
      <c r="M20" s="2"/>
      <c r="N20" s="2"/>
      <c r="O20" s="2"/>
      <c r="P20" s="2"/>
      <c r="Q20" s="2"/>
      <c r="R20" s="2"/>
    </row>
    <row r="21" ht="22.5" customHeight="1">
      <c r="A21" s="3">
        <v>20.0</v>
      </c>
      <c r="B21" s="3" t="s">
        <v>1808</v>
      </c>
      <c r="C21" s="3" t="s">
        <v>1809</v>
      </c>
      <c r="D21" s="3" t="s">
        <v>1771</v>
      </c>
      <c r="E21" s="2"/>
      <c r="F21" s="3" t="str">
        <f>IFERROR(__xludf.DUMMYFUNCTION("GOOGLETRANSLATE(A21, ""it"", ""en"")"),"20")</f>
        <v>20</v>
      </c>
      <c r="G21" s="3" t="str">
        <f>IFERROR(__xludf.DUMMYFUNCTION("GOOGLETRANSLATE(B21, ""it"", ""en"")"),"What happens if a ball hits the jack but doesn't move it?")</f>
        <v>What happens if a ball hits the jack but doesn't move it?</v>
      </c>
      <c r="H21" s="3" t="str">
        <f>IFERROR(__xludf.DUMMYFUNCTION("GOOGLETRANSLATE(C21, ""it"", ""en"")"),"A. The point goes to the team that threw the ball B. The point is cancelled C. The point goes to the opponent D. The ball is removed")</f>
        <v>A. The point goes to the team that threw the ball B. The point is cancelled C. The point goes to the opponent D. The ball is removed</v>
      </c>
      <c r="I21" s="3" t="str">
        <f>IFERROR(__xludf.DUMMYFUNCTION("GOOGLETRANSLATE(D21, ""it"", ""en"")"),"The point goes to the team that threw the ball")</f>
        <v>The point goes to the team that threw the ball</v>
      </c>
      <c r="J21" s="2"/>
      <c r="K21" s="2"/>
      <c r="L21" s="2"/>
      <c r="M21" s="2"/>
      <c r="N21" s="2"/>
      <c r="O21" s="2"/>
      <c r="P21" s="2"/>
      <c r="Q21" s="2"/>
      <c r="R21" s="2"/>
    </row>
    <row r="22" ht="22.5" customHeight="1">
      <c r="A22" s="3">
        <v>21.0</v>
      </c>
      <c r="B22" s="3" t="s">
        <v>1810</v>
      </c>
      <c r="C22" s="3" t="s">
        <v>1811</v>
      </c>
      <c r="D22" s="3" t="s">
        <v>1771</v>
      </c>
      <c r="E22" s="2"/>
      <c r="F22" s="3" t="str">
        <f>IFERROR(__xludf.DUMMYFUNCTION("GOOGLETRANSLATE(A22, ""it"", ""en"")"),"21")</f>
        <v>21</v>
      </c>
      <c r="G22" s="3" t="str">
        <f>IFERROR(__xludf.DUMMYFUNCTION("GOOGLETRANSLATE(B22, ""it"", ""en"")"),"If during the game a ball hits another ball and moves it, what happens?")</f>
        <v>If during the game a ball hits another ball and moves it, what happens?</v>
      </c>
      <c r="H22" s="3" t="str">
        <f>IFERROR(__xludf.DUMMYFUNCTION("GOOGLETRANSLATE(C22, ""it"", ""en"")"),"A. The ball that has moved is considered out of play B. The point is not awarded C. The point is recalculated D. The point goes to the team that threw the ball")</f>
        <v>A. The ball that has moved is considered out of play B. The point is not awarded C. The point is recalculated D. The point goes to the team that threw the ball</v>
      </c>
      <c r="I22" s="3" t="str">
        <f>IFERROR(__xludf.DUMMYFUNCTION("GOOGLETRANSLATE(D22, ""it"", ""en"")"),"The point goes to the team that threw the ball")</f>
        <v>The point goes to the team that threw the ball</v>
      </c>
      <c r="J22" s="2"/>
      <c r="K22" s="2"/>
      <c r="L22" s="2"/>
      <c r="M22" s="2"/>
      <c r="N22" s="2"/>
      <c r="O22" s="2"/>
      <c r="P22" s="2"/>
      <c r="Q22" s="2"/>
      <c r="R22" s="2"/>
    </row>
    <row r="23" ht="22.5" customHeight="1">
      <c r="A23" s="3">
        <v>22.0</v>
      </c>
      <c r="B23" s="3" t="s">
        <v>1812</v>
      </c>
      <c r="C23" s="3" t="s">
        <v>1813</v>
      </c>
      <c r="D23" s="3" t="s">
        <v>1814</v>
      </c>
      <c r="E23" s="2"/>
      <c r="F23" s="3" t="str">
        <f>IFERROR(__xludf.DUMMYFUNCTION("GOOGLETRANSLATE(A23, ""it"", ""en"")"),"22")</f>
        <v>22</v>
      </c>
      <c r="G23" s="3" t="str">
        <f>IFERROR(__xludf.DUMMYFUNCTION("GOOGLETRANSLATE(B23, ""it"", ""en"")"),"If a ball touches the jack and then goes out of bounds, what happens?")</f>
        <v>If a ball touches the jack and then goes out of bounds, what happens?</v>
      </c>
      <c r="H23" s="3" t="str">
        <f>IFERROR(__xludf.DUMMYFUNCTION("GOOGLETRANSLATE(C23, ""it"", ""en"")"),"A. The point goes to the team that threw it B. The ball is out of play and is not counted C. The point goes to the opponent D. The game continues normally")</f>
        <v>A. The point goes to the team that threw it B. The ball is out of play and is not counted C. The point goes to the opponent D. The game continues normally</v>
      </c>
      <c r="I23" s="3" t="str">
        <f>IFERROR(__xludf.DUMMYFUNCTION("GOOGLETRANSLATE(D23, ""it"", ""en"")"),"The ball is out of play and is not counted")</f>
        <v>The ball is out of play and is not counted</v>
      </c>
      <c r="J23" s="2"/>
      <c r="K23" s="2"/>
      <c r="L23" s="2"/>
      <c r="M23" s="2"/>
      <c r="N23" s="2"/>
      <c r="O23" s="2"/>
      <c r="P23" s="2"/>
      <c r="Q23" s="2"/>
      <c r="R23" s="2"/>
    </row>
    <row r="24" ht="22.5" customHeight="1">
      <c r="A24" s="3">
        <v>23.0</v>
      </c>
      <c r="B24" s="3" t="s">
        <v>1815</v>
      </c>
      <c r="C24" s="3" t="s">
        <v>1816</v>
      </c>
      <c r="D24" s="3" t="s">
        <v>1817</v>
      </c>
      <c r="E24" s="2"/>
      <c r="F24" s="3" t="str">
        <f>IFERROR(__xludf.DUMMYFUNCTION("GOOGLETRANSLATE(A24, ""it"", ""en"")"),"23")</f>
        <v>23</v>
      </c>
      <c r="G24" s="3" t="str">
        <f>IFERROR(__xludf.DUMMYFUNCTION("GOOGLETRANSLATE(B24, ""it"", ""en"")"),"What happens if the jack ends up under a bowl during a game of bowls?")</f>
        <v>What happens if the jack ends up under a bowl during a game of bowls?</v>
      </c>
      <c r="H24" s="3" t="str">
        <f>IFERROR(__xludf.DUMMYFUNCTION("GOOGLETRANSLATE(C24, ""it"", ""en"")"),"A. The ball is repositioned B. The jack is moved C. The game continues normally D. The point is recalculated")</f>
        <v>A. The ball is repositioned B. The jack is moved C. The game continues normally D. The point is recalculated</v>
      </c>
      <c r="I24" s="3" t="str">
        <f>IFERROR(__xludf.DUMMYFUNCTION("GOOGLETRANSLATE(D24, ""it"", ""en"")"),"The ball is moved")</f>
        <v>The ball is moved</v>
      </c>
      <c r="J24" s="2"/>
      <c r="K24" s="2"/>
      <c r="L24" s="2"/>
      <c r="M24" s="2"/>
      <c r="N24" s="2"/>
      <c r="O24" s="2"/>
      <c r="P24" s="2"/>
      <c r="Q24" s="2"/>
      <c r="R24" s="2"/>
    </row>
    <row r="25" ht="22.5" customHeight="1">
      <c r="A25" s="3">
        <v>24.0</v>
      </c>
      <c r="B25" s="3" t="s">
        <v>1818</v>
      </c>
      <c r="C25" s="3" t="s">
        <v>1819</v>
      </c>
      <c r="D25" s="3" t="s">
        <v>1820</v>
      </c>
      <c r="E25" s="2"/>
      <c r="F25" s="3" t="str">
        <f>IFERROR(__xludf.DUMMYFUNCTION("GOOGLETRANSLATE(A25, ""it"", ""en"")"),"24")</f>
        <v>24</v>
      </c>
      <c r="G25" s="3" t="str">
        <f>IFERROR(__xludf.DUMMYFUNCTION("GOOGLETRANSLATE(B25, ""it"", ""en"")"),"When a ball lands near the jack, how is the score determined?")</f>
        <v>When a ball lands near the jack, how is the score determined?</v>
      </c>
      <c r="H25" s="3" t="str">
        <f>IFERROR(__xludf.DUMMYFUNCTION("GOOGLETRANSLATE(C25, ""it"", ""en"")"),"A. The ball closest to the jack is counted for each team. B. The score is recalculated. C. The point automatically goes to the team that threw it. D. The score depends on the position of the ball in relation to the playing line.")</f>
        <v>A. The ball closest to the jack is counted for each team. B. The score is recalculated. C. The point automatically goes to the team that threw it. D. The score depends on the position of the ball in relation to the playing line.</v>
      </c>
      <c r="I25" s="3" t="str">
        <f>IFERROR(__xludf.DUMMYFUNCTION("GOOGLETRANSLATE(D25, ""it"", ""en"")"),"The ball closest to the jack is counted for each team.")</f>
        <v>The ball closest to the jack is counted for each team.</v>
      </c>
      <c r="J25" s="2"/>
      <c r="K25" s="2"/>
      <c r="L25" s="2"/>
      <c r="M25" s="2"/>
      <c r="N25" s="2"/>
      <c r="O25" s="2"/>
      <c r="P25" s="2"/>
      <c r="Q25" s="2"/>
      <c r="R25" s="2"/>
    </row>
    <row r="26" ht="22.5" customHeight="1">
      <c r="A26" s="3">
        <v>25.0</v>
      </c>
      <c r="B26" s="3" t="s">
        <v>1821</v>
      </c>
      <c r="C26" s="3" t="s">
        <v>1822</v>
      </c>
      <c r="D26" s="3" t="s">
        <v>1823</v>
      </c>
      <c r="E26" s="2"/>
      <c r="F26" s="3" t="str">
        <f>IFERROR(__xludf.DUMMYFUNCTION("GOOGLETRANSLATE(A26, ""it"", ""en"")"),"25")</f>
        <v>25</v>
      </c>
      <c r="G26" s="3" t="str">
        <f>IFERROR(__xludf.DUMMYFUNCTION("GOOGLETRANSLATE(B26, ""it"", ""en"")"),"If a player exceeds the time limit for throwing, what happens?")</f>
        <v>If a player exceeds the time limit for throwing, what happens?</v>
      </c>
      <c r="H26" s="3" t="str">
        <f>IFERROR(__xludf.DUMMYFUNCTION("GOOGLETRANSLATE(C26, ""it"", ""en"")"),"A. He loses his turn B. The throw is cancelled C. The ball is thrown automatically D. The game continues without penalty")</f>
        <v>A. He loses his turn B. The throw is cancelled C. The ball is thrown automatically D. The game continues without penalty</v>
      </c>
      <c r="I26" s="3" t="str">
        <f>IFERROR(__xludf.DUMMYFUNCTION("GOOGLETRANSLATE(D26, ""it"", ""en"")"),"He loses the turn")</f>
        <v>He loses the turn</v>
      </c>
      <c r="J26" s="2"/>
      <c r="K26" s="2"/>
      <c r="L26" s="2"/>
      <c r="M26" s="2"/>
      <c r="N26" s="2"/>
      <c r="O26" s="2"/>
      <c r="P26" s="2"/>
      <c r="Q26" s="2"/>
      <c r="R26" s="2"/>
    </row>
    <row r="27" ht="22.5" customHeight="1">
      <c r="A27" s="3">
        <v>28.0</v>
      </c>
      <c r="B27" s="3" t="s">
        <v>1824</v>
      </c>
      <c r="C27" s="3" t="s">
        <v>1825</v>
      </c>
      <c r="D27" s="3" t="s">
        <v>1798</v>
      </c>
      <c r="E27" s="2"/>
      <c r="F27" s="3" t="str">
        <f>IFERROR(__xludf.DUMMYFUNCTION("GOOGLETRANSLATE(A27, ""it"", ""en"")"),"28")</f>
        <v>28</v>
      </c>
      <c r="G27" s="3" t="str">
        <f>IFERROR(__xludf.DUMMYFUNCTION("GOOGLETRANSLATE(B27, ""it"", ""en"")"),"If a ball is thrown out of bounds but is retrieved without touching any other balls, what happens?")</f>
        <v>If a ball is thrown out of bounds but is retrieved without touching any other balls, what happens?</v>
      </c>
      <c r="H27" s="3" t="str">
        <f>IFERROR(__xludf.DUMMYFUNCTION("GOOGLETRANSLATE(C27, ""it"", ""en"")"),"A. The throw is cancelled B. The point goes to the opposing team C. The ball is returned and thrown again D. The game continues normally")</f>
        <v>A. The throw is cancelled B. The point goes to the opposing team C. The ball is returned and thrown again D. The game continues normally</v>
      </c>
      <c r="I27" s="3" t="str">
        <f>IFERROR(__xludf.DUMMYFUNCTION("GOOGLETRANSLATE(D27, ""it"", ""en"")"),"The launch is cancelled")</f>
        <v>The launch is cancelled</v>
      </c>
      <c r="J27" s="2"/>
      <c r="K27" s="2"/>
      <c r="L27" s="2"/>
      <c r="M27" s="2"/>
      <c r="N27" s="2"/>
      <c r="O27" s="2"/>
      <c r="P27" s="2"/>
      <c r="Q27" s="2"/>
      <c r="R27" s="2"/>
    </row>
    <row r="28" ht="22.5" customHeight="1">
      <c r="A28" s="3">
        <v>29.0</v>
      </c>
      <c r="B28" s="3" t="s">
        <v>1826</v>
      </c>
      <c r="C28" s="3" t="s">
        <v>1827</v>
      </c>
      <c r="D28" s="3" t="s">
        <v>1828</v>
      </c>
      <c r="E28" s="2"/>
      <c r="F28" s="3" t="str">
        <f>IFERROR(__xludf.DUMMYFUNCTION("GOOGLETRANSLATE(A28, ""it"", ""en"")"),"29")</f>
        <v>29</v>
      </c>
      <c r="G28" s="3" t="str">
        <f>IFERROR(__xludf.DUMMYFUNCTION("GOOGLETRANSLATE(B28, ""it"", ""en"")"),"During the game, a player throws a ball and it hits the jack but doesn't move it. What happens?")</f>
        <v>During the game, a player throws a ball and it hits the jack but doesn't move it. What happens?</v>
      </c>
      <c r="H28" s="3" t="str">
        <f>IFERROR(__xludf.DUMMYFUNCTION("GOOGLETRANSLATE(C28, ""it"", ""en"")"),"A. The point goes to the team that threw it B. The point goes to the opponent C. The jack is removed D. The ball is removed")</f>
        <v>A. The point goes to the team that threw it B. The point goes to the opponent C. The jack is removed D. The ball is removed</v>
      </c>
      <c r="I28" s="3" t="str">
        <f>IFERROR(__xludf.DUMMYFUNCTION("GOOGLETRANSLATE(D28, ""it"", ""en"")"),"The point goes to the team that threw")</f>
        <v>The point goes to the team that threw</v>
      </c>
      <c r="J28" s="2"/>
      <c r="K28" s="2"/>
      <c r="L28" s="2"/>
      <c r="M28" s="2"/>
      <c r="N28" s="2"/>
      <c r="O28" s="2"/>
      <c r="P28" s="2"/>
      <c r="Q28" s="2"/>
      <c r="R28" s="2"/>
    </row>
    <row r="29" ht="22.5" customHeight="1">
      <c r="A29" s="3">
        <v>30.0</v>
      </c>
      <c r="B29" s="3" t="s">
        <v>1829</v>
      </c>
      <c r="C29" s="3" t="s">
        <v>1830</v>
      </c>
      <c r="D29" s="3" t="s">
        <v>1831</v>
      </c>
      <c r="E29" s="2"/>
      <c r="F29" s="3" t="str">
        <f>IFERROR(__xludf.DUMMYFUNCTION("GOOGLETRANSLATE(A29, ""it"", ""en"")"),"30")</f>
        <v>30</v>
      </c>
      <c r="G29" s="3" t="str">
        <f>IFERROR(__xludf.DUMMYFUNCTION("GOOGLETRANSLATE(B29, ""it"", ""en"")"),"What happens if a player throws a ball that touches the throwing line but does not cross the line?")</f>
        <v>What happens if a player throws a ball that touches the throwing line but does not cross the line?</v>
      </c>
      <c r="H29" s="3" t="str">
        <f>IFERROR(__xludf.DUMMYFUNCTION("GOOGLETRANSLATE(C29, ""it"", ""en"")"),"A. The throw is considered valid B. The throw is invalid and is redone C. The point goes to the opponent D. The ball is removed")</f>
        <v>A. The throw is considered valid B. The throw is invalid and is redone C. The point goes to the opponent D. The ball is removed</v>
      </c>
      <c r="I29" s="3" t="str">
        <f>IFERROR(__xludf.DUMMYFUNCTION("GOOGLETRANSLATE(D29, ""it"", ""en"")"),"The throw is considered valid")</f>
        <v>The throw is considered valid</v>
      </c>
      <c r="J29" s="2"/>
      <c r="K29" s="2"/>
      <c r="L29" s="2"/>
      <c r="M29" s="2"/>
      <c r="N29" s="2"/>
      <c r="O29" s="2"/>
      <c r="P29" s="2"/>
      <c r="Q29" s="2"/>
      <c r="R29" s="2"/>
    </row>
    <row r="30" ht="22.5" customHeight="1">
      <c r="A30" s="3">
        <v>31.0</v>
      </c>
      <c r="B30" s="3" t="s">
        <v>1832</v>
      </c>
      <c r="C30" s="3" t="s">
        <v>1833</v>
      </c>
      <c r="D30" s="3" t="s">
        <v>1834</v>
      </c>
      <c r="E30" s="2"/>
      <c r="F30" s="3" t="str">
        <f>IFERROR(__xludf.DUMMYFUNCTION("GOOGLETRANSLATE(A30, ""it"", ""en"")"),"31")</f>
        <v>31</v>
      </c>
      <c r="G30" s="3" t="str">
        <f>IFERROR(__xludf.DUMMYFUNCTION("GOOGLETRANSLATE(B30, ""it"", ""en"")"),"If the cue ball is hit and dislodged during a pitch, what happens?")</f>
        <v>If the cue ball is hit and dislodged during a pitch, what happens?</v>
      </c>
      <c r="H30" s="3" t="str">
        <f>IFERROR(__xludf.DUMMYFUNCTION("GOOGLETRANSLATE(C30, ""it"", ""en"")"),"A. The game is cancelled B. The point goes to the opposing team C. The jack is replaced D. The team that threw loses the turn")</f>
        <v>A. The game is cancelled B. The point goes to the opposing team C. The jack is replaced D. The team that threw loses the turn</v>
      </c>
      <c r="I30" s="3" t="str">
        <f>IFERROR(__xludf.DUMMYFUNCTION("GOOGLETRANSLATE(D30, ""it"", ""en"")"),"The ball is repositioned")</f>
        <v>The ball is repositioned</v>
      </c>
      <c r="J30" s="2"/>
      <c r="K30" s="2"/>
      <c r="L30" s="2"/>
      <c r="M30" s="2"/>
      <c r="N30" s="2"/>
      <c r="O30" s="2"/>
      <c r="P30" s="2"/>
      <c r="Q30" s="2"/>
      <c r="R30" s="2"/>
    </row>
    <row r="31" ht="22.5" customHeight="1">
      <c r="A31" s="3">
        <v>32.0</v>
      </c>
      <c r="B31" s="3" t="s">
        <v>1835</v>
      </c>
      <c r="C31" s="3" t="s">
        <v>1836</v>
      </c>
      <c r="D31" s="3" t="s">
        <v>1837</v>
      </c>
      <c r="E31" s="2"/>
      <c r="F31" s="3" t="str">
        <f>IFERROR(__xludf.DUMMYFUNCTION("GOOGLETRANSLATE(A31, ""it"", ""en"")"),"32")</f>
        <v>32</v>
      </c>
      <c r="G31" s="3" t="str">
        <f>IFERROR(__xludf.DUMMYFUNCTION("GOOGLETRANSLATE(B31, ""it"", ""en"")"),"If a ball accidentally moves during a throw, what happens?")</f>
        <v>If a ball accidentally moves during a throw, what happens?</v>
      </c>
      <c r="H31" s="3" t="str">
        <f>IFERROR(__xludf.DUMMYFUNCTION("GOOGLETRANSLATE(C31, ""it"", ""en"")"),"A. The point is recalculated B. The player loses his turn C. The ball is returned and thrown again D. The game continues normally")</f>
        <v>A. The point is recalculated B. The player loses his turn C. The ball is returned and thrown again D. The game continues normally</v>
      </c>
      <c r="I31" s="3" t="str">
        <f>IFERROR(__xludf.DUMMYFUNCTION("GOOGLETRANSLATE(D31, ""it"", ""en"")"),"The point is recalculated")</f>
        <v>The point is recalculated</v>
      </c>
      <c r="J31" s="2"/>
      <c r="K31" s="2"/>
      <c r="L31" s="2"/>
      <c r="M31" s="2"/>
      <c r="N31" s="2"/>
      <c r="O31" s="2"/>
      <c r="P31" s="2"/>
      <c r="Q31" s="2"/>
      <c r="R31" s="2"/>
    </row>
    <row r="32" ht="22.5" customHeight="1">
      <c r="A32" s="3">
        <v>33.0</v>
      </c>
      <c r="B32" s="3" t="s">
        <v>1838</v>
      </c>
      <c r="C32" s="3" t="s">
        <v>1839</v>
      </c>
      <c r="D32" s="3" t="s">
        <v>1840</v>
      </c>
      <c r="E32" s="2"/>
      <c r="F32" s="3" t="str">
        <f>IFERROR(__xludf.DUMMYFUNCTION("GOOGLETRANSLATE(A32, ""it"", ""en"")"),"33")</f>
        <v>33</v>
      </c>
      <c r="G32" s="3" t="str">
        <f>IFERROR(__xludf.DUMMYFUNCTION("GOOGLETRANSLATE(B32, ""it"", ""en"")"),"If a ball misses the launch line during a throw, what happens?")</f>
        <v>If a ball misses the launch line during a throw, what happens?</v>
      </c>
      <c r="H32" s="3" t="str">
        <f>IFERROR(__xludf.DUMMYFUNCTION("GOOGLETRANSLATE(C32, ""it"", ""en"")"),"A. The throw is cancelled B. The player loses the turn C. The ball is removed D. The point goes to the opposing team")</f>
        <v>A. The throw is cancelled B. The player loses the turn C. The ball is removed D. The point goes to the opposing team</v>
      </c>
      <c r="I32" s="3" t="str">
        <f>IFERROR(__xludf.DUMMYFUNCTION("GOOGLETRANSLATE(D32, ""it"", ""en"")"),"The launch is cancelled")</f>
        <v>The launch is cancelled</v>
      </c>
      <c r="J32" s="2"/>
      <c r="K32" s="2"/>
      <c r="L32" s="2"/>
      <c r="M32" s="2"/>
      <c r="N32" s="2"/>
      <c r="O32" s="2"/>
      <c r="P32" s="2"/>
      <c r="Q32" s="2"/>
      <c r="R32" s="2"/>
    </row>
    <row r="33" ht="22.5" customHeight="1">
      <c r="A33" s="3">
        <v>34.0</v>
      </c>
      <c r="B33" s="3" t="s">
        <v>1841</v>
      </c>
      <c r="C33" s="3" t="s">
        <v>1842</v>
      </c>
      <c r="D33" s="3" t="s">
        <v>1843</v>
      </c>
      <c r="E33" s="2"/>
      <c r="F33" s="3" t="str">
        <f>IFERROR(__xludf.DUMMYFUNCTION("GOOGLETRANSLATE(A33, ""it"", ""en"")"),"34")</f>
        <v>34</v>
      </c>
      <c r="G33" s="3" t="str">
        <f>IFERROR(__xludf.DUMMYFUNCTION("GOOGLETRANSLATE(B33, ""it"", ""en"")"),"What happens if a ball touches other balls before coming to rest?")</f>
        <v>What happens if a ball touches other balls before coming to rest?</v>
      </c>
      <c r="H33" s="3" t="str">
        <f>IFERROR(__xludf.DUMMYFUNCTION("GOOGLETRANSLATE(C33, ""it"", ""en"")"),"A. The ball is considered valid B. The point goes to the opponent C. The game continues without penalty D. The ball is replaced")</f>
        <v>A. The ball is considered valid B. The point goes to the opponent C. The game continues without penalty D. The ball is replaced</v>
      </c>
      <c r="I33" s="3" t="str">
        <f>IFERROR(__xludf.DUMMYFUNCTION("GOOGLETRANSLATE(D33, ""it"", ""en"")"),"The ball is considered valid")</f>
        <v>The ball is considered valid</v>
      </c>
      <c r="J33" s="2"/>
      <c r="K33" s="2"/>
      <c r="L33" s="2"/>
      <c r="M33" s="2"/>
      <c r="N33" s="2"/>
      <c r="O33" s="2"/>
      <c r="P33" s="2"/>
      <c r="Q33" s="2"/>
      <c r="R33" s="2"/>
    </row>
    <row r="34" ht="22.5" customHeight="1">
      <c r="A34" s="3">
        <v>35.0</v>
      </c>
      <c r="B34" s="3" t="s">
        <v>1844</v>
      </c>
      <c r="C34" s="3" t="s">
        <v>1845</v>
      </c>
      <c r="D34" s="3" t="s">
        <v>1834</v>
      </c>
      <c r="E34" s="2"/>
      <c r="F34" s="3" t="str">
        <f>IFERROR(__xludf.DUMMYFUNCTION("GOOGLETRANSLATE(A34, ""it"", ""en"")"),"35")</f>
        <v>35</v>
      </c>
      <c r="G34" s="3" t="str">
        <f>IFERROR(__xludf.DUMMYFUNCTION("GOOGLETRANSLATE(B34, ""it"", ""en"")"),"In the game of bocce, what happens if the jack touches the opponent's ball?")</f>
        <v>In the game of bocce, what happens if the jack touches the opponent's ball?</v>
      </c>
      <c r="H34" s="3" t="str">
        <f>IFERROR(__xludf.DUMMYFUNCTION("GOOGLETRANSLATE(C34, ""it"", ""en"")"),"A. The point goes to the team that threw the jack B. The jack is replaced C. The point goes to the team that threw the ball D. The game continues normally")</f>
        <v>A. The point goes to the team that threw the jack B. The jack is replaced C. The point goes to the team that threw the ball D. The game continues normally</v>
      </c>
      <c r="I34" s="3" t="str">
        <f>IFERROR(__xludf.DUMMYFUNCTION("GOOGLETRANSLATE(D34, ""it"", ""en"")"),"The ball is repositioned")</f>
        <v>The ball is repositioned</v>
      </c>
      <c r="J34" s="2"/>
      <c r="K34" s="2"/>
      <c r="L34" s="2"/>
      <c r="M34" s="2"/>
      <c r="N34" s="2"/>
      <c r="O34" s="2"/>
      <c r="P34" s="2"/>
      <c r="Q34" s="2"/>
      <c r="R34" s="2"/>
    </row>
    <row r="35" ht="22.5" customHeight="1">
      <c r="A35" s="3">
        <v>36.0</v>
      </c>
      <c r="B35" s="3" t="s">
        <v>1846</v>
      </c>
      <c r="C35" s="3" t="s">
        <v>1847</v>
      </c>
      <c r="D35" s="3" t="s">
        <v>1828</v>
      </c>
      <c r="E35" s="2"/>
      <c r="F35" s="3" t="str">
        <f>IFERROR(__xludf.DUMMYFUNCTION("GOOGLETRANSLATE(A35, ""it"", ""en"")"),"36")</f>
        <v>36</v>
      </c>
      <c r="G35" s="3" t="str">
        <f>IFERROR(__xludf.DUMMYFUNCTION("GOOGLETRANSLATE(B35, ""it"", ""en"")"),"If a ball touches a ball that is already at rest, but without moving it, what happens?")</f>
        <v>If a ball touches a ball that is already at rest, but without moving it, what happens?</v>
      </c>
      <c r="H35" s="3" t="str">
        <f>IFERROR(__xludf.DUMMYFUNCTION("GOOGLETRANSLATE(C35, ""it"", ""en"")"),"A. The point goes to the team that threw it B. The point is cancelled C. The ball does not count D. The game continues normally")</f>
        <v>A. The point goes to the team that threw it B. The point is cancelled C. The ball does not count D. The game continues normally</v>
      </c>
      <c r="I35" s="3" t="str">
        <f>IFERROR(__xludf.DUMMYFUNCTION("GOOGLETRANSLATE(D35, ""it"", ""en"")"),"The point goes to the team that threw")</f>
        <v>The point goes to the team that threw</v>
      </c>
      <c r="J35" s="2"/>
      <c r="K35" s="2"/>
      <c r="L35" s="2"/>
      <c r="M35" s="2"/>
      <c r="N35" s="2"/>
      <c r="O35" s="2"/>
      <c r="P35" s="2"/>
      <c r="Q35" s="2"/>
      <c r="R35" s="2"/>
    </row>
    <row r="36" ht="22.5" customHeight="1">
      <c r="A36" s="3">
        <v>37.0</v>
      </c>
      <c r="B36" s="3" t="s">
        <v>1848</v>
      </c>
      <c r="C36" s="3" t="s">
        <v>1849</v>
      </c>
      <c r="D36" s="3" t="s">
        <v>1840</v>
      </c>
      <c r="E36" s="2"/>
      <c r="F36" s="3" t="str">
        <f>IFERROR(__xludf.DUMMYFUNCTION("GOOGLETRANSLATE(A36, ""it"", ""en"")"),"37")</f>
        <v>37</v>
      </c>
      <c r="G36" s="3" t="str">
        <f>IFERROR(__xludf.DUMMYFUNCTION("GOOGLETRANSLATE(B36, ""it"", ""en"")"),"During the game, what happens if a ball is thrown outside the playing field?")</f>
        <v>During the game, what happens if a ball is thrown outside the playing field?</v>
      </c>
      <c r="H36" s="3" t="str">
        <f>IFERROR(__xludf.DUMMYFUNCTION("GOOGLETRANSLATE(C36, ""it"", ""en"")"),"A. The ball is replaced B. The throw is cancelled C. The point goes to the opponent D. The game continues normally")</f>
        <v>A. The ball is replaced B. The throw is cancelled C. The point goes to the opponent D. The game continues normally</v>
      </c>
      <c r="I36" s="3" t="str">
        <f>IFERROR(__xludf.DUMMYFUNCTION("GOOGLETRANSLATE(D36, ""it"", ""en"")"),"The launch is cancelled")</f>
        <v>The launch is cancelled</v>
      </c>
      <c r="J36" s="2"/>
      <c r="K36" s="2"/>
      <c r="L36" s="2"/>
      <c r="M36" s="2"/>
      <c r="N36" s="2"/>
      <c r="O36" s="2"/>
      <c r="P36" s="2"/>
      <c r="Q36" s="2"/>
      <c r="R36" s="2"/>
    </row>
    <row r="37" ht="22.5" customHeight="1">
      <c r="A37" s="3">
        <v>38.0</v>
      </c>
      <c r="B37" s="3" t="s">
        <v>1850</v>
      </c>
      <c r="C37" s="3" t="s">
        <v>1851</v>
      </c>
      <c r="D37" s="3" t="s">
        <v>1852</v>
      </c>
      <c r="E37" s="2"/>
      <c r="F37" s="3" t="str">
        <f>IFERROR(__xludf.DUMMYFUNCTION("GOOGLETRANSLATE(A37, ""it"", ""en"")"),"38")</f>
        <v>38</v>
      </c>
      <c r="G37" s="3" t="str">
        <f>IFERROR(__xludf.DUMMYFUNCTION("GOOGLETRANSLATE(B37, ""it"", ""en"")"),"In bocce, if a player throws a ball and it bounces off the court, what happens?")</f>
        <v>In bocce, if a player throws a ball and it bounces off the court, what happens?</v>
      </c>
      <c r="H37" s="3" t="str">
        <f>IFERROR(__xludf.DUMMYFUNCTION("GOOGLETRANSLATE(C37, ""it"", ""en"")"),"A. The ball is cancelled B. The point goes to the opponent C. The throw is repeated D. The game continues without penalty")</f>
        <v>A. The ball is cancelled B. The point goes to the opponent C. The throw is repeated D. The game continues without penalty</v>
      </c>
      <c r="I37" s="3" t="str">
        <f>IFERROR(__xludf.DUMMYFUNCTION("GOOGLETRANSLATE(D37, ""it"", ""en"")"),"The bowl is cancelled")</f>
        <v>The bowl is cancelled</v>
      </c>
      <c r="J37" s="2"/>
      <c r="K37" s="2"/>
      <c r="L37" s="2"/>
      <c r="M37" s="2"/>
      <c r="N37" s="2"/>
      <c r="O37" s="2"/>
      <c r="P37" s="2"/>
      <c r="Q37" s="2"/>
      <c r="R37" s="2"/>
    </row>
    <row r="38" ht="22.5" customHeight="1">
      <c r="A38" s="3">
        <v>39.0</v>
      </c>
      <c r="B38" s="3" t="s">
        <v>1853</v>
      </c>
      <c r="C38" s="3" t="s">
        <v>1854</v>
      </c>
      <c r="D38" s="3" t="s">
        <v>1828</v>
      </c>
      <c r="E38" s="2"/>
      <c r="F38" s="3" t="str">
        <f>IFERROR(__xludf.DUMMYFUNCTION("GOOGLETRANSLATE(A38, ""it"", ""en"")"),"39")</f>
        <v>39</v>
      </c>
      <c r="G38" s="3" t="str">
        <f>IFERROR(__xludf.DUMMYFUNCTION("GOOGLETRANSLATE(B38, ""it"", ""en"")"),"What happens if a boccia is thrown incorrectly and hits the jack?")</f>
        <v>What happens if a boccia is thrown incorrectly and hits the jack?</v>
      </c>
      <c r="H38" s="3" t="str">
        <f>IFERROR(__xludf.DUMMYFUNCTION("GOOGLETRANSLATE(C38, ""it"", ""en"")"),"A. The point goes to the team that threw it B. The point goes to the opponent C. The jack is replaced D. The ball is cancelled")</f>
        <v>A. The point goes to the team that threw it B. The point goes to the opponent C. The jack is replaced D. The ball is cancelled</v>
      </c>
      <c r="I38" s="3" t="str">
        <f>IFERROR(__xludf.DUMMYFUNCTION("GOOGLETRANSLATE(D38, ""it"", ""en"")"),"The point goes to the team that threw")</f>
        <v>The point goes to the team that threw</v>
      </c>
      <c r="J38" s="2"/>
      <c r="K38" s="2"/>
      <c r="L38" s="2"/>
      <c r="M38" s="2"/>
      <c r="N38" s="2"/>
      <c r="O38" s="2"/>
      <c r="P38" s="2"/>
      <c r="Q38" s="2"/>
      <c r="R38" s="2"/>
    </row>
    <row r="39" ht="22.5" customHeight="1">
      <c r="A39" s="3">
        <v>40.0</v>
      </c>
      <c r="B39" s="3" t="s">
        <v>1855</v>
      </c>
      <c r="C39" s="3" t="s">
        <v>1856</v>
      </c>
      <c r="D39" s="3" t="s">
        <v>1837</v>
      </c>
      <c r="E39" s="2"/>
      <c r="F39" s="3" t="str">
        <f>IFERROR(__xludf.DUMMYFUNCTION("GOOGLETRANSLATE(A39, ""it"", ""en"")"),"40")</f>
        <v>40</v>
      </c>
      <c r="G39" s="3" t="str">
        <f>IFERROR(__xludf.DUMMYFUNCTION("GOOGLETRANSLATE(B39, ""it"", ""en"")"),"If during the game a stationary ball moves due to another throw, what happens?")</f>
        <v>If during the game a stationary ball moves due to another throw, what happens?</v>
      </c>
      <c r="H39" s="3" t="str">
        <f>IFERROR(__xludf.DUMMYFUNCTION("GOOGLETRANSLATE(C39, ""it"", ""en"")"),"A. The point is recalculated B. The game continues normally C. The point goes to the opponent D. The ball is repositioned")</f>
        <v>A. The point is recalculated B. The game continues normally C. The point goes to the opponent D. The ball is repositioned</v>
      </c>
      <c r="I39" s="3" t="str">
        <f>IFERROR(__xludf.DUMMYFUNCTION("GOOGLETRANSLATE(D39, ""it"", ""en"")"),"The point is recalculated")</f>
        <v>The point is recalculated</v>
      </c>
      <c r="J39" s="2"/>
      <c r="K39" s="2"/>
      <c r="L39" s="2"/>
      <c r="M39" s="2"/>
      <c r="N39" s="2"/>
      <c r="O39" s="2"/>
      <c r="P39" s="2"/>
      <c r="Q39" s="2"/>
      <c r="R39" s="2"/>
    </row>
    <row r="40" ht="22.5" customHeight="1">
      <c r="A40" s="3">
        <v>41.0</v>
      </c>
      <c r="B40" s="3" t="s">
        <v>1857</v>
      </c>
      <c r="C40" s="3" t="s">
        <v>1858</v>
      </c>
      <c r="D40" s="3" t="s">
        <v>1859</v>
      </c>
      <c r="E40" s="2"/>
      <c r="F40" s="3" t="str">
        <f>IFERROR(__xludf.DUMMYFUNCTION("GOOGLETRANSLATE(A40, ""it"", ""en"")"),"41")</f>
        <v>41</v>
      </c>
      <c r="G40" s="3" t="str">
        <f>IFERROR(__xludf.DUMMYFUNCTION("GOOGLETRANSLATE(B40, ""it"", ""en"")"),"If a player accidentally kicks a ball while throwing, what happens?")</f>
        <v>If a player accidentally kicks a ball while throwing, what happens?</v>
      </c>
      <c r="H40" s="3" t="str">
        <f>IFERROR(__xludf.DUMMYFUNCTION("GOOGLETRANSLATE(C40, ""it"", ""en"")"),"A. The ball is replaced B. The player loses his turn C. The point goes to the opponent D. The throw is cancelled")</f>
        <v>A. The ball is replaced B. The player loses his turn C. The point goes to the opponent D. The throw is cancelled</v>
      </c>
      <c r="I40" s="3" t="str">
        <f>IFERROR(__xludf.DUMMYFUNCTION("GOOGLETRANSLATE(D40, ""it"", ""en"")"),"The ball is repositioned")</f>
        <v>The ball is repositioned</v>
      </c>
      <c r="J40" s="2"/>
      <c r="K40" s="2"/>
      <c r="L40" s="2"/>
      <c r="M40" s="2"/>
      <c r="N40" s="2"/>
      <c r="O40" s="2"/>
      <c r="P40" s="2"/>
      <c r="Q40" s="2"/>
      <c r="R40" s="2"/>
    </row>
    <row r="41" ht="22.5" customHeight="1">
      <c r="A41" s="3">
        <v>42.0</v>
      </c>
      <c r="B41" s="3" t="s">
        <v>1860</v>
      </c>
      <c r="C41" s="3" t="s">
        <v>1861</v>
      </c>
      <c r="D41" s="3" t="s">
        <v>1834</v>
      </c>
      <c r="E41" s="2"/>
      <c r="F41" s="3" t="str">
        <f>IFERROR(__xludf.DUMMYFUNCTION("GOOGLETRANSLATE(A41, ""it"", ""en"")"),"42")</f>
        <v>42</v>
      </c>
      <c r="G41" s="3" t="str">
        <f>IFERROR(__xludf.DUMMYFUNCTION("GOOGLETRANSLATE(B41, ""it"", ""en"")"),"If the cue ball goes out of bounds during a throw, what happens?")</f>
        <v>If the cue ball goes out of bounds during a throw, what happens?</v>
      </c>
      <c r="H41" s="3" t="str">
        <f>IFERROR(__xludf.DUMMYFUNCTION("GOOGLETRANSLATE(C41, ""it"", ""en"")"),"A. The point is cancelled B. The cue ball is replaced C. Play continues normally D. The game is suspended")</f>
        <v>A. The point is cancelled B. The cue ball is replaced C. Play continues normally D. The game is suspended</v>
      </c>
      <c r="I41" s="3" t="str">
        <f>IFERROR(__xludf.DUMMYFUNCTION("GOOGLETRANSLATE(D41, ""it"", ""en"")"),"The ball is repositioned")</f>
        <v>The ball is repositioned</v>
      </c>
      <c r="J41" s="2"/>
      <c r="K41" s="2"/>
      <c r="L41" s="2"/>
      <c r="M41" s="2"/>
      <c r="N41" s="2"/>
      <c r="O41" s="2"/>
      <c r="P41" s="2"/>
      <c r="Q41" s="2"/>
      <c r="R41" s="2"/>
    </row>
    <row r="42" ht="22.5" customHeight="1">
      <c r="A42" s="3">
        <v>43.0</v>
      </c>
      <c r="B42" s="3" t="s">
        <v>1862</v>
      </c>
      <c r="C42" s="3" t="s">
        <v>1863</v>
      </c>
      <c r="D42" s="3" t="s">
        <v>1864</v>
      </c>
      <c r="E42" s="2"/>
      <c r="F42" s="3" t="str">
        <f>IFERROR(__xludf.DUMMYFUNCTION("GOOGLETRANSLATE(A42, ""it"", ""en"")"),"43")</f>
        <v>43</v>
      </c>
      <c r="G42" s="3" t="str">
        <f>IFERROR(__xludf.DUMMYFUNCTION("GOOGLETRANSLATE(B42, ""it"", ""en"")"),"In bocce, if a player throws the ball and it stops in the middle of the court, what happens?")</f>
        <v>In bocce, if a player throws the ball and it stops in the middle of the court, what happens?</v>
      </c>
      <c r="H42" s="3" t="str">
        <f>IFERROR(__xludf.DUMMYFUNCTION("GOOGLETRANSLATE(C42, ""it"", ""en"")"),"A. The ball is considered valid B. The ball is considered out of play C. The point goes to the opponent D. The player loses the turn")</f>
        <v>A. The ball is considered valid B. The ball is considered out of play C. The point goes to the opponent D. The player loses the turn</v>
      </c>
      <c r="I42" s="3" t="str">
        <f>IFERROR(__xludf.DUMMYFUNCTION("GOOGLETRANSLATE(D42, ""it"", ""en"")"),"The ball is considered valid")</f>
        <v>The ball is considered valid</v>
      </c>
      <c r="J42" s="2"/>
      <c r="K42" s="2"/>
      <c r="L42" s="2"/>
      <c r="M42" s="2"/>
      <c r="N42" s="2"/>
      <c r="O42" s="2"/>
      <c r="P42" s="2"/>
      <c r="Q42" s="2"/>
      <c r="R42" s="2"/>
    </row>
    <row r="43" ht="22.5" customHeight="1">
      <c r="A43" s="3">
        <v>44.0</v>
      </c>
      <c r="B43" s="3" t="s">
        <v>1865</v>
      </c>
      <c r="C43" s="3" t="s">
        <v>1866</v>
      </c>
      <c r="D43" s="3" t="s">
        <v>1867</v>
      </c>
      <c r="E43" s="2"/>
      <c r="F43" s="3" t="str">
        <f>IFERROR(__xludf.DUMMYFUNCTION("GOOGLETRANSLATE(A43, ""it"", ""en"")"),"44")</f>
        <v>44</v>
      </c>
      <c r="G43" s="3" t="str">
        <f>IFERROR(__xludf.DUMMYFUNCTION("GOOGLETRANSLATE(B43, ""it"", ""en"")"),"If a ball is thrown out of bounds, what happens?")</f>
        <v>If a ball is thrown out of bounds, what happens?</v>
      </c>
      <c r="H43" s="3" t="str">
        <f>IFERROR(__xludf.DUMMYFUNCTION("GOOGLETRANSLATE(C43, ""it"", ""en"")"),"A. The ball is cancelled and the point is not counted B. The ball is replaced C. The point goes to the opponent D. The game is cancelled")</f>
        <v>A. The ball is cancelled and the point is not counted B. The ball is replaced C. The point goes to the opponent D. The game is cancelled</v>
      </c>
      <c r="I43" s="3" t="str">
        <f>IFERROR(__xludf.DUMMYFUNCTION("GOOGLETRANSLATE(D43, ""it"", ""en"")"),"The ball is cancelled and the point is not counted")</f>
        <v>The ball is cancelled and the point is not counted</v>
      </c>
      <c r="J43" s="2"/>
      <c r="K43" s="2"/>
      <c r="L43" s="2"/>
      <c r="M43" s="2"/>
      <c r="N43" s="2"/>
      <c r="O43" s="2"/>
      <c r="P43" s="2"/>
      <c r="Q43" s="2"/>
      <c r="R43" s="2"/>
    </row>
    <row r="44" ht="22.5" customHeight="1">
      <c r="A44" s="3">
        <v>45.0</v>
      </c>
      <c r="B44" s="3" t="s">
        <v>1868</v>
      </c>
      <c r="C44" s="3" t="s">
        <v>1869</v>
      </c>
      <c r="D44" s="3" t="s">
        <v>1870</v>
      </c>
      <c r="E44" s="2"/>
      <c r="F44" s="3" t="str">
        <f>IFERROR(__xludf.DUMMYFUNCTION("GOOGLETRANSLATE(A44, ""it"", ""en"")"),"45")</f>
        <v>45</v>
      </c>
      <c r="G44" s="3" t="str">
        <f>IFERROR(__xludf.DUMMYFUNCTION("GOOGLETRANSLATE(B44, ""it"", ""en"")"),"In bocce, how is the winner of a round determined?")</f>
        <v>In bocce, how is the winner of a round determined?</v>
      </c>
      <c r="H44" s="3" t="str">
        <f>IFERROR(__xludf.DUMMYFUNCTION("GOOGLETRANSLATE(C44, ""it"", ""en"")"),"A. The team with the ball closest to the jack wins the point B. The score is recalculated at the end of the game C. The team that throws first wins D. The game is decided by the referee")</f>
        <v>A. The team with the ball closest to the jack wins the point B. The score is recalculated at the end of the game C. The team that throws first wins D. The game is decided by the referee</v>
      </c>
      <c r="I44" s="3" t="str">
        <f>IFERROR(__xludf.DUMMYFUNCTION("GOOGLETRANSLATE(D44, ""it"", ""en"")"),"The team with the ball closest to the jack wins the point")</f>
        <v>The team with the ball closest to the jack wins the point</v>
      </c>
      <c r="J44" s="2"/>
      <c r="K44" s="2"/>
      <c r="L44" s="2"/>
      <c r="M44" s="2"/>
      <c r="N44" s="2"/>
      <c r="O44" s="2"/>
      <c r="P44" s="2"/>
      <c r="Q44" s="2"/>
      <c r="R44" s="2"/>
    </row>
    <row r="45" ht="22.5" customHeight="1">
      <c r="A45" s="3">
        <v>46.0</v>
      </c>
      <c r="B45" s="3" t="s">
        <v>1871</v>
      </c>
      <c r="C45" s="3" t="s">
        <v>1872</v>
      </c>
      <c r="D45" s="3" t="s">
        <v>1873</v>
      </c>
      <c r="E45" s="2"/>
      <c r="F45" s="3" t="str">
        <f>IFERROR(__xludf.DUMMYFUNCTION("GOOGLETRANSLATE(A45, ""it"", ""en"")"),"46")</f>
        <v>46</v>
      </c>
      <c r="G45" s="3" t="str">
        <f>IFERROR(__xludf.DUMMYFUNCTION("GOOGLETRANSLATE(B45, ""it"", ""en"")"),"What happens if during a game of bocce a player touches the opponent's ball with his feet?")</f>
        <v>What happens if during a game of bocce a player touches the opponent's ball with his feet?</v>
      </c>
      <c r="H45" s="3" t="str">
        <f>IFERROR(__xludf.DUMMYFUNCTION("GOOGLETRANSLATE(C45, ""it"", ""en"")"),"A. The point goes to the opposing team B. The game continues without penalties C. The player loses the turn D. The ball is removed")</f>
        <v>A. The point goes to the opposing team B. The game continues without penalties C. The player loses the turn D. The ball is removed</v>
      </c>
      <c r="I45" s="3" t="str">
        <f>IFERROR(__xludf.DUMMYFUNCTION("GOOGLETRANSLATE(D45, ""it"", ""en"")"),"The point goes to the opposing team")</f>
        <v>The point goes to the opposing team</v>
      </c>
      <c r="J45" s="2"/>
      <c r="K45" s="2"/>
      <c r="L45" s="2"/>
      <c r="M45" s="2"/>
      <c r="N45" s="2"/>
      <c r="O45" s="2"/>
      <c r="P45" s="2"/>
      <c r="Q45" s="2"/>
      <c r="R45" s="2"/>
    </row>
    <row r="46" ht="22.5" customHeight="1">
      <c r="A46" s="3">
        <v>47.0</v>
      </c>
      <c r="B46" s="3" t="s">
        <v>1874</v>
      </c>
      <c r="C46" s="3" t="s">
        <v>1875</v>
      </c>
      <c r="D46" s="3" t="s">
        <v>1837</v>
      </c>
      <c r="E46" s="2"/>
      <c r="F46" s="3" t="str">
        <f>IFERROR(__xludf.DUMMYFUNCTION("GOOGLETRANSLATE(A46, ""it"", ""en"")"),"47")</f>
        <v>47</v>
      </c>
      <c r="G46" s="3" t="str">
        <f>IFERROR(__xludf.DUMMYFUNCTION("GOOGLETRANSLATE(B46, ""it"", ""en"")"),"In the game of bocce, if a player throws a ball so that it hits the jack and the jack changes position, what happens?")</f>
        <v>In the game of bocce, if a player throws a ball so that it hits the jack and the jack changes position, what happens?</v>
      </c>
      <c r="H46" s="3" t="str">
        <f>IFERROR(__xludf.DUMMYFUNCTION("GOOGLETRANSLATE(C46, ""it"", ""en"")"),"A. The point is recalculated B. The jack is repositioned C. The point goes to the team that threw D. The point goes to the opponent")</f>
        <v>A. The point is recalculated B. The jack is repositioned C. The point goes to the team that threw D. The point goes to the opponent</v>
      </c>
      <c r="I46" s="3" t="str">
        <f>IFERROR(__xludf.DUMMYFUNCTION("GOOGLETRANSLATE(D46, ""it"", ""en"")"),"The point is recalculated")</f>
        <v>The point is recalculated</v>
      </c>
      <c r="J46" s="2"/>
      <c r="K46" s="2"/>
      <c r="L46" s="2"/>
      <c r="M46" s="2"/>
      <c r="N46" s="2"/>
      <c r="O46" s="2"/>
      <c r="P46" s="2"/>
      <c r="Q46" s="2"/>
      <c r="R46" s="2"/>
    </row>
    <row r="47" ht="22.5" customHeight="1">
      <c r="A47" s="3">
        <v>48.0</v>
      </c>
      <c r="B47" s="3" t="s">
        <v>1876</v>
      </c>
      <c r="C47" s="3" t="s">
        <v>1877</v>
      </c>
      <c r="D47" s="3" t="s">
        <v>1823</v>
      </c>
      <c r="E47" s="2"/>
      <c r="F47" s="3" t="str">
        <f>IFERROR(__xludf.DUMMYFUNCTION("GOOGLETRANSLATE(A47, ""it"", ""en"")"),"48")</f>
        <v>48</v>
      </c>
      <c r="G47" s="3" t="str">
        <f>IFERROR(__xludf.DUMMYFUNCTION("GOOGLETRANSLATE(B47, ""it"", ""en"")"),"If a player doesn't throw the ball within the allotted time, what happens?")</f>
        <v>If a player doesn't throw the ball within the allotted time, what happens?</v>
      </c>
      <c r="H47" s="3" t="str">
        <f>IFERROR(__xludf.DUMMYFUNCTION("GOOGLETRANSLATE(C47, ""it"", ""en"")"),"A. He loses his turn B. The game continues without penalty C. The player loses a point D. The throw is cancelled")</f>
        <v>A. He loses his turn B. The game continues without penalty C. The player loses a point D. The throw is cancelled</v>
      </c>
      <c r="I47" s="3" t="str">
        <f>IFERROR(__xludf.DUMMYFUNCTION("GOOGLETRANSLATE(D47, ""it"", ""en"")"),"He loses the turn")</f>
        <v>He loses the turn</v>
      </c>
      <c r="J47" s="2"/>
      <c r="K47" s="2"/>
      <c r="L47" s="2"/>
      <c r="M47" s="2"/>
      <c r="N47" s="2"/>
      <c r="O47" s="2"/>
      <c r="P47" s="2"/>
      <c r="Q47" s="2"/>
      <c r="R47" s="2"/>
    </row>
    <row r="48" ht="22.5" customHeight="1">
      <c r="A48" s="3">
        <v>49.0</v>
      </c>
      <c r="B48" s="3" t="s">
        <v>1878</v>
      </c>
      <c r="C48" s="3" t="s">
        <v>1879</v>
      </c>
      <c r="D48" s="3" t="s">
        <v>1880</v>
      </c>
      <c r="E48" s="2"/>
      <c r="F48" s="3" t="str">
        <f>IFERROR(__xludf.DUMMYFUNCTION("GOOGLETRANSLATE(A48, ""it"", ""en"")"),"49")</f>
        <v>49</v>
      </c>
      <c r="G48" s="3" t="str">
        <f>IFERROR(__xludf.DUMMYFUNCTION("GOOGLETRANSLATE(B48, ""it"", ""en"")"),"In bocce, if two balls are equally close to the jack, how is it decided who wins the point?")</f>
        <v>In bocce, if two balls are equally close to the jack, how is it decided who wins the point?</v>
      </c>
      <c r="H48" s="3" t="str">
        <f>IFERROR(__xludf.DUMMYFUNCTION("GOOGLETRANSLATE(C48, ""it"", ""en"")"),"A. The point is decided by the umpire B. The point goes to the team that threw last C. The point is cancelled D. The team that has the throw closest to the jack wins")</f>
        <v>A. The point is decided by the umpire B. The point goes to the team that threw last C. The point is cancelled D. The team that has the throw closest to the jack wins</v>
      </c>
      <c r="I48" s="3" t="str">
        <f>IFERROR(__xludf.DUMMYFUNCTION("GOOGLETRANSLATE(D48, ""it"", ""en"")"),"The point is decided by the judge")</f>
        <v>The point is decided by the judge</v>
      </c>
      <c r="J48" s="2"/>
      <c r="K48" s="2"/>
      <c r="L48" s="2"/>
      <c r="M48" s="2"/>
      <c r="N48" s="2"/>
      <c r="O48" s="2"/>
      <c r="P48" s="2"/>
      <c r="Q48" s="2"/>
      <c r="R48" s="2"/>
    </row>
    <row r="49" ht="22.5" customHeight="1">
      <c r="A49" s="3">
        <v>50.0</v>
      </c>
      <c r="B49" s="3" t="s">
        <v>1881</v>
      </c>
      <c r="C49" s="3" t="s">
        <v>1882</v>
      </c>
      <c r="D49" s="3" t="s">
        <v>1883</v>
      </c>
      <c r="E49" s="2"/>
      <c r="F49" s="3" t="str">
        <f>IFERROR(__xludf.DUMMYFUNCTION("GOOGLETRANSLATE(A49, ""it"", ""en"")"),"50")</f>
        <v>50</v>
      </c>
      <c r="G49" s="3" t="str">
        <f>IFERROR(__xludf.DUMMYFUNCTION("GOOGLETRANSLATE(B49, ""it"", ""en"")"),"If a ball is thrown towards the jack but lands on top of an opponent's ball, what happens?")</f>
        <v>If a ball is thrown towards the jack but lands on top of an opponent's ball, what happens?</v>
      </c>
      <c r="H49" s="3" t="str">
        <f>IFERROR(__xludf.DUMMYFUNCTION("GOOGLETRANSLATE(C49, ""it"", ""en"")"),"A. The point goes to the opponent B. The ball is removed C. The ball is considered out of play D. The game continues normally")</f>
        <v>A. The point goes to the opponent B. The ball is removed C. The ball is considered out of play D. The game continues normally</v>
      </c>
      <c r="I49" s="3" t="str">
        <f>IFERROR(__xludf.DUMMYFUNCTION("GOOGLETRANSLATE(D49, ""it"", ""en"")"),"The ball is removed")</f>
        <v>The ball is removed</v>
      </c>
      <c r="J49" s="2"/>
      <c r="K49" s="2"/>
      <c r="L49" s="2"/>
      <c r="M49" s="2"/>
      <c r="N49" s="2"/>
      <c r="O49" s="2"/>
      <c r="P49" s="2"/>
      <c r="Q49" s="2"/>
      <c r="R49" s="2"/>
    </row>
    <row r="50" ht="22.5" customHeight="1">
      <c r="A50" s="3">
        <v>51.0</v>
      </c>
      <c r="B50" s="3" t="s">
        <v>1884</v>
      </c>
      <c r="C50" s="3" t="s">
        <v>1885</v>
      </c>
      <c r="D50" s="3" t="s">
        <v>1864</v>
      </c>
      <c r="E50" s="2"/>
      <c r="F50" s="3" t="str">
        <f>IFERROR(__xludf.DUMMYFUNCTION("GOOGLETRANSLATE(A50, ""it"", ""en"")"),"51")</f>
        <v>51</v>
      </c>
      <c r="G50" s="3" t="str">
        <f>IFERROR(__xludf.DUMMYFUNCTION("GOOGLETRANSLATE(B50, ""it"", ""en"")"),"If a ball hits the edge of the court during a throw and bounces back inside the court, what happens?")</f>
        <v>If a ball hits the edge of the court during a throw and bounces back inside the court, what happens?</v>
      </c>
      <c r="H50" s="3" t="str">
        <f>IFERROR(__xludf.DUMMYFUNCTION("GOOGLETRANSLATE(C50, ""it"", ""en"")"),"A. The ball is considered valid B. The throw is cancelled C. The point goes to the opponent D. The ball is removed")</f>
        <v>A. The ball is considered valid B. The throw is cancelled C. The point goes to the opponent D. The ball is removed</v>
      </c>
      <c r="I50" s="3" t="str">
        <f>IFERROR(__xludf.DUMMYFUNCTION("GOOGLETRANSLATE(D50, ""it"", ""en"")"),"The ball is considered valid")</f>
        <v>The ball is considered valid</v>
      </c>
      <c r="J50" s="2"/>
      <c r="K50" s="2"/>
      <c r="L50" s="2"/>
      <c r="M50" s="2"/>
      <c r="N50" s="2"/>
      <c r="O50" s="2"/>
      <c r="P50" s="2"/>
      <c r="Q50" s="2"/>
      <c r="R50" s="2"/>
    </row>
    <row r="51" ht="22.5" customHeight="1">
      <c r="A51" s="3">
        <v>52.0</v>
      </c>
      <c r="B51" s="3" t="s">
        <v>1886</v>
      </c>
      <c r="C51" s="3" t="s">
        <v>1887</v>
      </c>
      <c r="D51" s="3" t="s">
        <v>1888</v>
      </c>
      <c r="E51" s="2"/>
      <c r="F51" s="3" t="str">
        <f>IFERROR(__xludf.DUMMYFUNCTION("GOOGLETRANSLATE(A51, ""it"", ""en"")"),"52")</f>
        <v>52</v>
      </c>
      <c r="G51" s="3" t="str">
        <f>IFERROR(__xludf.DUMMYFUNCTION("GOOGLETRANSLATE(B51, ""it"", ""en"")"),"What happens if during a game the jack is hit by a ball, but it doesn't move?")</f>
        <v>What happens if during a game the jack is hit by a ball, but it doesn't move?</v>
      </c>
      <c r="H51" s="3" t="str">
        <f>IFERROR(__xludf.DUMMYFUNCTION("GOOGLETRANSLATE(C51, ""it"", ""en"")"),"A. The ball earns a point B. The point is cancelled C. The game is suspended D. The point goes to the opponent")</f>
        <v>A. The ball earns a point B. The point is cancelled C. The game is suspended D. The point goes to the opponent</v>
      </c>
      <c r="I51" s="3" t="str">
        <f>IFERROR(__xludf.DUMMYFUNCTION("GOOGLETRANSLATE(D51, ""it"", ""en"")"),"The bowl earns a point")</f>
        <v>The bowl earns a point</v>
      </c>
      <c r="J51" s="2"/>
      <c r="K51" s="2"/>
      <c r="L51" s="2"/>
      <c r="M51" s="2"/>
      <c r="N51" s="2"/>
      <c r="O51" s="2"/>
      <c r="P51" s="2"/>
      <c r="Q51" s="2"/>
      <c r="R51" s="2"/>
    </row>
    <row r="52" ht="22.5" customHeight="1">
      <c r="A52" s="3">
        <v>53.0</v>
      </c>
      <c r="B52" s="3" t="s">
        <v>1889</v>
      </c>
      <c r="C52" s="3" t="s">
        <v>1890</v>
      </c>
      <c r="D52" s="3" t="s">
        <v>1859</v>
      </c>
      <c r="E52" s="2"/>
      <c r="F52" s="3" t="str">
        <f>IFERROR(__xludf.DUMMYFUNCTION("GOOGLETRANSLATE(A52, ""it"", ""en"")"),"53")</f>
        <v>53</v>
      </c>
      <c r="G52" s="3" t="str">
        <f>IFERROR(__xludf.DUMMYFUNCTION("GOOGLETRANSLATE(B52, ""it"", ""en"")"),"If a player accidentally kicks a ball while throwing, what happens?")</f>
        <v>If a player accidentally kicks a ball while throwing, what happens?</v>
      </c>
      <c r="H52" s="3" t="str">
        <f>IFERROR(__xludf.DUMMYFUNCTION("GOOGLETRANSLATE(C52, ""it"", ""en"")"),"A. The ball is replaced B. The player loses his turn C. The point goes to the opponent D. The ball is removed from the game")</f>
        <v>A. The ball is replaced B. The player loses his turn C. The point goes to the opponent D. The ball is removed from the game</v>
      </c>
      <c r="I52" s="3" t="str">
        <f>IFERROR(__xludf.DUMMYFUNCTION("GOOGLETRANSLATE(D52, ""it"", ""en"")"),"The ball is repositioned")</f>
        <v>The ball is repositioned</v>
      </c>
      <c r="J52" s="2"/>
      <c r="K52" s="2"/>
      <c r="L52" s="2"/>
      <c r="M52" s="2"/>
      <c r="N52" s="2"/>
      <c r="O52" s="2"/>
      <c r="P52" s="2"/>
      <c r="Q52" s="2"/>
      <c r="R52" s="2"/>
    </row>
    <row r="53" ht="22.5" customHeight="1">
      <c r="A53" s="3">
        <v>54.0</v>
      </c>
      <c r="B53" s="3" t="s">
        <v>1891</v>
      </c>
      <c r="C53" s="3" t="s">
        <v>1892</v>
      </c>
      <c r="D53" s="3" t="s">
        <v>1873</v>
      </c>
      <c r="E53" s="2"/>
      <c r="F53" s="3" t="str">
        <f>IFERROR(__xludf.DUMMYFUNCTION("GOOGLETRANSLATE(A53, ""it"", ""en"")"),"54")</f>
        <v>54</v>
      </c>
      <c r="G53" s="3" t="str">
        <f>IFERROR(__xludf.DUMMYFUNCTION("GOOGLETRANSLATE(B53, ""it"", ""en"")"),"If a ball is thrown incorrectly and lands out of bounds, what happens?")</f>
        <v>If a ball is thrown incorrectly and lands out of bounds, what happens?</v>
      </c>
      <c r="H53" s="3" t="str">
        <f>IFERROR(__xludf.DUMMYFUNCTION("GOOGLETRANSLATE(C53, ""it"", ""en"")"),"A. The point goes to the opposing team B. The ball is cancelled C. The ball is replaced D. The throw is redone")</f>
        <v>A. The point goes to the opposing team B. The ball is cancelled C. The ball is replaced D. The throw is redone</v>
      </c>
      <c r="I53" s="3" t="str">
        <f>IFERROR(__xludf.DUMMYFUNCTION("GOOGLETRANSLATE(D53, ""it"", ""en"")"),"The point goes to the opposing team")</f>
        <v>The point goes to the opposing team</v>
      </c>
      <c r="J53" s="2"/>
      <c r="K53" s="2"/>
      <c r="L53" s="2"/>
      <c r="M53" s="2"/>
      <c r="N53" s="2"/>
      <c r="O53" s="2"/>
      <c r="P53" s="2"/>
      <c r="Q53" s="2"/>
      <c r="R53" s="2"/>
    </row>
    <row r="54" ht="22.5" customHeight="1">
      <c r="A54" s="3">
        <v>55.0</v>
      </c>
      <c r="B54" s="3" t="s">
        <v>1893</v>
      </c>
      <c r="C54" s="3" t="s">
        <v>1894</v>
      </c>
      <c r="D54" s="3" t="s">
        <v>1888</v>
      </c>
      <c r="E54" s="2"/>
      <c r="F54" s="3" t="str">
        <f>IFERROR(__xludf.DUMMYFUNCTION("GOOGLETRANSLATE(A54, ""it"", ""en"")"),"55")</f>
        <v>55</v>
      </c>
      <c r="G54" s="3" t="str">
        <f>IFERROR(__xludf.DUMMYFUNCTION("GOOGLETRANSLATE(B54, ""it"", ""en"")"),"During the game, a player throws the ball and it stops on the jack, what happens?")</f>
        <v>During the game, a player throws the ball and it stops on the jack, what happens?</v>
      </c>
      <c r="H54" s="3" t="str">
        <f>IFERROR(__xludf.DUMMYFUNCTION("GOOGLETRANSLATE(C54, ""it"", ""en"")"),"A. The ball earns a point B. The point goes to the opponent C. The game continues without penalty D. The point is cancelled")</f>
        <v>A. The ball earns a point B. The point goes to the opponent C. The game continues without penalty D. The point is cancelled</v>
      </c>
      <c r="I54" s="3" t="str">
        <f>IFERROR(__xludf.DUMMYFUNCTION("GOOGLETRANSLATE(D54, ""it"", ""en"")"),"The bowl earns a point")</f>
        <v>The bowl earns a point</v>
      </c>
      <c r="J54" s="2"/>
      <c r="K54" s="2"/>
      <c r="L54" s="2"/>
      <c r="M54" s="2"/>
      <c r="N54" s="2"/>
      <c r="O54" s="2"/>
      <c r="P54" s="2"/>
      <c r="Q54" s="2"/>
      <c r="R54" s="2"/>
    </row>
    <row r="55" ht="22.5" customHeight="1">
      <c r="A55" s="3">
        <v>56.0</v>
      </c>
      <c r="B55" s="3" t="s">
        <v>1895</v>
      </c>
      <c r="C55" s="3" t="s">
        <v>1896</v>
      </c>
      <c r="D55" s="3" t="s">
        <v>1834</v>
      </c>
      <c r="E55" s="2"/>
      <c r="F55" s="3" t="str">
        <f>IFERROR(__xludf.DUMMYFUNCTION("GOOGLETRANSLATE(A55, ""it"", ""en"")"),"56")</f>
        <v>56</v>
      </c>
      <c r="G55" s="3" t="str">
        <f>IFERROR(__xludf.DUMMYFUNCTION("GOOGLETRANSLATE(B55, ""it"", ""en"")"),"If the cue ball is hit and moved into the opponent's court, what happens?")</f>
        <v>If the cue ball is hit and moved into the opponent's court, what happens?</v>
      </c>
      <c r="H55" s="3" t="str">
        <f>IFERROR(__xludf.DUMMYFUNCTION("GOOGLETRANSLATE(C55, ""it"", ""en"")"),"A. The game continues normally B. The point goes to the opponent C. The jack is replaced D. The ball that hit the jack is removed")</f>
        <v>A. The game continues normally B. The point goes to the opponent C. The jack is replaced D. The ball that hit the jack is removed</v>
      </c>
      <c r="I55" s="3" t="str">
        <f>IFERROR(__xludf.DUMMYFUNCTION("GOOGLETRANSLATE(D55, ""it"", ""en"")"),"The ball is repositioned")</f>
        <v>The ball is repositioned</v>
      </c>
      <c r="J55" s="2"/>
      <c r="K55" s="2"/>
      <c r="L55" s="2"/>
      <c r="M55" s="2"/>
      <c r="N55" s="2"/>
      <c r="O55" s="2"/>
      <c r="P55" s="2"/>
      <c r="Q55" s="2"/>
      <c r="R55" s="2"/>
    </row>
    <row r="56" ht="22.5" customHeight="1">
      <c r="A56" s="3">
        <v>57.0</v>
      </c>
      <c r="B56" s="3" t="s">
        <v>1897</v>
      </c>
      <c r="C56" s="3" t="s">
        <v>1898</v>
      </c>
      <c r="D56" s="3" t="s">
        <v>1852</v>
      </c>
      <c r="E56" s="2"/>
      <c r="F56" s="3" t="str">
        <f>IFERROR(__xludf.DUMMYFUNCTION("GOOGLETRANSLATE(A56, ""it"", ""en"")"),"57")</f>
        <v>57</v>
      </c>
      <c r="G56" s="3" t="str">
        <f>IFERROR(__xludf.DUMMYFUNCTION("GOOGLETRANSLATE(B56, ""it"", ""en"")"),"What happens if a ball is thrown and lands outside the court, but doesn't hit anything?")</f>
        <v>What happens if a ball is thrown and lands outside the court, but doesn't hit anything?</v>
      </c>
      <c r="H56" s="3" t="str">
        <f>IFERROR(__xludf.DUMMYFUNCTION("GOOGLETRANSLATE(C56, ""it"", ""en"")"),"A. The ball is cancelled B. The point goes to the opposing team C. The ball is replaced D. The game continues without penalty")</f>
        <v>A. The ball is cancelled B. The point goes to the opposing team C. The ball is replaced D. The game continues without penalty</v>
      </c>
      <c r="I56" s="3" t="str">
        <f>IFERROR(__xludf.DUMMYFUNCTION("GOOGLETRANSLATE(D56, ""it"", ""en"")"),"The bowl is cancelled")</f>
        <v>The bowl is cancelled</v>
      </c>
      <c r="J56" s="2"/>
      <c r="K56" s="2"/>
      <c r="L56" s="2"/>
      <c r="M56" s="2"/>
      <c r="N56" s="2"/>
      <c r="O56" s="2"/>
      <c r="P56" s="2"/>
      <c r="Q56" s="2"/>
      <c r="R56" s="2"/>
    </row>
    <row r="57" ht="22.5" customHeight="1">
      <c r="A57" s="3">
        <v>58.0</v>
      </c>
      <c r="B57" s="3" t="s">
        <v>1899</v>
      </c>
      <c r="C57" s="3" t="s">
        <v>1900</v>
      </c>
      <c r="D57" s="3" t="s">
        <v>1828</v>
      </c>
      <c r="E57" s="2"/>
      <c r="F57" s="3" t="str">
        <f>IFERROR(__xludf.DUMMYFUNCTION("GOOGLETRANSLATE(A57, ""it"", ""en"")"),"58")</f>
        <v>58</v>
      </c>
      <c r="G57" s="3" t="str">
        <f>IFERROR(__xludf.DUMMYFUNCTION("GOOGLETRANSLATE(B57, ""it"", ""en"")"),"During a throw, a player hits the opponent's ball and moves it without touching the jack. What happens?")</f>
        <v>During a throw, a player hits the opponent's ball and moves it without touching the jack. What happens?</v>
      </c>
      <c r="H57" s="3" t="str">
        <f>IFERROR(__xludf.DUMMYFUNCTION("GOOGLETRANSLATE(C57, ""it"", ""en"")"),"A. The point goes to the opposing team B. The ball that was moved is replaced C. The game continues normally D. The point goes to the team that threw it")</f>
        <v>A. The point goes to the opposing team B. The ball that was moved is replaced C. The game continues normally D. The point goes to the team that threw it</v>
      </c>
      <c r="I57" s="3" t="str">
        <f>IFERROR(__xludf.DUMMYFUNCTION("GOOGLETRANSLATE(D57, ""it"", ""en"")"),"The point goes to the team that threw")</f>
        <v>The point goes to the team that threw</v>
      </c>
      <c r="J57" s="2"/>
      <c r="K57" s="2"/>
      <c r="L57" s="2"/>
      <c r="M57" s="2"/>
      <c r="N57" s="2"/>
      <c r="O57" s="2"/>
      <c r="P57" s="2"/>
      <c r="Q57" s="2"/>
      <c r="R57" s="2"/>
    </row>
    <row r="58" ht="22.5" customHeight="1">
      <c r="A58" s="3">
        <v>59.0</v>
      </c>
      <c r="B58" s="3" t="s">
        <v>1901</v>
      </c>
      <c r="C58" s="3" t="s">
        <v>1902</v>
      </c>
      <c r="D58" s="3" t="s">
        <v>1903</v>
      </c>
      <c r="E58" s="2"/>
      <c r="F58" s="3" t="str">
        <f>IFERROR(__xludf.DUMMYFUNCTION("GOOGLETRANSLATE(A58, ""it"", ""en"")"),"59")</f>
        <v>59</v>
      </c>
      <c r="G58" s="3" t="str">
        <f>IFERROR(__xludf.DUMMYFUNCTION("GOOGLETRANSLATE(B58, ""it"", ""en"")"),"In bocce, if the jack moves during a game due to an accidental hit, what happens?")</f>
        <v>In bocce, if the jack moves during a game due to an accidental hit, what happens?</v>
      </c>
      <c r="H58" s="3" t="str">
        <f>IFERROR(__xludf.DUMMYFUNCTION("GOOGLETRANSLATE(C58, ""it"", ""en"")"),"A. The game is cancelled B. The jack is placed back in the centre of the court C. The point goes to the opponent D. The game continues normally")</f>
        <v>A. The game is cancelled B. The jack is placed back in the centre of the court C. The point goes to the opponent D. The game continues normally</v>
      </c>
      <c r="I58" s="3" t="str">
        <f>IFERROR(__xludf.DUMMYFUNCTION("GOOGLETRANSLATE(D58, ""it"", ""en"")"),"The ball is repositioned in the center of the field")</f>
        <v>The ball is repositioned in the center of the field</v>
      </c>
      <c r="J58" s="2"/>
      <c r="K58" s="2"/>
      <c r="L58" s="2"/>
      <c r="M58" s="2"/>
      <c r="N58" s="2"/>
      <c r="O58" s="2"/>
      <c r="P58" s="2"/>
      <c r="Q58" s="2"/>
      <c r="R58" s="2"/>
    </row>
    <row r="59" ht="22.5" customHeight="1">
      <c r="A59" s="3">
        <v>60.0</v>
      </c>
      <c r="B59" s="3" t="s">
        <v>1904</v>
      </c>
      <c r="C59" s="3" t="s">
        <v>1905</v>
      </c>
      <c r="D59" s="3" t="s">
        <v>1906</v>
      </c>
      <c r="E59" s="2"/>
      <c r="F59" s="3" t="str">
        <f>IFERROR(__xludf.DUMMYFUNCTION("GOOGLETRANSLATE(A59, ""it"", ""en"")"),"60")</f>
        <v>60</v>
      </c>
      <c r="G59" s="3" t="str">
        <f>IFERROR(__xludf.DUMMYFUNCTION("GOOGLETRANSLATE(B59, ""it"", ""en"")"),"If the ball lands on another ball during the throw, what happens?")</f>
        <v>If the ball lands on another ball during the throw, what happens?</v>
      </c>
      <c r="H59" s="3" t="str">
        <f>IFERROR(__xludf.DUMMYFUNCTION("GOOGLETRANSLATE(C59, ""it"", ""en"")"),"A. The ball above is considered closest to the jack B. The point goes to the opponent C. The game continues normally D. The point is cancelled")</f>
        <v>A. The ball above is considered closest to the jack B. The point goes to the opponent C. The game continues normally D. The point is cancelled</v>
      </c>
      <c r="I59" s="3" t="str">
        <f>IFERROR(__xludf.DUMMYFUNCTION("GOOGLETRANSLATE(D59, ""it"", ""en"")"),"The ball above is considered closest to the jack")</f>
        <v>The ball above is considered closest to the jack</v>
      </c>
      <c r="J59" s="2"/>
      <c r="K59" s="2"/>
      <c r="L59" s="2"/>
      <c r="M59" s="2"/>
      <c r="N59" s="2"/>
      <c r="O59" s="2"/>
      <c r="P59" s="2"/>
      <c r="Q59" s="2"/>
      <c r="R59" s="2"/>
    </row>
    <row r="60" ht="22.5" customHeight="1">
      <c r="A60" s="3">
        <v>61.0</v>
      </c>
      <c r="B60" s="3" t="s">
        <v>1907</v>
      </c>
      <c r="C60" s="3" t="s">
        <v>1908</v>
      </c>
      <c r="D60" s="3" t="s">
        <v>549</v>
      </c>
      <c r="E60" s="2"/>
      <c r="F60" s="3" t="str">
        <f>IFERROR(__xludf.DUMMYFUNCTION("GOOGLETRANSLATE(A60, ""it"", ""en"")"),"61")</f>
        <v>61</v>
      </c>
      <c r="G60" s="3" t="str">
        <f>IFERROR(__xludf.DUMMYFUNCTION("GOOGLETRANSLATE(B60, ""it"", ""en"")"),"If the player doesn't throw the ball within the time limit, what happens?")</f>
        <v>If the player doesn't throw the ball within the time limit, what happens?</v>
      </c>
      <c r="H60" s="3" t="str">
        <f>IFERROR(__xludf.DUMMYFUNCTION("GOOGLETRANSLATE(C60, ""it"", ""en"")"),"A. The player loses the turn B. The throw is cancelled C. The point is awarded to the opposing team D. The game continues without penalty")</f>
        <v>A. The player loses the turn B. The throw is cancelled C. The point is awarded to the opposing team D. The game continues without penalty</v>
      </c>
      <c r="I60" s="3" t="str">
        <f>IFERROR(__xludf.DUMMYFUNCTION("GOOGLETRANSLATE(D60, ""it"", ""en"")"),"The player loses the turn")</f>
        <v>The player loses the turn</v>
      </c>
      <c r="J60" s="2"/>
      <c r="K60" s="2"/>
      <c r="L60" s="2"/>
      <c r="M60" s="2"/>
      <c r="N60" s="2"/>
      <c r="O60" s="2"/>
      <c r="P60" s="2"/>
      <c r="Q60" s="2"/>
      <c r="R60" s="2"/>
    </row>
    <row r="61" ht="22.5" customHeight="1">
      <c r="A61" s="3">
        <v>62.0</v>
      </c>
      <c r="B61" s="3" t="s">
        <v>1909</v>
      </c>
      <c r="C61" s="3" t="s">
        <v>1910</v>
      </c>
      <c r="D61" s="3" t="s">
        <v>1864</v>
      </c>
      <c r="E61" s="2"/>
      <c r="F61" s="3" t="str">
        <f>IFERROR(__xludf.DUMMYFUNCTION("GOOGLETRANSLATE(A61, ""it"", ""en"")"),"62")</f>
        <v>62</v>
      </c>
      <c r="G61" s="3" t="str">
        <f>IFERROR(__xludf.DUMMYFUNCTION("GOOGLETRANSLATE(B61, ""it"", ""en"")"),"What happens if a ball lands on the line?")</f>
        <v>What happens if a ball lands on the line?</v>
      </c>
      <c r="H61" s="3" t="str">
        <f>IFERROR(__xludf.DUMMYFUNCTION("GOOGLETRANSLATE(C61, ""it"", ""en"")"),"A. The ball is considered out of play B. The ball is considered valid C. The point goes to the opponent D. The throw is cancelled")</f>
        <v>A. The ball is considered out of play B. The ball is considered valid C. The point goes to the opponent D. The throw is cancelled</v>
      </c>
      <c r="I61" s="3" t="str">
        <f>IFERROR(__xludf.DUMMYFUNCTION("GOOGLETRANSLATE(D61, ""it"", ""en"")"),"The ball is considered valid")</f>
        <v>The ball is considered valid</v>
      </c>
      <c r="J61" s="2"/>
      <c r="K61" s="2"/>
      <c r="L61" s="2"/>
      <c r="M61" s="2"/>
      <c r="N61" s="2"/>
      <c r="O61" s="2"/>
      <c r="P61" s="2"/>
      <c r="Q61" s="2"/>
      <c r="R61" s="2"/>
    </row>
    <row r="62" ht="22.5" customHeight="1">
      <c r="A62" s="3">
        <v>63.0</v>
      </c>
      <c r="B62" s="3" t="s">
        <v>1911</v>
      </c>
      <c r="C62" s="3" t="s">
        <v>1912</v>
      </c>
      <c r="D62" s="3" t="s">
        <v>1873</v>
      </c>
      <c r="E62" s="2"/>
      <c r="F62" s="3" t="str">
        <f>IFERROR(__xludf.DUMMYFUNCTION("GOOGLETRANSLATE(A62, ""it"", ""en"")"),"63")</f>
        <v>63</v>
      </c>
      <c r="G62" s="3" t="str">
        <f>IFERROR(__xludf.DUMMYFUNCTION("GOOGLETRANSLATE(B62, ""it"", ""en"")"),"In bocce, if a player accidentally hits an opponent's ball with his own, what happens?")</f>
        <v>In bocce, if a player accidentally hits an opponent's ball with his own, what happens?</v>
      </c>
      <c r="H62" s="3" t="str">
        <f>IFERROR(__xludf.DUMMYFUNCTION("GOOGLETRANSLATE(C62, ""it"", ""en"")"),"A. The opponent's ball is removed B. The point goes to the opposing team C. The game continues normally D. The ball is replaced")</f>
        <v>A. The opponent's ball is removed B. The point goes to the opposing team C. The game continues normally D. The ball is replaced</v>
      </c>
      <c r="I62" s="3" t="str">
        <f>IFERROR(__xludf.DUMMYFUNCTION("GOOGLETRANSLATE(D62, ""it"", ""en"")"),"The point goes to the opposing team")</f>
        <v>The point goes to the opposing team</v>
      </c>
      <c r="J62" s="2"/>
      <c r="K62" s="2"/>
      <c r="L62" s="2"/>
      <c r="M62" s="2"/>
      <c r="N62" s="2"/>
      <c r="O62" s="2"/>
      <c r="P62" s="2"/>
      <c r="Q62" s="2"/>
      <c r="R62" s="2"/>
    </row>
    <row r="63" ht="22.5" customHeight="1">
      <c r="A63" s="3">
        <v>64.0</v>
      </c>
      <c r="B63" s="3" t="s">
        <v>1913</v>
      </c>
      <c r="C63" s="3" t="s">
        <v>1914</v>
      </c>
      <c r="D63" s="3" t="s">
        <v>1852</v>
      </c>
      <c r="E63" s="2"/>
      <c r="F63" s="3" t="str">
        <f>IFERROR(__xludf.DUMMYFUNCTION("GOOGLETRANSLATE(A63, ""it"", ""en"")"),"64")</f>
        <v>64</v>
      </c>
      <c r="G63" s="3" t="str">
        <f>IFERROR(__xludf.DUMMYFUNCTION("GOOGLETRANSLATE(B63, ""it"", ""en"")"),"If a player throws a ball and it goes out of bounds but doesn't touch any other ball, what happens?")</f>
        <v>If a player throws a ball and it goes out of bounds but doesn't touch any other ball, what happens?</v>
      </c>
      <c r="H63" s="3" t="str">
        <f>IFERROR(__xludf.DUMMYFUNCTION("GOOGLETRANSLATE(C63, ""it"", ""en"")"),"A. The ball is cancelled B. The point goes to the opponent C. The throw is repeated D. The ball is removed")</f>
        <v>A. The ball is cancelled B. The point goes to the opponent C. The throw is repeated D. The ball is removed</v>
      </c>
      <c r="I63" s="3" t="str">
        <f>IFERROR(__xludf.DUMMYFUNCTION("GOOGLETRANSLATE(D63, ""it"", ""en"")"),"The bowl is cancelled")</f>
        <v>The bowl is cancelled</v>
      </c>
      <c r="J63" s="2"/>
      <c r="K63" s="2"/>
      <c r="L63" s="2"/>
      <c r="M63" s="2"/>
      <c r="N63" s="2"/>
      <c r="O63" s="2"/>
      <c r="P63" s="2"/>
      <c r="Q63" s="2"/>
      <c r="R63" s="2"/>
    </row>
    <row r="64" ht="22.5" customHeight="1">
      <c r="A64" s="3">
        <v>65.0</v>
      </c>
      <c r="B64" s="3" t="s">
        <v>1915</v>
      </c>
      <c r="C64" s="3" t="s">
        <v>1916</v>
      </c>
      <c r="D64" s="3" t="s">
        <v>1888</v>
      </c>
      <c r="E64" s="2"/>
      <c r="F64" s="3" t="str">
        <f>IFERROR(__xludf.DUMMYFUNCTION("GOOGLETRANSLATE(A64, ""it"", ""en"")"),"65")</f>
        <v>65</v>
      </c>
      <c r="G64" s="3" t="str">
        <f>IFERROR(__xludf.DUMMYFUNCTION("GOOGLETRANSLATE(B64, ""it"", ""en"")"),"If a ball hits the jack but doesn't move it, what happens?")</f>
        <v>If a ball hits the jack but doesn't move it, what happens?</v>
      </c>
      <c r="H64" s="3" t="str">
        <f>IFERROR(__xludf.DUMMYFUNCTION("GOOGLETRANSLATE(C64, ""it"", ""en"")"),"A. The ball earns a point B. The point goes to the opponent C. The jack is removed D. The point is cancelled")</f>
        <v>A. The ball earns a point B. The point goes to the opponent C. The jack is removed D. The point is cancelled</v>
      </c>
      <c r="I64" s="3" t="str">
        <f>IFERROR(__xludf.DUMMYFUNCTION("GOOGLETRANSLATE(D64, ""it"", ""en"")"),"The bowl earns a point")</f>
        <v>The bowl earns a point</v>
      </c>
      <c r="J64" s="2"/>
      <c r="K64" s="2"/>
      <c r="L64" s="2"/>
      <c r="M64" s="2"/>
      <c r="N64" s="2"/>
      <c r="O64" s="2"/>
      <c r="P64" s="2"/>
      <c r="Q64" s="2"/>
      <c r="R64" s="2"/>
    </row>
    <row r="65" ht="22.5" customHeight="1">
      <c r="A65" s="3">
        <v>66.0</v>
      </c>
      <c r="B65" s="3" t="s">
        <v>1917</v>
      </c>
      <c r="C65" s="3" t="s">
        <v>1918</v>
      </c>
      <c r="D65" s="3" t="s">
        <v>1919</v>
      </c>
      <c r="E65" s="2"/>
      <c r="F65" s="3" t="str">
        <f>IFERROR(__xludf.DUMMYFUNCTION("GOOGLETRANSLATE(A65, ""it"", ""en"")"),"66")</f>
        <v>66</v>
      </c>
      <c r="G65" s="3" t="str">
        <f>IFERROR(__xludf.DUMMYFUNCTION("GOOGLETRANSLATE(B65, ""it"", ""en"")"),"What happens if a thrown ball hits the throwing line?")</f>
        <v>What happens if a thrown ball hits the throwing line?</v>
      </c>
      <c r="H65" s="3" t="str">
        <f>IFERROR(__xludf.DUMMYFUNCTION("GOOGLETRANSLATE(C65, ""it"", ""en"")"),"A. The ball is cancelled B. The ball is valid C. The point goes to the opponent D. The throw is redone")</f>
        <v>A. The ball is cancelled B. The ball is valid C. The point goes to the opponent D. The throw is redone</v>
      </c>
      <c r="I65" s="3" t="str">
        <f>IFERROR(__xludf.DUMMYFUNCTION("GOOGLETRANSLATE(D65, ""it"", ""en"")"),"The ball is valid")</f>
        <v>The ball is valid</v>
      </c>
      <c r="J65" s="2"/>
      <c r="K65" s="2"/>
      <c r="L65" s="2"/>
      <c r="M65" s="2"/>
      <c r="N65" s="2"/>
      <c r="O65" s="2"/>
      <c r="P65" s="2"/>
      <c r="Q65" s="2"/>
      <c r="R65" s="2"/>
    </row>
    <row r="66" ht="22.5" customHeight="1">
      <c r="A66" s="3">
        <v>67.0</v>
      </c>
      <c r="B66" s="3" t="s">
        <v>1920</v>
      </c>
      <c r="C66" s="3" t="s">
        <v>1921</v>
      </c>
      <c r="D66" s="3" t="s">
        <v>1828</v>
      </c>
      <c r="E66" s="2"/>
      <c r="F66" s="3" t="str">
        <f>IFERROR(__xludf.DUMMYFUNCTION("GOOGLETRANSLATE(A66, ""it"", ""en"")"),"67")</f>
        <v>67</v>
      </c>
      <c r="G66" s="3" t="str">
        <f>IFERROR(__xludf.DUMMYFUNCTION("GOOGLETRANSLATE(B66, ""it"", ""en"")"),"If a player throws a bocce ball that hits the jack and moves it, what happens?")</f>
        <v>If a player throws a bocce ball that hits the jack and moves it, what happens?</v>
      </c>
      <c r="H66" s="3" t="str">
        <f>IFERROR(__xludf.DUMMYFUNCTION("GOOGLETRANSLATE(C66, ""it"", ""en"")"),"A. The point goes to the team that threw it B. The point goes to the opposing team C. The jack is replaced D. The point is cancelled")</f>
        <v>A. The point goes to the team that threw it B. The point goes to the opposing team C. The jack is replaced D. The point is cancelled</v>
      </c>
      <c r="I66" s="3" t="str">
        <f>IFERROR(__xludf.DUMMYFUNCTION("GOOGLETRANSLATE(D66, ""it"", ""en"")"),"The point goes to the team that threw")</f>
        <v>The point goes to the team that threw</v>
      </c>
      <c r="J66" s="2"/>
      <c r="K66" s="2"/>
      <c r="L66" s="2"/>
      <c r="M66" s="2"/>
      <c r="N66" s="2"/>
      <c r="O66" s="2"/>
      <c r="P66" s="2"/>
      <c r="Q66" s="2"/>
      <c r="R66" s="2"/>
    </row>
    <row r="67" ht="22.5" customHeight="1">
      <c r="A67" s="3">
        <v>68.0</v>
      </c>
      <c r="B67" s="3" t="s">
        <v>1922</v>
      </c>
      <c r="C67" s="3" t="s">
        <v>1902</v>
      </c>
      <c r="D67" s="3" t="s">
        <v>1903</v>
      </c>
      <c r="E67" s="2"/>
      <c r="F67" s="3" t="str">
        <f>IFERROR(__xludf.DUMMYFUNCTION("GOOGLETRANSLATE(A67, ""it"", ""en"")"),"68")</f>
        <v>68</v>
      </c>
      <c r="G67" s="3" t="str">
        <f>IFERROR(__xludf.DUMMYFUNCTION("GOOGLETRANSLATE(B67, ""it"", ""en"")"),"During the game, if the jack goes out of bounds after a throw, what happens?")</f>
        <v>During the game, if the jack goes out of bounds after a throw, what happens?</v>
      </c>
      <c r="H67" s="3" t="str">
        <f>IFERROR(__xludf.DUMMYFUNCTION("GOOGLETRANSLATE(C67, ""it"", ""en"")"),"A. The game is cancelled B. The jack is placed back in the centre of the court C. The point goes to the opponent D. The game continues normally")</f>
        <v>A. The game is cancelled B. The jack is placed back in the centre of the court C. The point goes to the opponent D. The game continues normally</v>
      </c>
      <c r="I67" s="3" t="str">
        <f>IFERROR(__xludf.DUMMYFUNCTION("GOOGLETRANSLATE(D67, ""it"", ""en"")"),"The ball is repositioned in the center of the field")</f>
        <v>The ball is repositioned in the center of the field</v>
      </c>
      <c r="J67" s="2"/>
      <c r="K67" s="2"/>
      <c r="L67" s="2"/>
      <c r="M67" s="2"/>
      <c r="N67" s="2"/>
      <c r="O67" s="2"/>
      <c r="P67" s="2"/>
      <c r="Q67" s="2"/>
      <c r="R67" s="2"/>
    </row>
    <row r="68" ht="22.5" customHeight="1">
      <c r="A68" s="3">
        <v>69.0</v>
      </c>
      <c r="B68" s="3" t="s">
        <v>1923</v>
      </c>
      <c r="C68" s="3" t="s">
        <v>1924</v>
      </c>
      <c r="D68" s="3" t="s">
        <v>1925</v>
      </c>
      <c r="E68" s="2"/>
      <c r="F68" s="3" t="str">
        <f>IFERROR(__xludf.DUMMYFUNCTION("GOOGLETRANSLATE(A68, ""it"", ""en"")"),"69")</f>
        <v>69</v>
      </c>
      <c r="G68" s="3" t="str">
        <f>IFERROR(__xludf.DUMMYFUNCTION("GOOGLETRANSLATE(B68, ""it"", ""en"")"),"If during a game the jack stops under a ball, what happens?")</f>
        <v>If during a game the jack stops under a ball, what happens?</v>
      </c>
      <c r="H68" s="3" t="str">
        <f>IFERROR(__xludf.DUMMYFUNCTION("GOOGLETRANSLATE(C68, ""it"", ""en"")"),"A. The jack is removed B. The point is cancelled C. Play continues normally D. The point goes to the team that threw it")</f>
        <v>A. The jack is removed B. The point is cancelled C. Play continues normally D. The point goes to the team that threw it</v>
      </c>
      <c r="I68" s="3" t="str">
        <f>IFERROR(__xludf.DUMMYFUNCTION("GOOGLETRANSLATE(D68, ""it"", ""en"")"),"The dot is removed")</f>
        <v>The dot is removed</v>
      </c>
      <c r="J68" s="2"/>
      <c r="K68" s="2"/>
      <c r="L68" s="2"/>
      <c r="M68" s="2"/>
      <c r="N68" s="2"/>
      <c r="O68" s="2"/>
      <c r="P68" s="2"/>
      <c r="Q68" s="2"/>
      <c r="R68" s="2"/>
    </row>
    <row r="69" ht="22.5" customHeight="1">
      <c r="A69" s="3">
        <v>70.0</v>
      </c>
      <c r="B69" s="3" t="s">
        <v>1926</v>
      </c>
      <c r="C69" s="3" t="s">
        <v>1927</v>
      </c>
      <c r="D69" s="3" t="s">
        <v>21</v>
      </c>
      <c r="E69" s="2"/>
      <c r="F69" s="3" t="str">
        <f>IFERROR(__xludf.DUMMYFUNCTION("GOOGLETRANSLATE(A69, ""it"", ""en"")"),"70")</f>
        <v>70</v>
      </c>
      <c r="G69" s="3" t="str">
        <f>IFERROR(__xludf.DUMMYFUNCTION("GOOGLETRANSLATE(B69, ""it"", ""en"")"),"If the player throws the ball and it hits another ball and changes direction, what happens?")</f>
        <v>If the player throws the ball and it hits another ball and changes direction, what happens?</v>
      </c>
      <c r="H69" s="3" t="str">
        <f>IFERROR(__xludf.DUMMYFUNCTION("GOOGLETRANSLATE(C69, ""it"", ""en"")"),"A. The ball is considered out of play B. The point goes to the opposing team C. The game continues normally D. The point is cancelled")</f>
        <v>A. The ball is considered out of play B. The point goes to the opposing team C. The game continues normally D. The point is cancelled</v>
      </c>
      <c r="I69" s="3" t="str">
        <f>IFERROR(__xludf.DUMMYFUNCTION("GOOGLETRANSLATE(D69, ""it"", ""en"")"),"The game continues normally")</f>
        <v>The game continues normally</v>
      </c>
      <c r="J69" s="2"/>
      <c r="K69" s="2"/>
      <c r="L69" s="2"/>
      <c r="M69" s="2"/>
      <c r="N69" s="2"/>
      <c r="O69" s="2"/>
      <c r="P69" s="2"/>
      <c r="Q69" s="2"/>
      <c r="R69" s="2"/>
    </row>
    <row r="70" ht="22.5" customHeight="1">
      <c r="A70" s="3">
        <v>71.0</v>
      </c>
      <c r="B70" s="3" t="s">
        <v>1928</v>
      </c>
      <c r="C70" s="3" t="s">
        <v>1929</v>
      </c>
      <c r="D70" s="3" t="s">
        <v>1930</v>
      </c>
      <c r="E70" s="2"/>
      <c r="F70" s="3" t="str">
        <f>IFERROR(__xludf.DUMMYFUNCTION("GOOGLETRANSLATE(A70, ""it"", ""en"")"),"71")</f>
        <v>71</v>
      </c>
      <c r="G70" s="3" t="str">
        <f>IFERROR(__xludf.DUMMYFUNCTION("GOOGLETRANSLATE(B70, ""it"", ""en"")"),"In the game of bocce, what happens if a ball stops in the middle of the court?")</f>
        <v>In the game of bocce, what happens if a ball stops in the middle of the court?</v>
      </c>
      <c r="H70" s="3" t="str">
        <f>IFERROR(__xludf.DUMMYFUNCTION("GOOGLETRANSLATE(C70, ""it"", ""en"")"),"A. The point is awarded to the opposing team B. The ball is considered out of play C. The ball is valid and the game continues D. The ball is removed")</f>
        <v>A. The point is awarded to the opposing team B. The ball is considered out of play C. The ball is valid and the game continues D. The ball is removed</v>
      </c>
      <c r="I70" s="3" t="str">
        <f>IFERROR(__xludf.DUMMYFUNCTION("GOOGLETRANSLATE(D70, ""it"", ""en"")"),"The ball is valid and the game continues")</f>
        <v>The ball is valid and the game continues</v>
      </c>
      <c r="J70" s="2"/>
      <c r="K70" s="2"/>
      <c r="L70" s="2"/>
      <c r="M70" s="2"/>
      <c r="N70" s="2"/>
      <c r="O70" s="2"/>
      <c r="P70" s="2"/>
      <c r="Q70" s="2"/>
      <c r="R70" s="2"/>
    </row>
    <row r="71" ht="22.5" customHeight="1">
      <c r="A71" s="3">
        <v>72.0</v>
      </c>
      <c r="B71" s="3" t="s">
        <v>1931</v>
      </c>
      <c r="C71" s="3" t="s">
        <v>1932</v>
      </c>
      <c r="D71" s="3" t="s">
        <v>1852</v>
      </c>
      <c r="E71" s="2"/>
      <c r="F71" s="3" t="str">
        <f>IFERROR(__xludf.DUMMYFUNCTION("GOOGLETRANSLATE(A71, ""it"", ""en"")"),"72")</f>
        <v>72</v>
      </c>
      <c r="G71" s="3" t="str">
        <f>IFERROR(__xludf.DUMMYFUNCTION("GOOGLETRANSLATE(B71, ""it"", ""en"")"),"During a game of bocce, if a ball is thrown out of bounds without hitting anything, what happens?")</f>
        <v>During a game of bocce, if a ball is thrown out of bounds without hitting anything, what happens?</v>
      </c>
      <c r="H71" s="3" t="str">
        <f>IFERROR(__xludf.DUMMYFUNCTION("GOOGLETRANSLATE(C71, ""it"", ""en"")"),"A. The ball is cancelled B. The point goes to the opposing team C. The player loses the turn D. The game continues normally")</f>
        <v>A. The ball is cancelled B. The point goes to the opposing team C. The player loses the turn D. The game continues normally</v>
      </c>
      <c r="I71" s="3" t="str">
        <f>IFERROR(__xludf.DUMMYFUNCTION("GOOGLETRANSLATE(D71, ""it"", ""en"")"),"The bowl is cancelled")</f>
        <v>The bowl is cancelled</v>
      </c>
      <c r="J71" s="2"/>
      <c r="K71" s="2"/>
      <c r="L71" s="2"/>
      <c r="M71" s="2"/>
      <c r="N71" s="2"/>
      <c r="O71" s="2"/>
      <c r="P71" s="2"/>
      <c r="Q71" s="2"/>
      <c r="R71" s="2"/>
    </row>
    <row r="72" ht="22.5" customHeight="1">
      <c r="A72" s="3">
        <v>73.0</v>
      </c>
      <c r="B72" s="3" t="s">
        <v>1933</v>
      </c>
      <c r="C72" s="3" t="s">
        <v>1934</v>
      </c>
      <c r="D72" s="3" t="s">
        <v>1834</v>
      </c>
      <c r="E72" s="2"/>
      <c r="F72" s="3" t="str">
        <f>IFERROR(__xludf.DUMMYFUNCTION("GOOGLETRANSLATE(A72, ""it"", ""en"")"),"73")</f>
        <v>73</v>
      </c>
      <c r="G72" s="3" t="str">
        <f>IFERROR(__xludf.DUMMYFUNCTION("GOOGLETRANSLATE(B72, ""it"", ""en"")"),"If the cue ball is hit and moved into another team's throwing zone, what happens?")</f>
        <v>If the cue ball is hit and moved into another team's throwing zone, what happens?</v>
      </c>
      <c r="H72" s="3" t="str">
        <f>IFERROR(__xludf.DUMMYFUNCTION("GOOGLETRANSLATE(C72, ""it"", ""en"")"),"A. The point goes to the team that threw it B. The jack is replaced C. The point goes to the opponent D. The game continues without penalty")</f>
        <v>A. The point goes to the team that threw it B. The jack is replaced C. The point goes to the opponent D. The game continues without penalty</v>
      </c>
      <c r="I72" s="3" t="str">
        <f>IFERROR(__xludf.DUMMYFUNCTION("GOOGLETRANSLATE(D72, ""it"", ""en"")"),"The ball is repositioned")</f>
        <v>The ball is repositioned</v>
      </c>
      <c r="J72" s="2"/>
      <c r="K72" s="2"/>
      <c r="L72" s="2"/>
      <c r="M72" s="2"/>
      <c r="N72" s="2"/>
      <c r="O72" s="2"/>
      <c r="P72" s="2"/>
      <c r="Q72" s="2"/>
      <c r="R72" s="2"/>
    </row>
    <row r="73" ht="22.5" customHeight="1">
      <c r="A73" s="3">
        <v>74.0</v>
      </c>
      <c r="B73" s="3" t="s">
        <v>1935</v>
      </c>
      <c r="C73" s="3" t="s">
        <v>1936</v>
      </c>
      <c r="D73" s="3" t="s">
        <v>1888</v>
      </c>
      <c r="E73" s="2"/>
      <c r="F73" s="3" t="str">
        <f>IFERROR(__xludf.DUMMYFUNCTION("GOOGLETRANSLATE(A73, ""it"", ""en"")"),"74")</f>
        <v>74</v>
      </c>
      <c r="G73" s="3" t="str">
        <f>IFERROR(__xludf.DUMMYFUNCTION("GOOGLETRANSLATE(B73, ""it"", ""en"")"),"If a boccia is thrown over the jack but does not touch it, what happens?")</f>
        <v>If a boccia is thrown over the jack but does not touch it, what happens?</v>
      </c>
      <c r="H73" s="3" t="str">
        <f>IFERROR(__xludf.DUMMYFUNCTION("GOOGLETRANSLATE(C73, ""it"", ""en"")"),"A. The ball earns a point B. The point goes to the opponent C. The game continues normally D. The point is cancelled")</f>
        <v>A. The ball earns a point B. The point goes to the opponent C. The game continues normally D. The point is cancelled</v>
      </c>
      <c r="I73" s="3" t="str">
        <f>IFERROR(__xludf.DUMMYFUNCTION("GOOGLETRANSLATE(D73, ""it"", ""en"")"),"The bowl earns a point")</f>
        <v>The bowl earns a point</v>
      </c>
      <c r="J73" s="2"/>
      <c r="K73" s="2"/>
      <c r="L73" s="2"/>
      <c r="M73" s="2"/>
      <c r="N73" s="2"/>
      <c r="O73" s="2"/>
      <c r="P73" s="2"/>
      <c r="Q73" s="2"/>
      <c r="R73" s="2"/>
    </row>
    <row r="74" ht="22.5" customHeight="1">
      <c r="A74" s="3">
        <v>75.0</v>
      </c>
      <c r="B74" s="3" t="s">
        <v>1937</v>
      </c>
      <c r="C74" s="3" t="s">
        <v>1938</v>
      </c>
      <c r="D74" s="3" t="s">
        <v>1837</v>
      </c>
      <c r="E74" s="2"/>
      <c r="F74" s="3" t="str">
        <f>IFERROR(__xludf.DUMMYFUNCTION("GOOGLETRANSLATE(A74, ""it"", ""en"")"),"75")</f>
        <v>75</v>
      </c>
      <c r="G74" s="3" t="str">
        <f>IFERROR(__xludf.DUMMYFUNCTION("GOOGLETRANSLATE(B74, ""it"", ""en"")"),"What happens if a player throws a ball and it hits a stationary ball?")</f>
        <v>What happens if a player throws a ball and it hits a stationary ball?</v>
      </c>
      <c r="H74" s="3" t="str">
        <f>IFERROR(__xludf.DUMMYFUNCTION("GOOGLETRANSLATE(C74, ""it"", ""en"")"),"A. The point is recalculated B. The ball is removed C. The point goes to the team that threw it D. Play continues normally")</f>
        <v>A. The point is recalculated B. The ball is removed C. The point goes to the team that threw it D. Play continues normally</v>
      </c>
      <c r="I74" s="3" t="str">
        <f>IFERROR(__xludf.DUMMYFUNCTION("GOOGLETRANSLATE(D74, ""it"", ""en"")"),"The point is recalculated")</f>
        <v>The point is recalculated</v>
      </c>
      <c r="J74" s="2"/>
      <c r="K74" s="2"/>
      <c r="L74" s="2"/>
      <c r="M74" s="2"/>
      <c r="N74" s="2"/>
      <c r="O74" s="2"/>
      <c r="P74" s="2"/>
      <c r="Q74" s="2"/>
      <c r="R74" s="2"/>
    </row>
    <row r="75" ht="22.5" customHeight="1">
      <c r="A75" s="3">
        <v>76.0</v>
      </c>
      <c r="B75" s="3" t="s">
        <v>1939</v>
      </c>
      <c r="C75" s="3" t="s">
        <v>1940</v>
      </c>
      <c r="D75" s="3" t="s">
        <v>1828</v>
      </c>
      <c r="E75" s="2"/>
      <c r="F75" s="3" t="str">
        <f>IFERROR(__xludf.DUMMYFUNCTION("GOOGLETRANSLATE(A75, ""it"", ""en"")"),"76")</f>
        <v>76</v>
      </c>
      <c r="G75" s="3" t="str">
        <f>IFERROR(__xludf.DUMMYFUNCTION("GOOGLETRANSLATE(B75, ""it"", ""en"")"),"If a player throws the ball out of bounds, but the ball hits another ball, what happens?")</f>
        <v>If a player throws the ball out of bounds, but the ball hits another ball, what happens?</v>
      </c>
      <c r="H75" s="3" t="str">
        <f>IFERROR(__xludf.DUMMYFUNCTION("GOOGLETRANSLATE(C75, ""it"", ""en"")"),"A. The point goes to the team that threw it B. The ball is replaced C. The point goes to the opponent D. The game continues normally")</f>
        <v>A. The point goes to the team that threw it B. The ball is replaced C. The point goes to the opponent D. The game continues normally</v>
      </c>
      <c r="I75" s="3" t="str">
        <f>IFERROR(__xludf.DUMMYFUNCTION("GOOGLETRANSLATE(D75, ""it"", ""en"")"),"The point goes to the team that threw")</f>
        <v>The point goes to the team that threw</v>
      </c>
      <c r="J75" s="2"/>
      <c r="K75" s="2"/>
      <c r="L75" s="2"/>
      <c r="M75" s="2"/>
      <c r="N75" s="2"/>
      <c r="O75" s="2"/>
      <c r="P75" s="2"/>
      <c r="Q75" s="2"/>
      <c r="R75" s="2"/>
    </row>
    <row r="76" ht="22.5" customHeight="1">
      <c r="A76" s="3">
        <v>77.0</v>
      </c>
      <c r="B76" s="3" t="s">
        <v>1941</v>
      </c>
      <c r="C76" s="3" t="s">
        <v>1942</v>
      </c>
      <c r="D76" s="3" t="s">
        <v>1943</v>
      </c>
      <c r="E76" s="2"/>
      <c r="F76" s="3" t="str">
        <f>IFERROR(__xludf.DUMMYFUNCTION("GOOGLETRANSLATE(A76, ""it"", ""en"")"),"77")</f>
        <v>77</v>
      </c>
      <c r="G76" s="3" t="str">
        <f>IFERROR(__xludf.DUMMYFUNCTION("GOOGLETRANSLATE(B76, ""it"", ""en"")"),"If a ball lands on the jack, how is the score determined?")</f>
        <v>If a ball lands on the jack, how is the score determined?</v>
      </c>
      <c r="H76" s="3" t="str">
        <f>IFERROR(__xludf.DUMMYFUNCTION("GOOGLETRANSLATE(C76, ""it"", ""en"")"),"A. The ball earns the point B. The point goes to the opponent C. The game continues normally D. The ball is cancelled")</f>
        <v>A. The ball earns the point B. The point goes to the opponent C. The game continues normally D. The ball is cancelled</v>
      </c>
      <c r="I76" s="3" t="str">
        <f>IFERROR(__xludf.DUMMYFUNCTION("GOOGLETRANSLATE(D76, ""it"", ""en"")"),"The bowl earns the point")</f>
        <v>The bowl earns the point</v>
      </c>
      <c r="J76" s="2"/>
      <c r="K76" s="2"/>
      <c r="L76" s="2"/>
      <c r="M76" s="2"/>
      <c r="N76" s="2"/>
      <c r="O76" s="2"/>
      <c r="P76" s="2"/>
      <c r="Q76" s="2"/>
      <c r="R76" s="2"/>
    </row>
    <row r="77" ht="22.5" customHeight="1">
      <c r="A77" s="3">
        <v>80.0</v>
      </c>
      <c r="B77" s="3" t="s">
        <v>1944</v>
      </c>
      <c r="C77" s="3" t="s">
        <v>1945</v>
      </c>
      <c r="D77" s="3" t="s">
        <v>1864</v>
      </c>
      <c r="E77" s="2"/>
      <c r="F77" s="3" t="str">
        <f>IFERROR(__xludf.DUMMYFUNCTION("GOOGLETRANSLATE(A77, ""it"", ""en"")"),"80")</f>
        <v>80</v>
      </c>
      <c r="G77" s="3" t="str">
        <f>IFERROR(__xludf.DUMMYFUNCTION("GOOGLETRANSLATE(B77, ""it"", ""en"")"),"What happens if a player throws a ball and it touches the baseline without going out?")</f>
        <v>What happens if a player throws a ball and it touches the baseline without going out?</v>
      </c>
      <c r="H77" s="3" t="str">
        <f>IFERROR(__xludf.DUMMYFUNCTION("GOOGLETRANSLATE(C77, ""it"", ""en"")"),"A. The ball is considered valid B. The point goes to the opponent C. The throw is cancelled D. The point is cancelled")</f>
        <v>A. The ball is considered valid B. The point goes to the opponent C. The throw is cancelled D. The point is cancelled</v>
      </c>
      <c r="I77" s="3" t="str">
        <f>IFERROR(__xludf.DUMMYFUNCTION("GOOGLETRANSLATE(D77, ""it"", ""en"")"),"The ball is considered valid")</f>
        <v>The ball is considered valid</v>
      </c>
      <c r="J77" s="2"/>
      <c r="K77" s="2"/>
      <c r="L77" s="2"/>
      <c r="M77" s="2"/>
      <c r="N77" s="2"/>
      <c r="O77" s="2"/>
      <c r="P77" s="2"/>
      <c r="Q77" s="2"/>
      <c r="R77" s="2"/>
    </row>
    <row r="78" ht="22.5" customHeight="1">
      <c r="A78" s="3">
        <v>81.0</v>
      </c>
      <c r="B78" s="3" t="s">
        <v>1946</v>
      </c>
      <c r="C78" s="3" t="s">
        <v>1947</v>
      </c>
      <c r="D78" s="3" t="s">
        <v>1828</v>
      </c>
      <c r="E78" s="2"/>
      <c r="F78" s="3" t="str">
        <f>IFERROR(__xludf.DUMMYFUNCTION("GOOGLETRANSLATE(A78, ""it"", ""en"")"),"81")</f>
        <v>81</v>
      </c>
      <c r="G78" s="3" t="str">
        <f>IFERROR(__xludf.DUMMYFUNCTION("GOOGLETRANSLATE(B78, ""it"", ""en"")"),"If a player throws a boccia and it hits the jack, but the jack stays in place, what happens?")</f>
        <v>If a player throws a boccia and it hits the jack, but the jack stays in place, what happens?</v>
      </c>
      <c r="H78" s="3" t="str">
        <f>IFERROR(__xludf.DUMMYFUNCTION("GOOGLETRANSLATE(C78, ""it"", ""en"")"),"A. The point goes to the team that threw B. The point goes to the opponent C. The jack is removed D. Play continues normally")</f>
        <v>A. The point goes to the team that threw B. The point goes to the opponent C. The jack is removed D. Play continues normally</v>
      </c>
      <c r="I78" s="3" t="str">
        <f>IFERROR(__xludf.DUMMYFUNCTION("GOOGLETRANSLATE(D78, ""it"", ""en"")"),"The point goes to the team that threw")</f>
        <v>The point goes to the team that threw</v>
      </c>
      <c r="J78" s="2"/>
      <c r="K78" s="2"/>
      <c r="L78" s="2"/>
      <c r="M78" s="2"/>
      <c r="N78" s="2"/>
      <c r="O78" s="2"/>
      <c r="P78" s="2"/>
      <c r="Q78" s="2"/>
      <c r="R78" s="2"/>
    </row>
    <row r="79" ht="22.5" customHeight="1">
      <c r="A79" s="3">
        <v>82.0</v>
      </c>
      <c r="B79" s="3" t="s">
        <v>1948</v>
      </c>
      <c r="C79" s="3" t="s">
        <v>1949</v>
      </c>
      <c r="D79" s="3" t="s">
        <v>1950</v>
      </c>
      <c r="E79" s="2"/>
      <c r="F79" s="3" t="str">
        <f>IFERROR(__xludf.DUMMYFUNCTION("GOOGLETRANSLATE(A79, ""it"", ""en"")"),"82")</f>
        <v>82</v>
      </c>
      <c r="G79" s="3" t="str">
        <f>IFERROR(__xludf.DUMMYFUNCTION("GOOGLETRANSLATE(B79, ""it"", ""en"")"),"If a player accidentally touches a ball with his foot before throwing, what happens?")</f>
        <v>If a player accidentally touches a ball with his foot before throwing, what happens?</v>
      </c>
      <c r="H79" s="3" t="str">
        <f>IFERROR(__xludf.DUMMYFUNCTION("GOOGLETRANSLATE(C79, ""it"", ""en"")"),"A. The point goes to the opponent B. The throw is cancelled C. The player loses his turn D. The game continues normally")</f>
        <v>A. The point goes to the opponent B. The throw is cancelled C. The player loses his turn D. The game continues normally</v>
      </c>
      <c r="I79" s="3" t="str">
        <f>IFERROR(__xludf.DUMMYFUNCTION("GOOGLETRANSLATE(D79, ""it"", ""en"")"),"The point goes to the opponent")</f>
        <v>The point goes to the opponent</v>
      </c>
      <c r="J79" s="2"/>
      <c r="K79" s="2"/>
      <c r="L79" s="2"/>
      <c r="M79" s="2"/>
      <c r="N79" s="2"/>
      <c r="O79" s="2"/>
      <c r="P79" s="2"/>
      <c r="Q79" s="2"/>
      <c r="R79" s="2"/>
    </row>
    <row r="80" ht="22.5" customHeight="1">
      <c r="A80" s="3">
        <v>83.0</v>
      </c>
      <c r="B80" s="3" t="s">
        <v>1951</v>
      </c>
      <c r="C80" s="3" t="s">
        <v>1952</v>
      </c>
      <c r="D80" s="3" t="s">
        <v>1834</v>
      </c>
      <c r="E80" s="2"/>
      <c r="F80" s="3" t="str">
        <f>IFERROR(__xludf.DUMMYFUNCTION("GOOGLETRANSLATE(A80, ""it"", ""en"")"),"83")</f>
        <v>83</v>
      </c>
      <c r="G80" s="3" t="str">
        <f>IFERROR(__xludf.DUMMYFUNCTION("GOOGLETRANSLATE(B80, ""it"", ""en"")"),"If during a game of bocce the jack is accidentally hit and moved out of the court, what happens?")</f>
        <v>If during a game of bocce the jack is accidentally hit and moved out of the court, what happens?</v>
      </c>
      <c r="H80" s="3" t="str">
        <f>IFERROR(__xludf.DUMMYFUNCTION("GOOGLETRANSLATE(C80, ""it"", ""en"")"),"A. The point goes to the opponent B. The cue ball is replaced C. The game is cancelled D. Play continues normally")</f>
        <v>A. The point goes to the opponent B. The cue ball is replaced C. The game is cancelled D. Play continues normally</v>
      </c>
      <c r="I80" s="3" t="str">
        <f>IFERROR(__xludf.DUMMYFUNCTION("GOOGLETRANSLATE(D80, ""it"", ""en"")"),"The ball is repositioned")</f>
        <v>The ball is repositioned</v>
      </c>
      <c r="J80" s="2"/>
      <c r="K80" s="2"/>
      <c r="L80" s="2"/>
      <c r="M80" s="2"/>
      <c r="N80" s="2"/>
      <c r="O80" s="2"/>
      <c r="P80" s="2"/>
      <c r="Q80" s="2"/>
      <c r="R80" s="2"/>
    </row>
    <row r="81" ht="22.5" customHeight="1">
      <c r="A81" s="3">
        <v>84.0</v>
      </c>
      <c r="B81" s="3" t="s">
        <v>1953</v>
      </c>
      <c r="C81" s="3" t="s">
        <v>1954</v>
      </c>
      <c r="D81" s="3" t="s">
        <v>1888</v>
      </c>
      <c r="E81" s="2"/>
      <c r="F81" s="3" t="str">
        <f>IFERROR(__xludf.DUMMYFUNCTION("GOOGLETRANSLATE(A81, ""it"", ""en"")"),"84")</f>
        <v>84</v>
      </c>
      <c r="G81" s="3" t="str">
        <f>IFERROR(__xludf.DUMMYFUNCTION("GOOGLETRANSLATE(B81, ""it"", ""en"")"),"If a ball hits the jack and changes direction but doesn't move it, what happens?")</f>
        <v>If a ball hits the jack and changes direction but doesn't move it, what happens?</v>
      </c>
      <c r="H81" s="3" t="str">
        <f>IFERROR(__xludf.DUMMYFUNCTION("GOOGLETRANSLATE(C81, ""it"", ""en"")"),"A. The ball earns a point B. The point goes to the opposing team C. The game continues normally D. The point is cancelled")</f>
        <v>A. The ball earns a point B. The point goes to the opposing team C. The game continues normally D. The point is cancelled</v>
      </c>
      <c r="I81" s="3" t="str">
        <f>IFERROR(__xludf.DUMMYFUNCTION("GOOGLETRANSLATE(D81, ""it"", ""en"")"),"The bowl earns a point")</f>
        <v>The bowl earns a point</v>
      </c>
      <c r="J81" s="2"/>
      <c r="K81" s="2"/>
      <c r="L81" s="2"/>
      <c r="M81" s="2"/>
      <c r="N81" s="2"/>
      <c r="O81" s="2"/>
      <c r="P81" s="2"/>
      <c r="Q81" s="2"/>
      <c r="R81" s="2"/>
    </row>
    <row r="82" ht="22.5" customHeight="1">
      <c r="A82" s="3">
        <v>85.0</v>
      </c>
      <c r="B82" s="3" t="s">
        <v>1955</v>
      </c>
      <c r="C82" s="3" t="s">
        <v>1956</v>
      </c>
      <c r="D82" s="3" t="s">
        <v>1852</v>
      </c>
      <c r="E82" s="2"/>
      <c r="F82" s="3" t="str">
        <f>IFERROR(__xludf.DUMMYFUNCTION("GOOGLETRANSLATE(A82, ""it"", ""en"")"),"85")</f>
        <v>85</v>
      </c>
      <c r="G82" s="3" t="str">
        <f>IFERROR(__xludf.DUMMYFUNCTION("GOOGLETRANSLATE(B82, ""it"", ""en"")"),"If a player throws a ball and hits another ball that goes out of bounds, what happens?")</f>
        <v>If a player throws a ball and hits another ball that goes out of bounds, what happens?</v>
      </c>
      <c r="H82" s="3" t="str">
        <f>IFERROR(__xludf.DUMMYFUNCTION("GOOGLETRANSLATE(C82, ""it"", ""en"")"),"A. The ball is cancelled B. The point goes to the team that threw it C. The game continues without penalty D. The ball is replaced")</f>
        <v>A. The ball is cancelled B. The point goes to the team that threw it C. The game continues without penalty D. The ball is replaced</v>
      </c>
      <c r="I82" s="3" t="str">
        <f>IFERROR(__xludf.DUMMYFUNCTION("GOOGLETRANSLATE(D82, ""it"", ""en"")"),"The bowl is cancelled")</f>
        <v>The bowl is cancelled</v>
      </c>
      <c r="J82" s="2"/>
      <c r="K82" s="2"/>
      <c r="L82" s="2"/>
      <c r="M82" s="2"/>
      <c r="N82" s="2"/>
      <c r="O82" s="2"/>
      <c r="P82" s="2"/>
      <c r="Q82" s="2"/>
      <c r="R82" s="2"/>
    </row>
    <row r="83" ht="22.5" customHeight="1">
      <c r="A83" s="3">
        <v>86.0</v>
      </c>
      <c r="B83" s="3" t="s">
        <v>1957</v>
      </c>
      <c r="C83" s="3" t="s">
        <v>1958</v>
      </c>
      <c r="D83" s="3" t="s">
        <v>1859</v>
      </c>
      <c r="E83" s="2"/>
      <c r="F83" s="3" t="str">
        <f>IFERROR(__xludf.DUMMYFUNCTION("GOOGLETRANSLATE(A83, ""it"", ""en"")"),"86")</f>
        <v>86</v>
      </c>
      <c r="G83" s="3" t="str">
        <f>IFERROR(__xludf.DUMMYFUNCTION("GOOGLETRANSLATE(B83, ""it"", ""en"")"),"If during a game of bocce a player accidentally kicks a ball, what happens?")</f>
        <v>If during a game of bocce a player accidentally kicks a ball, what happens?</v>
      </c>
      <c r="H83" s="3" t="str">
        <f>IFERROR(__xludf.DUMMYFUNCTION("GOOGLETRANSLATE(C83, ""it"", ""en"")"),"A. The point goes to the opponent B. The player loses the turn C. The ball is replaced D. The throw is cancelled")</f>
        <v>A. The point goes to the opponent B. The player loses the turn C. The ball is replaced D. The throw is cancelled</v>
      </c>
      <c r="I83" s="3" t="str">
        <f>IFERROR(__xludf.DUMMYFUNCTION("GOOGLETRANSLATE(D83, ""it"", ""en"")"),"The ball is repositioned")</f>
        <v>The ball is repositioned</v>
      </c>
      <c r="J83" s="2"/>
      <c r="K83" s="2"/>
      <c r="L83" s="2"/>
      <c r="M83" s="2"/>
      <c r="N83" s="2"/>
      <c r="O83" s="2"/>
      <c r="P83" s="2"/>
      <c r="Q83" s="2"/>
      <c r="R83" s="2"/>
    </row>
    <row r="84" ht="22.5" customHeight="1">
      <c r="A84" s="3">
        <v>87.0</v>
      </c>
      <c r="B84" s="3" t="s">
        <v>1959</v>
      </c>
      <c r="C84" s="3" t="s">
        <v>1960</v>
      </c>
      <c r="D84" s="3" t="s">
        <v>1834</v>
      </c>
      <c r="E84" s="2"/>
      <c r="F84" s="3" t="str">
        <f>IFERROR(__xludf.DUMMYFUNCTION("GOOGLETRANSLATE(A84, ""it"", ""en"")"),"87")</f>
        <v>87</v>
      </c>
      <c r="G84" s="3" t="str">
        <f>IFERROR(__xludf.DUMMYFUNCTION("GOOGLETRANSLATE(B84, ""it"", ""en"")"),"If the cue ball is accidentally hit during the throw, what happens?")</f>
        <v>If the cue ball is accidentally hit during the throw, what happens?</v>
      </c>
      <c r="H84" s="3" t="str">
        <f>IFERROR(__xludf.DUMMYFUNCTION("GOOGLETRANSLATE(C84, ""it"", ""en"")"),"A. The jack is replaced B. The point goes to the team that threw it C. Play continues normally D. The game is suspended")</f>
        <v>A. The jack is replaced B. The point goes to the team that threw it C. Play continues normally D. The game is suspended</v>
      </c>
      <c r="I84" s="3" t="str">
        <f>IFERROR(__xludf.DUMMYFUNCTION("GOOGLETRANSLATE(D84, ""it"", ""en"")"),"The ball is repositioned")</f>
        <v>The ball is repositioned</v>
      </c>
      <c r="J84" s="2"/>
      <c r="K84" s="2"/>
      <c r="L84" s="2"/>
      <c r="M84" s="2"/>
      <c r="N84" s="2"/>
      <c r="O84" s="2"/>
      <c r="P84" s="2"/>
      <c r="Q84" s="2"/>
      <c r="R84" s="2"/>
    </row>
    <row r="85" ht="22.5" customHeight="1">
      <c r="A85" s="3">
        <v>88.0</v>
      </c>
      <c r="B85" s="3" t="s">
        <v>1961</v>
      </c>
      <c r="C85" s="3" t="s">
        <v>1962</v>
      </c>
      <c r="D85" s="3" t="s">
        <v>1834</v>
      </c>
      <c r="E85" s="2"/>
      <c r="F85" s="3" t="str">
        <f>IFERROR(__xludf.DUMMYFUNCTION("GOOGLETRANSLATE(A85, ""it"", ""en"")"),"88")</f>
        <v>88</v>
      </c>
      <c r="G85" s="3" t="str">
        <f>IFERROR(__xludf.DUMMYFUNCTION("GOOGLETRANSLATE(B85, ""it"", ""en"")"),"What happens if the cue ball accidentally leaves the playing field during a game?")</f>
        <v>What happens if the cue ball accidentally leaves the playing field during a game?</v>
      </c>
      <c r="H85" s="3" t="str">
        <f>IFERROR(__xludf.DUMMYFUNCTION("GOOGLETRANSLATE(C85, ""it"", ""en"")"),"A. The game is cancelled B. The cue ball is replaced C. The game continues normally D. The point goes to the opposing team")</f>
        <v>A. The game is cancelled B. The cue ball is replaced C. The game continues normally D. The point goes to the opposing team</v>
      </c>
      <c r="I85" s="3" t="str">
        <f>IFERROR(__xludf.DUMMYFUNCTION("GOOGLETRANSLATE(D85, ""it"", ""en"")"),"The ball is repositioned")</f>
        <v>The ball is repositioned</v>
      </c>
      <c r="J85" s="2"/>
      <c r="K85" s="2"/>
      <c r="L85" s="2"/>
      <c r="M85" s="2"/>
      <c r="N85" s="2"/>
      <c r="O85" s="2"/>
      <c r="P85" s="2"/>
      <c r="Q85" s="2"/>
      <c r="R85" s="2"/>
    </row>
    <row r="86" ht="22.5" customHeight="1">
      <c r="A86" s="3">
        <v>89.0</v>
      </c>
      <c r="B86" s="3" t="s">
        <v>1963</v>
      </c>
      <c r="C86" s="3" t="s">
        <v>1964</v>
      </c>
      <c r="D86" s="3" t="s">
        <v>1950</v>
      </c>
      <c r="E86" s="2"/>
      <c r="F86" s="3" t="str">
        <f>IFERROR(__xludf.DUMMYFUNCTION("GOOGLETRANSLATE(A86, ""it"", ""en"")"),"89")</f>
        <v>89</v>
      </c>
      <c r="G86" s="3" t="str">
        <f>IFERROR(__xludf.DUMMYFUNCTION("GOOGLETRANSLATE(B86, ""it"", ""en"")"),"If a player throws a ball that lands in the opponent's court but doesn't touch any other balls, what happens?")</f>
        <v>If a player throws a ball that lands in the opponent's court but doesn't touch any other balls, what happens?</v>
      </c>
      <c r="H86" s="3" t="str">
        <f>IFERROR(__xludf.DUMMYFUNCTION("GOOGLETRANSLATE(C86, ""it"", ""en"")"),"A. The point goes to the opponent B. The game continues normally C. The ball is replaced D. The throw is cancelled")</f>
        <v>A. The point goes to the opponent B. The game continues normally C. The ball is replaced D. The throw is cancelled</v>
      </c>
      <c r="I86" s="3" t="str">
        <f>IFERROR(__xludf.DUMMYFUNCTION("GOOGLETRANSLATE(D86, ""it"", ""en"")"),"The point goes to the opponent")</f>
        <v>The point goes to the opponent</v>
      </c>
      <c r="J86" s="2"/>
      <c r="K86" s="2"/>
      <c r="L86" s="2"/>
      <c r="M86" s="2"/>
      <c r="N86" s="2"/>
      <c r="O86" s="2"/>
      <c r="P86" s="2"/>
      <c r="Q86" s="2"/>
      <c r="R86" s="2"/>
    </row>
    <row r="87" ht="22.5" customHeight="1">
      <c r="A87" s="3">
        <v>90.0</v>
      </c>
      <c r="B87" s="3" t="s">
        <v>1965</v>
      </c>
      <c r="C87" s="3" t="s">
        <v>1966</v>
      </c>
      <c r="D87" s="3" t="s">
        <v>1828</v>
      </c>
      <c r="E87" s="2"/>
      <c r="F87" s="3" t="str">
        <f>IFERROR(__xludf.DUMMYFUNCTION("GOOGLETRANSLATE(A87, ""it"", ""en"")"),"90")</f>
        <v>90</v>
      </c>
      <c r="G87" s="3" t="str">
        <f>IFERROR(__xludf.DUMMYFUNCTION("GOOGLETRANSLATE(B87, ""it"", ""en"")"),"If a ball hits the edge of the court while being thrown and bounces back without stopping, what happens?")</f>
        <v>If a ball hits the edge of the court while being thrown and bounces back without stopping, what happens?</v>
      </c>
      <c r="H87" s="3" t="str">
        <f>IFERROR(__xludf.DUMMYFUNCTION("GOOGLETRANSLATE(C87, ""it"", ""en"")"),"A. The throw is cancelled B. The point goes to the team that threw it C. The ball is removed D. The ball is considered valid")</f>
        <v>A. The throw is cancelled B. The point goes to the team that threw it C. The ball is removed D. The ball is considered valid</v>
      </c>
      <c r="I87" s="3" t="str">
        <f>IFERROR(__xludf.DUMMYFUNCTION("GOOGLETRANSLATE(D87, ""it"", ""en"")"),"The point goes to the team that threw")</f>
        <v>The point goes to the team that threw</v>
      </c>
      <c r="J87" s="2"/>
      <c r="K87" s="2"/>
      <c r="L87" s="2"/>
      <c r="M87" s="2"/>
      <c r="N87" s="2"/>
      <c r="O87" s="2"/>
      <c r="P87" s="2"/>
      <c r="Q87" s="2"/>
      <c r="R87" s="2"/>
    </row>
    <row r="88" ht="22.5" customHeight="1">
      <c r="A88" s="3">
        <v>91.0</v>
      </c>
      <c r="B88" s="3" t="s">
        <v>1967</v>
      </c>
      <c r="C88" s="3" t="s">
        <v>1968</v>
      </c>
      <c r="D88" s="3" t="s">
        <v>1828</v>
      </c>
      <c r="E88" s="2"/>
      <c r="F88" s="3" t="str">
        <f>IFERROR(__xludf.DUMMYFUNCTION("GOOGLETRANSLATE(A88, ""it"", ""en"")"),"91")</f>
        <v>91</v>
      </c>
      <c r="G88" s="3" t="str">
        <f>IFERROR(__xludf.DUMMYFUNCTION("GOOGLETRANSLATE(B88, ""it"", ""en"")"),"If a ball hits an opponent's ball but the position of the jack doesn't change, what happens?")</f>
        <v>If a ball hits an opponent's ball but the position of the jack doesn't change, what happens?</v>
      </c>
      <c r="H88" s="3" t="str">
        <f>IFERROR(__xludf.DUMMYFUNCTION("GOOGLETRANSLATE(C88, ""it"", ""en"")"),"A. The point goes to the team that threw B. The point goes to the opponent C. The game continues normally D. The point is cancelled")</f>
        <v>A. The point goes to the team that threw B. The point goes to the opponent C. The game continues normally D. The point is cancelled</v>
      </c>
      <c r="I88" s="3" t="str">
        <f>IFERROR(__xludf.DUMMYFUNCTION("GOOGLETRANSLATE(D88, ""it"", ""en"")"),"The point goes to the team that threw")</f>
        <v>The point goes to the team that threw</v>
      </c>
      <c r="J88" s="2"/>
      <c r="K88" s="2"/>
      <c r="L88" s="2"/>
      <c r="M88" s="2"/>
      <c r="N88" s="2"/>
      <c r="O88" s="2"/>
      <c r="P88" s="2"/>
      <c r="Q88" s="2"/>
      <c r="R88" s="2"/>
    </row>
    <row r="89" ht="22.5" customHeight="1">
      <c r="A89" s="3">
        <v>92.0</v>
      </c>
      <c r="B89" s="3" t="s">
        <v>1969</v>
      </c>
      <c r="C89" s="3" t="s">
        <v>1970</v>
      </c>
      <c r="D89" s="3" t="s">
        <v>1840</v>
      </c>
      <c r="E89" s="2"/>
      <c r="F89" s="3" t="str">
        <f>IFERROR(__xludf.DUMMYFUNCTION("GOOGLETRANSLATE(A89, ""it"", ""en"")"),"92")</f>
        <v>92</v>
      </c>
      <c r="G89" s="3" t="str">
        <f>IFERROR(__xludf.DUMMYFUNCTION("GOOGLETRANSLATE(B89, ""it"", ""en"")"),"If during a game a ball is thrown with too much force and ends up outside the court, what happens?")</f>
        <v>If during a game a ball is thrown with too much force and ends up outside the court, what happens?</v>
      </c>
      <c r="H89" s="3" t="str">
        <f>IFERROR(__xludf.DUMMYFUNCTION("GOOGLETRANSLATE(C89, ""it"", ""en"")"),"A. The throw is cancelled B. The ball is replaced C. The point goes to the opponent D. The game continues without penalties")</f>
        <v>A. The throw is cancelled B. The ball is replaced C. The point goes to the opponent D. The game continues without penalties</v>
      </c>
      <c r="I89" s="3" t="str">
        <f>IFERROR(__xludf.DUMMYFUNCTION("GOOGLETRANSLATE(D89, ""it"", ""en"")"),"The launch is cancelled")</f>
        <v>The launch is cancelled</v>
      </c>
      <c r="J89" s="2"/>
      <c r="K89" s="2"/>
      <c r="L89" s="2"/>
      <c r="M89" s="2"/>
      <c r="N89" s="2"/>
      <c r="O89" s="2"/>
      <c r="P89" s="2"/>
      <c r="Q89" s="2"/>
      <c r="R89" s="2"/>
    </row>
    <row r="90" ht="22.5" customHeight="1">
      <c r="A90" s="3">
        <v>93.0</v>
      </c>
      <c r="B90" s="3" t="s">
        <v>1971</v>
      </c>
      <c r="C90" s="3" t="s">
        <v>1972</v>
      </c>
      <c r="D90" s="3" t="s">
        <v>1903</v>
      </c>
      <c r="E90" s="2"/>
      <c r="F90" s="3" t="str">
        <f>IFERROR(__xludf.DUMMYFUNCTION("GOOGLETRANSLATE(A90, ""it"", ""en"")"),"93")</f>
        <v>93</v>
      </c>
      <c r="G90" s="3" t="str">
        <f>IFERROR(__xludf.DUMMYFUNCTION("GOOGLETRANSLATE(B90, ""it"", ""en"")"),"If the jack is hit by a ball and moves beyond the baseline, what happens?")</f>
        <v>If the jack is hit by a ball and moves beyond the baseline, what happens?</v>
      </c>
      <c r="H90" s="3" t="str">
        <f>IFERROR(__xludf.DUMMYFUNCTION("GOOGLETRANSLATE(C90, ""it"", ""en"")"),"A. The game is cancelled B. The jack is replaced in the centre of the court C. The point goes to the team that threw it D. Play continues normally")</f>
        <v>A. The game is cancelled B. The jack is replaced in the centre of the court C. The point goes to the team that threw it D. Play continues normally</v>
      </c>
      <c r="I90" s="3" t="str">
        <f>IFERROR(__xludf.DUMMYFUNCTION("GOOGLETRANSLATE(D90, ""it"", ""en"")"),"The ball is repositioned in the center of the field")</f>
        <v>The ball is repositioned in the center of the field</v>
      </c>
      <c r="J90" s="2"/>
      <c r="K90" s="2"/>
      <c r="L90" s="2"/>
      <c r="M90" s="2"/>
      <c r="N90" s="2"/>
      <c r="O90" s="2"/>
      <c r="P90" s="2"/>
      <c r="Q90" s="2"/>
      <c r="R90" s="2"/>
    </row>
    <row r="91" ht="22.5" customHeight="1">
      <c r="A91" s="3">
        <v>94.0</v>
      </c>
      <c r="B91" s="3" t="s">
        <v>1973</v>
      </c>
      <c r="C91" s="3" t="s">
        <v>1974</v>
      </c>
      <c r="D91" s="3" t="s">
        <v>1975</v>
      </c>
      <c r="E91" s="2"/>
      <c r="F91" s="3" t="str">
        <f>IFERROR(__xludf.DUMMYFUNCTION("GOOGLETRANSLATE(A91, ""it"", ""en"")"),"94")</f>
        <v>94</v>
      </c>
      <c r="G91" s="3" t="str">
        <f>IFERROR(__xludf.DUMMYFUNCTION("GOOGLETRANSLATE(B91, ""it"", ""en"")"),"If a player throws a ball that touches an opponent's ball and it moves, what happens?")</f>
        <v>If a player throws a ball that touches an opponent's ball and it moves, what happens?</v>
      </c>
      <c r="H91" s="3" t="str">
        <f>IFERROR(__xludf.DUMMYFUNCTION("GOOGLETRANSLATE(C91, ""it"", ""en"")"),"A. The opponent's ball is removed B. The point goes to the team that threw it C. The game continues normally D. The point goes to the opponent")</f>
        <v>A. The opponent's ball is removed B. The point goes to the team that threw it C. The game continues normally D. The point goes to the opponent</v>
      </c>
      <c r="I91" s="3" t="str">
        <f>IFERROR(__xludf.DUMMYFUNCTION("GOOGLETRANSLATE(D91, ""it"", ""en"")"),"The opponent's ball is removed")</f>
        <v>The opponent's ball is removed</v>
      </c>
      <c r="J91" s="2"/>
      <c r="K91" s="2"/>
      <c r="L91" s="2"/>
      <c r="M91" s="2"/>
      <c r="N91" s="2"/>
      <c r="O91" s="2"/>
      <c r="P91" s="2"/>
      <c r="Q91" s="2"/>
      <c r="R91" s="2"/>
    </row>
    <row r="92" ht="22.5" customHeight="1">
      <c r="A92" s="3">
        <v>95.0</v>
      </c>
      <c r="B92" s="3" t="s">
        <v>1976</v>
      </c>
      <c r="C92" s="3" t="s">
        <v>1977</v>
      </c>
      <c r="D92" s="3" t="s">
        <v>549</v>
      </c>
      <c r="E92" s="2"/>
      <c r="F92" s="3" t="str">
        <f>IFERROR(__xludf.DUMMYFUNCTION("GOOGLETRANSLATE(A92, ""it"", ""en"")"),"95")</f>
        <v>95</v>
      </c>
      <c r="G92" s="3" t="str">
        <f>IFERROR(__xludf.DUMMYFUNCTION("GOOGLETRANSLATE(B92, ""it"", ""en"")"),"If a player fails to throw a ball within the allotted time, what happens?")</f>
        <v>If a player fails to throw a ball within the allotted time, what happens?</v>
      </c>
      <c r="H92" s="3" t="str">
        <f>IFERROR(__xludf.DUMMYFUNCTION("GOOGLETRANSLATE(C92, ""it"", ""en"")"),"A. The player loses the turn B. The point goes to the opposing team C. The throw is cancelled D. The game continues normally")</f>
        <v>A. The player loses the turn B. The point goes to the opposing team C. The throw is cancelled D. The game continues normally</v>
      </c>
      <c r="I92" s="3" t="str">
        <f>IFERROR(__xludf.DUMMYFUNCTION("GOOGLETRANSLATE(D92, ""it"", ""en"")"),"The player loses the turn")</f>
        <v>The player loses the turn</v>
      </c>
      <c r="J92" s="2"/>
      <c r="K92" s="2"/>
      <c r="L92" s="2"/>
      <c r="M92" s="2"/>
      <c r="N92" s="2"/>
      <c r="O92" s="2"/>
      <c r="P92" s="2"/>
      <c r="Q92" s="2"/>
      <c r="R92" s="2"/>
    </row>
    <row r="93" ht="22.5" customHeight="1">
      <c r="A93" s="3">
        <v>96.0</v>
      </c>
      <c r="B93" s="3" t="s">
        <v>1978</v>
      </c>
      <c r="C93" s="3" t="s">
        <v>1979</v>
      </c>
      <c r="D93" s="3" t="s">
        <v>1828</v>
      </c>
      <c r="E93" s="2"/>
      <c r="F93" s="3" t="str">
        <f>IFERROR(__xludf.DUMMYFUNCTION("GOOGLETRANSLATE(A93, ""it"", ""en"")"),"96")</f>
        <v>96</v>
      </c>
      <c r="G93" s="3" t="str">
        <f>IFERROR(__xludf.DUMMYFUNCTION("GOOGLETRANSLATE(B93, ""it"", ""en"")"),"If a ball lands on the jack during a game, what happens?")</f>
        <v>If a ball lands on the jack during a game, what happens?</v>
      </c>
      <c r="H93" s="3" t="str">
        <f>IFERROR(__xludf.DUMMYFUNCTION("GOOGLETRANSLATE(C93, ""it"", ""en"")"),"A. The point goes to the team that threw B. The point goes to the opponent C. The game continues normally D. The jack is removed")</f>
        <v>A. The point goes to the team that threw B. The point goes to the opponent C. The game continues normally D. The jack is removed</v>
      </c>
      <c r="I93" s="3" t="str">
        <f>IFERROR(__xludf.DUMMYFUNCTION("GOOGLETRANSLATE(D93, ""it"", ""en"")"),"The point goes to the team that threw")</f>
        <v>The point goes to the team that threw</v>
      </c>
      <c r="J93" s="2"/>
      <c r="K93" s="2"/>
      <c r="L93" s="2"/>
      <c r="M93" s="2"/>
      <c r="N93" s="2"/>
      <c r="O93" s="2"/>
      <c r="P93" s="2"/>
      <c r="Q93" s="2"/>
      <c r="R93" s="2"/>
    </row>
    <row r="94" ht="22.5" customHeight="1">
      <c r="A94" s="3">
        <v>97.0</v>
      </c>
      <c r="B94" s="3" t="s">
        <v>1980</v>
      </c>
      <c r="C94" s="3" t="s">
        <v>1981</v>
      </c>
      <c r="D94" s="3" t="s">
        <v>1950</v>
      </c>
      <c r="E94" s="2"/>
      <c r="F94" s="3" t="str">
        <f>IFERROR(__xludf.DUMMYFUNCTION("GOOGLETRANSLATE(A94, ""it"", ""en"")"),"97")</f>
        <v>97</v>
      </c>
      <c r="G94" s="3" t="str">
        <f>IFERROR(__xludf.DUMMYFUNCTION("GOOGLETRANSLATE(B94, ""it"", ""en"")"),"If a player accidentally kicks a ball before it is thrown, what happens?")</f>
        <v>If a player accidentally kicks a ball before it is thrown, what happens?</v>
      </c>
      <c r="H94" s="3" t="str">
        <f>IFERROR(__xludf.DUMMYFUNCTION("GOOGLETRANSLATE(C94, ""it"", ""en"")"),"A. The point goes to the opponent B. The player loses the turn C. The throw is cancelled D. The game continues normally")</f>
        <v>A. The point goes to the opponent B. The player loses the turn C. The throw is cancelled D. The game continues normally</v>
      </c>
      <c r="I94" s="3" t="str">
        <f>IFERROR(__xludf.DUMMYFUNCTION("GOOGLETRANSLATE(D94, ""it"", ""en"")"),"The point goes to the opponent")</f>
        <v>The point goes to the opponent</v>
      </c>
      <c r="J94" s="2"/>
      <c r="K94" s="2"/>
      <c r="L94" s="2"/>
      <c r="M94" s="2"/>
      <c r="N94" s="2"/>
      <c r="O94" s="2"/>
      <c r="P94" s="2"/>
      <c r="Q94" s="2"/>
      <c r="R94" s="2"/>
    </row>
    <row r="95" ht="22.5" customHeight="1">
      <c r="A95" s="3">
        <v>98.0</v>
      </c>
      <c r="B95" s="3" t="s">
        <v>1982</v>
      </c>
      <c r="C95" s="3" t="s">
        <v>1983</v>
      </c>
      <c r="D95" s="3" t="s">
        <v>1834</v>
      </c>
      <c r="E95" s="2"/>
      <c r="F95" s="3" t="str">
        <f>IFERROR(__xludf.DUMMYFUNCTION("GOOGLETRANSLATE(A95, ""it"", ""en"")"),"98")</f>
        <v>98</v>
      </c>
      <c r="G95" s="3" t="str">
        <f>IFERROR(__xludf.DUMMYFUNCTION("GOOGLETRANSLATE(B95, ""it"", ""en"")"),"If the cue ball is hit during a pitch and moves without leaving the court, what happens?")</f>
        <v>If the cue ball is hit during a pitch and moves without leaving the court, what happens?</v>
      </c>
      <c r="H95" s="3" t="str">
        <f>IFERROR(__xludf.DUMMYFUNCTION("GOOGLETRANSLATE(C95, ""it"", ""en"")"),"A. The point goes to the team that threw it B. The jack is replaced C. The point goes to the opponent D. The game continues normally")</f>
        <v>A. The point goes to the team that threw it B. The jack is replaced C. The point goes to the opponent D. The game continues normally</v>
      </c>
      <c r="I95" s="3" t="str">
        <f>IFERROR(__xludf.DUMMYFUNCTION("GOOGLETRANSLATE(D95, ""it"", ""en"")"),"The ball is repositioned")</f>
        <v>The ball is repositioned</v>
      </c>
      <c r="J95" s="2"/>
      <c r="K95" s="2"/>
      <c r="L95" s="2"/>
      <c r="M95" s="2"/>
      <c r="N95" s="2"/>
      <c r="O95" s="2"/>
      <c r="P95" s="2"/>
      <c r="Q95" s="2"/>
      <c r="R95" s="2"/>
    </row>
    <row r="96" ht="22.5" customHeight="1">
      <c r="A96" s="3">
        <v>99.0</v>
      </c>
      <c r="B96" s="3" t="s">
        <v>1984</v>
      </c>
      <c r="C96" s="3" t="s">
        <v>1985</v>
      </c>
      <c r="D96" s="3" t="s">
        <v>1864</v>
      </c>
      <c r="E96" s="2"/>
      <c r="F96" s="3" t="str">
        <f>IFERROR(__xludf.DUMMYFUNCTION("GOOGLETRANSLATE(A96, ""it"", ""en"")"),"99")</f>
        <v>99</v>
      </c>
      <c r="G96" s="3" t="str">
        <f>IFERROR(__xludf.DUMMYFUNCTION("GOOGLETRANSLATE(B96, ""it"", ""en"")"),"If a player throws a ball and it stops in the middle of the court without touching any other balls, what happens?")</f>
        <v>If a player throws a ball and it stops in the middle of the court without touching any other balls, what happens?</v>
      </c>
      <c r="H96" s="3" t="str">
        <f>IFERROR(__xludf.DUMMYFUNCTION("GOOGLETRANSLATE(C96, ""it"", ""en"")"),"A. The ball is considered valid B. The point goes to the opposing team C. The game continues normally D. The ball is removed")</f>
        <v>A. The ball is considered valid B. The point goes to the opposing team C. The game continues normally D. The ball is removed</v>
      </c>
      <c r="I96" s="3" t="str">
        <f>IFERROR(__xludf.DUMMYFUNCTION("GOOGLETRANSLATE(D96, ""it"", ""en"")"),"The ball is considered valid")</f>
        <v>The ball is considered valid</v>
      </c>
      <c r="J96" s="2"/>
      <c r="K96" s="2"/>
      <c r="L96" s="2"/>
      <c r="M96" s="2"/>
      <c r="N96" s="2"/>
      <c r="O96" s="2"/>
      <c r="P96" s="2"/>
      <c r="Q96" s="2"/>
      <c r="R96" s="2"/>
    </row>
    <row r="97" ht="22.5" customHeight="1">
      <c r="A97" s="3">
        <v>100.0</v>
      </c>
      <c r="B97" s="3" t="s">
        <v>1986</v>
      </c>
      <c r="C97" s="3" t="s">
        <v>1987</v>
      </c>
      <c r="D97" s="3" t="s">
        <v>1828</v>
      </c>
      <c r="E97" s="2"/>
      <c r="F97" s="3" t="str">
        <f>IFERROR(__xludf.DUMMYFUNCTION("GOOGLETRANSLATE(A97, ""it"", ""en"")"),"100")</f>
        <v>100</v>
      </c>
      <c r="G97" s="3" t="str">
        <f>IFERROR(__xludf.DUMMYFUNCTION("GOOGLETRANSLATE(B97, ""it"", ""en"")"),"What happens if a player throws a ball so that it hits an opponent's ball and it moves out of bounds?")</f>
        <v>What happens if a player throws a ball so that it hits an opponent's ball and it moves out of bounds?</v>
      </c>
      <c r="H97" s="3" t="str">
        <f>IFERROR(__xludf.DUMMYFUNCTION("GOOGLETRANSLATE(C97, ""it"", ""en"")"),"A. The ball that displaced the other is removed B. The point goes to the team that threw it C. The game continues without penalty D. The ball that displaced the other is removed")</f>
        <v>A. The ball that displaced the other is removed B. The point goes to the team that threw it C. The game continues without penalty D. The ball that displaced the other is removed</v>
      </c>
      <c r="I97" s="3" t="str">
        <f>IFERROR(__xludf.DUMMYFUNCTION("GOOGLETRANSLATE(D97, ""it"", ""en"")"),"The point goes to the team that threw")</f>
        <v>The point goes to the team that threw</v>
      </c>
      <c r="J97" s="2"/>
      <c r="K97" s="2"/>
      <c r="L97" s="2"/>
      <c r="M97" s="2"/>
      <c r="N97" s="2"/>
      <c r="O97" s="2"/>
      <c r="P97" s="2"/>
      <c r="Q97" s="2"/>
      <c r="R97" s="2"/>
    </row>
    <row r="98" ht="22.5" customHeight="1">
      <c r="A98" s="3">
        <v>101.0</v>
      </c>
      <c r="B98" s="3" t="s">
        <v>1988</v>
      </c>
      <c r="C98" s="3" t="s">
        <v>1989</v>
      </c>
      <c r="D98" s="3" t="s">
        <v>1831</v>
      </c>
      <c r="E98" s="2"/>
      <c r="F98" s="3" t="str">
        <f>IFERROR(__xludf.DUMMYFUNCTION("GOOGLETRANSLATE(A98, ""it"", ""en"")"),"101")</f>
        <v>101</v>
      </c>
      <c r="G98" s="3" t="str">
        <f>IFERROR(__xludf.DUMMYFUNCTION("GOOGLETRANSLATE(B98, ""it"", ""en"")"),"If a ball hits the edge of the court and then stops, what happens?")</f>
        <v>If a ball hits the edge of the court and then stops, what happens?</v>
      </c>
      <c r="H98" s="3" t="str">
        <f>IFERROR(__xludf.DUMMYFUNCTION("GOOGLETRANSLATE(C98, ""it"", ""en"")"),"A. The throw is considered valid B. The point goes to the opposing team C. The throw is cancelled D. The game continues normally")</f>
        <v>A. The throw is considered valid B. The point goes to the opposing team C. The throw is cancelled D. The game continues normally</v>
      </c>
      <c r="I98" s="3" t="str">
        <f>IFERROR(__xludf.DUMMYFUNCTION("GOOGLETRANSLATE(D98, ""it"", ""en"")"),"The throw is considered valid")</f>
        <v>The throw is considered valid</v>
      </c>
      <c r="J98" s="2"/>
      <c r="K98" s="2"/>
      <c r="L98" s="2"/>
      <c r="M98" s="2"/>
      <c r="N98" s="2"/>
      <c r="O98" s="2"/>
      <c r="P98" s="2"/>
      <c r="Q98" s="2"/>
      <c r="R98" s="2"/>
    </row>
    <row r="99" ht="22.5" customHeight="1">
      <c r="A99" s="3">
        <v>102.0</v>
      </c>
      <c r="B99" s="3" t="s">
        <v>1990</v>
      </c>
      <c r="C99" s="3" t="s">
        <v>1991</v>
      </c>
      <c r="D99" s="3" t="s">
        <v>1873</v>
      </c>
      <c r="E99" s="2"/>
      <c r="F99" s="3" t="str">
        <f>IFERROR(__xludf.DUMMYFUNCTION("GOOGLETRANSLATE(A99, ""it"", ""en"")"),"102")</f>
        <v>102</v>
      </c>
      <c r="G99" s="3" t="str">
        <f>IFERROR(__xludf.DUMMYFUNCTION("GOOGLETRANSLATE(B99, ""it"", ""en"")"),"If a player accidentally kicks a ball that hasn't been thrown yet, what happens?")</f>
        <v>If a player accidentally kicks a ball that hasn't been thrown yet, what happens?</v>
      </c>
      <c r="H99" s="3" t="str">
        <f>IFERROR(__xludf.DUMMYFUNCTION("GOOGLETRANSLATE(C99, ""it"", ""en"")"),"A. The point goes to the opposing team B. The ball is replaced C. The throw is cancelled D. The game continues normally")</f>
        <v>A. The point goes to the opposing team B. The ball is replaced C. The throw is cancelled D. The game continues normally</v>
      </c>
      <c r="I99" s="3" t="str">
        <f>IFERROR(__xludf.DUMMYFUNCTION("GOOGLETRANSLATE(D99, ""it"", ""en"")"),"The point goes to the opposing team")</f>
        <v>The point goes to the opposing team</v>
      </c>
      <c r="J99" s="2"/>
      <c r="K99" s="2"/>
      <c r="L99" s="2"/>
      <c r="M99" s="2"/>
      <c r="N99" s="2"/>
      <c r="O99" s="2"/>
      <c r="P99" s="2"/>
      <c r="Q99" s="2"/>
      <c r="R99" s="2"/>
    </row>
    <row r="100" ht="22.5" customHeight="1">
      <c r="A100" s="3">
        <v>103.0</v>
      </c>
      <c r="B100" s="3" t="s">
        <v>1992</v>
      </c>
      <c r="C100" s="3" t="s">
        <v>1993</v>
      </c>
      <c r="D100" s="3" t="s">
        <v>1828</v>
      </c>
      <c r="E100" s="2"/>
      <c r="F100" s="3" t="str">
        <f>IFERROR(__xludf.DUMMYFUNCTION("GOOGLETRANSLATE(A100, ""it"", ""en"")"),"103")</f>
        <v>103</v>
      </c>
      <c r="G100" s="3" t="str">
        <f>IFERROR(__xludf.DUMMYFUNCTION("GOOGLETRANSLATE(B100, ""it"", ""en"")"),"If a ball hits the jack, but the position of the jack does not change, what happens?")</f>
        <v>If a ball hits the jack, but the position of the jack does not change, what happens?</v>
      </c>
      <c r="H100" s="3" t="str">
        <f>IFERROR(__xludf.DUMMYFUNCTION("GOOGLETRANSLATE(C100, ""it"", ""en"")"),"A. The point goes to the team that threw B. The point is cancelled C. The point goes to the opponent D. The game continues normally")</f>
        <v>A. The point goes to the team that threw B. The point is cancelled C. The point goes to the opponent D. The game continues normally</v>
      </c>
      <c r="I100" s="3" t="str">
        <f>IFERROR(__xludf.DUMMYFUNCTION("GOOGLETRANSLATE(D100, ""it"", ""en"")"),"The point goes to the team that threw")</f>
        <v>The point goes to the team that threw</v>
      </c>
      <c r="J100" s="2"/>
      <c r="K100" s="2"/>
      <c r="L100" s="2"/>
      <c r="M100" s="2"/>
      <c r="N100" s="2"/>
      <c r="O100" s="2"/>
      <c r="P100" s="2"/>
      <c r="Q100" s="2"/>
      <c r="R100" s="2"/>
    </row>
    <row r="101" ht="22.5" customHeight="1">
      <c r="A101" s="3">
        <v>104.0</v>
      </c>
      <c r="B101" s="3" t="s">
        <v>1994</v>
      </c>
      <c r="C101" s="3" t="s">
        <v>1995</v>
      </c>
      <c r="D101" s="3" t="s">
        <v>1834</v>
      </c>
      <c r="E101" s="2"/>
      <c r="F101" s="3" t="str">
        <f>IFERROR(__xludf.DUMMYFUNCTION("GOOGLETRANSLATE(A101, ""it"", ""en"")"),"104")</f>
        <v>104</v>
      </c>
      <c r="G101" s="3" t="str">
        <f>IFERROR(__xludf.DUMMYFUNCTION("GOOGLETRANSLATE(B101, ""it"", ""en"")"),"What happens if the ball goes out of bounds during play?")</f>
        <v>What happens if the ball goes out of bounds during play?</v>
      </c>
      <c r="H101" s="3" t="str">
        <f>IFERROR(__xludf.DUMMYFUNCTION("GOOGLETRANSLATE(C101, ""it"", ""en"")"),"A. The game is cancelled B. The cue ball is replaced C. The point goes to the opponent D. The game continues normally")</f>
        <v>A. The game is cancelled B. The cue ball is replaced C. The point goes to the opponent D. The game continues normally</v>
      </c>
      <c r="I101" s="3" t="str">
        <f>IFERROR(__xludf.DUMMYFUNCTION("GOOGLETRANSLATE(D101, ""it"", ""en"")"),"The ball is repositioned")</f>
        <v>The ball is repositioned</v>
      </c>
      <c r="J101" s="2"/>
      <c r="K101" s="2"/>
      <c r="L101" s="2"/>
      <c r="M101" s="2"/>
      <c r="N101" s="2"/>
      <c r="O101" s="2"/>
      <c r="P101" s="2"/>
      <c r="Q101" s="2"/>
      <c r="R101" s="2"/>
    </row>
    <row r="102" ht="22.5" customHeight="1">
      <c r="A102" s="3">
        <v>105.0</v>
      </c>
      <c r="B102" s="3" t="s">
        <v>1996</v>
      </c>
      <c r="C102" s="3" t="s">
        <v>1997</v>
      </c>
      <c r="D102" s="3" t="s">
        <v>1828</v>
      </c>
      <c r="E102" s="2"/>
      <c r="F102" s="3" t="str">
        <f>IFERROR(__xludf.DUMMYFUNCTION("GOOGLETRANSLATE(A102, ""it"", ""en"")"),"105")</f>
        <v>105</v>
      </c>
      <c r="G102" s="3" t="str">
        <f>IFERROR(__xludf.DUMMYFUNCTION("GOOGLETRANSLATE(B102, ""it"", ""en"")"),"If a player throws a ball that lands on top of another opponent's ball, what happens?")</f>
        <v>If a player throws a ball that lands on top of another opponent's ball, what happens?</v>
      </c>
      <c r="H102" s="3" t="str">
        <f>IFERROR(__xludf.DUMMYFUNCTION("GOOGLETRANSLATE(C102, ""it"", ""en"")"),"A. The point goes to the team that threw it B. The game continues normally C. The opponent's ball is removed D. The point goes to the opponent")</f>
        <v>A. The point goes to the team that threw it B. The game continues normally C. The opponent's ball is removed D. The point goes to the opponent</v>
      </c>
      <c r="I102" s="3" t="str">
        <f>IFERROR(__xludf.DUMMYFUNCTION("GOOGLETRANSLATE(D102, ""it"", ""en"")"),"The point goes to the team that threw")</f>
        <v>The point goes to the team that threw</v>
      </c>
      <c r="J102" s="2"/>
      <c r="K102" s="2"/>
      <c r="L102" s="2"/>
      <c r="M102" s="2"/>
      <c r="N102" s="2"/>
      <c r="O102" s="2"/>
      <c r="P102" s="2"/>
      <c r="Q102" s="2"/>
      <c r="R102" s="2"/>
    </row>
    <row r="103" ht="22.5" customHeight="1">
      <c r="A103" s="3">
        <v>106.0</v>
      </c>
      <c r="B103" s="3" t="s">
        <v>1998</v>
      </c>
      <c r="C103" s="3" t="s">
        <v>1999</v>
      </c>
      <c r="D103" s="3" t="s">
        <v>1950</v>
      </c>
      <c r="E103" s="2"/>
      <c r="F103" s="3" t="str">
        <f>IFERROR(__xludf.DUMMYFUNCTION("GOOGLETRANSLATE(A103, ""it"", ""en"")"),"106")</f>
        <v>106</v>
      </c>
      <c r="G103" s="3" t="str">
        <f>IFERROR(__xludf.DUMMYFUNCTION("GOOGLETRANSLATE(B103, ""it"", ""en"")"),"What happens if a player throws a ball that lands in the opponent's court?")</f>
        <v>What happens if a player throws a ball that lands in the opponent's court?</v>
      </c>
      <c r="H103" s="3" t="str">
        <f>IFERROR(__xludf.DUMMYFUNCTION("GOOGLETRANSLATE(C103, ""it"", ""en"")"),"A. The point goes to the opponent B. The point goes to the team that threw C. The ball is replaced D. The throw is cancelled")</f>
        <v>A. The point goes to the opponent B. The point goes to the team that threw C. The ball is replaced D. The throw is cancelled</v>
      </c>
      <c r="I103" s="3" t="str">
        <f>IFERROR(__xludf.DUMMYFUNCTION("GOOGLETRANSLATE(D103, ""it"", ""en"")"),"The point goes to the opponent")</f>
        <v>The point goes to the opponent</v>
      </c>
      <c r="J103" s="2"/>
      <c r="K103" s="2"/>
      <c r="L103" s="2"/>
      <c r="M103" s="2"/>
      <c r="N103" s="2"/>
      <c r="O103" s="2"/>
      <c r="P103" s="2"/>
      <c r="Q103" s="2"/>
      <c r="R103" s="2"/>
    </row>
    <row r="104" ht="22.5" customHeight="1">
      <c r="A104" s="3">
        <v>107.0</v>
      </c>
      <c r="B104" s="3" t="s">
        <v>2000</v>
      </c>
      <c r="C104" s="3" t="s">
        <v>1938</v>
      </c>
      <c r="D104" s="3" t="s">
        <v>1837</v>
      </c>
      <c r="E104" s="2"/>
      <c r="F104" s="3" t="str">
        <f>IFERROR(__xludf.DUMMYFUNCTION("GOOGLETRANSLATE(A104, ""it"", ""en"")"),"107")</f>
        <v>107</v>
      </c>
      <c r="G104" s="3" t="str">
        <f>IFERROR(__xludf.DUMMYFUNCTION("GOOGLETRANSLATE(B104, ""it"", ""en"")"),"If a player throws a ball and it hits a ball that is already stationary and changes direction, what happens?")</f>
        <v>If a player throws a ball and it hits a ball that is already stationary and changes direction, what happens?</v>
      </c>
      <c r="H104" s="3" t="str">
        <f>IFERROR(__xludf.DUMMYFUNCTION("GOOGLETRANSLATE(C104, ""it"", ""en"")"),"A. The point is recalculated B. The ball is removed C. The point goes to the team that threw it D. Play continues normally")</f>
        <v>A. The point is recalculated B. The ball is removed C. The point goes to the team that threw it D. Play continues normally</v>
      </c>
      <c r="I104" s="3" t="str">
        <f>IFERROR(__xludf.DUMMYFUNCTION("GOOGLETRANSLATE(D104, ""it"", ""en"")"),"The point is recalculated")</f>
        <v>The point is recalculated</v>
      </c>
      <c r="J104" s="2"/>
      <c r="K104" s="2"/>
      <c r="L104" s="2"/>
      <c r="M104" s="2"/>
      <c r="N104" s="2"/>
      <c r="O104" s="2"/>
      <c r="P104" s="2"/>
      <c r="Q104" s="2"/>
      <c r="R104" s="2"/>
    </row>
    <row r="105" ht="22.5" customHeight="1">
      <c r="A105" s="3">
        <v>108.0</v>
      </c>
      <c r="B105" s="3" t="s">
        <v>2001</v>
      </c>
      <c r="C105" s="3" t="s">
        <v>1977</v>
      </c>
      <c r="D105" s="3" t="s">
        <v>549</v>
      </c>
      <c r="E105" s="2"/>
      <c r="F105" s="3" t="str">
        <f>IFERROR(__xludf.DUMMYFUNCTION("GOOGLETRANSLATE(A105, ""it"", ""en"")"),"108")</f>
        <v>108</v>
      </c>
      <c r="G105" s="3" t="str">
        <f>IFERROR(__xludf.DUMMYFUNCTION("GOOGLETRANSLATE(B105, ""it"", ""en"")"),"If a player doesn't throw the ball within the time limit, what happens?")</f>
        <v>If a player doesn't throw the ball within the time limit, what happens?</v>
      </c>
      <c r="H105" s="3" t="str">
        <f>IFERROR(__xludf.DUMMYFUNCTION("GOOGLETRANSLATE(C105, ""it"", ""en"")"),"A. The player loses the turn B. The point goes to the opposing team C. The throw is cancelled D. The game continues normally")</f>
        <v>A. The player loses the turn B. The point goes to the opposing team C. The throw is cancelled D. The game continues normally</v>
      </c>
      <c r="I105" s="3" t="str">
        <f>IFERROR(__xludf.DUMMYFUNCTION("GOOGLETRANSLATE(D105, ""it"", ""en"")"),"The player loses the turn")</f>
        <v>The player loses the turn</v>
      </c>
      <c r="J105" s="2"/>
      <c r="K105" s="2"/>
      <c r="L105" s="2"/>
      <c r="M105" s="2"/>
      <c r="N105" s="2"/>
      <c r="O105" s="2"/>
      <c r="P105" s="2"/>
      <c r="Q105" s="2"/>
      <c r="R105" s="2"/>
    </row>
    <row r="106" ht="22.5" customHeight="1">
      <c r="A106" s="3">
        <v>109.0</v>
      </c>
      <c r="B106" s="3" t="s">
        <v>2002</v>
      </c>
      <c r="C106" s="3" t="s">
        <v>1979</v>
      </c>
      <c r="D106" s="3" t="s">
        <v>1828</v>
      </c>
      <c r="E106" s="2"/>
      <c r="F106" s="3" t="str">
        <f>IFERROR(__xludf.DUMMYFUNCTION("GOOGLETRANSLATE(A106, ""it"", ""en"")"),"109")</f>
        <v>109</v>
      </c>
      <c r="G106" s="3" t="str">
        <f>IFERROR(__xludf.DUMMYFUNCTION("GOOGLETRANSLATE(B106, ""it"", ""en"")"),"If a player throws a boccia and it touches the jack but doesn't move it, what happens?")</f>
        <v>If a player throws a boccia and it touches the jack but doesn't move it, what happens?</v>
      </c>
      <c r="H106" s="3" t="str">
        <f>IFERROR(__xludf.DUMMYFUNCTION("GOOGLETRANSLATE(C106, ""it"", ""en"")"),"A. The point goes to the team that threw B. The point goes to the opponent C. The game continues normally D. The jack is removed")</f>
        <v>A. The point goes to the team that threw B. The point goes to the opponent C. The game continues normally D. The jack is removed</v>
      </c>
      <c r="I106" s="3" t="str">
        <f>IFERROR(__xludf.DUMMYFUNCTION("GOOGLETRANSLATE(D106, ""it"", ""en"")"),"The point goes to the team that threw")</f>
        <v>The point goes to the team that threw</v>
      </c>
      <c r="J106" s="2"/>
      <c r="K106" s="2"/>
      <c r="L106" s="2"/>
      <c r="M106" s="2"/>
      <c r="N106" s="2"/>
      <c r="O106" s="2"/>
      <c r="P106" s="2"/>
      <c r="Q106" s="2"/>
      <c r="R106" s="2"/>
    </row>
    <row r="107" ht="22.5" customHeight="1">
      <c r="A107" s="3">
        <v>110.0</v>
      </c>
      <c r="B107" s="3" t="s">
        <v>2003</v>
      </c>
      <c r="C107" s="3" t="s">
        <v>2004</v>
      </c>
      <c r="D107" s="3" t="s">
        <v>1828</v>
      </c>
      <c r="E107" s="2"/>
      <c r="F107" s="3" t="str">
        <f>IFERROR(__xludf.DUMMYFUNCTION("GOOGLETRANSLATE(A107, ""it"", ""en"")"),"110")</f>
        <v>110</v>
      </c>
      <c r="G107" s="3" t="str">
        <f>IFERROR(__xludf.DUMMYFUNCTION("GOOGLETRANSLATE(B107, ""it"", ""en"")"),"If a ball is thrown and hits the edge of the court but re-enters the court, what happens?")</f>
        <v>If a ball is thrown and hits the edge of the court but re-enters the court, what happens?</v>
      </c>
      <c r="H107" s="3" t="str">
        <f>IFERROR(__xludf.DUMMYFUNCTION("GOOGLETRANSLATE(C107, ""it"", ""en"")"),"A. The point goes to the team that threw B. The throw is cancelled C. The point goes to the opponent D. The game continues normally")</f>
        <v>A. The point goes to the team that threw B. The throw is cancelled C. The point goes to the opponent D. The game continues normally</v>
      </c>
      <c r="I107" s="3" t="str">
        <f>IFERROR(__xludf.DUMMYFUNCTION("GOOGLETRANSLATE(D107, ""it"", ""en"")"),"The point goes to the team that threw")</f>
        <v>The point goes to the team that threw</v>
      </c>
      <c r="J107" s="2"/>
      <c r="K107" s="2"/>
      <c r="L107" s="2"/>
      <c r="M107" s="2"/>
      <c r="N107" s="2"/>
      <c r="O107" s="2"/>
      <c r="P107" s="2"/>
      <c r="Q107" s="2"/>
      <c r="R107" s="2"/>
    </row>
    <row r="108" ht="22.5" customHeight="1">
      <c r="A108" s="3">
        <v>111.0</v>
      </c>
      <c r="B108" s="3" t="s">
        <v>2005</v>
      </c>
      <c r="C108" s="3" t="s">
        <v>2006</v>
      </c>
      <c r="D108" s="3" t="s">
        <v>1834</v>
      </c>
      <c r="E108" s="2"/>
      <c r="F108" s="3" t="str">
        <f>IFERROR(__xludf.DUMMYFUNCTION("GOOGLETRANSLATE(A108, ""it"", ""en"")"),"111")</f>
        <v>111</v>
      </c>
      <c r="G108" s="3" t="str">
        <f>IFERROR(__xludf.DUMMYFUNCTION("GOOGLETRANSLATE(B108, ""it"", ""en"")"),"If during a game the jack goes out of bounds and no ball hits it, what happens?")</f>
        <v>If during a game the jack goes out of bounds and no ball hits it, what happens?</v>
      </c>
      <c r="H108" s="3" t="str">
        <f>IFERROR(__xludf.DUMMYFUNCTION("GOOGLETRANSLATE(C108, ""it"", ""en"")"),"A. The cue ball is replaced B. The game is cancelled C. The point goes to the opposing team D. Play continues normally")</f>
        <v>A. The cue ball is replaced B. The game is cancelled C. The point goes to the opposing team D. Play continues normally</v>
      </c>
      <c r="I108" s="3" t="str">
        <f>IFERROR(__xludf.DUMMYFUNCTION("GOOGLETRANSLATE(D108, ""it"", ""en"")"),"The ball is repositioned")</f>
        <v>The ball is repositioned</v>
      </c>
      <c r="J108" s="2"/>
      <c r="K108" s="2"/>
      <c r="L108" s="2"/>
      <c r="M108" s="2"/>
      <c r="N108" s="2"/>
      <c r="O108" s="2"/>
      <c r="P108" s="2"/>
      <c r="Q108" s="2"/>
      <c r="R108" s="2"/>
    </row>
    <row r="109" ht="22.5" customHeight="1">
      <c r="A109" s="3">
        <v>112.0</v>
      </c>
      <c r="B109" s="3" t="s">
        <v>2007</v>
      </c>
      <c r="C109" s="3" t="s">
        <v>2008</v>
      </c>
      <c r="D109" s="3" t="s">
        <v>1828</v>
      </c>
      <c r="E109" s="2"/>
      <c r="F109" s="3" t="str">
        <f>IFERROR(__xludf.DUMMYFUNCTION("GOOGLETRANSLATE(A109, ""it"", ""en"")"),"112")</f>
        <v>112</v>
      </c>
      <c r="G109" s="3" t="str">
        <f>IFERROR(__xludf.DUMMYFUNCTION("GOOGLETRANSLATE(B109, ""it"", ""en"")"),"If a player throws a ball and it hits an opponent's ball that goes out of bounds, what happens?")</f>
        <v>If a player throws a ball and it hits an opponent's ball that goes out of bounds, what happens?</v>
      </c>
      <c r="H109" s="3" t="str">
        <f>IFERROR(__xludf.DUMMYFUNCTION("GOOGLETRANSLATE(C109, ""it"", ""en"")"),"A. The point goes to the team that threw it B. The opponent's ball is removed C. The game continues normally D. The point goes to the opponent")</f>
        <v>A. The point goes to the team that threw it B. The opponent's ball is removed C. The game continues normally D. The point goes to the opponent</v>
      </c>
      <c r="I109" s="3" t="str">
        <f>IFERROR(__xludf.DUMMYFUNCTION("GOOGLETRANSLATE(D109, ""it"", ""en"")"),"The point goes to the team that threw")</f>
        <v>The point goes to the team that threw</v>
      </c>
      <c r="J109" s="2"/>
      <c r="K109" s="2"/>
      <c r="L109" s="2"/>
      <c r="M109" s="2"/>
      <c r="N109" s="2"/>
      <c r="O109" s="2"/>
      <c r="P109" s="2"/>
      <c r="Q109" s="2"/>
      <c r="R109" s="2"/>
    </row>
    <row r="110" ht="22.5" customHeight="1">
      <c r="A110" s="3">
        <v>113.0</v>
      </c>
      <c r="B110" s="3" t="s">
        <v>2009</v>
      </c>
      <c r="C110" s="3" t="s">
        <v>2010</v>
      </c>
      <c r="D110" s="3" t="s">
        <v>1888</v>
      </c>
      <c r="E110" s="2"/>
      <c r="F110" s="3" t="str">
        <f>IFERROR(__xludf.DUMMYFUNCTION("GOOGLETRANSLATE(A110, ""it"", ""en"")"),"113")</f>
        <v>113</v>
      </c>
      <c r="G110" s="3" t="str">
        <f>IFERROR(__xludf.DUMMYFUNCTION("GOOGLETRANSLATE(B110, ""it"", ""en"")"),"What happens if a player throws the ball and it touches a ball that moves toward the jack?")</f>
        <v>What happens if a player throws the ball and it touches a ball that moves toward the jack?</v>
      </c>
      <c r="H110" s="3" t="str">
        <f>IFERROR(__xludf.DUMMYFUNCTION("GOOGLETRANSLATE(C110, ""it"", ""en"")"),"A. The ball earns a point B. The point goes to the team that threw it C. The point goes to the opponent D. The game continues normally")</f>
        <v>A. The ball earns a point B. The point goes to the team that threw it C. The point goes to the opponent D. The game continues normally</v>
      </c>
      <c r="I110" s="3" t="str">
        <f>IFERROR(__xludf.DUMMYFUNCTION("GOOGLETRANSLATE(D110, ""it"", ""en"")"),"The bowl earns a point")</f>
        <v>The bowl earns a point</v>
      </c>
      <c r="J110" s="2"/>
      <c r="K110" s="2"/>
      <c r="L110" s="2"/>
      <c r="M110" s="2"/>
      <c r="N110" s="2"/>
      <c r="O110" s="2"/>
      <c r="P110" s="2"/>
      <c r="Q110" s="2"/>
      <c r="R110" s="2"/>
    </row>
    <row r="111" ht="22.5" customHeight="1">
      <c r="A111" s="3">
        <v>114.0</v>
      </c>
      <c r="B111" s="3" t="s">
        <v>2011</v>
      </c>
      <c r="C111" s="3" t="s">
        <v>2012</v>
      </c>
      <c r="D111" s="3" t="s">
        <v>2013</v>
      </c>
      <c r="E111" s="2"/>
      <c r="F111" s="3" t="str">
        <f>IFERROR(__xludf.DUMMYFUNCTION("GOOGLETRANSLATE(A111, ""it"", ""en"")"),"114")</f>
        <v>114</v>
      </c>
      <c r="G111" s="3" t="str">
        <f>IFERROR(__xludf.DUMMYFUNCTION("GOOGLETRANSLATE(B111, ""it"", ""en"")"),"If a player throws a ball and it lands on another player's ball, what happens?")</f>
        <v>If a player throws a ball and it lands on another player's ball, what happens?</v>
      </c>
      <c r="H111" s="3" t="str">
        <f>IFERROR(__xludf.DUMMYFUNCTION("GOOGLETRANSLATE(C111, ""it"", ""en"")"),"A. The ball is considered closest to the jack B. The point goes to the team that threw it C. The game continues normally D. The ball is removed")</f>
        <v>A. The ball is considered closest to the jack B. The point goes to the team that threw it C. The game continues normally D. The ball is removed</v>
      </c>
      <c r="I111" s="3" t="str">
        <f>IFERROR(__xludf.DUMMYFUNCTION("GOOGLETRANSLATE(D111, ""it"", ""en"")"),"The boccia is considered closer to the jack")</f>
        <v>The boccia is considered closer to the jack</v>
      </c>
      <c r="J111" s="2"/>
      <c r="K111" s="2"/>
      <c r="L111" s="2"/>
      <c r="M111" s="2"/>
      <c r="N111" s="2"/>
      <c r="O111" s="2"/>
      <c r="P111" s="2"/>
      <c r="Q111" s="2"/>
      <c r="R111" s="2"/>
    </row>
    <row r="112" ht="22.5" customHeight="1">
      <c r="A112" s="3">
        <v>115.0</v>
      </c>
      <c r="B112" s="3" t="s">
        <v>2014</v>
      </c>
      <c r="C112" s="3" t="s">
        <v>2015</v>
      </c>
      <c r="D112" s="3" t="s">
        <v>1828</v>
      </c>
      <c r="E112" s="2"/>
      <c r="F112" s="3" t="str">
        <f>IFERROR(__xludf.DUMMYFUNCTION("GOOGLETRANSLATE(A112, ""it"", ""en"")"),"115")</f>
        <v>115</v>
      </c>
      <c r="G112" s="3" t="str">
        <f>IFERROR(__xludf.DUMMYFUNCTION("GOOGLETRANSLATE(B112, ""it"", ""en"")"),"If a player hits an opponent's ball with his own, but the position of the jack doesn't change, what happens?")</f>
        <v>If a player hits an opponent's ball with his own, but the position of the jack doesn't change, what happens?</v>
      </c>
      <c r="H112" s="3" t="str">
        <f>IFERROR(__xludf.DUMMYFUNCTION("GOOGLETRANSLATE(C112, ""it"", ""en"")"),"A. The point goes to the team that threw B. The point goes to the opponent C. The opponent's ball is removed D. The game continues normally")</f>
        <v>A. The point goes to the team that threw B. The point goes to the opponent C. The opponent's ball is removed D. The game continues normally</v>
      </c>
      <c r="I112" s="3" t="str">
        <f>IFERROR(__xludf.DUMMYFUNCTION("GOOGLETRANSLATE(D112, ""it"", ""en"")"),"The point goes to the team that threw")</f>
        <v>The point goes to the team that threw</v>
      </c>
      <c r="J112" s="2"/>
      <c r="K112" s="2"/>
      <c r="L112" s="2"/>
      <c r="M112" s="2"/>
      <c r="N112" s="2"/>
      <c r="O112" s="2"/>
      <c r="P112" s="2"/>
      <c r="Q112" s="2"/>
      <c r="R112" s="2"/>
    </row>
    <row r="113" ht="22.5" customHeight="1">
      <c r="A113" s="3">
        <v>116.0</v>
      </c>
      <c r="B113" s="3" t="s">
        <v>2016</v>
      </c>
      <c r="C113" s="3" t="s">
        <v>2017</v>
      </c>
      <c r="D113" s="3" t="s">
        <v>1834</v>
      </c>
      <c r="E113" s="2"/>
      <c r="F113" s="3" t="str">
        <f>IFERROR(__xludf.DUMMYFUNCTION("GOOGLETRANSLATE(A113, ""it"", ""en"")"),"116")</f>
        <v>116</v>
      </c>
      <c r="G113" s="3" t="str">
        <f>IFERROR(__xludf.DUMMYFUNCTION("GOOGLETRANSLATE(B113, ""it"", ""en"")"),"What happens if a player throws a boccia and it touches the jack and moves it?")</f>
        <v>What happens if a player throws a boccia and it touches the jack and moves it?</v>
      </c>
      <c r="H113" s="3" t="str">
        <f>IFERROR(__xludf.DUMMYFUNCTION("GOOGLETRANSLATE(C113, ""it"", ""en"")"),"A. The point goes to the team that threw it B. The jack is replaced C. The game continues normally D. The point goes to the opponent")</f>
        <v>A. The point goes to the team that threw it B. The jack is replaced C. The game continues normally D. The point goes to the opponent</v>
      </c>
      <c r="I113" s="3" t="str">
        <f>IFERROR(__xludf.DUMMYFUNCTION("GOOGLETRANSLATE(D113, ""it"", ""en"")"),"The ball is repositioned")</f>
        <v>The ball is repositioned</v>
      </c>
      <c r="J113" s="2"/>
      <c r="K113" s="2"/>
      <c r="L113" s="2"/>
      <c r="M113" s="2"/>
      <c r="N113" s="2"/>
      <c r="O113" s="2"/>
      <c r="P113" s="2"/>
      <c r="Q113" s="2"/>
      <c r="R113" s="2"/>
    </row>
    <row r="114" ht="22.5" customHeight="1">
      <c r="A114" s="3">
        <v>117.0</v>
      </c>
      <c r="B114" s="3" t="s">
        <v>2018</v>
      </c>
      <c r="C114" s="3" t="s">
        <v>2019</v>
      </c>
      <c r="D114" s="3" t="s">
        <v>1852</v>
      </c>
      <c r="E114" s="2"/>
      <c r="F114" s="3" t="str">
        <f>IFERROR(__xludf.DUMMYFUNCTION("GOOGLETRANSLATE(A114, ""it"", ""en"")"),"117")</f>
        <v>117</v>
      </c>
      <c r="G114" s="3" t="str">
        <f>IFERROR(__xludf.DUMMYFUNCTION("GOOGLETRANSLATE(B114, ""it"", ""en"")"),"If a player throws the ball so that it lands outside the court without hitting anything, what happens?")</f>
        <v>If a player throws the ball so that it lands outside the court without hitting anything, what happens?</v>
      </c>
      <c r="H114" s="3" t="str">
        <f>IFERROR(__xludf.DUMMYFUNCTION("GOOGLETRANSLATE(C114, ""it"", ""en"")"),"A. The point goes to the opposing team B. The game continues normally C. The ball is cancelled D. The throw is cancelled")</f>
        <v>A. The point goes to the opposing team B. The game continues normally C. The ball is cancelled D. The throw is cancelled</v>
      </c>
      <c r="I114" s="3" t="str">
        <f>IFERROR(__xludf.DUMMYFUNCTION("GOOGLETRANSLATE(D114, ""it"", ""en"")"),"The bowl is cancelled")</f>
        <v>The bowl is cancelled</v>
      </c>
      <c r="J114" s="2"/>
      <c r="K114" s="2"/>
      <c r="L114" s="2"/>
      <c r="M114" s="2"/>
      <c r="N114" s="2"/>
      <c r="O114" s="2"/>
      <c r="P114" s="2"/>
      <c r="Q114" s="2"/>
      <c r="R114" s="2"/>
    </row>
    <row r="115" ht="22.5" customHeight="1">
      <c r="A115" s="3">
        <v>118.0</v>
      </c>
      <c r="B115" s="3" t="s">
        <v>2020</v>
      </c>
      <c r="C115" s="3" t="s">
        <v>2021</v>
      </c>
      <c r="D115" s="3" t="s">
        <v>1950</v>
      </c>
      <c r="E115" s="2"/>
      <c r="F115" s="3" t="str">
        <f>IFERROR(__xludf.DUMMYFUNCTION("GOOGLETRANSLATE(A115, ""it"", ""en"")"),"118")</f>
        <v>118</v>
      </c>
      <c r="G115" s="3" t="str">
        <f>IFERROR(__xludf.DUMMYFUNCTION("GOOGLETRANSLATE(B115, ""it"", ""en"")"),"What happens if a player accidentally kicks a ball during play?")</f>
        <v>What happens if a player accidentally kicks a ball during play?</v>
      </c>
      <c r="H115" s="3" t="str">
        <f>IFERROR(__xludf.DUMMYFUNCTION("GOOGLETRANSLATE(C115, ""it"", ""en"")"),"A. The point goes to the opponent B. The ball is replaced C. The throw is cancelled D. The game continues normally")</f>
        <v>A. The point goes to the opponent B. The ball is replaced C. The throw is cancelled D. The game continues normally</v>
      </c>
      <c r="I115" s="3" t="str">
        <f>IFERROR(__xludf.DUMMYFUNCTION("GOOGLETRANSLATE(D115, ""it"", ""en"")"),"The point goes to the opponent")</f>
        <v>The point goes to the opponent</v>
      </c>
      <c r="J115" s="2"/>
      <c r="K115" s="2"/>
      <c r="L115" s="2"/>
      <c r="M115" s="2"/>
      <c r="N115" s="2"/>
      <c r="O115" s="2"/>
      <c r="P115" s="2"/>
      <c r="Q115" s="2"/>
      <c r="R115" s="2"/>
    </row>
    <row r="116" ht="22.5" customHeight="1">
      <c r="A116" s="3">
        <v>119.0</v>
      </c>
      <c r="B116" s="3" t="s">
        <v>2022</v>
      </c>
      <c r="C116" s="3" t="s">
        <v>2023</v>
      </c>
      <c r="D116" s="3" t="s">
        <v>1828</v>
      </c>
      <c r="E116" s="2"/>
      <c r="F116" s="3" t="str">
        <f>IFERROR(__xludf.DUMMYFUNCTION("GOOGLETRANSLATE(A116, ""it"", ""en"")"),"119")</f>
        <v>119</v>
      </c>
      <c r="G116" s="3" t="str">
        <f>IFERROR(__xludf.DUMMYFUNCTION("GOOGLETRANSLATE(B116, ""it"", ""en"")"),"If a player throws a ball that touches an opponent's ball and moves it out of play, what happens?")</f>
        <v>If a player throws a ball that touches an opponent's ball and moves it out of play, what happens?</v>
      </c>
      <c r="H116" s="3" t="str">
        <f>IFERROR(__xludf.DUMMYFUNCTION("GOOGLETRANSLATE(C116, ""it"", ""en"")"),"A. The opponent's ball is removed B. The point goes to the team that threw it C. The game continues normally D. The ball is replaced")</f>
        <v>A. The opponent's ball is removed B. The point goes to the team that threw it C. The game continues normally D. The ball is replaced</v>
      </c>
      <c r="I116" s="3" t="str">
        <f>IFERROR(__xludf.DUMMYFUNCTION("GOOGLETRANSLATE(D116, ""it"", ""en"")"),"The point goes to the team that threw")</f>
        <v>The point goes to the team that threw</v>
      </c>
      <c r="J116" s="2"/>
      <c r="K116" s="2"/>
      <c r="L116" s="2"/>
      <c r="M116" s="2"/>
      <c r="N116" s="2"/>
      <c r="O116" s="2"/>
      <c r="P116" s="2"/>
      <c r="Q116" s="2"/>
      <c r="R116" s="2"/>
    </row>
    <row r="117" ht="22.5" customHeight="1">
      <c r="A117" s="3">
        <v>120.0</v>
      </c>
      <c r="B117" s="3" t="s">
        <v>2024</v>
      </c>
      <c r="C117" s="3" t="s">
        <v>2025</v>
      </c>
      <c r="D117" s="3" t="s">
        <v>1834</v>
      </c>
      <c r="E117" s="2"/>
      <c r="F117" s="3" t="str">
        <f>IFERROR(__xludf.DUMMYFUNCTION("GOOGLETRANSLATE(A117, ""it"", ""en"")"),"120")</f>
        <v>120</v>
      </c>
      <c r="G117" s="3" t="str">
        <f>IFERROR(__xludf.DUMMYFUNCTION("GOOGLETRANSLATE(B117, ""it"", ""en"")"),"If the cue ball is hit and moves beyond the baseline, what happens?")</f>
        <v>If the cue ball is hit and moves beyond the baseline, what happens?</v>
      </c>
      <c r="H117" s="3" t="str">
        <f>IFERROR(__xludf.DUMMYFUNCTION("GOOGLETRANSLATE(C117, ""it"", ""en"")"),"A. The point goes to the team that threw B. The game continues normally C. The jack is replaced D. The game is cancelled")</f>
        <v>A. The point goes to the team that threw B. The game continues normally C. The jack is replaced D. The game is cancelled</v>
      </c>
      <c r="I117" s="3" t="str">
        <f>IFERROR(__xludf.DUMMYFUNCTION("GOOGLETRANSLATE(D117, ""it"", ""en"")"),"The ball is repositioned")</f>
        <v>The ball is repositioned</v>
      </c>
      <c r="J117" s="2"/>
      <c r="K117" s="2"/>
      <c r="L117" s="2"/>
      <c r="M117" s="2"/>
      <c r="N117" s="2"/>
      <c r="O117" s="2"/>
      <c r="P117" s="2"/>
      <c r="Q117" s="2"/>
      <c r="R117" s="2"/>
    </row>
    <row r="118" ht="22.5" customHeight="1">
      <c r="A118" s="3">
        <v>121.0</v>
      </c>
      <c r="B118" s="3" t="s">
        <v>2026</v>
      </c>
      <c r="C118" s="3" t="s">
        <v>2027</v>
      </c>
      <c r="D118" s="3" t="s">
        <v>1852</v>
      </c>
      <c r="E118" s="2"/>
      <c r="F118" s="3" t="str">
        <f>IFERROR(__xludf.DUMMYFUNCTION("GOOGLETRANSLATE(A118, ""it"", ""en"")"),"121")</f>
        <v>121</v>
      </c>
      <c r="G118" s="3" t="str">
        <f>IFERROR(__xludf.DUMMYFUNCTION("GOOGLETRANSLATE(B118, ""it"", ""en"")"),"If a ball goes out of bounds but doesn't touch anything, what happens?")</f>
        <v>If a ball goes out of bounds but doesn't touch anything, what happens?</v>
      </c>
      <c r="H118" s="3" t="str">
        <f>IFERROR(__xludf.DUMMYFUNCTION("GOOGLETRANSLATE(C118, ""it"", ""en"")"),"A. The ball is cancelled B. The point goes to the opponent C. The game continues normally D. The throw is cancelled")</f>
        <v>A. The ball is cancelled B. The point goes to the opponent C. The game continues normally D. The throw is cancelled</v>
      </c>
      <c r="I118" s="3" t="str">
        <f>IFERROR(__xludf.DUMMYFUNCTION("GOOGLETRANSLATE(D118, ""it"", ""en"")"),"The bowl is cancelled")</f>
        <v>The bowl is cancelled</v>
      </c>
      <c r="J118" s="2"/>
      <c r="K118" s="2"/>
      <c r="L118" s="2"/>
      <c r="M118" s="2"/>
      <c r="N118" s="2"/>
      <c r="O118" s="2"/>
      <c r="P118" s="2"/>
      <c r="Q118" s="2"/>
      <c r="R118" s="2"/>
    </row>
    <row r="119" ht="22.5" customHeight="1">
      <c r="A119" s="3">
        <v>122.0</v>
      </c>
      <c r="B119" s="3" t="s">
        <v>2028</v>
      </c>
      <c r="C119" s="3" t="s">
        <v>2029</v>
      </c>
      <c r="D119" s="3" t="s">
        <v>1828</v>
      </c>
      <c r="E119" s="2"/>
      <c r="F119" s="3" t="str">
        <f>IFERROR(__xludf.DUMMYFUNCTION("GOOGLETRANSLATE(A119, ""it"", ""en"")"),"122")</f>
        <v>122</v>
      </c>
      <c r="G119" s="3" t="str">
        <f>IFERROR(__xludf.DUMMYFUNCTION("GOOGLETRANSLATE(B119, ""it"", ""en"")"),"If a player throws a ball too hard and it hits an opponent's ball, what happens?")</f>
        <v>If a player throws a ball too hard and it hits an opponent's ball, what happens?</v>
      </c>
      <c r="H119" s="3" t="str">
        <f>IFERROR(__xludf.DUMMYFUNCTION("GOOGLETRANSLATE(C119, ""it"", ""en"")"),"A. The ball is replaced B. The point goes to the team that threw it C. The game continues normally D. The point goes to the opponent")</f>
        <v>A. The ball is replaced B. The point goes to the team that threw it C. The game continues normally D. The point goes to the opponent</v>
      </c>
      <c r="I119" s="3" t="str">
        <f>IFERROR(__xludf.DUMMYFUNCTION("GOOGLETRANSLATE(D119, ""it"", ""en"")"),"The point goes to the team that threw")</f>
        <v>The point goes to the team that threw</v>
      </c>
      <c r="J119" s="2"/>
      <c r="K119" s="2"/>
      <c r="L119" s="2"/>
      <c r="M119" s="2"/>
      <c r="N119" s="2"/>
      <c r="O119" s="2"/>
      <c r="P119" s="2"/>
      <c r="Q119" s="2"/>
      <c r="R119" s="2"/>
    </row>
    <row r="120" ht="22.5" customHeight="1">
      <c r="A120" s="3">
        <v>123.0</v>
      </c>
      <c r="B120" s="3" t="s">
        <v>2030</v>
      </c>
      <c r="C120" s="3" t="s">
        <v>2031</v>
      </c>
      <c r="D120" s="3" t="s">
        <v>1834</v>
      </c>
      <c r="E120" s="2"/>
      <c r="F120" s="3" t="str">
        <f>IFERROR(__xludf.DUMMYFUNCTION("GOOGLETRANSLATE(A120, ""it"", ""en"")"),"123")</f>
        <v>123</v>
      </c>
      <c r="G120" s="3" t="str">
        <f>IFERROR(__xludf.DUMMYFUNCTION("GOOGLETRANSLATE(B120, ""it"", ""en"")"),"If the cue ball is hit and moves out of bounds, what happens?")</f>
        <v>If the cue ball is hit and moves out of bounds, what happens?</v>
      </c>
      <c r="H120" s="3" t="str">
        <f>IFERROR(__xludf.DUMMYFUNCTION("GOOGLETRANSLATE(C120, ""it"", ""en"")"),"A. The game is cancelled B. The jack is replaced C. The point goes to the team that threw it D. Play continues normally")</f>
        <v>A. The game is cancelled B. The jack is replaced C. The point goes to the team that threw it D. Play continues normally</v>
      </c>
      <c r="I120" s="3" t="str">
        <f>IFERROR(__xludf.DUMMYFUNCTION("GOOGLETRANSLATE(D120, ""it"", ""en"")"),"The ball is repositioned")</f>
        <v>The ball is repositioned</v>
      </c>
      <c r="J120" s="2"/>
      <c r="K120" s="2"/>
      <c r="L120" s="2"/>
      <c r="M120" s="2"/>
      <c r="N120" s="2"/>
      <c r="O120" s="2"/>
      <c r="P120" s="2"/>
      <c r="Q120" s="2"/>
      <c r="R120" s="2"/>
    </row>
    <row r="121" ht="22.5" customHeight="1">
      <c r="A121" s="3">
        <v>124.0</v>
      </c>
      <c r="B121" s="3" t="s">
        <v>2032</v>
      </c>
      <c r="C121" s="3" t="s">
        <v>2033</v>
      </c>
      <c r="D121" s="3" t="s">
        <v>1864</v>
      </c>
      <c r="E121" s="2"/>
      <c r="F121" s="3" t="str">
        <f>IFERROR(__xludf.DUMMYFUNCTION("GOOGLETRANSLATE(A121, ""it"", ""en"")"),"124")</f>
        <v>124</v>
      </c>
      <c r="G121" s="3" t="str">
        <f>IFERROR(__xludf.DUMMYFUNCTION("GOOGLETRANSLATE(B121, ""it"", ""en"")"),"What happens if a player throws a ball that touches the throwing line?")</f>
        <v>What happens if a player throws a ball that touches the throwing line?</v>
      </c>
      <c r="H121" s="3" t="str">
        <f>IFERROR(__xludf.DUMMYFUNCTION("GOOGLETRANSLATE(C121, ""it"", ""en"")"),"A. The ball is considered valid B. The point goes to the opponent C. The throw is cancelled D. The ball is removed")</f>
        <v>A. The ball is considered valid B. The point goes to the opponent C. The throw is cancelled D. The ball is removed</v>
      </c>
      <c r="I121" s="3" t="str">
        <f>IFERROR(__xludf.DUMMYFUNCTION("GOOGLETRANSLATE(D121, ""it"", ""en"")"),"The ball is considered valid")</f>
        <v>The ball is considered valid</v>
      </c>
      <c r="J121" s="2"/>
      <c r="K121" s="2"/>
      <c r="L121" s="2"/>
      <c r="M121" s="2"/>
      <c r="N121" s="2"/>
      <c r="O121" s="2"/>
      <c r="P121" s="2"/>
      <c r="Q121" s="2"/>
      <c r="R121" s="2"/>
    </row>
    <row r="122" ht="22.5" customHeight="1">
      <c r="A122" s="3">
        <v>125.0</v>
      </c>
      <c r="B122" s="3" t="s">
        <v>2034</v>
      </c>
      <c r="C122" s="3" t="s">
        <v>2035</v>
      </c>
      <c r="D122" s="3" t="s">
        <v>1828</v>
      </c>
      <c r="E122" s="2"/>
      <c r="F122" s="3" t="str">
        <f>IFERROR(__xludf.DUMMYFUNCTION("GOOGLETRANSLATE(A122, ""it"", ""en"")"),"125")</f>
        <v>125</v>
      </c>
      <c r="G122" s="3" t="str">
        <f>IFERROR(__xludf.DUMMYFUNCTION("GOOGLETRANSLATE(B122, ""it"", ""en"")"),"If during a game a ball stops on top of the jack, what happens?")</f>
        <v>If during a game a ball stops on top of the jack, what happens?</v>
      </c>
      <c r="H122" s="3" t="str">
        <f>IFERROR(__xludf.DUMMYFUNCTION("GOOGLETRANSLATE(C122, ""it"", ""en"")"),"A. The point goes to the team that threw it B. The game continues normally C. The point goes to the opponent D. The ball is removed")</f>
        <v>A. The point goes to the team that threw it B. The game continues normally C. The point goes to the opponent D. The ball is removed</v>
      </c>
      <c r="I122" s="3" t="str">
        <f>IFERROR(__xludf.DUMMYFUNCTION("GOOGLETRANSLATE(D122, ""it"", ""en"")"),"The point goes to the team that threw")</f>
        <v>The point goes to the team that threw</v>
      </c>
      <c r="J122" s="2"/>
      <c r="K122" s="2"/>
      <c r="L122" s="2"/>
      <c r="M122" s="2"/>
      <c r="N122" s="2"/>
      <c r="O122" s="2"/>
      <c r="P122" s="2"/>
      <c r="Q122" s="2"/>
      <c r="R122" s="2"/>
    </row>
    <row r="123" ht="22.5" customHeight="1">
      <c r="A123" s="3">
        <v>126.0</v>
      </c>
      <c r="B123" s="3" t="s">
        <v>2036</v>
      </c>
      <c r="C123" s="3" t="s">
        <v>1997</v>
      </c>
      <c r="D123" s="3" t="s">
        <v>1828</v>
      </c>
      <c r="E123" s="2"/>
      <c r="F123" s="3" t="str">
        <f>IFERROR(__xludf.DUMMYFUNCTION("GOOGLETRANSLATE(A123, ""it"", ""en"")"),"126")</f>
        <v>126</v>
      </c>
      <c r="G123" s="3" t="str">
        <f>IFERROR(__xludf.DUMMYFUNCTION("GOOGLETRANSLATE(B123, ""it"", ""en"")"),"If a boccia is thrown and hits a boccia that is moving toward the jack, what happens?")</f>
        <v>If a boccia is thrown and hits a boccia that is moving toward the jack, what happens?</v>
      </c>
      <c r="H123" s="3" t="str">
        <f>IFERROR(__xludf.DUMMYFUNCTION("GOOGLETRANSLATE(C123, ""it"", ""en"")"),"A. The point goes to the team that threw it B. The game continues normally C. The opponent's ball is removed D. The point goes to the opponent")</f>
        <v>A. The point goes to the team that threw it B. The game continues normally C. The opponent's ball is removed D. The point goes to the opponent</v>
      </c>
      <c r="I123" s="3" t="str">
        <f>IFERROR(__xludf.DUMMYFUNCTION("GOOGLETRANSLATE(D123, ""it"", ""en"")"),"The point goes to the team that threw")</f>
        <v>The point goes to the team that threw</v>
      </c>
      <c r="J123" s="2"/>
      <c r="K123" s="2"/>
      <c r="L123" s="2"/>
      <c r="M123" s="2"/>
      <c r="N123" s="2"/>
      <c r="O123" s="2"/>
      <c r="P123" s="2"/>
      <c r="Q123" s="2"/>
      <c r="R123" s="2"/>
    </row>
    <row r="124" ht="22.5" customHeight="1">
      <c r="A124" s="3">
        <v>127.0</v>
      </c>
      <c r="B124" s="3" t="s">
        <v>2037</v>
      </c>
      <c r="C124" s="3" t="s">
        <v>2038</v>
      </c>
      <c r="D124" s="3" t="s">
        <v>1840</v>
      </c>
      <c r="E124" s="2"/>
      <c r="F124" s="3" t="str">
        <f>IFERROR(__xludf.DUMMYFUNCTION("GOOGLETRANSLATE(A124, ""it"", ""en"")"),"127")</f>
        <v>127</v>
      </c>
      <c r="G124" s="3" t="str">
        <f>IFERROR(__xludf.DUMMYFUNCTION("GOOGLETRANSLATE(B124, ""it"", ""en"")"),"What happens if a ball hits the edge of the court and bounces out?")</f>
        <v>What happens if a ball hits the edge of the court and bounces out?</v>
      </c>
      <c r="H124" s="3" t="str">
        <f>IFERROR(__xludf.DUMMYFUNCTION("GOOGLETRANSLATE(C124, ""it"", ""en"")"),"A. The throw is cancelled B. The point goes to the opponent C. The game continues normally D. The ball is replaced")</f>
        <v>A. The throw is cancelled B. The point goes to the opponent C. The game continues normally D. The ball is replaced</v>
      </c>
      <c r="I124" s="3" t="str">
        <f>IFERROR(__xludf.DUMMYFUNCTION("GOOGLETRANSLATE(D124, ""it"", ""en"")"),"The launch is cancelled")</f>
        <v>The launch is cancelled</v>
      </c>
      <c r="J124" s="2"/>
      <c r="K124" s="2"/>
      <c r="L124" s="2"/>
      <c r="M124" s="2"/>
      <c r="N124" s="2"/>
      <c r="O124" s="2"/>
      <c r="P124" s="2"/>
      <c r="Q124" s="2"/>
      <c r="R124" s="2"/>
    </row>
    <row r="125" ht="22.5" customHeight="1">
      <c r="A125" s="3">
        <v>130.0</v>
      </c>
      <c r="B125" s="3" t="s">
        <v>2039</v>
      </c>
      <c r="C125" s="3" t="s">
        <v>2040</v>
      </c>
      <c r="D125" s="3" t="s">
        <v>1828</v>
      </c>
      <c r="E125" s="2"/>
      <c r="F125" s="3" t="str">
        <f>IFERROR(__xludf.DUMMYFUNCTION("GOOGLETRANSLATE(A125, ""it"", ""en"")"),"130")</f>
        <v>130</v>
      </c>
      <c r="G125" s="3" t="str">
        <f>IFERROR(__xludf.DUMMYFUNCTION("GOOGLETRANSLATE(B125, ""it"", ""en"")"),"If a ball is thrown and hits another ball, but the position of the jack does not change, what happens?")</f>
        <v>If a ball is thrown and hits another ball, but the position of the jack does not change, what happens?</v>
      </c>
      <c r="H125" s="3" t="str">
        <f>IFERROR(__xludf.DUMMYFUNCTION("GOOGLETRANSLATE(C125,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125" s="3" t="str">
        <f>IFERROR(__xludf.DUMMYFUNCTION("GOOGLETRANSLATE(D125, ""it"", ""en"")"),"The point goes to the team that threw")</f>
        <v>The point goes to the team that threw</v>
      </c>
      <c r="J125" s="2"/>
      <c r="K125" s="2"/>
      <c r="L125" s="2"/>
      <c r="M125" s="2"/>
      <c r="N125" s="2"/>
      <c r="O125" s="2"/>
      <c r="P125" s="2"/>
      <c r="Q125" s="2"/>
      <c r="R125" s="2"/>
    </row>
    <row r="126" ht="22.5" customHeight="1">
      <c r="A126" s="3">
        <v>131.0</v>
      </c>
      <c r="B126" s="3" t="s">
        <v>2041</v>
      </c>
      <c r="C126" s="3" t="s">
        <v>2042</v>
      </c>
      <c r="D126" s="3" t="s">
        <v>1828</v>
      </c>
      <c r="E126" s="2"/>
      <c r="F126" s="3" t="str">
        <f>IFERROR(__xludf.DUMMYFUNCTION("GOOGLETRANSLATE(A126, ""it"", ""en"")"),"131")</f>
        <v>131</v>
      </c>
      <c r="G126" s="3" t="str">
        <f>IFERROR(__xludf.DUMMYFUNCTION("GOOGLETRANSLATE(B126, ""it"", ""en"")"),"If a ball touches the baseline during a throw but doesn't go out, what happens?")</f>
        <v>If a ball touches the baseline during a throw but doesn't go out, what happens?</v>
      </c>
      <c r="H126" s="3" t="str">
        <f>IFERROR(__xludf.DUMMYFUNCTION("GOOGLETRANSLATE(C126, ""it"", ""en"")"),"A. The point goes to the team that threw B. The throw is cancelled C. The game continues normally D. The ball is replaced")</f>
        <v>A. The point goes to the team that threw B. The throw is cancelled C. The game continues normally D. The ball is replaced</v>
      </c>
      <c r="I126" s="3" t="str">
        <f>IFERROR(__xludf.DUMMYFUNCTION("GOOGLETRANSLATE(D126, ""it"", ""en"")"),"The point goes to the team that threw")</f>
        <v>The point goes to the team that threw</v>
      </c>
      <c r="J126" s="2"/>
      <c r="K126" s="2"/>
      <c r="L126" s="2"/>
      <c r="M126" s="2"/>
      <c r="N126" s="2"/>
      <c r="O126" s="2"/>
      <c r="P126" s="2"/>
      <c r="Q126" s="2"/>
      <c r="R126" s="2"/>
    </row>
    <row r="127" ht="22.5" customHeight="1">
      <c r="A127" s="3">
        <v>132.0</v>
      </c>
      <c r="B127" s="3" t="s">
        <v>2043</v>
      </c>
      <c r="C127" s="3" t="s">
        <v>1995</v>
      </c>
      <c r="D127" s="3" t="s">
        <v>1834</v>
      </c>
      <c r="E127" s="2"/>
      <c r="F127" s="3" t="str">
        <f>IFERROR(__xludf.DUMMYFUNCTION("GOOGLETRANSLATE(A127, ""it"", ""en"")"),"132")</f>
        <v>132</v>
      </c>
      <c r="G127" s="3" t="str">
        <f>IFERROR(__xludf.DUMMYFUNCTION("GOOGLETRANSLATE(B127, ""it"", ""en"")"),"If a ball hits the jack and moves it out of play, what happens?")</f>
        <v>If a ball hits the jack and moves it out of play, what happens?</v>
      </c>
      <c r="H127" s="3" t="str">
        <f>IFERROR(__xludf.DUMMYFUNCTION("GOOGLETRANSLATE(C127, ""it"", ""en"")"),"A. The game is cancelled B. The cue ball is replaced C. The point goes to the opponent D. The game continues normally")</f>
        <v>A. The game is cancelled B. The cue ball is replaced C. The point goes to the opponent D. The game continues normally</v>
      </c>
      <c r="I127" s="3" t="str">
        <f>IFERROR(__xludf.DUMMYFUNCTION("GOOGLETRANSLATE(D127, ""it"", ""en"")"),"The ball is repositioned")</f>
        <v>The ball is repositioned</v>
      </c>
      <c r="J127" s="2"/>
      <c r="K127" s="2"/>
      <c r="L127" s="2"/>
      <c r="M127" s="2"/>
      <c r="N127" s="2"/>
      <c r="O127" s="2"/>
      <c r="P127" s="2"/>
      <c r="Q127" s="2"/>
      <c r="R127" s="2"/>
    </row>
    <row r="128" ht="22.5" customHeight="1">
      <c r="A128" s="3">
        <v>133.0</v>
      </c>
      <c r="B128" s="3" t="s">
        <v>2044</v>
      </c>
      <c r="C128" s="3" t="s">
        <v>2045</v>
      </c>
      <c r="D128" s="3" t="s">
        <v>1950</v>
      </c>
      <c r="E128" s="2"/>
      <c r="F128" s="3" t="str">
        <f>IFERROR(__xludf.DUMMYFUNCTION("GOOGLETRANSLATE(A128, ""it"", ""en"")"),"133")</f>
        <v>133</v>
      </c>
      <c r="G128" s="3" t="str">
        <f>IFERROR(__xludf.DUMMYFUNCTION("GOOGLETRANSLATE(B128, ""it"", ""en"")"),"What happens if a player throws a bocce ball that goes out of bounds without hitting any balls?")</f>
        <v>What happens if a player throws a bocce ball that goes out of bounds without hitting any balls?</v>
      </c>
      <c r="H128" s="3" t="str">
        <f>IFERROR(__xludf.DUMMYFUNCTION("GOOGLETRANSLATE(C128, ""it"", ""en"")"),"A. The point goes to the opponent B. The throw is cancelled C. The game continues normally D. The ball is replaced")</f>
        <v>A. The point goes to the opponent B. The throw is cancelled C. The game continues normally D. The ball is replaced</v>
      </c>
      <c r="I128" s="3" t="str">
        <f>IFERROR(__xludf.DUMMYFUNCTION("GOOGLETRANSLATE(D128, ""it"", ""en"")"),"The point goes to the opponent")</f>
        <v>The point goes to the opponent</v>
      </c>
      <c r="J128" s="2"/>
      <c r="K128" s="2"/>
      <c r="L128" s="2"/>
      <c r="M128" s="2"/>
      <c r="N128" s="2"/>
      <c r="O128" s="2"/>
      <c r="P128" s="2"/>
      <c r="Q128" s="2"/>
      <c r="R128" s="2"/>
    </row>
    <row r="129" ht="22.5" customHeight="1">
      <c r="A129" s="3">
        <v>134.0</v>
      </c>
      <c r="B129" s="3" t="s">
        <v>2046</v>
      </c>
      <c r="C129" s="3" t="s">
        <v>2047</v>
      </c>
      <c r="D129" s="3" t="s">
        <v>1828</v>
      </c>
      <c r="E129" s="2"/>
      <c r="F129" s="3" t="str">
        <f>IFERROR(__xludf.DUMMYFUNCTION("GOOGLETRANSLATE(A129, ""it"", ""en"")"),"134")</f>
        <v>134</v>
      </c>
      <c r="G129" s="3" t="str">
        <f>IFERROR(__xludf.DUMMYFUNCTION("GOOGLETRANSLATE(B129, ""it"", ""en"")"),"If a player throws a ball and hits another opponent's ball that moves toward the jack, what happens?")</f>
        <v>If a player throws a ball and hits another opponent's ball that moves toward the jack, what happens?</v>
      </c>
      <c r="H129" s="3" t="str">
        <f>IFERROR(__xludf.DUMMYFUNCTION("GOOGLETRANSLATE(C129, ""it"", ""en"")"),"A. The point goes to the team that threw B. The game continues normally C. The point goes to the opponent D. The jack is replaced")</f>
        <v>A. The point goes to the team that threw B. The game continues normally C. The point goes to the opponent D. The jack is replaced</v>
      </c>
      <c r="I129" s="3" t="str">
        <f>IFERROR(__xludf.DUMMYFUNCTION("GOOGLETRANSLATE(D129, ""it"", ""en"")"),"The point goes to the team that threw")</f>
        <v>The point goes to the team that threw</v>
      </c>
      <c r="J129" s="2"/>
      <c r="K129" s="2"/>
      <c r="L129" s="2"/>
      <c r="M129" s="2"/>
      <c r="N129" s="2"/>
      <c r="O129" s="2"/>
      <c r="P129" s="2"/>
      <c r="Q129" s="2"/>
      <c r="R129" s="2"/>
    </row>
    <row r="130" ht="22.5" customHeight="1">
      <c r="A130" s="3">
        <v>135.0</v>
      </c>
      <c r="B130" s="3" t="s">
        <v>2048</v>
      </c>
      <c r="C130" s="3" t="s">
        <v>2021</v>
      </c>
      <c r="D130" s="3" t="s">
        <v>1950</v>
      </c>
      <c r="E130" s="2"/>
      <c r="F130" s="3" t="str">
        <f>IFERROR(__xludf.DUMMYFUNCTION("GOOGLETRANSLATE(A130, ""it"", ""en"")"),"135")</f>
        <v>135</v>
      </c>
      <c r="G130" s="3" t="str">
        <f>IFERROR(__xludf.DUMMYFUNCTION("GOOGLETRANSLATE(B130, ""it"", ""en"")"),"What happens if a player accidentally kicks a ball before it is thrown?")</f>
        <v>What happens if a player accidentally kicks a ball before it is thrown?</v>
      </c>
      <c r="H130" s="3" t="str">
        <f>IFERROR(__xludf.DUMMYFUNCTION("GOOGLETRANSLATE(C130, ""it"", ""en"")"),"A. The point goes to the opponent B. The ball is replaced C. The throw is cancelled D. The game continues normally")</f>
        <v>A. The point goes to the opponent B. The ball is replaced C. The throw is cancelled D. The game continues normally</v>
      </c>
      <c r="I130" s="3" t="str">
        <f>IFERROR(__xludf.DUMMYFUNCTION("GOOGLETRANSLATE(D130, ""it"", ""en"")"),"The point goes to the opponent")</f>
        <v>The point goes to the opponent</v>
      </c>
      <c r="J130" s="2"/>
      <c r="K130" s="2"/>
      <c r="L130" s="2"/>
      <c r="M130" s="2"/>
      <c r="N130" s="2"/>
      <c r="O130" s="2"/>
      <c r="P130" s="2"/>
      <c r="Q130" s="2"/>
      <c r="R130" s="2"/>
    </row>
    <row r="131" ht="22.5" customHeight="1">
      <c r="A131" s="3">
        <v>136.0</v>
      </c>
      <c r="B131" s="3" t="s">
        <v>2024</v>
      </c>
      <c r="C131" s="3" t="s">
        <v>2049</v>
      </c>
      <c r="D131" s="3" t="s">
        <v>1834</v>
      </c>
      <c r="E131" s="2"/>
      <c r="F131" s="3" t="str">
        <f>IFERROR(__xludf.DUMMYFUNCTION("GOOGLETRANSLATE(A131, ""it"", ""en"")"),"136")</f>
        <v>136</v>
      </c>
      <c r="G131" s="3" t="str">
        <f>IFERROR(__xludf.DUMMYFUNCTION("GOOGLETRANSLATE(B131, ""it"", ""en"")"),"If the cue ball is hit and moves beyond the baseline, what happens?")</f>
        <v>If the cue ball is hit and moves beyond the baseline, what happens?</v>
      </c>
      <c r="H131" s="3" t="str">
        <f>IFERROR(__xludf.DUMMYFUNCTION("GOOGLETRANSLATE(C131, ""it"", ""en"")"),"A. The jack is replaced B. The point goes to the team that threw it C. Play continues normally D. The jack is removed")</f>
        <v>A. The jack is replaced B. The point goes to the team that threw it C. Play continues normally D. The jack is removed</v>
      </c>
      <c r="I131" s="3" t="str">
        <f>IFERROR(__xludf.DUMMYFUNCTION("GOOGLETRANSLATE(D131, ""it"", ""en"")"),"The ball is repositioned")</f>
        <v>The ball is repositioned</v>
      </c>
      <c r="J131" s="2"/>
      <c r="K131" s="2"/>
      <c r="L131" s="2"/>
      <c r="M131" s="2"/>
      <c r="N131" s="2"/>
      <c r="O131" s="2"/>
      <c r="P131" s="2"/>
      <c r="Q131" s="2"/>
      <c r="R131" s="2"/>
    </row>
    <row r="132" ht="22.5" customHeight="1">
      <c r="A132" s="3">
        <v>137.0</v>
      </c>
      <c r="B132" s="3" t="s">
        <v>2050</v>
      </c>
      <c r="C132" s="3" t="s">
        <v>1974</v>
      </c>
      <c r="D132" s="3" t="s">
        <v>1975</v>
      </c>
      <c r="E132" s="2"/>
      <c r="F132" s="3" t="str">
        <f>IFERROR(__xludf.DUMMYFUNCTION("GOOGLETRANSLATE(A132, ""it"", ""en"")"),"137")</f>
        <v>137</v>
      </c>
      <c r="G132" s="3" t="str">
        <f>IFERROR(__xludf.DUMMYFUNCTION("GOOGLETRANSLATE(B132, ""it"", ""en"")"),"If a player throws a ball and it touches an opponent's ball that moves out of bounds, what happens?")</f>
        <v>If a player throws a ball and it touches an opponent's ball that moves out of bounds, what happens?</v>
      </c>
      <c r="H132" s="3" t="str">
        <f>IFERROR(__xludf.DUMMYFUNCTION("GOOGLETRANSLATE(C132, ""it"", ""en"")"),"A. The opponent's ball is removed B. The point goes to the team that threw it C. The game continues normally D. The point goes to the opponent")</f>
        <v>A. The opponent's ball is removed B. The point goes to the team that threw it C. The game continues normally D. The point goes to the opponent</v>
      </c>
      <c r="I132" s="3" t="str">
        <f>IFERROR(__xludf.DUMMYFUNCTION("GOOGLETRANSLATE(D132, ""it"", ""en"")"),"The opponent's ball is removed")</f>
        <v>The opponent's ball is removed</v>
      </c>
      <c r="J132" s="2"/>
      <c r="K132" s="2"/>
      <c r="L132" s="2"/>
      <c r="M132" s="2"/>
      <c r="N132" s="2"/>
      <c r="O132" s="2"/>
      <c r="P132" s="2"/>
      <c r="Q132" s="2"/>
      <c r="R132" s="2"/>
    </row>
    <row r="133" ht="22.5" customHeight="1">
      <c r="A133" s="3">
        <v>138.0</v>
      </c>
      <c r="B133" s="3" t="s">
        <v>2051</v>
      </c>
      <c r="C133" s="3" t="s">
        <v>2052</v>
      </c>
      <c r="D133" s="3" t="s">
        <v>1828</v>
      </c>
      <c r="E133" s="2"/>
      <c r="F133" s="3" t="str">
        <f>IFERROR(__xludf.DUMMYFUNCTION("GOOGLETRANSLATE(A133, ""it"", ""en"")"),"138")</f>
        <v>138</v>
      </c>
      <c r="G133" s="3" t="str">
        <f>IFERROR(__xludf.DUMMYFUNCTION("GOOGLETRANSLATE(B133, ""it"", ""en"")"),"If a player throws the ball and it lands on the jack, what happens?")</f>
        <v>If a player throws the ball and it lands on the jack, what happens?</v>
      </c>
      <c r="H133" s="3" t="str">
        <f>IFERROR(__xludf.DUMMYFUNCTION("GOOGLETRANSLATE(C133, ""it"", ""en"")"),"A. The point goes to the team that threw B. The game continues normally C. The point goes to the opponent D. The jack is removed")</f>
        <v>A. The point goes to the team that threw B. The game continues normally C. The point goes to the opponent D. The jack is removed</v>
      </c>
      <c r="I133" s="3" t="str">
        <f>IFERROR(__xludf.DUMMYFUNCTION("GOOGLETRANSLATE(D133, ""it"", ""en"")"),"The point goes to the team that threw")</f>
        <v>The point goes to the team that threw</v>
      </c>
      <c r="J133" s="2"/>
      <c r="K133" s="2"/>
      <c r="L133" s="2"/>
      <c r="M133" s="2"/>
      <c r="N133" s="2"/>
      <c r="O133" s="2"/>
      <c r="P133" s="2"/>
      <c r="Q133" s="2"/>
      <c r="R133" s="2"/>
    </row>
    <row r="134" ht="22.5" customHeight="1">
      <c r="A134" s="3">
        <v>139.0</v>
      </c>
      <c r="B134" s="3" t="s">
        <v>2053</v>
      </c>
      <c r="C134" s="3" t="s">
        <v>2054</v>
      </c>
      <c r="D134" s="3" t="s">
        <v>1828</v>
      </c>
      <c r="E134" s="2"/>
      <c r="F134" s="3" t="str">
        <f>IFERROR(__xludf.DUMMYFUNCTION("GOOGLETRANSLATE(A134, ""it"", ""en"")"),"139")</f>
        <v>139</v>
      </c>
      <c r="G134" s="3" t="str">
        <f>IFERROR(__xludf.DUMMYFUNCTION("GOOGLETRANSLATE(B134, ""it"", ""en"")"),"If a ball touches the jack but the jack's position doesn't change, what happens?")</f>
        <v>If a ball touches the jack but the jack's position doesn't change, what happens?</v>
      </c>
      <c r="H134" s="3" t="str">
        <f>IFERROR(__xludf.DUMMYFUNCTION("GOOGLETRANSLATE(C134, ""it"", ""en"")"),"A. The point goes to the team that threw B. The point goes to the opponent C. The game continues normally D. The jack is replaced")</f>
        <v>A. The point goes to the team that threw B. The point goes to the opponent C. The game continues normally D. The jack is replaced</v>
      </c>
      <c r="I134" s="3" t="str">
        <f>IFERROR(__xludf.DUMMYFUNCTION("GOOGLETRANSLATE(D134, ""it"", ""en"")"),"The point goes to the team that threw")</f>
        <v>The point goes to the team that threw</v>
      </c>
      <c r="J134" s="2"/>
      <c r="K134" s="2"/>
      <c r="L134" s="2"/>
      <c r="M134" s="2"/>
      <c r="N134" s="2"/>
      <c r="O134" s="2"/>
      <c r="P134" s="2"/>
      <c r="Q134" s="2"/>
      <c r="R134" s="2"/>
    </row>
    <row r="135" ht="22.5" customHeight="1">
      <c r="A135" s="3">
        <v>140.0</v>
      </c>
      <c r="B135" s="3" t="s">
        <v>2055</v>
      </c>
      <c r="C135" s="3" t="s">
        <v>2056</v>
      </c>
      <c r="D135" s="3" t="s">
        <v>1950</v>
      </c>
      <c r="E135" s="2"/>
      <c r="F135" s="3" t="str">
        <f>IFERROR(__xludf.DUMMYFUNCTION("GOOGLETRANSLATE(A135, ""it"", ""en"")"),"140")</f>
        <v>140</v>
      </c>
      <c r="G135" s="3" t="str">
        <f>IFERROR(__xludf.DUMMYFUNCTION("GOOGLETRANSLATE(B135, ""it"", ""en"")"),"If during a game a player accidentally kicks a thrown ball, what happens?")</f>
        <v>If during a game a player accidentally kicks a thrown ball, what happens?</v>
      </c>
      <c r="H135" s="3" t="str">
        <f>IFERROR(__xludf.DUMMYFUNCTION("GOOGLETRANSLATE(C135, ""it"", ""en"")"),"A. The point goes to the opponent B. The game continues normally C. The throw is cancelled D. The ball is replaced")</f>
        <v>A. The point goes to the opponent B. The game continues normally C. The throw is cancelled D. The ball is replaced</v>
      </c>
      <c r="I135" s="3" t="str">
        <f>IFERROR(__xludf.DUMMYFUNCTION("GOOGLETRANSLATE(D135, ""it"", ""en"")"),"The point goes to the opponent")</f>
        <v>The point goes to the opponent</v>
      </c>
      <c r="J135" s="2"/>
      <c r="K135" s="2"/>
      <c r="L135" s="2"/>
      <c r="M135" s="2"/>
      <c r="N135" s="2"/>
      <c r="O135" s="2"/>
      <c r="P135" s="2"/>
      <c r="Q135" s="2"/>
      <c r="R135" s="2"/>
    </row>
    <row r="136" ht="22.5" customHeight="1">
      <c r="A136" s="3">
        <v>141.0</v>
      </c>
      <c r="B136" s="3" t="s">
        <v>2057</v>
      </c>
      <c r="C136" s="3" t="s">
        <v>2058</v>
      </c>
      <c r="D136" s="3" t="s">
        <v>2059</v>
      </c>
      <c r="E136" s="2"/>
      <c r="F136" s="3" t="str">
        <f>IFERROR(__xludf.DUMMYFUNCTION("GOOGLETRANSLATE(A136, ""it"", ""en"")"),"141")</f>
        <v>141</v>
      </c>
      <c r="G136" s="3" t="str">
        <f>IFERROR(__xludf.DUMMYFUNCTION("GOOGLETRANSLATE(B136, ""it"", ""en"")"),"If a ball touches the baseline before coming to rest, what happens?")</f>
        <v>If a ball touches the baseline before coming to rest, what happens?</v>
      </c>
      <c r="H136" s="3" t="str">
        <f>IFERROR(__xludf.DUMMYFUNCTION("GOOGLETRANSLATE(C136, ""it"", ""en"")"),"A. The ball is considered out B. The point goes to the opposing team C. The point goes to the team that threw it D. The throw is cancelled")</f>
        <v>A. The ball is considered out B. The point goes to the opposing team C. The point goes to the team that threw it D. The throw is cancelled</v>
      </c>
      <c r="I136" s="3" t="str">
        <f>IFERROR(__xludf.DUMMYFUNCTION("GOOGLETRANSLATE(D136, ""it"", ""en"")"),"The ball is considered out")</f>
        <v>The ball is considered out</v>
      </c>
      <c r="J136" s="2"/>
      <c r="K136" s="2"/>
      <c r="L136" s="2"/>
      <c r="M136" s="2"/>
      <c r="N136" s="2"/>
      <c r="O136" s="2"/>
      <c r="P136" s="2"/>
      <c r="Q136" s="2"/>
      <c r="R136" s="2"/>
    </row>
    <row r="137" ht="22.5" customHeight="1">
      <c r="A137" s="3">
        <v>142.0</v>
      </c>
      <c r="B137" s="3" t="s">
        <v>2060</v>
      </c>
      <c r="C137" s="3" t="s">
        <v>2061</v>
      </c>
      <c r="D137" s="3" t="s">
        <v>1950</v>
      </c>
      <c r="E137" s="2"/>
      <c r="F137" s="3" t="str">
        <f>IFERROR(__xludf.DUMMYFUNCTION("GOOGLETRANSLATE(A137, ""it"", ""en"")"),"142")</f>
        <v>142</v>
      </c>
      <c r="G137" s="3" t="str">
        <f>IFERROR(__xludf.DUMMYFUNCTION("GOOGLETRANSLATE(B137, ""it"", ""en"")"),"What happens if a player throws the ball and it lands in the opponent's court but doesn't hit the jack?")</f>
        <v>What happens if a player throws the ball and it lands in the opponent's court but doesn't hit the jack?</v>
      </c>
      <c r="H137" s="3" t="str">
        <f>IFERROR(__xludf.DUMMYFUNCTION("GOOGLETRANSLATE(C137, ""it"", ""en"")"),"A. The point goes to the opponent B. The game continues normally C. The point goes to the team that threw D. The throw is cancelled")</f>
        <v>A. The point goes to the opponent B. The game continues normally C. The point goes to the team that threw D. The throw is cancelled</v>
      </c>
      <c r="I137" s="3" t="str">
        <f>IFERROR(__xludf.DUMMYFUNCTION("GOOGLETRANSLATE(D137, ""it"", ""en"")"),"The point goes to the opponent")</f>
        <v>The point goes to the opponent</v>
      </c>
      <c r="J137" s="2"/>
      <c r="K137" s="2"/>
      <c r="L137" s="2"/>
      <c r="M137" s="2"/>
      <c r="N137" s="2"/>
      <c r="O137" s="2"/>
      <c r="P137" s="2"/>
      <c r="Q137" s="2"/>
      <c r="R137" s="2"/>
    </row>
    <row r="138" ht="22.5" customHeight="1">
      <c r="A138" s="3">
        <v>143.0</v>
      </c>
      <c r="B138" s="3" t="s">
        <v>2062</v>
      </c>
      <c r="C138" s="3" t="s">
        <v>2063</v>
      </c>
      <c r="D138" s="3" t="s">
        <v>1828</v>
      </c>
      <c r="E138" s="2"/>
      <c r="F138" s="3" t="str">
        <f>IFERROR(__xludf.DUMMYFUNCTION("GOOGLETRANSLATE(A138, ""it"", ""en"")"),"143")</f>
        <v>143</v>
      </c>
      <c r="G138" s="3" t="str">
        <f>IFERROR(__xludf.DUMMYFUNCTION("GOOGLETRANSLATE(B138, ""it"", ""en"")"),"If a player throws a ball and it hits a ball that moves out of bounds, what happens?")</f>
        <v>If a player throws a ball and it hits a ball that moves out of bounds, what happens?</v>
      </c>
      <c r="H138" s="3" t="str">
        <f>IFERROR(__xludf.DUMMYFUNCTION("GOOGLETRANSLATE(C138, ""it"", ""en"")"),"A. The point goes to the team that threw it B. The opposing team's ball is removed C. The game continues normally D. The ball is replaced")</f>
        <v>A. The point goes to the team that threw it B. The opposing team's ball is removed C. The game continues normally D. The ball is replaced</v>
      </c>
      <c r="I138" s="3" t="str">
        <f>IFERROR(__xludf.DUMMYFUNCTION("GOOGLETRANSLATE(D138, ""it"", ""en"")"),"The point goes to the team that threw")</f>
        <v>The point goes to the team that threw</v>
      </c>
      <c r="J138" s="2"/>
      <c r="K138" s="2"/>
      <c r="L138" s="2"/>
      <c r="M138" s="2"/>
      <c r="N138" s="2"/>
      <c r="O138" s="2"/>
      <c r="P138" s="2"/>
      <c r="Q138" s="2"/>
      <c r="R138" s="2"/>
    </row>
    <row r="139" ht="22.5" customHeight="1">
      <c r="A139" s="3">
        <v>144.0</v>
      </c>
      <c r="B139" s="3" t="s">
        <v>1876</v>
      </c>
      <c r="C139" s="3" t="s">
        <v>2064</v>
      </c>
      <c r="D139" s="3" t="s">
        <v>549</v>
      </c>
      <c r="E139" s="2"/>
      <c r="F139" s="3" t="str">
        <f>IFERROR(__xludf.DUMMYFUNCTION("GOOGLETRANSLATE(A139, ""it"", ""en"")"),"144")</f>
        <v>144</v>
      </c>
      <c r="G139" s="3" t="str">
        <f>IFERROR(__xludf.DUMMYFUNCTION("GOOGLETRANSLATE(B139, ""it"", ""en"")"),"If a player doesn't throw the ball within the allotted time, what happens?")</f>
        <v>If a player doesn't throw the ball within the allotted time, what happens?</v>
      </c>
      <c r="H139" s="3" t="str">
        <f>IFERROR(__xludf.DUMMYFUNCTION("GOOGLETRANSLATE(C139, ""it"", ""en"")"),"A. The player loses the turn B. The point goes to the opponent C. The throw is cancelled D. The game continues normally")</f>
        <v>A. The player loses the turn B. The point goes to the opponent C. The throw is cancelled D. The game continues normally</v>
      </c>
      <c r="I139" s="3" t="str">
        <f>IFERROR(__xludf.DUMMYFUNCTION("GOOGLETRANSLATE(D139, ""it"", ""en"")"),"The player loses the turn")</f>
        <v>The player loses the turn</v>
      </c>
      <c r="J139" s="2"/>
      <c r="K139" s="2"/>
      <c r="L139" s="2"/>
      <c r="M139" s="2"/>
      <c r="N139" s="2"/>
      <c r="O139" s="2"/>
      <c r="P139" s="2"/>
      <c r="Q139" s="2"/>
      <c r="R139" s="2"/>
    </row>
    <row r="140" ht="22.5" customHeight="1">
      <c r="A140" s="3">
        <v>145.0</v>
      </c>
      <c r="B140" s="3" t="s">
        <v>2065</v>
      </c>
      <c r="C140" s="3" t="s">
        <v>2010</v>
      </c>
      <c r="D140" s="3" t="s">
        <v>1888</v>
      </c>
      <c r="E140" s="2"/>
      <c r="F140" s="3" t="str">
        <f>IFERROR(__xludf.DUMMYFUNCTION("GOOGLETRANSLATE(A140, ""it"", ""en"")"),"145")</f>
        <v>145</v>
      </c>
      <c r="G140" s="3" t="str">
        <f>IFERROR(__xludf.DUMMYFUNCTION("GOOGLETRANSLATE(B140, ""it"", ""en"")"),"If a ball hits an opponent's ball and it changes direction, what happens?")</f>
        <v>If a ball hits an opponent's ball and it changes direction, what happens?</v>
      </c>
      <c r="H140" s="3" t="str">
        <f>IFERROR(__xludf.DUMMYFUNCTION("GOOGLETRANSLATE(C140, ""it"", ""en"")"),"A. The ball earns a point B. The point goes to the team that threw it C. The point goes to the opponent D. The game continues normally")</f>
        <v>A. The ball earns a point B. The point goes to the team that threw it C. The point goes to the opponent D. The game continues normally</v>
      </c>
      <c r="I140" s="3" t="str">
        <f>IFERROR(__xludf.DUMMYFUNCTION("GOOGLETRANSLATE(D140, ""it"", ""en"")"),"The bowl earns a point")</f>
        <v>The bowl earns a point</v>
      </c>
      <c r="J140" s="2"/>
      <c r="K140" s="2"/>
      <c r="L140" s="2"/>
      <c r="M140" s="2"/>
      <c r="N140" s="2"/>
      <c r="O140" s="2"/>
      <c r="P140" s="2"/>
      <c r="Q140" s="2"/>
      <c r="R140" s="2"/>
    </row>
    <row r="141" ht="22.5" customHeight="1">
      <c r="A141" s="3">
        <v>146.0</v>
      </c>
      <c r="B141" s="3" t="s">
        <v>2066</v>
      </c>
      <c r="C141" s="3" t="s">
        <v>2047</v>
      </c>
      <c r="D141" s="3" t="s">
        <v>1828</v>
      </c>
      <c r="E141" s="2"/>
      <c r="F141" s="3" t="str">
        <f>IFERROR(__xludf.DUMMYFUNCTION("GOOGLETRANSLATE(A141, ""it"", ""en"")"),"146")</f>
        <v>146</v>
      </c>
      <c r="G141" s="3" t="str">
        <f>IFERROR(__xludf.DUMMYFUNCTION("GOOGLETRANSLATE(B141, ""it"", ""en"")"),"If a player throws a ball and it hits another ball but doesn't move the jack, what happens?")</f>
        <v>If a player throws a ball and it hits another ball but doesn't move the jack, what happens?</v>
      </c>
      <c r="H141" s="3" t="str">
        <f>IFERROR(__xludf.DUMMYFUNCTION("GOOGLETRANSLATE(C141, ""it"", ""en"")"),"A. The point goes to the team that threw B. The game continues normally C. The point goes to the opponent D. The jack is replaced")</f>
        <v>A. The point goes to the team that threw B. The game continues normally C. The point goes to the opponent D. The jack is replaced</v>
      </c>
      <c r="I141" s="3" t="str">
        <f>IFERROR(__xludf.DUMMYFUNCTION("GOOGLETRANSLATE(D141, ""it"", ""en"")"),"The point goes to the team that threw")</f>
        <v>The point goes to the team that threw</v>
      </c>
      <c r="J141" s="2"/>
      <c r="K141" s="2"/>
      <c r="L141" s="2"/>
      <c r="M141" s="2"/>
      <c r="N141" s="2"/>
      <c r="O141" s="2"/>
      <c r="P141" s="2"/>
      <c r="Q141" s="2"/>
      <c r="R141" s="2"/>
    </row>
    <row r="142" ht="22.5" customHeight="1">
      <c r="A142" s="3">
        <v>147.0</v>
      </c>
      <c r="B142" s="3" t="s">
        <v>2067</v>
      </c>
      <c r="C142" s="3" t="s">
        <v>2045</v>
      </c>
      <c r="D142" s="3" t="s">
        <v>1950</v>
      </c>
      <c r="E142" s="2"/>
      <c r="F142" s="3" t="str">
        <f>IFERROR(__xludf.DUMMYFUNCTION("GOOGLETRANSLATE(A142, ""it"", ""en"")"),"147")</f>
        <v>147</v>
      </c>
      <c r="G142" s="3" t="str">
        <f>IFERROR(__xludf.DUMMYFUNCTION("GOOGLETRANSLATE(B142, ""it"", ""en"")"),"If a player throws the ball too hard and it goes out of bounds, what happens?")</f>
        <v>If a player throws the ball too hard and it goes out of bounds, what happens?</v>
      </c>
      <c r="H142" s="3" t="str">
        <f>IFERROR(__xludf.DUMMYFUNCTION("GOOGLETRANSLATE(C142, ""it"", ""en"")"),"A. The point goes to the opponent B. The throw is cancelled C. The game continues normally D. The ball is replaced")</f>
        <v>A. The point goes to the opponent B. The throw is cancelled C. The game continues normally D. The ball is replaced</v>
      </c>
      <c r="I142" s="3" t="str">
        <f>IFERROR(__xludf.DUMMYFUNCTION("GOOGLETRANSLATE(D142, ""it"", ""en"")"),"The point goes to the opponent")</f>
        <v>The point goes to the opponent</v>
      </c>
      <c r="J142" s="2"/>
      <c r="K142" s="2"/>
      <c r="L142" s="2"/>
      <c r="M142" s="2"/>
      <c r="N142" s="2"/>
      <c r="O142" s="2"/>
      <c r="P142" s="2"/>
      <c r="Q142" s="2"/>
      <c r="R142" s="2"/>
    </row>
    <row r="143" ht="22.5" customHeight="1">
      <c r="A143" s="3">
        <v>148.0</v>
      </c>
      <c r="B143" s="3" t="s">
        <v>2068</v>
      </c>
      <c r="C143" s="3" t="s">
        <v>2069</v>
      </c>
      <c r="D143" s="3" t="s">
        <v>1950</v>
      </c>
      <c r="E143" s="2"/>
      <c r="F143" s="3" t="str">
        <f>IFERROR(__xludf.DUMMYFUNCTION("GOOGLETRANSLATE(A143, ""it"", ""en"")"),"148")</f>
        <v>148</v>
      </c>
      <c r="G143" s="3" t="str">
        <f>IFERROR(__xludf.DUMMYFUNCTION("GOOGLETRANSLATE(B143, ""it"", ""en"")"),"If a player touches the throwing line while throwing the ball, what happens?")</f>
        <v>If a player touches the throwing line while throwing the ball, what happens?</v>
      </c>
      <c r="H143" s="3" t="str">
        <f>IFERROR(__xludf.DUMMYFUNCTION("GOOGLETRANSLATE(C143, ""it"", ""en"")"),"A. The point goes to the opponent B. The game continues normally C. The throw is cancelled D. The point goes to the team that threw")</f>
        <v>A. The point goes to the opponent B. The game continues normally C. The throw is cancelled D. The point goes to the team that threw</v>
      </c>
      <c r="I143" s="3" t="str">
        <f>IFERROR(__xludf.DUMMYFUNCTION("GOOGLETRANSLATE(D143, ""it"", ""en"")"),"The point goes to the opponent")</f>
        <v>The point goes to the opponent</v>
      </c>
      <c r="J143" s="2"/>
      <c r="K143" s="2"/>
      <c r="L143" s="2"/>
      <c r="M143" s="2"/>
      <c r="N143" s="2"/>
      <c r="O143" s="2"/>
      <c r="P143" s="2"/>
      <c r="Q143" s="2"/>
      <c r="R143" s="2"/>
    </row>
    <row r="144" ht="22.5" customHeight="1">
      <c r="A144" s="3">
        <v>149.0</v>
      </c>
      <c r="B144" s="3" t="s">
        <v>2070</v>
      </c>
      <c r="C144" s="3" t="s">
        <v>2071</v>
      </c>
      <c r="D144" s="3" t="s">
        <v>1873</v>
      </c>
      <c r="E144" s="2"/>
      <c r="F144" s="3" t="str">
        <f>IFERROR(__xludf.DUMMYFUNCTION("GOOGLETRANSLATE(A144, ""it"", ""en"")"),"149")</f>
        <v>149</v>
      </c>
      <c r="G144" s="3" t="str">
        <f>IFERROR(__xludf.DUMMYFUNCTION("GOOGLETRANSLATE(B144, ""it"", ""en"")"),"If a player throws a ball that goes out of bounds without touching anything, what happens?")</f>
        <v>If a player throws a ball that goes out of bounds without touching anything, what happens?</v>
      </c>
      <c r="H144" s="3" t="str">
        <f>IFERROR(__xludf.DUMMYFUNCTION("GOOGLETRANSLATE(C144, ""it"", ""en"")"),"A. The point goes to the opposing team B. The throw is cancelled C. The game continues normally D. The ball is replaced")</f>
        <v>A. The point goes to the opposing team B. The throw is cancelled C. The game continues normally D. The ball is replaced</v>
      </c>
      <c r="I144" s="3" t="str">
        <f>IFERROR(__xludf.DUMMYFUNCTION("GOOGLETRANSLATE(D144, ""it"", ""en"")"),"The point goes to the opposing team")</f>
        <v>The point goes to the opposing team</v>
      </c>
      <c r="J144" s="2"/>
      <c r="K144" s="2"/>
      <c r="L144" s="2"/>
      <c r="M144" s="2"/>
      <c r="N144" s="2"/>
      <c r="O144" s="2"/>
      <c r="P144" s="2"/>
      <c r="Q144" s="2"/>
      <c r="R144" s="2"/>
    </row>
    <row r="145" ht="22.5" customHeight="1">
      <c r="A145" s="3">
        <v>150.0</v>
      </c>
      <c r="B145" s="3" t="s">
        <v>2072</v>
      </c>
      <c r="C145" s="3" t="s">
        <v>2035</v>
      </c>
      <c r="D145" s="3" t="s">
        <v>1828</v>
      </c>
      <c r="E145" s="2"/>
      <c r="F145" s="3" t="str">
        <f>IFERROR(__xludf.DUMMYFUNCTION("GOOGLETRANSLATE(A145, ""it"", ""en"")"),"150")</f>
        <v>150</v>
      </c>
      <c r="G145" s="3" t="str">
        <f>IFERROR(__xludf.DUMMYFUNCTION("GOOGLETRANSLATE(B145, ""it"", ""en"")"),"If during a throw a ball touches another ball and the latter stops on the jack, what happens?")</f>
        <v>If during a throw a ball touches another ball and the latter stops on the jack, what happens?</v>
      </c>
      <c r="H145" s="3" t="str">
        <f>IFERROR(__xludf.DUMMYFUNCTION("GOOGLETRANSLATE(C145, ""it"", ""en"")"),"A. The point goes to the team that threw it B. The game continues normally C. The point goes to the opponent D. The ball is removed")</f>
        <v>A. The point goes to the team that threw it B. The game continues normally C. The point goes to the opponent D. The ball is removed</v>
      </c>
      <c r="I145" s="3" t="str">
        <f>IFERROR(__xludf.DUMMYFUNCTION("GOOGLETRANSLATE(D145, ""it"", ""en"")"),"The point goes to the team that threw")</f>
        <v>The point goes to the team that threw</v>
      </c>
      <c r="J145" s="2"/>
      <c r="K145" s="2"/>
      <c r="L145" s="2"/>
      <c r="M145" s="2"/>
      <c r="N145" s="2"/>
      <c r="O145" s="2"/>
      <c r="P145" s="2"/>
      <c r="Q145" s="2"/>
      <c r="R145" s="2"/>
    </row>
    <row r="146" ht="22.5" customHeight="1">
      <c r="A146" s="3">
        <v>151.0</v>
      </c>
      <c r="B146" s="3" t="s">
        <v>2073</v>
      </c>
      <c r="C146" s="3" t="s">
        <v>2054</v>
      </c>
      <c r="D146" s="3" t="s">
        <v>1828</v>
      </c>
      <c r="E146" s="2"/>
      <c r="F146" s="3" t="str">
        <f>IFERROR(__xludf.DUMMYFUNCTION("GOOGLETRANSLATE(A146, ""it"", ""en"")"),"151")</f>
        <v>151</v>
      </c>
      <c r="G146" s="3" t="str">
        <f>IFERROR(__xludf.DUMMYFUNCTION("GOOGLETRANSLATE(B146, ""it"", ""en"")"),"If a player throws a boccia and it touches the jack, but doesn't move it, what happens?")</f>
        <v>If a player throws a boccia and it touches the jack, but doesn't move it, what happens?</v>
      </c>
      <c r="H146" s="3" t="str">
        <f>IFERROR(__xludf.DUMMYFUNCTION("GOOGLETRANSLATE(C146, ""it"", ""en"")"),"A. The point goes to the team that threw B. The point goes to the opponent C. The game continues normally D. The jack is replaced")</f>
        <v>A. The point goes to the team that threw B. The point goes to the opponent C. The game continues normally D. The jack is replaced</v>
      </c>
      <c r="I146" s="3" t="str">
        <f>IFERROR(__xludf.DUMMYFUNCTION("GOOGLETRANSLATE(D146, ""it"", ""en"")"),"The point goes to the team that threw")</f>
        <v>The point goes to the team that threw</v>
      </c>
      <c r="J146" s="2"/>
      <c r="K146" s="2"/>
      <c r="L146" s="2"/>
      <c r="M146" s="2"/>
      <c r="N146" s="2"/>
      <c r="O146" s="2"/>
      <c r="P146" s="2"/>
      <c r="Q146" s="2"/>
      <c r="R146" s="2"/>
    </row>
    <row r="147" ht="22.5" customHeight="1">
      <c r="A147" s="3">
        <v>152.0</v>
      </c>
      <c r="B147" s="3" t="s">
        <v>2074</v>
      </c>
      <c r="C147" s="3" t="s">
        <v>2031</v>
      </c>
      <c r="D147" s="3" t="s">
        <v>1834</v>
      </c>
      <c r="E147" s="2"/>
      <c r="F147" s="3" t="str">
        <f>IFERROR(__xludf.DUMMYFUNCTION("GOOGLETRANSLATE(A147, ""it"", ""en"")"),"152")</f>
        <v>152</v>
      </c>
      <c r="G147" s="3" t="str">
        <f>IFERROR(__xludf.DUMMYFUNCTION("GOOGLETRANSLATE(B147, ""it"", ""en"")"),"If during the game a ball touches the jack and the jack goes out of play, what happens?")</f>
        <v>If during the game a ball touches the jack and the jack goes out of play, what happens?</v>
      </c>
      <c r="H147" s="3" t="str">
        <f>IFERROR(__xludf.DUMMYFUNCTION("GOOGLETRANSLATE(C147, ""it"", ""en"")"),"A. The game is cancelled B. The jack is replaced C. The point goes to the team that threw it D. Play continues normally")</f>
        <v>A. The game is cancelled B. The jack is replaced C. The point goes to the team that threw it D. Play continues normally</v>
      </c>
      <c r="I147" s="3" t="str">
        <f>IFERROR(__xludf.DUMMYFUNCTION("GOOGLETRANSLATE(D147, ""it"", ""en"")"),"The ball is repositioned")</f>
        <v>The ball is repositioned</v>
      </c>
      <c r="J147" s="2"/>
      <c r="K147" s="2"/>
      <c r="L147" s="2"/>
      <c r="M147" s="2"/>
      <c r="N147" s="2"/>
      <c r="O147" s="2"/>
      <c r="P147" s="2"/>
      <c r="Q147" s="2"/>
      <c r="R147" s="2"/>
    </row>
    <row r="148" ht="22.5" customHeight="1">
      <c r="A148" s="3">
        <v>153.0</v>
      </c>
      <c r="B148" s="3" t="s">
        <v>2075</v>
      </c>
      <c r="C148" s="3" t="s">
        <v>2040</v>
      </c>
      <c r="D148" s="3" t="s">
        <v>1828</v>
      </c>
      <c r="E148" s="2"/>
      <c r="F148" s="3" t="str">
        <f>IFERROR(__xludf.DUMMYFUNCTION("GOOGLETRANSLATE(A148, ""it"", ""en"")"),"153")</f>
        <v>153</v>
      </c>
      <c r="G148" s="3" t="str">
        <f>IFERROR(__xludf.DUMMYFUNCTION("GOOGLETRANSLATE(B148, ""it"", ""en"")"),"If a player throws a ball too hard and it hits an opponent's ball that moves toward the jack, what happens?")</f>
        <v>If a player throws a ball too hard and it hits an opponent's ball that moves toward the jack, what happens?</v>
      </c>
      <c r="H148" s="3" t="str">
        <f>IFERROR(__xludf.DUMMYFUNCTION("GOOGLETRANSLATE(C148,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148" s="3" t="str">
        <f>IFERROR(__xludf.DUMMYFUNCTION("GOOGLETRANSLATE(D148, ""it"", ""en"")"),"The point goes to the team that threw")</f>
        <v>The point goes to the team that threw</v>
      </c>
      <c r="J148" s="2"/>
      <c r="K148" s="2"/>
      <c r="L148" s="2"/>
      <c r="M148" s="2"/>
      <c r="N148" s="2"/>
      <c r="O148" s="2"/>
      <c r="P148" s="2"/>
      <c r="Q148" s="2"/>
      <c r="R148" s="2"/>
    </row>
    <row r="149" ht="22.5" customHeight="1">
      <c r="A149" s="3">
        <v>154.0</v>
      </c>
      <c r="B149" s="3" t="s">
        <v>1980</v>
      </c>
      <c r="C149" s="3" t="s">
        <v>2021</v>
      </c>
      <c r="D149" s="3" t="s">
        <v>1950</v>
      </c>
      <c r="E149" s="2"/>
      <c r="F149" s="3" t="str">
        <f>IFERROR(__xludf.DUMMYFUNCTION("GOOGLETRANSLATE(A149, ""it"", ""en"")"),"154")</f>
        <v>154</v>
      </c>
      <c r="G149" s="3" t="str">
        <f>IFERROR(__xludf.DUMMYFUNCTION("GOOGLETRANSLATE(B149, ""it"", ""en"")"),"If a player accidentally kicks a ball before it is thrown, what happens?")</f>
        <v>If a player accidentally kicks a ball before it is thrown, what happens?</v>
      </c>
      <c r="H149" s="3" t="str">
        <f>IFERROR(__xludf.DUMMYFUNCTION("GOOGLETRANSLATE(C149, ""it"", ""en"")"),"A. The point goes to the opponent B. The ball is replaced C. The throw is cancelled D. The game continues normally")</f>
        <v>A. The point goes to the opponent B. The ball is replaced C. The throw is cancelled D. The game continues normally</v>
      </c>
      <c r="I149" s="3" t="str">
        <f>IFERROR(__xludf.DUMMYFUNCTION("GOOGLETRANSLATE(D149, ""it"", ""en"")"),"The point goes to the opponent")</f>
        <v>The point goes to the opponent</v>
      </c>
      <c r="J149" s="2"/>
      <c r="K149" s="2"/>
      <c r="L149" s="2"/>
      <c r="M149" s="2"/>
      <c r="N149" s="2"/>
      <c r="O149" s="2"/>
      <c r="P149" s="2"/>
      <c r="Q149" s="2"/>
      <c r="R149" s="2"/>
    </row>
    <row r="150" ht="22.5" customHeight="1">
      <c r="A150" s="3">
        <v>155.0</v>
      </c>
      <c r="B150" s="3" t="s">
        <v>2076</v>
      </c>
      <c r="C150" s="3" t="s">
        <v>2077</v>
      </c>
      <c r="D150" s="3" t="s">
        <v>1828</v>
      </c>
      <c r="E150" s="2"/>
      <c r="F150" s="3" t="str">
        <f>IFERROR(__xludf.DUMMYFUNCTION("GOOGLETRANSLATE(A150, ""it"", ""en"")"),"155")</f>
        <v>155</v>
      </c>
      <c r="G150" s="3" t="str">
        <f>IFERROR(__xludf.DUMMYFUNCTION("GOOGLETRANSLATE(B150, ""it"", ""en"")"),"If a player throws a ball and it lands on another player's ball, what happens?")</f>
        <v>If a player throws a ball and it lands on another player's ball, what happens?</v>
      </c>
      <c r="H150" s="3" t="str">
        <f>IFERROR(__xludf.DUMMYFUNCTION("GOOGLETRANSLATE(C150, ""it"", ""en"")"),"A. The point goes to the team that threw it B. The game continues normally C. The opponent's ball is removed D. The point goes to the opponent")</f>
        <v>A. The point goes to the team that threw it B. The game continues normally C. The opponent's ball is removed D. The point goes to the opponent</v>
      </c>
      <c r="I150" s="3" t="str">
        <f>IFERROR(__xludf.DUMMYFUNCTION("GOOGLETRANSLATE(D150, ""it"", ""en"")"),"The point goes to the team that threw")</f>
        <v>The point goes to the team that threw</v>
      </c>
      <c r="J150" s="2"/>
      <c r="K150" s="2"/>
      <c r="L150" s="2"/>
      <c r="M150" s="2"/>
      <c r="N150" s="2"/>
      <c r="O150" s="2"/>
      <c r="P150" s="2"/>
      <c r="Q150" s="2"/>
      <c r="R150" s="2"/>
    </row>
    <row r="151" ht="22.5" customHeight="1">
      <c r="A151" s="3">
        <v>156.0</v>
      </c>
      <c r="B151" s="3" t="s">
        <v>1920</v>
      </c>
      <c r="C151" s="3" t="s">
        <v>2078</v>
      </c>
      <c r="D151" s="3" t="s">
        <v>1834</v>
      </c>
      <c r="E151" s="2"/>
      <c r="F151" s="3" t="str">
        <f>IFERROR(__xludf.DUMMYFUNCTION("GOOGLETRANSLATE(A151, ""it"", ""en"")"),"156")</f>
        <v>156</v>
      </c>
      <c r="G151" s="3" t="str">
        <f>IFERROR(__xludf.DUMMYFUNCTION("GOOGLETRANSLATE(B151, ""it"", ""en"")"),"If a player throws a bocce ball that hits the jack and moves it, what happens?")</f>
        <v>If a player throws a bocce ball that hits the jack and moves it, what happens?</v>
      </c>
      <c r="H151" s="3" t="str">
        <f>IFERROR(__xludf.DUMMYFUNCTION("GOOGLETRANSLATE(C151, ""it"", ""en"")"),"A. The point goes to the team that threw it B. The jack is replaced C. The point goes to the opponent D. The game continues normally")</f>
        <v>A. The point goes to the team that threw it B. The jack is replaced C. The point goes to the opponent D. The game continues normally</v>
      </c>
      <c r="I151" s="3" t="str">
        <f>IFERROR(__xludf.DUMMYFUNCTION("GOOGLETRANSLATE(D151, ""it"", ""en"")"),"The ball is repositioned")</f>
        <v>The ball is repositioned</v>
      </c>
      <c r="J151" s="2"/>
      <c r="K151" s="2"/>
      <c r="L151" s="2"/>
      <c r="M151" s="2"/>
      <c r="N151" s="2"/>
      <c r="O151" s="2"/>
      <c r="P151" s="2"/>
      <c r="Q151" s="2"/>
      <c r="R151" s="2"/>
    </row>
    <row r="152" ht="22.5" customHeight="1">
      <c r="A152" s="3">
        <v>157.0</v>
      </c>
      <c r="B152" s="3" t="s">
        <v>2079</v>
      </c>
      <c r="C152" s="3" t="s">
        <v>2080</v>
      </c>
      <c r="D152" s="3" t="s">
        <v>1834</v>
      </c>
      <c r="E152" s="2"/>
      <c r="F152" s="3" t="str">
        <f>IFERROR(__xludf.DUMMYFUNCTION("GOOGLETRANSLATE(A152, ""it"", ""en"")"),"157")</f>
        <v>157</v>
      </c>
      <c r="G152" s="3" t="str">
        <f>IFERROR(__xludf.DUMMYFUNCTION("GOOGLETRANSLATE(B152, ""it"", ""en"")"),"What happens if a ball goes out of bounds but touches the jack during the throw?")</f>
        <v>What happens if a ball goes out of bounds but touches the jack during the throw?</v>
      </c>
      <c r="H152" s="3" t="str">
        <f>IFERROR(__xludf.DUMMYFUNCTION("GOOGLETRANSLATE(C152, ""it"", ""en"")"),"A. The point goes to the team that threw it B. The jack is replaced C. The game continues normally D. The point goes to the opponent")</f>
        <v>A. The point goes to the team that threw it B. The jack is replaced C. The game continues normally D. The point goes to the opponent</v>
      </c>
      <c r="I152" s="3" t="str">
        <f>IFERROR(__xludf.DUMMYFUNCTION("GOOGLETRANSLATE(D152, ""it"", ""en"")"),"The ball is repositioned")</f>
        <v>The ball is repositioned</v>
      </c>
      <c r="J152" s="2"/>
      <c r="K152" s="2"/>
      <c r="L152" s="2"/>
      <c r="M152" s="2"/>
      <c r="N152" s="2"/>
      <c r="O152" s="2"/>
      <c r="P152" s="2"/>
      <c r="Q152" s="2"/>
      <c r="R152" s="2"/>
    </row>
    <row r="153" ht="22.5" customHeight="1">
      <c r="A153" s="3">
        <v>158.0</v>
      </c>
      <c r="B153" s="3" t="s">
        <v>2081</v>
      </c>
      <c r="C153" s="3" t="s">
        <v>2082</v>
      </c>
      <c r="D153" s="3" t="s">
        <v>1828</v>
      </c>
      <c r="E153" s="2"/>
      <c r="F153" s="3" t="str">
        <f>IFERROR(__xludf.DUMMYFUNCTION("GOOGLETRANSLATE(A153, ""it"", ""en"")"),"158")</f>
        <v>158</v>
      </c>
      <c r="G153" s="3" t="str">
        <f>IFERROR(__xludf.DUMMYFUNCTION("GOOGLETRANSLATE(B153, ""it"", ""en"")"),"If a player throws a ball and it hits an opponent's ball but doesn't change position, what happens?")</f>
        <v>If a player throws a ball and it hits an opponent's ball but doesn't change position, what happens?</v>
      </c>
      <c r="H153" s="3" t="str">
        <f>IFERROR(__xludf.DUMMYFUNCTION("GOOGLETRANSLATE(C153, ""it"", ""en"")"),"A. The point goes to the team that threw B. The point goes to the opponent C. The opponent's ball is removed D. The game continues normally")</f>
        <v>A. The point goes to the team that threw B. The point goes to the opponent C. The opponent's ball is removed D. The game continues normally</v>
      </c>
      <c r="I153" s="3" t="str">
        <f>IFERROR(__xludf.DUMMYFUNCTION("GOOGLETRANSLATE(D153, ""it"", ""en"")"),"The point goes to the team that threw")</f>
        <v>The point goes to the team that threw</v>
      </c>
      <c r="J153" s="2"/>
      <c r="K153" s="2"/>
      <c r="L153" s="2"/>
      <c r="M153" s="2"/>
      <c r="N153" s="2"/>
      <c r="O153" s="2"/>
      <c r="P153" s="2"/>
      <c r="Q153" s="2"/>
      <c r="R153" s="2"/>
    </row>
    <row r="154" ht="22.5" customHeight="1">
      <c r="A154" s="3">
        <v>159.0</v>
      </c>
      <c r="B154" s="3" t="s">
        <v>2083</v>
      </c>
      <c r="C154" s="3" t="s">
        <v>2084</v>
      </c>
      <c r="D154" s="3" t="s">
        <v>2085</v>
      </c>
      <c r="E154" s="2"/>
      <c r="F154" s="3" t="str">
        <f>IFERROR(__xludf.DUMMYFUNCTION("GOOGLETRANSLATE(A154, ""it"", ""en"")"),"159")</f>
        <v>159</v>
      </c>
      <c r="G154" s="3" t="str">
        <f>IFERROR(__xludf.DUMMYFUNCTION("GOOGLETRANSLATE(B154, ""it"", ""en"")"),"If a player throws a ball that lands in the opponent's court without hitting the jack, what happens?")</f>
        <v>If a player throws a ball that lands in the opponent's court without hitting the jack, what happens?</v>
      </c>
      <c r="H154" s="3" t="str">
        <f>IFERROR(__xludf.DUMMYFUNCTION("GOOGLETRANSLATE(C154, ""it"", ""en"")"),"A. The point goes to the opponent B. The point goes to the team that threw C. The ball is removed D. The game continues normally")</f>
        <v>A. The point goes to the opponent B. The point goes to the team that threw C. The ball is removed D. The game continues normally</v>
      </c>
      <c r="I154" s="3" t="str">
        <f>IFERROR(__xludf.DUMMYFUNCTION("GOOGLETRANSLATE(D154, ""it"", ""en"")"),"The point goes to the opponent")</f>
        <v>The point goes to the opponent</v>
      </c>
      <c r="J154" s="2"/>
      <c r="K154" s="2"/>
      <c r="L154" s="2"/>
      <c r="M154" s="2"/>
      <c r="N154" s="2"/>
      <c r="O154" s="2"/>
      <c r="P154" s="2"/>
      <c r="Q154" s="2"/>
      <c r="R154" s="2"/>
    </row>
    <row r="155" ht="22.5" customHeight="1">
      <c r="A155" s="3">
        <v>160.0</v>
      </c>
      <c r="B155" s="3" t="s">
        <v>2086</v>
      </c>
      <c r="C155" s="3" t="s">
        <v>2082</v>
      </c>
      <c r="D155" s="3" t="s">
        <v>1828</v>
      </c>
      <c r="E155" s="2"/>
      <c r="F155" s="3" t="str">
        <f>IFERROR(__xludf.DUMMYFUNCTION("GOOGLETRANSLATE(A155, ""it"", ""en"")"),"160")</f>
        <v>160</v>
      </c>
      <c r="G155" s="3" t="str">
        <f>IFERROR(__xludf.DUMMYFUNCTION("GOOGLETRANSLATE(B155, ""it"", ""en"")"),"If a ball hits another opponent's ball that moves out of play, what happens?")</f>
        <v>If a ball hits another opponent's ball that moves out of play, what happens?</v>
      </c>
      <c r="H155" s="3" t="str">
        <f>IFERROR(__xludf.DUMMYFUNCTION("GOOGLETRANSLATE(C155, ""it"", ""en"")"),"A. The point goes to the team that threw B. The point goes to the opponent C. The opponent's ball is removed D. The game continues normally")</f>
        <v>A. The point goes to the team that threw B. The point goes to the opponent C. The opponent's ball is removed D. The game continues normally</v>
      </c>
      <c r="I155" s="3" t="str">
        <f>IFERROR(__xludf.DUMMYFUNCTION("GOOGLETRANSLATE(D155, ""it"", ""en"")"),"The point goes to the team that threw")</f>
        <v>The point goes to the team that threw</v>
      </c>
      <c r="J155" s="2"/>
      <c r="K155" s="2"/>
      <c r="L155" s="2"/>
      <c r="M155" s="2"/>
      <c r="N155" s="2"/>
      <c r="O155" s="2"/>
      <c r="P155" s="2"/>
      <c r="Q155" s="2"/>
      <c r="R155" s="2"/>
    </row>
    <row r="156" ht="22.5" customHeight="1">
      <c r="A156" s="3">
        <v>161.0</v>
      </c>
      <c r="B156" s="3" t="s">
        <v>2087</v>
      </c>
      <c r="C156" s="3" t="s">
        <v>2088</v>
      </c>
      <c r="D156" s="3" t="s">
        <v>1834</v>
      </c>
      <c r="E156" s="2"/>
      <c r="F156" s="3" t="str">
        <f>IFERROR(__xludf.DUMMYFUNCTION("GOOGLETRANSLATE(A156, ""it"", ""en"")"),"161")</f>
        <v>161</v>
      </c>
      <c r="G156" s="3" t="str">
        <f>IFERROR(__xludf.DUMMYFUNCTION("GOOGLETRANSLATE(B156, ""it"", ""en"")"),"If the cue ball goes out of bounds during a game, what happens?")</f>
        <v>If the cue ball goes out of bounds during a game, what happens?</v>
      </c>
      <c r="H156" s="3" t="str">
        <f>IFERROR(__xludf.DUMMYFUNCTION("GOOGLETRANSLATE(C156, ""it"", ""en"")"),"A. The jack is replaced B. The game is cancelled C. The point goes to the team that threw it D. Play continues normally")</f>
        <v>A. The jack is replaced B. The game is cancelled C. The point goes to the team that threw it D. Play continues normally</v>
      </c>
      <c r="I156" s="3" t="str">
        <f>IFERROR(__xludf.DUMMYFUNCTION("GOOGLETRANSLATE(D156, ""it"", ""en"")"),"The ball is repositioned")</f>
        <v>The ball is repositioned</v>
      </c>
      <c r="J156" s="2"/>
      <c r="K156" s="2"/>
      <c r="L156" s="2"/>
      <c r="M156" s="2"/>
      <c r="N156" s="2"/>
      <c r="O156" s="2"/>
      <c r="P156" s="2"/>
      <c r="Q156" s="2"/>
      <c r="R156" s="2"/>
    </row>
    <row r="157" ht="22.5" customHeight="1">
      <c r="A157" s="3">
        <v>162.0</v>
      </c>
      <c r="B157" s="3" t="s">
        <v>1876</v>
      </c>
      <c r="C157" s="3" t="s">
        <v>2089</v>
      </c>
      <c r="D157" s="3" t="s">
        <v>549</v>
      </c>
      <c r="E157" s="2"/>
      <c r="F157" s="3" t="str">
        <f>IFERROR(__xludf.DUMMYFUNCTION("GOOGLETRANSLATE(A157, ""it"", ""en"")"),"162")</f>
        <v>162</v>
      </c>
      <c r="G157" s="3" t="str">
        <f>IFERROR(__xludf.DUMMYFUNCTION("GOOGLETRANSLATE(B157, ""it"", ""en"")"),"If a player doesn't throw the ball within the allotted time, what happens?")</f>
        <v>If a player doesn't throw the ball within the allotted time, what happens?</v>
      </c>
      <c r="H157" s="3" t="str">
        <f>IFERROR(__xludf.DUMMYFUNCTION("GOOGLETRANSLATE(C157, ""it"", ""en"")"),"A. The player loses the turn B. The point goes to the opponent C. The game continues normally D. The throw is cancelled")</f>
        <v>A. The player loses the turn B. The point goes to the opponent C. The game continues normally D. The throw is cancelled</v>
      </c>
      <c r="I157" s="3" t="str">
        <f>IFERROR(__xludf.DUMMYFUNCTION("GOOGLETRANSLATE(D157, ""it"", ""en"")"),"The player loses the turn")</f>
        <v>The player loses the turn</v>
      </c>
      <c r="J157" s="2"/>
      <c r="K157" s="2"/>
      <c r="L157" s="2"/>
      <c r="M157" s="2"/>
      <c r="N157" s="2"/>
      <c r="O157" s="2"/>
      <c r="P157" s="2"/>
      <c r="Q157" s="2"/>
      <c r="R157" s="2"/>
    </row>
    <row r="158" ht="22.5" customHeight="1">
      <c r="A158" s="3">
        <v>163.0</v>
      </c>
      <c r="B158" s="3" t="s">
        <v>2022</v>
      </c>
      <c r="C158" s="3" t="s">
        <v>2082</v>
      </c>
      <c r="D158" s="3" t="s">
        <v>1828</v>
      </c>
      <c r="E158" s="2"/>
      <c r="F158" s="3" t="str">
        <f>IFERROR(__xludf.DUMMYFUNCTION("GOOGLETRANSLATE(A158, ""it"", ""en"")"),"163")</f>
        <v>163</v>
      </c>
      <c r="G158" s="3" t="str">
        <f>IFERROR(__xludf.DUMMYFUNCTION("GOOGLETRANSLATE(B158, ""it"", ""en"")"),"If a player throws a ball that touches an opponent's ball and moves it out of play, what happens?")</f>
        <v>If a player throws a ball that touches an opponent's ball and moves it out of play, what happens?</v>
      </c>
      <c r="H158" s="3" t="str">
        <f>IFERROR(__xludf.DUMMYFUNCTION("GOOGLETRANSLATE(C158, ""it"", ""en"")"),"A. The point goes to the team that threw B. The point goes to the opponent C. The opponent's ball is removed D. The game continues normally")</f>
        <v>A. The point goes to the team that threw B. The point goes to the opponent C. The opponent's ball is removed D. The game continues normally</v>
      </c>
      <c r="I158" s="3" t="str">
        <f>IFERROR(__xludf.DUMMYFUNCTION("GOOGLETRANSLATE(D158, ""it"", ""en"")"),"The point goes to the team that threw")</f>
        <v>The point goes to the team that threw</v>
      </c>
      <c r="J158" s="2"/>
      <c r="K158" s="2"/>
      <c r="L158" s="2"/>
      <c r="M158" s="2"/>
      <c r="N158" s="2"/>
      <c r="O158" s="2"/>
      <c r="P158" s="2"/>
      <c r="Q158" s="2"/>
      <c r="R158" s="2"/>
    </row>
    <row r="159" ht="22.5" customHeight="1">
      <c r="A159" s="3">
        <v>164.0</v>
      </c>
      <c r="B159" s="3" t="s">
        <v>2090</v>
      </c>
      <c r="C159" s="3" t="s">
        <v>2091</v>
      </c>
      <c r="D159" s="3" t="s">
        <v>1828</v>
      </c>
      <c r="E159" s="2"/>
      <c r="F159" s="3" t="str">
        <f>IFERROR(__xludf.DUMMYFUNCTION("GOOGLETRANSLATE(A159, ""it"", ""en"")"),"164")</f>
        <v>164</v>
      </c>
      <c r="G159" s="3" t="str">
        <f>IFERROR(__xludf.DUMMYFUNCTION("GOOGLETRANSLATE(B159, ""it"", ""en"")"),"If a player throws the ball and it touches the jack but doesn't move it, what happens?")</f>
        <v>If a player throws the ball and it touches the jack but doesn't move it, what happens?</v>
      </c>
      <c r="H159" s="3" t="str">
        <f>IFERROR(__xludf.DUMMYFUNCTION("GOOGLETRANSLATE(C159, ""it"", ""en"")"),"A. The point goes to the team that threw B. The game continues normally C. The point goes to the opponent D. The jack is replaced")</f>
        <v>A. The point goes to the team that threw B. The game continues normally C. The point goes to the opponent D. The jack is replaced</v>
      </c>
      <c r="I159" s="3" t="str">
        <f>IFERROR(__xludf.DUMMYFUNCTION("GOOGLETRANSLATE(D159, ""it"", ""en"")"),"The point goes to the team that threw")</f>
        <v>The point goes to the team that threw</v>
      </c>
      <c r="J159" s="2"/>
      <c r="K159" s="2"/>
      <c r="L159" s="2"/>
      <c r="M159" s="2"/>
      <c r="N159" s="2"/>
      <c r="O159" s="2"/>
      <c r="P159" s="2"/>
      <c r="Q159" s="2"/>
      <c r="R159" s="2"/>
    </row>
    <row r="160" ht="22.5" customHeight="1">
      <c r="A160" s="3">
        <v>165.0</v>
      </c>
      <c r="B160" s="3" t="s">
        <v>2092</v>
      </c>
      <c r="C160" s="3" t="s">
        <v>2093</v>
      </c>
      <c r="D160" s="3" t="s">
        <v>2085</v>
      </c>
      <c r="E160" s="2"/>
      <c r="F160" s="3" t="str">
        <f>IFERROR(__xludf.DUMMYFUNCTION("GOOGLETRANSLATE(A160, ""it"", ""en"")"),"165")</f>
        <v>165</v>
      </c>
      <c r="G160" s="3" t="str">
        <f>IFERROR(__xludf.DUMMYFUNCTION("GOOGLETRANSLATE(B160, ""it"", ""en"")"),"If a ball is thrown out of bounds without touching anything, what happens?")</f>
        <v>If a ball is thrown out of bounds without touching anything, what happens?</v>
      </c>
      <c r="H160" s="3" t="str">
        <f>IFERROR(__xludf.DUMMYFUNCTION("GOOGLETRANSLATE(C160, ""it"", ""en"")"),"A. The point goes to the opponent B. The throw is cancelled C. The game continues normally D. The ball is replaced")</f>
        <v>A. The point goes to the opponent B. The throw is cancelled C. The game continues normally D. The ball is replaced</v>
      </c>
      <c r="I160" s="3" t="str">
        <f>IFERROR(__xludf.DUMMYFUNCTION("GOOGLETRANSLATE(D160, ""it"", ""en"")"),"The point goes to the opponent")</f>
        <v>The point goes to the opponent</v>
      </c>
      <c r="J160" s="2"/>
      <c r="K160" s="2"/>
      <c r="L160" s="2"/>
      <c r="M160" s="2"/>
      <c r="N160" s="2"/>
      <c r="O160" s="2"/>
      <c r="P160" s="2"/>
      <c r="Q160" s="2"/>
      <c r="R160" s="2"/>
    </row>
    <row r="161" ht="22.5" customHeight="1">
      <c r="A161" s="3">
        <v>166.0</v>
      </c>
      <c r="B161" s="3" t="s">
        <v>1980</v>
      </c>
      <c r="C161" s="3" t="s">
        <v>2094</v>
      </c>
      <c r="D161" s="3" t="s">
        <v>2085</v>
      </c>
      <c r="E161" s="2"/>
      <c r="F161" s="3" t="str">
        <f>IFERROR(__xludf.DUMMYFUNCTION("GOOGLETRANSLATE(A161, ""it"", ""en"")"),"166")</f>
        <v>166</v>
      </c>
      <c r="G161" s="3" t="str">
        <f>IFERROR(__xludf.DUMMYFUNCTION("GOOGLETRANSLATE(B161, ""it"", ""en"")"),"If a player accidentally kicks a ball before it is thrown, what happens?")</f>
        <v>If a player accidentally kicks a ball before it is thrown, what happens?</v>
      </c>
      <c r="H161" s="3" t="str">
        <f>IFERROR(__xludf.DUMMYFUNCTION("GOOGLETRANSLATE(C161, ""it"", ""en"")"),"A. The point goes to the opponent B. The ball is replaced C. The throw is cancelled D. The game continues normally")</f>
        <v>A. The point goes to the opponent B. The ball is replaced C. The throw is cancelled D. The game continues normally</v>
      </c>
      <c r="I161" s="3" t="str">
        <f>IFERROR(__xludf.DUMMYFUNCTION("GOOGLETRANSLATE(D161, ""it"", ""en"")"),"The point goes to the opponent")</f>
        <v>The point goes to the opponent</v>
      </c>
      <c r="J161" s="2"/>
      <c r="K161" s="2"/>
      <c r="L161" s="2"/>
      <c r="M161" s="2"/>
      <c r="N161" s="2"/>
      <c r="O161" s="2"/>
      <c r="P161" s="2"/>
      <c r="Q161" s="2"/>
      <c r="R161" s="2"/>
    </row>
    <row r="162" ht="22.5" customHeight="1">
      <c r="A162" s="3">
        <v>167.0</v>
      </c>
      <c r="B162" s="3" t="s">
        <v>2095</v>
      </c>
      <c r="C162" s="3" t="s">
        <v>2096</v>
      </c>
      <c r="D162" s="3" t="s">
        <v>1828</v>
      </c>
      <c r="E162" s="2"/>
      <c r="F162" s="3" t="str">
        <f>IFERROR(__xludf.DUMMYFUNCTION("GOOGLETRANSLATE(A162, ""it"", ""en"")"),"167")</f>
        <v>167</v>
      </c>
      <c r="G162" s="3" t="str">
        <f>IFERROR(__xludf.DUMMYFUNCTION("GOOGLETRANSLATE(B162, ""it"", ""en"")"),"If a player throws a ball and it hits another ball that changes direction but does not touch the jack, what happens?")</f>
        <v>If a player throws a ball and it hits another ball that changes direction but does not touch the jack, what happens?</v>
      </c>
      <c r="H162" s="3" t="str">
        <f>IFERROR(__xludf.DUMMYFUNCTION("GOOGLETRANSLATE(C162,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162" s="3" t="str">
        <f>IFERROR(__xludf.DUMMYFUNCTION("GOOGLETRANSLATE(D162, ""it"", ""en"")"),"The point goes to the team that threw")</f>
        <v>The point goes to the team that threw</v>
      </c>
      <c r="J162" s="2"/>
      <c r="K162" s="2"/>
      <c r="L162" s="2"/>
      <c r="M162" s="2"/>
      <c r="N162" s="2"/>
      <c r="O162" s="2"/>
      <c r="P162" s="2"/>
      <c r="Q162" s="2"/>
      <c r="R162" s="2"/>
    </row>
    <row r="163" ht="22.5" customHeight="1">
      <c r="A163" s="3">
        <v>168.0</v>
      </c>
      <c r="B163" s="3" t="s">
        <v>2030</v>
      </c>
      <c r="C163" s="3" t="s">
        <v>2031</v>
      </c>
      <c r="D163" s="3" t="s">
        <v>1834</v>
      </c>
      <c r="E163" s="2"/>
      <c r="F163" s="3" t="str">
        <f>IFERROR(__xludf.DUMMYFUNCTION("GOOGLETRANSLATE(A163, ""it"", ""en"")"),"168")</f>
        <v>168</v>
      </c>
      <c r="G163" s="3" t="str">
        <f>IFERROR(__xludf.DUMMYFUNCTION("GOOGLETRANSLATE(B163, ""it"", ""en"")"),"If the cue ball is hit and moves out of bounds, what happens?")</f>
        <v>If the cue ball is hit and moves out of bounds, what happens?</v>
      </c>
      <c r="H163" s="3" t="str">
        <f>IFERROR(__xludf.DUMMYFUNCTION("GOOGLETRANSLATE(C163, ""it"", ""en"")"),"A. The game is cancelled B. The jack is replaced C. The point goes to the team that threw it D. Play continues normally")</f>
        <v>A. The game is cancelled B. The jack is replaced C. The point goes to the team that threw it D. Play continues normally</v>
      </c>
      <c r="I163" s="3" t="str">
        <f>IFERROR(__xludf.DUMMYFUNCTION("GOOGLETRANSLATE(D163, ""it"", ""en"")"),"The ball is repositioned")</f>
        <v>The ball is repositioned</v>
      </c>
      <c r="J163" s="2"/>
      <c r="K163" s="2"/>
      <c r="L163" s="2"/>
      <c r="M163" s="2"/>
      <c r="N163" s="2"/>
      <c r="O163" s="2"/>
      <c r="P163" s="2"/>
      <c r="Q163" s="2"/>
      <c r="R163" s="2"/>
    </row>
    <row r="164" ht="22.5" customHeight="1">
      <c r="A164" s="3">
        <v>169.0</v>
      </c>
      <c r="B164" s="3" t="s">
        <v>2097</v>
      </c>
      <c r="C164" s="3" t="s">
        <v>2082</v>
      </c>
      <c r="D164" s="3" t="s">
        <v>1828</v>
      </c>
      <c r="E164" s="2"/>
      <c r="F164" s="3" t="str">
        <f>IFERROR(__xludf.DUMMYFUNCTION("GOOGLETRANSLATE(A164, ""it"", ""en"")"),"169")</f>
        <v>169</v>
      </c>
      <c r="G164" s="3" t="str">
        <f>IFERROR(__xludf.DUMMYFUNCTION("GOOGLETRANSLATE(B164, ""it"", ""en"")"),"What happens if a player throws a ball too hard and it hits an opponent's ball that moves toward the jack?")</f>
        <v>What happens if a player throws a ball too hard and it hits an opponent's ball that moves toward the jack?</v>
      </c>
      <c r="H164" s="3" t="str">
        <f>IFERROR(__xludf.DUMMYFUNCTION("GOOGLETRANSLATE(C164, ""it"", ""en"")"),"A. The point goes to the team that threw B. The point goes to the opponent C. The opponent's ball is removed D. The game continues normally")</f>
        <v>A. The point goes to the team that threw B. The point goes to the opponent C. The opponent's ball is removed D. The game continues normally</v>
      </c>
      <c r="I164" s="3" t="str">
        <f>IFERROR(__xludf.DUMMYFUNCTION("GOOGLETRANSLATE(D164, ""it"", ""en"")"),"The point goes to the team that threw")</f>
        <v>The point goes to the team that threw</v>
      </c>
      <c r="J164" s="2"/>
      <c r="K164" s="2"/>
      <c r="L164" s="2"/>
      <c r="M164" s="2"/>
      <c r="N164" s="2"/>
      <c r="O164" s="2"/>
      <c r="P164" s="2"/>
      <c r="Q164" s="2"/>
      <c r="R164" s="2"/>
    </row>
    <row r="165" ht="22.5" customHeight="1">
      <c r="A165" s="3">
        <v>170.0</v>
      </c>
      <c r="B165" s="3" t="s">
        <v>2002</v>
      </c>
      <c r="C165" s="3" t="s">
        <v>2091</v>
      </c>
      <c r="D165" s="3" t="s">
        <v>1828</v>
      </c>
      <c r="E165" s="2"/>
      <c r="F165" s="3" t="str">
        <f>IFERROR(__xludf.DUMMYFUNCTION("GOOGLETRANSLATE(A165, ""it"", ""en"")"),"170")</f>
        <v>170</v>
      </c>
      <c r="G165" s="3" t="str">
        <f>IFERROR(__xludf.DUMMYFUNCTION("GOOGLETRANSLATE(B165, ""it"", ""en"")"),"If a player throws a boccia and it touches the jack but doesn't move it, what happens?")</f>
        <v>If a player throws a boccia and it touches the jack but doesn't move it, what happens?</v>
      </c>
      <c r="H165" s="3" t="str">
        <f>IFERROR(__xludf.DUMMYFUNCTION("GOOGLETRANSLATE(C165, ""it"", ""en"")"),"A. The point goes to the team that threw B. The game continues normally C. The point goes to the opponent D. The jack is replaced")</f>
        <v>A. The point goes to the team that threw B. The game continues normally C. The point goes to the opponent D. The jack is replaced</v>
      </c>
      <c r="I165" s="3" t="str">
        <f>IFERROR(__xludf.DUMMYFUNCTION("GOOGLETRANSLATE(D165, ""it"", ""en"")"),"The point goes to the team that threw")</f>
        <v>The point goes to the team that threw</v>
      </c>
      <c r="J165" s="2"/>
      <c r="K165" s="2"/>
      <c r="L165" s="2"/>
      <c r="M165" s="2"/>
      <c r="N165" s="2"/>
      <c r="O165" s="2"/>
      <c r="P165" s="2"/>
      <c r="Q165" s="2"/>
      <c r="R165" s="2"/>
    </row>
    <row r="166" ht="22.5" customHeight="1">
      <c r="A166" s="3">
        <v>171.0</v>
      </c>
      <c r="B166" s="3" t="s">
        <v>2098</v>
      </c>
      <c r="C166" s="3" t="s">
        <v>2096</v>
      </c>
      <c r="D166" s="3" t="s">
        <v>1828</v>
      </c>
      <c r="E166" s="2"/>
      <c r="F166" s="3" t="str">
        <f>IFERROR(__xludf.DUMMYFUNCTION("GOOGLETRANSLATE(A166, ""it"", ""en"")"),"171")</f>
        <v>171</v>
      </c>
      <c r="G166" s="3" t="str">
        <f>IFERROR(__xludf.DUMMYFUNCTION("GOOGLETRANSLATE(B166, ""it"", ""en"")"),"If a player throws a ball that hits an opponent's ball and the ball changes direction, what happens?")</f>
        <v>If a player throws a ball that hits an opponent's ball and the ball changes direction, what happens?</v>
      </c>
      <c r="H166" s="3" t="str">
        <f>IFERROR(__xludf.DUMMYFUNCTION("GOOGLETRANSLATE(C166,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166" s="3" t="str">
        <f>IFERROR(__xludf.DUMMYFUNCTION("GOOGLETRANSLATE(D166, ""it"", ""en"")"),"The point goes to the team that threw")</f>
        <v>The point goes to the team that threw</v>
      </c>
      <c r="J166" s="2"/>
      <c r="K166" s="2"/>
      <c r="L166" s="2"/>
      <c r="M166" s="2"/>
      <c r="N166" s="2"/>
      <c r="O166" s="2"/>
      <c r="P166" s="2"/>
      <c r="Q166" s="2"/>
      <c r="R166" s="2"/>
    </row>
    <row r="167" ht="22.5" customHeight="1">
      <c r="A167" s="3">
        <v>172.0</v>
      </c>
      <c r="B167" s="3" t="s">
        <v>2001</v>
      </c>
      <c r="C167" s="3" t="s">
        <v>2099</v>
      </c>
      <c r="D167" s="3" t="s">
        <v>549</v>
      </c>
      <c r="E167" s="2"/>
      <c r="F167" s="3" t="str">
        <f>IFERROR(__xludf.DUMMYFUNCTION("GOOGLETRANSLATE(A167, ""it"", ""en"")"),"172")</f>
        <v>172</v>
      </c>
      <c r="G167" s="3" t="str">
        <f>IFERROR(__xludf.DUMMYFUNCTION("GOOGLETRANSLATE(B167, ""it"", ""en"")"),"If a player doesn't throw the ball within the time limit, what happens?")</f>
        <v>If a player doesn't throw the ball within the time limit, what happens?</v>
      </c>
      <c r="H167" s="3" t="str">
        <f>IFERROR(__xludf.DUMMYFUNCTION("GOOGLETRANSLATE(C167, ""it"", ""en"")"),"A. The player loses the turn B. The point goes to the opponent C. The throw is cancelled D. The game continues normally")</f>
        <v>A. The player loses the turn B. The point goes to the opponent C. The throw is cancelled D. The game continues normally</v>
      </c>
      <c r="I167" s="3" t="str">
        <f>IFERROR(__xludf.DUMMYFUNCTION("GOOGLETRANSLATE(D167, ""it"", ""en"")"),"The player loses the turn")</f>
        <v>The player loses the turn</v>
      </c>
      <c r="J167" s="2"/>
      <c r="K167" s="2"/>
      <c r="L167" s="2"/>
      <c r="M167" s="2"/>
      <c r="N167" s="2"/>
      <c r="O167" s="2"/>
      <c r="P167" s="2"/>
      <c r="Q167" s="2"/>
      <c r="R167" s="2"/>
    </row>
    <row r="168" ht="22.5" customHeight="1">
      <c r="A168" s="3">
        <v>173.0</v>
      </c>
      <c r="B168" s="3" t="s">
        <v>2100</v>
      </c>
      <c r="C168" s="3" t="s">
        <v>2042</v>
      </c>
      <c r="D168" s="3" t="s">
        <v>1828</v>
      </c>
      <c r="E168" s="2"/>
      <c r="F168" s="3" t="str">
        <f>IFERROR(__xludf.DUMMYFUNCTION("GOOGLETRANSLATE(A168, ""it"", ""en"")"),"173")</f>
        <v>173</v>
      </c>
      <c r="G168" s="3" t="str">
        <f>IFERROR(__xludf.DUMMYFUNCTION("GOOGLETRANSLATE(B168, ""it"", ""en"")"),"If a ball touches the baseline during a throw, what happens?")</f>
        <v>If a ball touches the baseline during a throw, what happens?</v>
      </c>
      <c r="H168" s="3" t="str">
        <f>IFERROR(__xludf.DUMMYFUNCTION("GOOGLETRANSLATE(C168, ""it"", ""en"")"),"A. The point goes to the team that threw B. The throw is cancelled C. The game continues normally D. The ball is replaced")</f>
        <v>A. The point goes to the team that threw B. The throw is cancelled C. The game continues normally D. The ball is replaced</v>
      </c>
      <c r="I168" s="3" t="str">
        <f>IFERROR(__xludf.DUMMYFUNCTION("GOOGLETRANSLATE(D168, ""it"", ""en"")"),"The point goes to the team that threw")</f>
        <v>The point goes to the team that threw</v>
      </c>
      <c r="J168" s="2"/>
      <c r="K168" s="2"/>
      <c r="L168" s="2"/>
      <c r="M168" s="2"/>
      <c r="N168" s="2"/>
      <c r="O168" s="2"/>
      <c r="P168" s="2"/>
      <c r="Q168" s="2"/>
      <c r="R168" s="2"/>
    </row>
    <row r="169" ht="22.5" customHeight="1">
      <c r="A169" s="3">
        <v>174.0</v>
      </c>
      <c r="B169" s="3" t="s">
        <v>2101</v>
      </c>
      <c r="C169" s="3" t="s">
        <v>2096</v>
      </c>
      <c r="D169" s="3" t="s">
        <v>1828</v>
      </c>
      <c r="E169" s="2"/>
      <c r="F169" s="3" t="str">
        <f>IFERROR(__xludf.DUMMYFUNCTION("GOOGLETRANSLATE(A169, ""it"", ""en"")"),"174")</f>
        <v>174</v>
      </c>
      <c r="G169" s="3" t="str">
        <f>IFERROR(__xludf.DUMMYFUNCTION("GOOGLETRANSLATE(B169, ""it"", ""en"")"),"If a player throws a ball and it touches an opponent's ball that moves toward the jack, what happens?")</f>
        <v>If a player throws a ball and it touches an opponent's ball that moves toward the jack, what happens?</v>
      </c>
      <c r="H169" s="3" t="str">
        <f>IFERROR(__xludf.DUMMYFUNCTION("GOOGLETRANSLATE(C169,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169" s="3" t="str">
        <f>IFERROR(__xludf.DUMMYFUNCTION("GOOGLETRANSLATE(D169, ""it"", ""en"")"),"The point goes to the team that threw")</f>
        <v>The point goes to the team that threw</v>
      </c>
      <c r="J169" s="2"/>
      <c r="K169" s="2"/>
      <c r="L169" s="2"/>
      <c r="M169" s="2"/>
      <c r="N169" s="2"/>
      <c r="O169" s="2"/>
      <c r="P169" s="2"/>
      <c r="Q169" s="2"/>
      <c r="R169" s="2"/>
    </row>
    <row r="170" ht="22.5" customHeight="1">
      <c r="A170" s="3">
        <v>175.0</v>
      </c>
      <c r="B170" s="3" t="s">
        <v>2074</v>
      </c>
      <c r="C170" s="3" t="s">
        <v>2031</v>
      </c>
      <c r="D170" s="3" t="s">
        <v>1834</v>
      </c>
      <c r="E170" s="2"/>
      <c r="F170" s="3" t="str">
        <f>IFERROR(__xludf.DUMMYFUNCTION("GOOGLETRANSLATE(A170, ""it"", ""en"")"),"175")</f>
        <v>175</v>
      </c>
      <c r="G170" s="3" t="str">
        <f>IFERROR(__xludf.DUMMYFUNCTION("GOOGLETRANSLATE(B170, ""it"", ""en"")"),"If during the game a ball touches the jack and the jack goes out of play, what happens?")</f>
        <v>If during the game a ball touches the jack and the jack goes out of play, what happens?</v>
      </c>
      <c r="H170" s="3" t="str">
        <f>IFERROR(__xludf.DUMMYFUNCTION("GOOGLETRANSLATE(C170, ""it"", ""en"")"),"A. The game is cancelled B. The jack is replaced C. The point goes to the team that threw it D. Play continues normally")</f>
        <v>A. The game is cancelled B. The jack is replaced C. The point goes to the team that threw it D. Play continues normally</v>
      </c>
      <c r="I170" s="3" t="str">
        <f>IFERROR(__xludf.DUMMYFUNCTION("GOOGLETRANSLATE(D170, ""it"", ""en"")"),"The ball is repositioned")</f>
        <v>The ball is repositioned</v>
      </c>
      <c r="J170" s="2"/>
      <c r="K170" s="2"/>
      <c r="L170" s="2"/>
      <c r="M170" s="2"/>
      <c r="N170" s="2"/>
      <c r="O170" s="2"/>
      <c r="P170" s="2"/>
      <c r="Q170" s="2"/>
      <c r="R170" s="2"/>
    </row>
    <row r="171" ht="22.5" customHeight="1">
      <c r="A171" s="3">
        <v>176.0</v>
      </c>
      <c r="B171" s="3" t="s">
        <v>2102</v>
      </c>
      <c r="C171" s="3" t="s">
        <v>2096</v>
      </c>
      <c r="D171" s="3" t="s">
        <v>1828</v>
      </c>
      <c r="E171" s="2"/>
      <c r="F171" s="3" t="str">
        <f>IFERROR(__xludf.DUMMYFUNCTION("GOOGLETRANSLATE(A171, ""it"", ""en"")"),"176")</f>
        <v>176</v>
      </c>
      <c r="G171" s="3" t="str">
        <f>IFERROR(__xludf.DUMMYFUNCTION("GOOGLETRANSLATE(B171, ""it"", ""en"")"),"If a player throws a ball and it hits an opponent's ball but doesn't change the position of the jack, what happens?")</f>
        <v>If a player throws a ball and it hits an opponent's ball but doesn't change the position of the jack, what happens?</v>
      </c>
      <c r="H171" s="3" t="str">
        <f>IFERROR(__xludf.DUMMYFUNCTION("GOOGLETRANSLATE(C171,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171" s="3" t="str">
        <f>IFERROR(__xludf.DUMMYFUNCTION("GOOGLETRANSLATE(D171, ""it"", ""en"")"),"The point goes to the team that threw")</f>
        <v>The point goes to the team that threw</v>
      </c>
      <c r="J171" s="2"/>
      <c r="K171" s="2"/>
      <c r="L171" s="2"/>
      <c r="M171" s="2"/>
      <c r="N171" s="2"/>
      <c r="O171" s="2"/>
      <c r="P171" s="2"/>
      <c r="Q171" s="2"/>
      <c r="R171" s="2"/>
    </row>
    <row r="172" ht="22.5" customHeight="1">
      <c r="A172" s="3">
        <v>177.0</v>
      </c>
      <c r="B172" s="3" t="s">
        <v>2103</v>
      </c>
      <c r="C172" s="3" t="s">
        <v>2104</v>
      </c>
      <c r="D172" s="3" t="s">
        <v>1828</v>
      </c>
      <c r="E172" s="2"/>
      <c r="F172" s="3" t="str">
        <f>IFERROR(__xludf.DUMMYFUNCTION("GOOGLETRANSLATE(A172, ""it"", ""en"")"),"177")</f>
        <v>177</v>
      </c>
      <c r="G172" s="3" t="str">
        <f>IFERROR(__xludf.DUMMYFUNCTION("GOOGLETRANSLATE(B172, ""it"", ""en"")"),"If a player throws a ball and it touches the baseline but doesn't go out of bounds, what happens?")</f>
        <v>If a player throws a ball and it touches the baseline but doesn't go out of bounds, what happens?</v>
      </c>
      <c r="H172" s="3" t="str">
        <f>IFERROR(__xludf.DUMMYFUNCTION("GOOGLETRANSLATE(C172, ""it"", ""en"")"),"A. The point goes to the team that threw B. The game continues normally C. The point goes to the opponent D. The throw is cancelled")</f>
        <v>A. The point goes to the team that threw B. The game continues normally C. The point goes to the opponent D. The throw is cancelled</v>
      </c>
      <c r="I172" s="3" t="str">
        <f>IFERROR(__xludf.DUMMYFUNCTION("GOOGLETRANSLATE(D172, ""it"", ""en"")"),"The point goes to the team that threw")</f>
        <v>The point goes to the team that threw</v>
      </c>
      <c r="J172" s="2"/>
      <c r="K172" s="2"/>
      <c r="L172" s="2"/>
      <c r="M172" s="2"/>
      <c r="N172" s="2"/>
      <c r="O172" s="2"/>
      <c r="P172" s="2"/>
      <c r="Q172" s="2"/>
      <c r="R172" s="2"/>
    </row>
    <row r="173" ht="22.5" customHeight="1">
      <c r="A173" s="3">
        <v>178.0</v>
      </c>
      <c r="B173" s="3" t="s">
        <v>2032</v>
      </c>
      <c r="C173" s="3" t="s">
        <v>2105</v>
      </c>
      <c r="D173" s="3" t="s">
        <v>1828</v>
      </c>
      <c r="E173" s="2"/>
      <c r="F173" s="3" t="str">
        <f>IFERROR(__xludf.DUMMYFUNCTION("GOOGLETRANSLATE(A173, ""it"", ""en"")"),"178")</f>
        <v>178</v>
      </c>
      <c r="G173" s="3" t="str">
        <f>IFERROR(__xludf.DUMMYFUNCTION("GOOGLETRANSLATE(B173, ""it"", ""en"")"),"What happens if a player throws a ball that touches the throwing line?")</f>
        <v>What happens if a player throws a ball that touches the throwing line?</v>
      </c>
      <c r="H173" s="3" t="str">
        <f>IFERROR(__xludf.DUMMYFUNCTION("GOOGLETRANSLATE(C173, ""it"", ""en"")"),"A. The point goes to the team that threw B. The game continues normally C. The throw is cancelled D. The ball is replaced")</f>
        <v>A. The point goes to the team that threw B. The game continues normally C. The throw is cancelled D. The ball is replaced</v>
      </c>
      <c r="I173" s="3" t="str">
        <f>IFERROR(__xludf.DUMMYFUNCTION("GOOGLETRANSLATE(D173, ""it"", ""en"")"),"The point goes to the team that threw")</f>
        <v>The point goes to the team that threw</v>
      </c>
      <c r="J173" s="2"/>
      <c r="K173" s="2"/>
      <c r="L173" s="2"/>
      <c r="M173" s="2"/>
      <c r="N173" s="2"/>
      <c r="O173" s="2"/>
      <c r="P173" s="2"/>
      <c r="Q173" s="2"/>
      <c r="R173" s="2"/>
    </row>
    <row r="174" ht="22.5" customHeight="1">
      <c r="A174" s="3">
        <v>179.0</v>
      </c>
      <c r="B174" s="3" t="s">
        <v>2106</v>
      </c>
      <c r="C174" s="3" t="s">
        <v>2107</v>
      </c>
      <c r="D174" s="3" t="s">
        <v>1834</v>
      </c>
      <c r="E174" s="2"/>
      <c r="F174" s="3" t="str">
        <f>IFERROR(__xludf.DUMMYFUNCTION("GOOGLETRANSLATE(A174, ""it"", ""en"")"),"179")</f>
        <v>179</v>
      </c>
      <c r="G174" s="3" t="str">
        <f>IFERROR(__xludf.DUMMYFUNCTION("GOOGLETRANSLATE(B174, ""it"", ""en"")"),"If the jack goes out of bounds and no ball hits it, what happens?")</f>
        <v>If the jack goes out of bounds and no ball hits it, what happens?</v>
      </c>
      <c r="H174" s="3" t="str">
        <f>IFERROR(__xludf.DUMMYFUNCTION("GOOGLETRANSLATE(C174, ""it"", ""en"")"),"A. The cue ball is replaced B. The game is cancelled C. The point goes to the opponent D. The game continues normally")</f>
        <v>A. The cue ball is replaced B. The game is cancelled C. The point goes to the opponent D. The game continues normally</v>
      </c>
      <c r="I174" s="3" t="str">
        <f>IFERROR(__xludf.DUMMYFUNCTION("GOOGLETRANSLATE(D174, ""it"", ""en"")"),"The ball is repositioned")</f>
        <v>The ball is repositioned</v>
      </c>
      <c r="J174" s="2"/>
      <c r="K174" s="2"/>
      <c r="L174" s="2"/>
      <c r="M174" s="2"/>
      <c r="N174" s="2"/>
      <c r="O174" s="2"/>
      <c r="P174" s="2"/>
      <c r="Q174" s="2"/>
      <c r="R174" s="2"/>
    </row>
    <row r="175" ht="22.5" customHeight="1">
      <c r="A175" s="3">
        <v>180.0</v>
      </c>
      <c r="B175" s="3" t="s">
        <v>2108</v>
      </c>
      <c r="C175" s="3" t="s">
        <v>2109</v>
      </c>
      <c r="D175" s="3" t="s">
        <v>2013</v>
      </c>
      <c r="E175" s="2"/>
      <c r="F175" s="3" t="str">
        <f>IFERROR(__xludf.DUMMYFUNCTION("GOOGLETRANSLATE(A175, ""it"", ""en"")"),"180")</f>
        <v>180</v>
      </c>
      <c r="G175" s="3" t="str">
        <f>IFERROR(__xludf.DUMMYFUNCTION("GOOGLETRANSLATE(B175, ""it"", ""en"")"),"If a player throws a ball and it lands on an opponent's ball, what happens?")</f>
        <v>If a player throws a ball and it lands on an opponent's ball, what happens?</v>
      </c>
      <c r="H175" s="3" t="str">
        <f>IFERROR(__xludf.DUMMYFUNCTION("GOOGLETRANSLATE(C175, ""it"", ""en"")"),"A. The ball is considered closest to the jack B. The point goes to the team that threw it C. The game continues normally D. The opponent's ball is removed")</f>
        <v>A. The ball is considered closest to the jack B. The point goes to the team that threw it C. The game continues normally D. The opponent's ball is removed</v>
      </c>
      <c r="I175" s="3" t="str">
        <f>IFERROR(__xludf.DUMMYFUNCTION("GOOGLETRANSLATE(D175, ""it"", ""en"")"),"The boccia is considered closer to the jack")</f>
        <v>The boccia is considered closer to the jack</v>
      </c>
      <c r="J175" s="2"/>
      <c r="K175" s="2"/>
      <c r="L175" s="2"/>
      <c r="M175" s="2"/>
      <c r="N175" s="2"/>
      <c r="O175" s="2"/>
      <c r="P175" s="2"/>
      <c r="Q175" s="2"/>
      <c r="R175" s="2"/>
    </row>
    <row r="176" ht="22.5" customHeight="1">
      <c r="A176" s="3">
        <v>181.0</v>
      </c>
      <c r="B176" s="3" t="s">
        <v>2110</v>
      </c>
      <c r="C176" s="3" t="s">
        <v>2080</v>
      </c>
      <c r="D176" s="3" t="s">
        <v>1828</v>
      </c>
      <c r="E176" s="2"/>
      <c r="F176" s="3" t="str">
        <f>IFERROR(__xludf.DUMMYFUNCTION("GOOGLETRANSLATE(A176, ""it"", ""en"")"),"181")</f>
        <v>181</v>
      </c>
      <c r="G176" s="3" t="str">
        <f>IFERROR(__xludf.DUMMYFUNCTION("GOOGLETRANSLATE(B176, ""it"", ""en"")"),"If a player throws a ball and it lands on the jack, what happens?")</f>
        <v>If a player throws a ball and it lands on the jack, what happens?</v>
      </c>
      <c r="H176" s="3" t="str">
        <f>IFERROR(__xludf.DUMMYFUNCTION("GOOGLETRANSLATE(C176, ""it"", ""en"")"),"A. The point goes to the team that threw it B. The jack is replaced C. The game continues normally D. The point goes to the opponent")</f>
        <v>A. The point goes to the team that threw it B. The jack is replaced C. The game continues normally D. The point goes to the opponent</v>
      </c>
      <c r="I176" s="3" t="str">
        <f>IFERROR(__xludf.DUMMYFUNCTION("GOOGLETRANSLATE(D176, ""it"", ""en"")"),"The point goes to the team that threw")</f>
        <v>The point goes to the team that threw</v>
      </c>
      <c r="J176" s="2"/>
      <c r="K176" s="2"/>
      <c r="L176" s="2"/>
      <c r="M176" s="2"/>
      <c r="N176" s="2"/>
      <c r="O176" s="2"/>
      <c r="P176" s="2"/>
      <c r="Q176" s="2"/>
      <c r="R176" s="2"/>
    </row>
    <row r="177" ht="22.5" customHeight="1">
      <c r="A177" s="3">
        <v>182.0</v>
      </c>
      <c r="B177" s="3" t="s">
        <v>2111</v>
      </c>
      <c r="C177" s="3" t="s">
        <v>2093</v>
      </c>
      <c r="D177" s="3" t="s">
        <v>2085</v>
      </c>
      <c r="E177" s="2"/>
      <c r="F177" s="3" t="str">
        <f>IFERROR(__xludf.DUMMYFUNCTION("GOOGLETRANSLATE(A177, ""it"", ""en"")"),"182")</f>
        <v>182</v>
      </c>
      <c r="G177" s="3" t="str">
        <f>IFERROR(__xludf.DUMMYFUNCTION("GOOGLETRANSLATE(B177, ""it"", ""en"")"),"If a player throws a ball and it lands outside the court, what happens?")</f>
        <v>If a player throws a ball and it lands outside the court, what happens?</v>
      </c>
      <c r="H177" s="3" t="str">
        <f>IFERROR(__xludf.DUMMYFUNCTION("GOOGLETRANSLATE(C177, ""it"", ""en"")"),"A. The point goes to the opponent B. The throw is cancelled C. The game continues normally D. The ball is replaced")</f>
        <v>A. The point goes to the opponent B. The throw is cancelled C. The game continues normally D. The ball is replaced</v>
      </c>
      <c r="I177" s="3" t="str">
        <f>IFERROR(__xludf.DUMMYFUNCTION("GOOGLETRANSLATE(D177, ""it"", ""en"")"),"The point goes to the opponent")</f>
        <v>The point goes to the opponent</v>
      </c>
      <c r="J177" s="2"/>
      <c r="K177" s="2"/>
      <c r="L177" s="2"/>
      <c r="M177" s="2"/>
      <c r="N177" s="2"/>
      <c r="O177" s="2"/>
      <c r="P177" s="2"/>
      <c r="Q177" s="2"/>
      <c r="R177" s="2"/>
    </row>
    <row r="178" ht="22.5" customHeight="1">
      <c r="A178" s="3">
        <v>183.0</v>
      </c>
      <c r="B178" s="3" t="s">
        <v>2112</v>
      </c>
      <c r="C178" s="3" t="s">
        <v>2091</v>
      </c>
      <c r="D178" s="3" t="s">
        <v>1828</v>
      </c>
      <c r="E178" s="2"/>
      <c r="F178" s="3" t="str">
        <f>IFERROR(__xludf.DUMMYFUNCTION("GOOGLETRANSLATE(A178, ""it"", ""en"")"),"183")</f>
        <v>183</v>
      </c>
      <c r="G178" s="3" t="str">
        <f>IFERROR(__xludf.DUMMYFUNCTION("GOOGLETRANSLATE(B178, ""it"", ""en"")"),"If a player throws a bocce ball that hits the jack but doesn't move it, what happens?")</f>
        <v>If a player throws a bocce ball that hits the jack but doesn't move it, what happens?</v>
      </c>
      <c r="H178" s="3" t="str">
        <f>IFERROR(__xludf.DUMMYFUNCTION("GOOGLETRANSLATE(C178, ""it"", ""en"")"),"A. The point goes to the team that threw B. The game continues normally C. The point goes to the opponent D. The jack is replaced")</f>
        <v>A. The point goes to the team that threw B. The game continues normally C. The point goes to the opponent D. The jack is replaced</v>
      </c>
      <c r="I178" s="3" t="str">
        <f>IFERROR(__xludf.DUMMYFUNCTION("GOOGLETRANSLATE(D178, ""it"", ""en"")"),"The point goes to the team that threw")</f>
        <v>The point goes to the team that threw</v>
      </c>
      <c r="J178" s="2"/>
      <c r="K178" s="2"/>
      <c r="L178" s="2"/>
      <c r="M178" s="2"/>
      <c r="N178" s="2"/>
      <c r="O178" s="2"/>
      <c r="P178" s="2"/>
      <c r="Q178" s="2"/>
      <c r="R178" s="2"/>
    </row>
    <row r="179" ht="22.5" customHeight="1">
      <c r="A179" s="3">
        <v>184.0</v>
      </c>
      <c r="B179" s="3" t="s">
        <v>2113</v>
      </c>
      <c r="C179" s="3" t="s">
        <v>2114</v>
      </c>
      <c r="D179" s="3" t="s">
        <v>1828</v>
      </c>
      <c r="E179" s="2"/>
      <c r="F179" s="3" t="str">
        <f>IFERROR(__xludf.DUMMYFUNCTION("GOOGLETRANSLATE(A179, ""it"", ""en"")"),"184")</f>
        <v>184</v>
      </c>
      <c r="G179" s="3" t="str">
        <f>IFERROR(__xludf.DUMMYFUNCTION("GOOGLETRANSLATE(B179, ""it"", ""en"")"),"If a ball hits another ball that changes direction, what happens?")</f>
        <v>If a ball hits another ball that changes direction, what happens?</v>
      </c>
      <c r="H179" s="3" t="str">
        <f>IFERROR(__xludf.DUMMYFUNCTION("GOOGLETRANSLATE(C179,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179" s="3" t="str">
        <f>IFERROR(__xludf.DUMMYFUNCTION("GOOGLETRANSLATE(D179, ""it"", ""en"")"),"The point goes to the team that threw")</f>
        <v>The point goes to the team that threw</v>
      </c>
      <c r="J179" s="2"/>
      <c r="K179" s="2"/>
      <c r="L179" s="2"/>
      <c r="M179" s="2"/>
      <c r="N179" s="2"/>
      <c r="O179" s="2"/>
      <c r="P179" s="2"/>
      <c r="Q179" s="2"/>
      <c r="R179" s="2"/>
    </row>
    <row r="180" ht="22.5" customHeight="1">
      <c r="A180" s="3">
        <v>185.0</v>
      </c>
      <c r="B180" s="3" t="s">
        <v>2115</v>
      </c>
      <c r="C180" s="3" t="s">
        <v>2093</v>
      </c>
      <c r="D180" s="3" t="s">
        <v>2085</v>
      </c>
      <c r="E180" s="2"/>
      <c r="F180" s="3" t="str">
        <f>IFERROR(__xludf.DUMMYFUNCTION("GOOGLETRANSLATE(A180, ""it"", ""en"")"),"185")</f>
        <v>185</v>
      </c>
      <c r="G180" s="3" t="str">
        <f>IFERROR(__xludf.DUMMYFUNCTION("GOOGLETRANSLATE(B180, ""it"", ""en"")"),"If a player throws the ball too hard and it goes out of bounds, what happens?")</f>
        <v>If a player throws the ball too hard and it goes out of bounds, what happens?</v>
      </c>
      <c r="H180" s="3" t="str">
        <f>IFERROR(__xludf.DUMMYFUNCTION("GOOGLETRANSLATE(C180, ""it"", ""en"")"),"A. The point goes to the opponent B. The throw is cancelled C. The game continues normally D. The ball is replaced")</f>
        <v>A. The point goes to the opponent B. The throw is cancelled C. The game continues normally D. The ball is replaced</v>
      </c>
      <c r="I180" s="3" t="str">
        <f>IFERROR(__xludf.DUMMYFUNCTION("GOOGLETRANSLATE(D180, ""it"", ""en"")"),"The point goes to the opponent")</f>
        <v>The point goes to the opponent</v>
      </c>
      <c r="J180" s="2"/>
      <c r="K180" s="2"/>
      <c r="L180" s="2"/>
      <c r="M180" s="2"/>
      <c r="N180" s="2"/>
      <c r="O180" s="2"/>
      <c r="P180" s="2"/>
      <c r="Q180" s="2"/>
      <c r="R180" s="2"/>
    </row>
    <row r="181" ht="22.5" customHeight="1">
      <c r="A181" s="3">
        <v>186.0</v>
      </c>
      <c r="B181" s="3" t="s">
        <v>2116</v>
      </c>
      <c r="C181" s="3" t="s">
        <v>2091</v>
      </c>
      <c r="D181" s="3" t="s">
        <v>1828</v>
      </c>
      <c r="E181" s="2"/>
      <c r="F181" s="3" t="str">
        <f>IFERROR(__xludf.DUMMYFUNCTION("GOOGLETRANSLATE(A181, ""it"", ""en"")"),"186")</f>
        <v>186</v>
      </c>
      <c r="G181" s="3" t="str">
        <f>IFERROR(__xludf.DUMMYFUNCTION("GOOGLETRANSLATE(B181, ""it"", ""en"")"),"If a player throws a bocce ball that hits an opponent's bocce ball but does not change the position of the jack, what happens?")</f>
        <v>If a player throws a bocce ball that hits an opponent's bocce ball but does not change the position of the jack, what happens?</v>
      </c>
      <c r="H181" s="3" t="str">
        <f>IFERROR(__xludf.DUMMYFUNCTION("GOOGLETRANSLATE(C181, ""it"", ""en"")"),"A. The point goes to the team that threw B. The game continues normally C. The point goes to the opponent D. The jack is replaced")</f>
        <v>A. The point goes to the team that threw B. The game continues normally C. The point goes to the opponent D. The jack is replaced</v>
      </c>
      <c r="I181" s="3" t="str">
        <f>IFERROR(__xludf.DUMMYFUNCTION("GOOGLETRANSLATE(D181, ""it"", ""en"")"),"The point goes to the team that threw")</f>
        <v>The point goes to the team that threw</v>
      </c>
      <c r="J181" s="2"/>
      <c r="K181" s="2"/>
      <c r="L181" s="2"/>
      <c r="M181" s="2"/>
      <c r="N181" s="2"/>
      <c r="O181" s="2"/>
      <c r="P181" s="2"/>
      <c r="Q181" s="2"/>
      <c r="R181" s="2"/>
    </row>
    <row r="182" ht="22.5" customHeight="1">
      <c r="A182" s="3">
        <v>187.0</v>
      </c>
      <c r="B182" s="3" t="s">
        <v>2117</v>
      </c>
      <c r="C182" s="3" t="s">
        <v>2118</v>
      </c>
      <c r="D182" s="3" t="s">
        <v>2085</v>
      </c>
      <c r="E182" s="2"/>
      <c r="F182" s="3" t="str">
        <f>IFERROR(__xludf.DUMMYFUNCTION("GOOGLETRANSLATE(A182, ""it"", ""en"")"),"187")</f>
        <v>187</v>
      </c>
      <c r="G182" s="3" t="str">
        <f>IFERROR(__xludf.DUMMYFUNCTION("GOOGLETRANSLATE(B182, ""it"", ""en"")"),"What happens if a player throws a ball that touches the baseline before coming to rest?")</f>
        <v>What happens if a player throws a ball that touches the baseline before coming to rest?</v>
      </c>
      <c r="H182" s="3" t="str">
        <f>IFERROR(__xludf.DUMMYFUNCTION("GOOGLETRANSLATE(C182, ""it"", ""en"")"),"A. The ball is considered out B. The point goes to the opponent C. The game continues normally D. The ball is replaced")</f>
        <v>A. The ball is considered out B. The point goes to the opponent C. The game continues normally D. The ball is replaced</v>
      </c>
      <c r="I182" s="3" t="str">
        <f>IFERROR(__xludf.DUMMYFUNCTION("GOOGLETRANSLATE(D182, ""it"", ""en"")"),"The point goes to the opponent")</f>
        <v>The point goes to the opponent</v>
      </c>
      <c r="J182" s="2"/>
      <c r="K182" s="2"/>
      <c r="L182" s="2"/>
      <c r="M182" s="2"/>
      <c r="N182" s="2"/>
      <c r="O182" s="2"/>
      <c r="P182" s="2"/>
      <c r="Q182" s="2"/>
      <c r="R182" s="2"/>
    </row>
    <row r="183" ht="22.5" customHeight="1">
      <c r="A183" s="3">
        <v>188.0</v>
      </c>
      <c r="B183" s="3" t="s">
        <v>2119</v>
      </c>
      <c r="C183" s="3" t="s">
        <v>2120</v>
      </c>
      <c r="D183" s="3" t="s">
        <v>2085</v>
      </c>
      <c r="E183" s="2"/>
      <c r="F183" s="3" t="str">
        <f>IFERROR(__xludf.DUMMYFUNCTION("GOOGLETRANSLATE(A183, ""it"", ""en"")"),"188")</f>
        <v>188</v>
      </c>
      <c r="G183" s="3" t="str">
        <f>IFERROR(__xludf.DUMMYFUNCTION("GOOGLETRANSLATE(B183, ""it"", ""en"")"),"If a player throws a ball that goes out of bounds but doesn't touch anything, what happens?")</f>
        <v>If a player throws a ball that goes out of bounds but doesn't touch anything, what happens?</v>
      </c>
      <c r="H183" s="3" t="str">
        <f>IFERROR(__xludf.DUMMYFUNCTION("GOOGLETRANSLATE(C183, ""it"", ""en"")"),"A. The point goes to the opponent B. The game continues normally C. The throw is cancelled D. The ball is replaced")</f>
        <v>A. The point goes to the opponent B. The game continues normally C. The throw is cancelled D. The ball is replaced</v>
      </c>
      <c r="I183" s="3" t="str">
        <f>IFERROR(__xludf.DUMMYFUNCTION("GOOGLETRANSLATE(D183, ""it"", ""en"")"),"The point goes to the opponent")</f>
        <v>The point goes to the opponent</v>
      </c>
      <c r="J183" s="2"/>
      <c r="K183" s="2"/>
      <c r="L183" s="2"/>
      <c r="M183" s="2"/>
      <c r="N183" s="2"/>
      <c r="O183" s="2"/>
      <c r="P183" s="2"/>
      <c r="Q183" s="2"/>
      <c r="R183" s="2"/>
    </row>
    <row r="184" ht="22.5" customHeight="1">
      <c r="A184" s="3">
        <v>189.0</v>
      </c>
      <c r="B184" s="3" t="s">
        <v>2121</v>
      </c>
      <c r="C184" s="3" t="s">
        <v>2091</v>
      </c>
      <c r="D184" s="3" t="s">
        <v>1828</v>
      </c>
      <c r="E184" s="2"/>
      <c r="F184" s="3" t="str">
        <f>IFERROR(__xludf.DUMMYFUNCTION("GOOGLETRANSLATE(A184, ""it"", ""en"")"),"189")</f>
        <v>189</v>
      </c>
      <c r="G184" s="3" t="str">
        <f>IFERROR(__xludf.DUMMYFUNCTION("GOOGLETRANSLATE(B184, ""it"", ""en"")"),"If the jack is hit by a ball but doesn't move, what happens?")</f>
        <v>If the jack is hit by a ball but doesn't move, what happens?</v>
      </c>
      <c r="H184" s="3" t="str">
        <f>IFERROR(__xludf.DUMMYFUNCTION("GOOGLETRANSLATE(C184, ""it"", ""en"")"),"A. The point goes to the team that threw B. The game continues normally C. The point goes to the opponent D. The jack is replaced")</f>
        <v>A. The point goes to the team that threw B. The game continues normally C. The point goes to the opponent D. The jack is replaced</v>
      </c>
      <c r="I184" s="3" t="str">
        <f>IFERROR(__xludf.DUMMYFUNCTION("GOOGLETRANSLATE(D184, ""it"", ""en"")"),"The point goes to the team that threw")</f>
        <v>The point goes to the team that threw</v>
      </c>
      <c r="J184" s="2"/>
      <c r="K184" s="2"/>
      <c r="L184" s="2"/>
      <c r="M184" s="2"/>
      <c r="N184" s="2"/>
      <c r="O184" s="2"/>
      <c r="P184" s="2"/>
      <c r="Q184" s="2"/>
      <c r="R184" s="2"/>
    </row>
    <row r="185" ht="22.5" customHeight="1">
      <c r="A185" s="3">
        <v>190.0</v>
      </c>
      <c r="B185" s="3" t="s">
        <v>2122</v>
      </c>
      <c r="C185" s="3" t="s">
        <v>2091</v>
      </c>
      <c r="D185" s="3" t="s">
        <v>1828</v>
      </c>
      <c r="E185" s="2"/>
      <c r="F185" s="3" t="str">
        <f>IFERROR(__xludf.DUMMYFUNCTION("GOOGLETRANSLATE(A185, ""it"", ""en"")"),"190")</f>
        <v>190</v>
      </c>
      <c r="G185" s="3" t="str">
        <f>IFERROR(__xludf.DUMMYFUNCTION("GOOGLETRANSLATE(B185, ""it"", ""en"")"),"If a ball hits the jack and moves it, but the position of other balls remains unchanged, what happens?")</f>
        <v>If a ball hits the jack and moves it, but the position of other balls remains unchanged, what happens?</v>
      </c>
      <c r="H185" s="3" t="str">
        <f>IFERROR(__xludf.DUMMYFUNCTION("GOOGLETRANSLATE(C185, ""it"", ""en"")"),"A. The point goes to the team that threw B. The game continues normally C. The point goes to the opponent D. The jack is replaced")</f>
        <v>A. The point goes to the team that threw B. The game continues normally C. The point goes to the opponent D. The jack is replaced</v>
      </c>
      <c r="I185" s="3" t="str">
        <f>IFERROR(__xludf.DUMMYFUNCTION("GOOGLETRANSLATE(D185, ""it"", ""en"")"),"The point goes to the team that threw")</f>
        <v>The point goes to the team that threw</v>
      </c>
      <c r="J185" s="2"/>
      <c r="K185" s="2"/>
      <c r="L185" s="2"/>
      <c r="M185" s="2"/>
      <c r="N185" s="2"/>
      <c r="O185" s="2"/>
      <c r="P185" s="2"/>
      <c r="Q185" s="2"/>
      <c r="R185" s="2"/>
    </row>
    <row r="186" ht="22.5" customHeight="1">
      <c r="A186" s="3">
        <v>191.0</v>
      </c>
      <c r="B186" s="3" t="s">
        <v>2123</v>
      </c>
      <c r="C186" s="3" t="s">
        <v>2124</v>
      </c>
      <c r="D186" s="3" t="s">
        <v>1828</v>
      </c>
      <c r="E186" s="2"/>
      <c r="F186" s="3" t="str">
        <f>IFERROR(__xludf.DUMMYFUNCTION("GOOGLETRANSLATE(A186, ""it"", ""en"")"),"191")</f>
        <v>191</v>
      </c>
      <c r="G186" s="3" t="str">
        <f>IFERROR(__xludf.DUMMYFUNCTION("GOOGLETRANSLATE(B186, ""it"", ""en"")"),"If a player throws the ball and it lands on the jack, what happens?")</f>
        <v>If a player throws the ball and it lands on the jack, what happens?</v>
      </c>
      <c r="H186" s="3" t="str">
        <f>IFERROR(__xludf.DUMMYFUNCTION("GOOGLETRANSLATE(C186, ""it"", ""en"")"),"A. The point goes to the team that threw B. The game continues normally C. The jack is replaced D. The point goes to the opponent")</f>
        <v>A. The point goes to the team that threw B. The game continues normally C. The jack is replaced D. The point goes to the opponent</v>
      </c>
      <c r="I186" s="3" t="str">
        <f>IFERROR(__xludf.DUMMYFUNCTION("GOOGLETRANSLATE(D186, ""it"", ""en"")"),"The point goes to the team that threw")</f>
        <v>The point goes to the team that threw</v>
      </c>
      <c r="J186" s="2"/>
      <c r="K186" s="2"/>
      <c r="L186" s="2"/>
      <c r="M186" s="2"/>
      <c r="N186" s="2"/>
      <c r="O186" s="2"/>
      <c r="P186" s="2"/>
      <c r="Q186" s="2"/>
      <c r="R186" s="2"/>
    </row>
    <row r="187" ht="22.5" customHeight="1">
      <c r="A187" s="3">
        <v>192.0</v>
      </c>
      <c r="B187" s="3" t="s">
        <v>2125</v>
      </c>
      <c r="C187" s="3" t="s">
        <v>2091</v>
      </c>
      <c r="D187" s="3" t="s">
        <v>1828</v>
      </c>
      <c r="E187" s="2"/>
      <c r="F187" s="3" t="str">
        <f>IFERROR(__xludf.DUMMYFUNCTION("GOOGLETRANSLATE(A187, ""it"", ""en"")"),"192")</f>
        <v>192</v>
      </c>
      <c r="G187" s="3" t="str">
        <f>IFERROR(__xludf.DUMMYFUNCTION("GOOGLETRANSLATE(B187, ""it"", ""en"")"),"What happens if a player throws the ball and it touches the jack and moves it?")</f>
        <v>What happens if a player throws the ball and it touches the jack and moves it?</v>
      </c>
      <c r="H187" s="3" t="str">
        <f>IFERROR(__xludf.DUMMYFUNCTION("GOOGLETRANSLATE(C187, ""it"", ""en"")"),"A. The point goes to the team that threw B. The game continues normally C. The point goes to the opponent D. The jack is replaced")</f>
        <v>A. The point goes to the team that threw B. The game continues normally C. The point goes to the opponent D. The jack is replaced</v>
      </c>
      <c r="I187" s="3" t="str">
        <f>IFERROR(__xludf.DUMMYFUNCTION("GOOGLETRANSLATE(D187, ""it"", ""en"")"),"The point goes to the team that threw")</f>
        <v>The point goes to the team that threw</v>
      </c>
      <c r="J187" s="2"/>
      <c r="K187" s="2"/>
      <c r="L187" s="2"/>
      <c r="M187" s="2"/>
      <c r="N187" s="2"/>
      <c r="O187" s="2"/>
      <c r="P187" s="2"/>
      <c r="Q187" s="2"/>
      <c r="R187" s="2"/>
    </row>
    <row r="188" ht="22.5" customHeight="1">
      <c r="A188" s="3">
        <v>193.0</v>
      </c>
      <c r="B188" s="3" t="s">
        <v>1889</v>
      </c>
      <c r="C188" s="3" t="s">
        <v>2094</v>
      </c>
      <c r="D188" s="3" t="s">
        <v>2085</v>
      </c>
      <c r="E188" s="2"/>
      <c r="F188" s="3" t="str">
        <f>IFERROR(__xludf.DUMMYFUNCTION("GOOGLETRANSLATE(A188, ""it"", ""en"")"),"193")</f>
        <v>193</v>
      </c>
      <c r="G188" s="3" t="str">
        <f>IFERROR(__xludf.DUMMYFUNCTION("GOOGLETRANSLATE(B188, ""it"", ""en"")"),"If a player accidentally kicks a ball while throwing, what happens?")</f>
        <v>If a player accidentally kicks a ball while throwing, what happens?</v>
      </c>
      <c r="H188" s="3" t="str">
        <f>IFERROR(__xludf.DUMMYFUNCTION("GOOGLETRANSLATE(C188, ""it"", ""en"")"),"A. The point goes to the opponent B. The ball is replaced C. The throw is cancelled D. The game continues normally")</f>
        <v>A. The point goes to the opponent B. The ball is replaced C. The throw is cancelled D. The game continues normally</v>
      </c>
      <c r="I188" s="3" t="str">
        <f>IFERROR(__xludf.DUMMYFUNCTION("GOOGLETRANSLATE(D188, ""it"", ""en"")"),"The point goes to the opponent")</f>
        <v>The point goes to the opponent</v>
      </c>
      <c r="J188" s="2"/>
      <c r="K188" s="2"/>
      <c r="L188" s="2"/>
      <c r="M188" s="2"/>
      <c r="N188" s="2"/>
      <c r="O188" s="2"/>
      <c r="P188" s="2"/>
      <c r="Q188" s="2"/>
      <c r="R188" s="2"/>
    </row>
    <row r="189" ht="22.5" customHeight="1">
      <c r="A189" s="3">
        <v>194.0</v>
      </c>
      <c r="B189" s="3" t="s">
        <v>2126</v>
      </c>
      <c r="C189" s="3" t="s">
        <v>2127</v>
      </c>
      <c r="D189" s="3" t="s">
        <v>1828</v>
      </c>
      <c r="E189" s="2"/>
      <c r="F189" s="3" t="str">
        <f>IFERROR(__xludf.DUMMYFUNCTION("GOOGLETRANSLATE(A189, ""it"", ""en"")"),"194")</f>
        <v>194</v>
      </c>
      <c r="G189" s="3" t="str">
        <f>IFERROR(__xludf.DUMMYFUNCTION("GOOGLETRANSLATE(B189, ""it"", ""en"")"),"If a player throws a boccia and it moves in the opposite direction to the jack, what happens?")</f>
        <v>If a player throws a boccia and it moves in the opposite direction to the jack, what happens?</v>
      </c>
      <c r="H189" s="3" t="str">
        <f>IFERROR(__xludf.DUMMYFUNCTION("GOOGLETRANSLATE(C189, ""it"", ""en"")"),"A. The point goes to the team that threw B. The point goes to the opponent C. The game continues normally D. The jack is replaced")</f>
        <v>A. The point goes to the team that threw B. The point goes to the opponent C. The game continues normally D. The jack is replaced</v>
      </c>
      <c r="I189" s="3" t="str">
        <f>IFERROR(__xludf.DUMMYFUNCTION("GOOGLETRANSLATE(D189, ""it"", ""en"")"),"The point goes to the team that threw")</f>
        <v>The point goes to the team that threw</v>
      </c>
      <c r="J189" s="2"/>
      <c r="K189" s="2"/>
      <c r="L189" s="2"/>
      <c r="M189" s="2"/>
      <c r="N189" s="2"/>
      <c r="O189" s="2"/>
      <c r="P189" s="2"/>
      <c r="Q189" s="2"/>
      <c r="R189" s="2"/>
    </row>
    <row r="190" ht="22.5" customHeight="1">
      <c r="A190" s="3">
        <v>195.0</v>
      </c>
      <c r="B190" s="3" t="s">
        <v>2128</v>
      </c>
      <c r="C190" s="3" t="s">
        <v>2129</v>
      </c>
      <c r="D190" s="3" t="s">
        <v>1840</v>
      </c>
      <c r="E190" s="2"/>
      <c r="F190" s="3" t="str">
        <f>IFERROR(__xludf.DUMMYFUNCTION("GOOGLETRANSLATE(A190, ""it"", ""en"")"),"195")</f>
        <v>195</v>
      </c>
      <c r="G190" s="3" t="str">
        <f>IFERROR(__xludf.DUMMYFUNCTION("GOOGLETRANSLATE(B190, ""it"", ""en"")"),"If a ball touches the throwing line during a throw, what happens?")</f>
        <v>If a ball touches the throwing line during a throw, what happens?</v>
      </c>
      <c r="H190" s="3" t="str">
        <f>IFERROR(__xludf.DUMMYFUNCTION("GOOGLETRANSLATE(C190, ""it"", ""en"")"),"A. The throw is cancelled B. The point goes to the team that threw C. The game continues normally D. The point goes to the opponent")</f>
        <v>A. The throw is cancelled B. The point goes to the team that threw C. The game continues normally D. The point goes to the opponent</v>
      </c>
      <c r="I190" s="3" t="str">
        <f>IFERROR(__xludf.DUMMYFUNCTION("GOOGLETRANSLATE(D190, ""it"", ""en"")"),"The launch is cancelled")</f>
        <v>The launch is cancelled</v>
      </c>
      <c r="J190" s="2"/>
      <c r="K190" s="2"/>
      <c r="L190" s="2"/>
      <c r="M190" s="2"/>
      <c r="N190" s="2"/>
      <c r="O190" s="2"/>
      <c r="P190" s="2"/>
      <c r="Q190" s="2"/>
      <c r="R190" s="2"/>
    </row>
    <row r="191" ht="22.5" customHeight="1">
      <c r="A191" s="3">
        <v>196.0</v>
      </c>
      <c r="B191" s="3" t="s">
        <v>2130</v>
      </c>
      <c r="C191" s="3" t="s">
        <v>2120</v>
      </c>
      <c r="D191" s="3" t="s">
        <v>2085</v>
      </c>
      <c r="E191" s="2"/>
      <c r="F191" s="3" t="str">
        <f>IFERROR(__xludf.DUMMYFUNCTION("GOOGLETRANSLATE(A191, ""it"", ""en"")"),"196")</f>
        <v>196</v>
      </c>
      <c r="G191" s="3" t="str">
        <f>IFERROR(__xludf.DUMMYFUNCTION("GOOGLETRANSLATE(B191, ""it"", ""en"")"),"If a ball goes out of bounds and doesn't touch the jack, what happens?")</f>
        <v>If a ball goes out of bounds and doesn't touch the jack, what happens?</v>
      </c>
      <c r="H191" s="3" t="str">
        <f>IFERROR(__xludf.DUMMYFUNCTION("GOOGLETRANSLATE(C191, ""it"", ""en"")"),"A. The point goes to the opponent B. The game continues normally C. The throw is cancelled D. The ball is replaced")</f>
        <v>A. The point goes to the opponent B. The game continues normally C. The throw is cancelled D. The ball is replaced</v>
      </c>
      <c r="I191" s="3" t="str">
        <f>IFERROR(__xludf.DUMMYFUNCTION("GOOGLETRANSLATE(D191, ""it"", ""en"")"),"The point goes to the opponent")</f>
        <v>The point goes to the opponent</v>
      </c>
      <c r="J191" s="2"/>
      <c r="K191" s="2"/>
      <c r="L191" s="2"/>
      <c r="M191" s="2"/>
      <c r="N191" s="2"/>
      <c r="O191" s="2"/>
      <c r="P191" s="2"/>
      <c r="Q191" s="2"/>
      <c r="R191" s="2"/>
    </row>
    <row r="192" ht="22.5" customHeight="1">
      <c r="A192" s="3">
        <v>197.0</v>
      </c>
      <c r="B192" s="3" t="s">
        <v>2131</v>
      </c>
      <c r="C192" s="3" t="s">
        <v>2104</v>
      </c>
      <c r="D192" s="3" t="s">
        <v>1828</v>
      </c>
      <c r="E192" s="2"/>
      <c r="F192" s="3" t="str">
        <f>IFERROR(__xludf.DUMMYFUNCTION("GOOGLETRANSLATE(A192, ""it"", ""en"")"),"197")</f>
        <v>197</v>
      </c>
      <c r="G192" s="3" t="str">
        <f>IFERROR(__xludf.DUMMYFUNCTION("GOOGLETRANSLATE(B192, ""it"", ""en"")"),"If a player throws a ball that touches the baseline but does not go out of bounds, what happens?")</f>
        <v>If a player throws a ball that touches the baseline but does not go out of bounds, what happens?</v>
      </c>
      <c r="H192" s="3" t="str">
        <f>IFERROR(__xludf.DUMMYFUNCTION("GOOGLETRANSLATE(C192, ""it"", ""en"")"),"A. The point goes to the team that threw B. The game continues normally C. The point goes to the opponent D. The throw is cancelled")</f>
        <v>A. The point goes to the team that threw B. The game continues normally C. The point goes to the opponent D. The throw is cancelled</v>
      </c>
      <c r="I192" s="3" t="str">
        <f>IFERROR(__xludf.DUMMYFUNCTION("GOOGLETRANSLATE(D192, ""it"", ""en"")"),"The point goes to the team that threw")</f>
        <v>The point goes to the team that threw</v>
      </c>
      <c r="J192" s="2"/>
      <c r="K192" s="2"/>
      <c r="L192" s="2"/>
      <c r="M192" s="2"/>
      <c r="N192" s="2"/>
      <c r="O192" s="2"/>
      <c r="P192" s="2"/>
      <c r="Q192" s="2"/>
      <c r="R192" s="2"/>
    </row>
    <row r="193" ht="22.5" customHeight="1">
      <c r="A193" s="3">
        <v>198.0</v>
      </c>
      <c r="B193" s="3" t="s">
        <v>2132</v>
      </c>
      <c r="C193" s="3" t="s">
        <v>2096</v>
      </c>
      <c r="D193" s="3" t="s">
        <v>1828</v>
      </c>
      <c r="E193" s="2"/>
      <c r="F193" s="3" t="str">
        <f>IFERROR(__xludf.DUMMYFUNCTION("GOOGLETRANSLATE(A193, ""it"", ""en"")"),"198")</f>
        <v>198</v>
      </c>
      <c r="G193" s="3" t="str">
        <f>IFERROR(__xludf.DUMMYFUNCTION("GOOGLETRANSLATE(B193, ""it"", ""en"")"),"If a player throws a ball and it hits an opponent's ball that moves toward the jack, what happens?")</f>
        <v>If a player throws a ball and it hits an opponent's ball that moves toward the jack, what happens?</v>
      </c>
      <c r="H193" s="3" t="str">
        <f>IFERROR(__xludf.DUMMYFUNCTION("GOOGLETRANSLATE(C193,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193" s="3" t="str">
        <f>IFERROR(__xludf.DUMMYFUNCTION("GOOGLETRANSLATE(D193, ""it"", ""en"")"),"The point goes to the team that threw")</f>
        <v>The point goes to the team that threw</v>
      </c>
      <c r="J193" s="2"/>
      <c r="K193" s="2"/>
      <c r="L193" s="2"/>
      <c r="M193" s="2"/>
      <c r="N193" s="2"/>
      <c r="O193" s="2"/>
      <c r="P193" s="2"/>
      <c r="Q193" s="2"/>
      <c r="R193" s="2"/>
    </row>
    <row r="194" ht="22.5" customHeight="1">
      <c r="A194" s="3">
        <v>199.0</v>
      </c>
      <c r="B194" s="3" t="s">
        <v>2133</v>
      </c>
      <c r="C194" s="3" t="s">
        <v>2093</v>
      </c>
      <c r="D194" s="3" t="s">
        <v>2085</v>
      </c>
      <c r="E194" s="2"/>
      <c r="F194" s="3" t="str">
        <f>IFERROR(__xludf.DUMMYFUNCTION("GOOGLETRANSLATE(A194, ""it"", ""en"")"),"199")</f>
        <v>199</v>
      </c>
      <c r="G194" s="3" t="str">
        <f>IFERROR(__xludf.DUMMYFUNCTION("GOOGLETRANSLATE(B194, ""it"", ""en"")"),"If a player throws a ball too hard and it goes over the baseline, what happens?")</f>
        <v>If a player throws a ball too hard and it goes over the baseline, what happens?</v>
      </c>
      <c r="H194" s="3" t="str">
        <f>IFERROR(__xludf.DUMMYFUNCTION("GOOGLETRANSLATE(C194, ""it"", ""en"")"),"A. The point goes to the opponent B. The throw is cancelled C. The game continues normally D. The ball is replaced")</f>
        <v>A. The point goes to the opponent B. The throw is cancelled C. The game continues normally D. The ball is replaced</v>
      </c>
      <c r="I194" s="3" t="str">
        <f>IFERROR(__xludf.DUMMYFUNCTION("GOOGLETRANSLATE(D194, ""it"", ""en"")"),"The point goes to the opponent")</f>
        <v>The point goes to the opponent</v>
      </c>
      <c r="J194" s="2"/>
      <c r="K194" s="2"/>
      <c r="L194" s="2"/>
      <c r="M194" s="2"/>
      <c r="N194" s="2"/>
      <c r="O194" s="2"/>
      <c r="P194" s="2"/>
      <c r="Q194" s="2"/>
      <c r="R194" s="2"/>
    </row>
    <row r="195" ht="22.5" customHeight="1">
      <c r="A195" s="3">
        <v>200.0</v>
      </c>
      <c r="B195" s="3" t="s">
        <v>2090</v>
      </c>
      <c r="C195" s="3" t="s">
        <v>2091</v>
      </c>
      <c r="D195" s="3" t="s">
        <v>1828</v>
      </c>
      <c r="E195" s="2"/>
      <c r="F195" s="3" t="str">
        <f>IFERROR(__xludf.DUMMYFUNCTION("GOOGLETRANSLATE(A195, ""it"", ""en"")"),"200")</f>
        <v>200</v>
      </c>
      <c r="G195" s="3" t="str">
        <f>IFERROR(__xludf.DUMMYFUNCTION("GOOGLETRANSLATE(B195, ""it"", ""en"")"),"If a player throws the ball and it touches the jack but doesn't move it, what happens?")</f>
        <v>If a player throws the ball and it touches the jack but doesn't move it, what happens?</v>
      </c>
      <c r="H195" s="3" t="str">
        <f>IFERROR(__xludf.DUMMYFUNCTION("GOOGLETRANSLATE(C195, ""it"", ""en"")"),"A. The point goes to the team that threw B. The game continues normally C. The point goes to the opponent D. The jack is replaced")</f>
        <v>A. The point goes to the team that threw B. The game continues normally C. The point goes to the opponent D. The jack is replaced</v>
      </c>
      <c r="I195" s="3" t="str">
        <f>IFERROR(__xludf.DUMMYFUNCTION("GOOGLETRANSLATE(D195, ""it"", ""en"")"),"The point goes to the team that threw")</f>
        <v>The point goes to the team that threw</v>
      </c>
      <c r="J195" s="2"/>
      <c r="K195" s="2"/>
      <c r="L195" s="2"/>
      <c r="M195" s="2"/>
      <c r="N195" s="2"/>
      <c r="O195" s="2"/>
      <c r="P195" s="2"/>
      <c r="Q195" s="2"/>
      <c r="R195" s="2"/>
    </row>
    <row r="196" ht="22.5" customHeight="1">
      <c r="A196" s="3">
        <v>201.0</v>
      </c>
      <c r="B196" s="3" t="s">
        <v>2134</v>
      </c>
      <c r="C196" s="3" t="s">
        <v>2082</v>
      </c>
      <c r="D196" s="3" t="s">
        <v>1828</v>
      </c>
      <c r="E196" s="2"/>
      <c r="F196" s="3" t="str">
        <f>IFERROR(__xludf.DUMMYFUNCTION("GOOGLETRANSLATE(A196, ""it"", ""en"")"),"201")</f>
        <v>201</v>
      </c>
      <c r="G196" s="3" t="str">
        <f>IFERROR(__xludf.DUMMYFUNCTION("GOOGLETRANSLATE(B196, ""it"", ""en"")"),"If a player throws a ball and it hits an opponent's ball that moves out of bounds, what happens?")</f>
        <v>If a player throws a ball and it hits an opponent's ball that moves out of bounds, what happens?</v>
      </c>
      <c r="H196" s="3" t="str">
        <f>IFERROR(__xludf.DUMMYFUNCTION("GOOGLETRANSLATE(C196, ""it"", ""en"")"),"A. The point goes to the team that threw B. The point goes to the opponent C. The opponent's ball is removed D. The game continues normally")</f>
        <v>A. The point goes to the team that threw B. The point goes to the opponent C. The opponent's ball is removed D. The game continues normally</v>
      </c>
      <c r="I196" s="3" t="str">
        <f>IFERROR(__xludf.DUMMYFUNCTION("GOOGLETRANSLATE(D196, ""it"", ""en"")"),"The point goes to the team that threw")</f>
        <v>The point goes to the team that threw</v>
      </c>
      <c r="J196" s="2"/>
      <c r="K196" s="2"/>
      <c r="L196" s="2"/>
      <c r="M196" s="2"/>
      <c r="N196" s="2"/>
      <c r="O196" s="2"/>
      <c r="P196" s="2"/>
      <c r="Q196" s="2"/>
      <c r="R196" s="2"/>
    </row>
    <row r="197" ht="22.5" customHeight="1">
      <c r="A197" s="3">
        <v>202.0</v>
      </c>
      <c r="B197" s="3" t="s">
        <v>2135</v>
      </c>
      <c r="C197" s="3" t="s">
        <v>2099</v>
      </c>
      <c r="D197" s="3" t="s">
        <v>549</v>
      </c>
      <c r="E197" s="2"/>
      <c r="F197" s="3" t="str">
        <f>IFERROR(__xludf.DUMMYFUNCTION("GOOGLETRANSLATE(A197, ""it"", ""en"")"),"202")</f>
        <v>202</v>
      </c>
      <c r="G197" s="3" t="str">
        <f>IFERROR(__xludf.DUMMYFUNCTION("GOOGLETRANSLATE(B197, ""it"", ""en"")"),"If a player doesn't throw the ball within the allotted time, what happens?")</f>
        <v>If a player doesn't throw the ball within the allotted time, what happens?</v>
      </c>
      <c r="H197" s="3" t="str">
        <f>IFERROR(__xludf.DUMMYFUNCTION("GOOGLETRANSLATE(C197, ""it"", ""en"")"),"A. The player loses the turn B. The point goes to the opponent C. The throw is cancelled D. The game continues normally")</f>
        <v>A. The player loses the turn B. The point goes to the opponent C. The throw is cancelled D. The game continues normally</v>
      </c>
      <c r="I197" s="3" t="str">
        <f>IFERROR(__xludf.DUMMYFUNCTION("GOOGLETRANSLATE(D197, ""it"", ""en"")"),"The player loses the turn")</f>
        <v>The player loses the turn</v>
      </c>
      <c r="J197" s="2"/>
      <c r="K197" s="2"/>
      <c r="L197" s="2"/>
      <c r="M197" s="2"/>
      <c r="N197" s="2"/>
      <c r="O197" s="2"/>
      <c r="P197" s="2"/>
      <c r="Q197" s="2"/>
      <c r="R197" s="2"/>
    </row>
    <row r="198" ht="22.5" customHeight="1">
      <c r="A198" s="3">
        <v>203.0</v>
      </c>
      <c r="B198" s="3" t="s">
        <v>2136</v>
      </c>
      <c r="C198" s="3" t="s">
        <v>2091</v>
      </c>
      <c r="D198" s="3" t="s">
        <v>1828</v>
      </c>
      <c r="E198" s="2"/>
      <c r="F198" s="3" t="str">
        <f>IFERROR(__xludf.DUMMYFUNCTION("GOOGLETRANSLATE(A198, ""it"", ""en"")"),"203")</f>
        <v>203</v>
      </c>
      <c r="G198" s="3" t="str">
        <f>IFERROR(__xludf.DUMMYFUNCTION("GOOGLETRANSLATE(B198, ""it"", ""en"")"),"If a player throws the ball and it hits the jack but doesn't move it, what happens?")</f>
        <v>If a player throws the ball and it hits the jack but doesn't move it, what happens?</v>
      </c>
      <c r="H198" s="3" t="str">
        <f>IFERROR(__xludf.DUMMYFUNCTION("GOOGLETRANSLATE(C198, ""it"", ""en"")"),"A. The point goes to the team that threw B. The game continues normally C. The point goes to the opponent D. The jack is replaced")</f>
        <v>A. The point goes to the team that threw B. The game continues normally C. The point goes to the opponent D. The jack is replaced</v>
      </c>
      <c r="I198" s="3" t="str">
        <f>IFERROR(__xludf.DUMMYFUNCTION("GOOGLETRANSLATE(D198, ""it"", ""en"")"),"The point goes to the team that threw")</f>
        <v>The point goes to the team that threw</v>
      </c>
      <c r="J198" s="2"/>
      <c r="K198" s="2"/>
      <c r="L198" s="2"/>
      <c r="M198" s="2"/>
      <c r="N198" s="2"/>
      <c r="O198" s="2"/>
      <c r="P198" s="2"/>
      <c r="Q198" s="2"/>
      <c r="R198" s="2"/>
    </row>
    <row r="199" ht="22.5" customHeight="1">
      <c r="A199" s="3">
        <v>204.0</v>
      </c>
      <c r="B199" s="3" t="s">
        <v>2137</v>
      </c>
      <c r="C199" s="3" t="s">
        <v>2096</v>
      </c>
      <c r="D199" s="3" t="s">
        <v>1828</v>
      </c>
      <c r="E199" s="2"/>
      <c r="F199" s="3" t="str">
        <f>IFERROR(__xludf.DUMMYFUNCTION("GOOGLETRANSLATE(A199, ""it"", ""en"")"),"204")</f>
        <v>204</v>
      </c>
      <c r="G199" s="3" t="str">
        <f>IFERROR(__xludf.DUMMYFUNCTION("GOOGLETRANSLATE(B199, ""it"", ""en"")"),"What happens if a player throws a ball and it hits an opponent's ball but doesn't change the position of the jack?")</f>
        <v>What happens if a player throws a ball and it hits an opponent's ball but doesn't change the position of the jack?</v>
      </c>
      <c r="H199" s="3" t="str">
        <f>IFERROR(__xludf.DUMMYFUNCTION("GOOGLETRANSLATE(C199,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199" s="3" t="str">
        <f>IFERROR(__xludf.DUMMYFUNCTION("GOOGLETRANSLATE(D199, ""it"", ""en"")"),"The point goes to the team that threw")</f>
        <v>The point goes to the team that threw</v>
      </c>
      <c r="J199" s="2"/>
      <c r="K199" s="2"/>
      <c r="L199" s="2"/>
      <c r="M199" s="2"/>
      <c r="N199" s="2"/>
      <c r="O199" s="2"/>
      <c r="P199" s="2"/>
      <c r="Q199" s="2"/>
      <c r="R199" s="2"/>
    </row>
    <row r="200" ht="22.5" customHeight="1">
      <c r="A200" s="3">
        <v>205.0</v>
      </c>
      <c r="B200" s="3" t="s">
        <v>2138</v>
      </c>
      <c r="C200" s="3" t="s">
        <v>2091</v>
      </c>
      <c r="D200" s="3" t="s">
        <v>1828</v>
      </c>
      <c r="E200" s="2"/>
      <c r="F200" s="3" t="str">
        <f>IFERROR(__xludf.DUMMYFUNCTION("GOOGLETRANSLATE(A200, ""it"", ""en"")"),"205")</f>
        <v>205</v>
      </c>
      <c r="G200" s="3" t="str">
        <f>IFERROR(__xludf.DUMMYFUNCTION("GOOGLETRANSLATE(B200, ""it"", ""en"")"),"If a player throws a ball and it lands on the jack, what happens?")</f>
        <v>If a player throws a ball and it lands on the jack, what happens?</v>
      </c>
      <c r="H200" s="3" t="str">
        <f>IFERROR(__xludf.DUMMYFUNCTION("GOOGLETRANSLATE(C200, ""it"", ""en"")"),"A. The point goes to the team that threw B. The game continues normally C. The point goes to the opponent D. The jack is replaced")</f>
        <v>A. The point goes to the team that threw B. The game continues normally C. The point goes to the opponent D. The jack is replaced</v>
      </c>
      <c r="I200" s="3" t="str">
        <f>IFERROR(__xludf.DUMMYFUNCTION("GOOGLETRANSLATE(D200, ""it"", ""en"")"),"The point goes to the team that threw")</f>
        <v>The point goes to the team that threw</v>
      </c>
      <c r="J200" s="2"/>
      <c r="K200" s="2"/>
      <c r="L200" s="2"/>
      <c r="M200" s="2"/>
      <c r="N200" s="2"/>
      <c r="O200" s="2"/>
      <c r="P200" s="2"/>
      <c r="Q200" s="2"/>
      <c r="R200" s="2"/>
    </row>
    <row r="201" ht="22.5" customHeight="1">
      <c r="A201" s="3">
        <v>206.0</v>
      </c>
      <c r="B201" s="3" t="s">
        <v>2139</v>
      </c>
      <c r="C201" s="3" t="s">
        <v>2114</v>
      </c>
      <c r="D201" s="3" t="s">
        <v>1828</v>
      </c>
      <c r="E201" s="2"/>
      <c r="F201" s="3" t="str">
        <f>IFERROR(__xludf.DUMMYFUNCTION("GOOGLETRANSLATE(A201, ""it"", ""en"")"),"206")</f>
        <v>206</v>
      </c>
      <c r="G201" s="3" t="str">
        <f>IFERROR(__xludf.DUMMYFUNCTION("GOOGLETRANSLATE(B201, ""it"", ""en"")"),"If a player throws a ball and it touches an opponent's ball and moves it towards the jack, what happens?")</f>
        <v>If a player throws a ball and it touches an opponent's ball and moves it towards the jack, what happens?</v>
      </c>
      <c r="H201" s="3" t="str">
        <f>IFERROR(__xludf.DUMMYFUNCTION("GOOGLETRANSLATE(C201,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01" s="3" t="str">
        <f>IFERROR(__xludf.DUMMYFUNCTION("GOOGLETRANSLATE(D201, ""it"", ""en"")"),"The point goes to the team that threw")</f>
        <v>The point goes to the team that threw</v>
      </c>
      <c r="J201" s="2"/>
      <c r="K201" s="2"/>
      <c r="L201" s="2"/>
      <c r="M201" s="2"/>
      <c r="N201" s="2"/>
      <c r="O201" s="2"/>
      <c r="P201" s="2"/>
      <c r="Q201" s="2"/>
      <c r="R201" s="2"/>
    </row>
    <row r="202" ht="22.5" customHeight="1">
      <c r="A202" s="3">
        <v>207.0</v>
      </c>
      <c r="B202" s="3" t="s">
        <v>2140</v>
      </c>
      <c r="C202" s="3" t="s">
        <v>2141</v>
      </c>
      <c r="D202" s="3" t="s">
        <v>2059</v>
      </c>
      <c r="E202" s="2"/>
      <c r="F202" s="3" t="str">
        <f>IFERROR(__xludf.DUMMYFUNCTION("GOOGLETRANSLATE(A202, ""it"", ""en"")"),"207")</f>
        <v>207</v>
      </c>
      <c r="G202" s="3" t="str">
        <f>IFERROR(__xludf.DUMMYFUNCTION("GOOGLETRANSLATE(B202, ""it"", ""en"")"),"If a player throws a ball that lands above the baseline, what happens?")</f>
        <v>If a player throws a ball that lands above the baseline, what happens?</v>
      </c>
      <c r="H202" s="3" t="str">
        <f>IFERROR(__xludf.DUMMYFUNCTION("GOOGLETRANSLATE(C202, ""it"", ""en"")"),"A. The ball is considered out B. The point goes to the opponent C. The throw is cancelled D. The game continues normally")</f>
        <v>A. The ball is considered out B. The point goes to the opponent C. The throw is cancelled D. The game continues normally</v>
      </c>
      <c r="I202" s="3" t="str">
        <f>IFERROR(__xludf.DUMMYFUNCTION("GOOGLETRANSLATE(D202, ""it"", ""en"")"),"The ball is considered out")</f>
        <v>The ball is considered out</v>
      </c>
      <c r="J202" s="2"/>
      <c r="K202" s="2"/>
      <c r="L202" s="2"/>
      <c r="M202" s="2"/>
      <c r="N202" s="2"/>
      <c r="O202" s="2"/>
      <c r="P202" s="2"/>
      <c r="Q202" s="2"/>
      <c r="R202" s="2"/>
    </row>
    <row r="203" ht="22.5" customHeight="1">
      <c r="A203" s="3">
        <v>208.0</v>
      </c>
      <c r="B203" s="3" t="s">
        <v>2142</v>
      </c>
      <c r="C203" s="3" t="s">
        <v>2143</v>
      </c>
      <c r="D203" s="3" t="s">
        <v>1834</v>
      </c>
      <c r="E203" s="2"/>
      <c r="F203" s="3" t="str">
        <f>IFERROR(__xludf.DUMMYFUNCTION("GOOGLETRANSLATE(A203, ""it"", ""en"")"),"208")</f>
        <v>208</v>
      </c>
      <c r="G203" s="3" t="str">
        <f>IFERROR(__xludf.DUMMYFUNCTION("GOOGLETRANSLATE(B203, ""it"", ""en"")"),"If the cue ball is hit during the throw and moves, what happens?")</f>
        <v>If the cue ball is hit during the throw and moves, what happens?</v>
      </c>
      <c r="H203" s="3" t="str">
        <f>IFERROR(__xludf.DUMMYFUNCTION("GOOGLETRANSLATE(C203, ""it"", ""en"")"),"A. The game continues normally B. The point goes to the team that threw C. The jack is replaced D. The point goes to the opponent")</f>
        <v>A. The game continues normally B. The point goes to the team that threw C. The jack is replaced D. The point goes to the opponent</v>
      </c>
      <c r="I203" s="3" t="str">
        <f>IFERROR(__xludf.DUMMYFUNCTION("GOOGLETRANSLATE(D203, ""it"", ""en"")"),"The ball is repositioned")</f>
        <v>The ball is repositioned</v>
      </c>
      <c r="J203" s="2"/>
      <c r="K203" s="2"/>
      <c r="L203" s="2"/>
      <c r="M203" s="2"/>
      <c r="N203" s="2"/>
      <c r="O203" s="2"/>
      <c r="P203" s="2"/>
      <c r="Q203" s="2"/>
      <c r="R203" s="2"/>
    </row>
    <row r="204" ht="22.5" customHeight="1">
      <c r="A204" s="3">
        <v>209.0</v>
      </c>
      <c r="B204" s="3" t="s">
        <v>2144</v>
      </c>
      <c r="C204" s="3" t="s">
        <v>2145</v>
      </c>
      <c r="D204" s="3" t="s">
        <v>2085</v>
      </c>
      <c r="E204" s="2"/>
      <c r="F204" s="3" t="str">
        <f>IFERROR(__xludf.DUMMYFUNCTION("GOOGLETRANSLATE(A204, ""it"", ""en"")"),"209")</f>
        <v>209</v>
      </c>
      <c r="G204" s="3" t="str">
        <f>IFERROR(__xludf.DUMMYFUNCTION("GOOGLETRANSLATE(B204, ""it"", ""en"")"),"If a player throws a ball and it lands out of bounds without hitting anything, what happens?")</f>
        <v>If a player throws a ball and it lands out of bounds without hitting anything, what happens?</v>
      </c>
      <c r="H204" s="3" t="str">
        <f>IFERROR(__xludf.DUMMYFUNCTION("GOOGLETRANSLATE(C204, ""it"", ""en"")"),"A. The point goes to the opponent B. The ball is replaced C. The game continues normally D. The throw is cancelled")</f>
        <v>A. The point goes to the opponent B. The ball is replaced C. The game continues normally D. The throw is cancelled</v>
      </c>
      <c r="I204" s="3" t="str">
        <f>IFERROR(__xludf.DUMMYFUNCTION("GOOGLETRANSLATE(D204, ""it"", ""en"")"),"The point goes to the opponent")</f>
        <v>The point goes to the opponent</v>
      </c>
      <c r="J204" s="2"/>
      <c r="K204" s="2"/>
      <c r="L204" s="2"/>
      <c r="M204" s="2"/>
      <c r="N204" s="2"/>
      <c r="O204" s="2"/>
      <c r="P204" s="2"/>
      <c r="Q204" s="2"/>
      <c r="R204" s="2"/>
    </row>
    <row r="205" ht="22.5" customHeight="1">
      <c r="A205" s="3">
        <v>210.0</v>
      </c>
      <c r="B205" s="3" t="s">
        <v>2146</v>
      </c>
      <c r="C205" s="3" t="s">
        <v>2091</v>
      </c>
      <c r="D205" s="3" t="s">
        <v>1828</v>
      </c>
      <c r="E205" s="2"/>
      <c r="F205" s="3" t="str">
        <f>IFERROR(__xludf.DUMMYFUNCTION("GOOGLETRANSLATE(A205, ""it"", ""en"")"),"210")</f>
        <v>210</v>
      </c>
      <c r="G205" s="3" t="str">
        <f>IFERROR(__xludf.DUMMYFUNCTION("GOOGLETRANSLATE(B205, ""it"", ""en"")"),"If a player throws the boccia and hits the jack, but doesn't move it, what happens?")</f>
        <v>If a player throws the boccia and hits the jack, but doesn't move it, what happens?</v>
      </c>
      <c r="H205" s="3" t="str">
        <f>IFERROR(__xludf.DUMMYFUNCTION("GOOGLETRANSLATE(C205, ""it"", ""en"")"),"A. The point goes to the team that threw B. The game continues normally C. The point goes to the opponent D. The jack is replaced")</f>
        <v>A. The point goes to the team that threw B. The game continues normally C. The point goes to the opponent D. The jack is replaced</v>
      </c>
      <c r="I205" s="3" t="str">
        <f>IFERROR(__xludf.DUMMYFUNCTION("GOOGLETRANSLATE(D205, ""it"", ""en"")"),"The point goes to the team that threw")</f>
        <v>The point goes to the team that threw</v>
      </c>
      <c r="J205" s="2"/>
      <c r="K205" s="2"/>
      <c r="L205" s="2"/>
      <c r="M205" s="2"/>
      <c r="N205" s="2"/>
      <c r="O205" s="2"/>
      <c r="P205" s="2"/>
      <c r="Q205" s="2"/>
      <c r="R205" s="2"/>
    </row>
    <row r="206" ht="22.5" customHeight="1">
      <c r="A206" s="3">
        <v>211.0</v>
      </c>
      <c r="B206" s="3" t="s">
        <v>2147</v>
      </c>
      <c r="C206" s="3" t="s">
        <v>2148</v>
      </c>
      <c r="D206" s="3" t="s">
        <v>2059</v>
      </c>
      <c r="E206" s="2"/>
      <c r="F206" s="3" t="str">
        <f>IFERROR(__xludf.DUMMYFUNCTION("GOOGLETRANSLATE(A206, ""it"", ""en"")"),"211")</f>
        <v>211</v>
      </c>
      <c r="G206" s="3" t="str">
        <f>IFERROR(__xludf.DUMMYFUNCTION("GOOGLETRANSLATE(B206, ""it"", ""en"")"),"What happens if a player throws the ball and it lands above the baseline?")</f>
        <v>What happens if a player throws the ball and it lands above the baseline?</v>
      </c>
      <c r="H206" s="3" t="str">
        <f>IFERROR(__xludf.DUMMYFUNCTION("GOOGLETRANSLATE(C206, ""it"", ""en"")"),"A. The ball is considered out B. The point goes to the opponent C. The game continues normally D. The throw is cancelled")</f>
        <v>A. The ball is considered out B. The point goes to the opponent C. The game continues normally D. The throw is cancelled</v>
      </c>
      <c r="I206" s="3" t="str">
        <f>IFERROR(__xludf.DUMMYFUNCTION("GOOGLETRANSLATE(D206, ""it"", ""en"")"),"The ball is considered out")</f>
        <v>The ball is considered out</v>
      </c>
      <c r="J206" s="2"/>
      <c r="K206" s="2"/>
      <c r="L206" s="2"/>
      <c r="M206" s="2"/>
      <c r="N206" s="2"/>
      <c r="O206" s="2"/>
      <c r="P206" s="2"/>
      <c r="Q206" s="2"/>
      <c r="R206" s="2"/>
    </row>
    <row r="207" ht="22.5" customHeight="1">
      <c r="A207" s="3">
        <v>212.0</v>
      </c>
      <c r="B207" s="3" t="s">
        <v>2149</v>
      </c>
      <c r="C207" s="3" t="s">
        <v>2150</v>
      </c>
      <c r="D207" s="3" t="s">
        <v>2085</v>
      </c>
      <c r="E207" s="2"/>
      <c r="F207" s="3" t="str">
        <f>IFERROR(__xludf.DUMMYFUNCTION("GOOGLETRANSLATE(A207, ""it"", ""en"")"),"212")</f>
        <v>212</v>
      </c>
      <c r="G207" s="3" t="str">
        <f>IFERROR(__xludf.DUMMYFUNCTION("GOOGLETRANSLATE(B207, ""it"", ""en"")"),"If a player throws the ball and it stops too far from the jack, what happens?")</f>
        <v>If a player throws the ball and it stops too far from the jack, what happens?</v>
      </c>
      <c r="H207" s="3" t="str">
        <f>IFERROR(__xludf.DUMMYFUNCTION("GOOGLETRANSLATE(C207, ""it"", ""en"")"),"A. The point goes to the opponent B. The game continues normally C. The point goes to the team that threw D. The ball is replaced")</f>
        <v>A. The point goes to the opponent B. The game continues normally C. The point goes to the team that threw D. The ball is replaced</v>
      </c>
      <c r="I207" s="3" t="str">
        <f>IFERROR(__xludf.DUMMYFUNCTION("GOOGLETRANSLATE(D207, ""it"", ""en"")"),"The point goes to the opponent")</f>
        <v>The point goes to the opponent</v>
      </c>
      <c r="J207" s="2"/>
      <c r="K207" s="2"/>
      <c r="L207" s="2"/>
      <c r="M207" s="2"/>
      <c r="N207" s="2"/>
      <c r="O207" s="2"/>
      <c r="P207" s="2"/>
      <c r="Q207" s="2"/>
      <c r="R207" s="2"/>
    </row>
    <row r="208" ht="22.5" customHeight="1">
      <c r="A208" s="3">
        <v>213.0</v>
      </c>
      <c r="B208" s="3" t="s">
        <v>2151</v>
      </c>
      <c r="C208" s="3" t="s">
        <v>2042</v>
      </c>
      <c r="D208" s="3" t="s">
        <v>1828</v>
      </c>
      <c r="E208" s="2"/>
      <c r="F208" s="3" t="str">
        <f>IFERROR(__xludf.DUMMYFUNCTION("GOOGLETRANSLATE(A208, ""it"", ""en"")"),"213")</f>
        <v>213</v>
      </c>
      <c r="G208" s="3" t="str">
        <f>IFERROR(__xludf.DUMMYFUNCTION("GOOGLETRANSLATE(B208, ""it"", ""en"")"),"If a ball touches the baseline but doesn't cross it, what happens?")</f>
        <v>If a ball touches the baseline but doesn't cross it, what happens?</v>
      </c>
      <c r="H208" s="3" t="str">
        <f>IFERROR(__xludf.DUMMYFUNCTION("GOOGLETRANSLATE(C208, ""it"", ""en"")"),"A. The point goes to the team that threw B. The throw is cancelled C. The game continues normally D. The ball is replaced")</f>
        <v>A. The point goes to the team that threw B. The throw is cancelled C. The game continues normally D. The ball is replaced</v>
      </c>
      <c r="I208" s="3" t="str">
        <f>IFERROR(__xludf.DUMMYFUNCTION("GOOGLETRANSLATE(D208, ""it"", ""en"")"),"The point goes to the team that threw")</f>
        <v>The point goes to the team that threw</v>
      </c>
      <c r="J208" s="2"/>
      <c r="K208" s="2"/>
      <c r="L208" s="2"/>
      <c r="M208" s="2"/>
      <c r="N208" s="2"/>
      <c r="O208" s="2"/>
      <c r="P208" s="2"/>
      <c r="Q208" s="2"/>
      <c r="R208" s="2"/>
    </row>
    <row r="209" ht="22.5" customHeight="1">
      <c r="A209" s="3">
        <v>214.0</v>
      </c>
      <c r="B209" s="3" t="s">
        <v>2152</v>
      </c>
      <c r="C209" s="3" t="s">
        <v>2114</v>
      </c>
      <c r="D209" s="3" t="s">
        <v>1828</v>
      </c>
      <c r="E209" s="2"/>
      <c r="F209" s="3" t="str">
        <f>IFERROR(__xludf.DUMMYFUNCTION("GOOGLETRANSLATE(A209, ""it"", ""en"")"),"214")</f>
        <v>214</v>
      </c>
      <c r="G209" s="3" t="str">
        <f>IFERROR(__xludf.DUMMYFUNCTION("GOOGLETRANSLATE(B209, ""it"", ""en"")"),"If a player throws a ball and it hits an opponent's ball that is changing direction, what happens?")</f>
        <v>If a player throws a ball and it hits an opponent's ball that is changing direction, what happens?</v>
      </c>
      <c r="H209" s="3" t="str">
        <f>IFERROR(__xludf.DUMMYFUNCTION("GOOGLETRANSLATE(C209,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09" s="3" t="str">
        <f>IFERROR(__xludf.DUMMYFUNCTION("GOOGLETRANSLATE(D209, ""it"", ""en"")"),"The point goes to the team that threw")</f>
        <v>The point goes to the team that threw</v>
      </c>
      <c r="J209" s="2"/>
      <c r="K209" s="2"/>
      <c r="L209" s="2"/>
      <c r="M209" s="2"/>
      <c r="N209" s="2"/>
      <c r="O209" s="2"/>
      <c r="P209" s="2"/>
      <c r="Q209" s="2"/>
      <c r="R209" s="2"/>
    </row>
    <row r="210" ht="22.5" customHeight="1">
      <c r="A210" s="3">
        <v>215.0</v>
      </c>
      <c r="B210" s="3" t="s">
        <v>2153</v>
      </c>
      <c r="C210" s="3" t="s">
        <v>2154</v>
      </c>
      <c r="D210" s="3" t="s">
        <v>1840</v>
      </c>
      <c r="E210" s="2"/>
      <c r="F210" s="3" t="str">
        <f>IFERROR(__xludf.DUMMYFUNCTION("GOOGLETRANSLATE(A210, ""it"", ""en"")"),"215")</f>
        <v>215</v>
      </c>
      <c r="G210" s="3" t="str">
        <f>IFERROR(__xludf.DUMMYFUNCTION("GOOGLETRANSLATE(B210, ""it"", ""en"")"),"If a player throws a ball and it touches the throwing line, what happens?")</f>
        <v>If a player throws a ball and it touches the throwing line, what happens?</v>
      </c>
      <c r="H210" s="3" t="str">
        <f>IFERROR(__xludf.DUMMYFUNCTION("GOOGLETRANSLATE(C210, ""it"", ""en"")"),"A. The throw is cancelled B. The point goes to the team that threw it C. The game continues normally D. The ball is replaced")</f>
        <v>A. The throw is cancelled B. The point goes to the team that threw it C. The game continues normally D. The ball is replaced</v>
      </c>
      <c r="I210" s="3" t="str">
        <f>IFERROR(__xludf.DUMMYFUNCTION("GOOGLETRANSLATE(D210, ""it"", ""en"")"),"The launch is cancelled")</f>
        <v>The launch is cancelled</v>
      </c>
      <c r="J210" s="2"/>
      <c r="K210" s="2"/>
      <c r="L210" s="2"/>
      <c r="M210" s="2"/>
      <c r="N210" s="2"/>
      <c r="O210" s="2"/>
      <c r="P210" s="2"/>
      <c r="Q210" s="2"/>
      <c r="R210" s="2"/>
    </row>
    <row r="211" ht="22.5" customHeight="1">
      <c r="A211" s="3">
        <v>216.0</v>
      </c>
      <c r="B211" s="3" t="s">
        <v>2155</v>
      </c>
      <c r="C211" s="3" t="s">
        <v>2156</v>
      </c>
      <c r="D211" s="3" t="s">
        <v>2085</v>
      </c>
      <c r="E211" s="2"/>
      <c r="F211" s="3" t="str">
        <f>IFERROR(__xludf.DUMMYFUNCTION("GOOGLETRANSLATE(A211, ""it"", ""en"")"),"216")</f>
        <v>216</v>
      </c>
      <c r="G211" s="3" t="str">
        <f>IFERROR(__xludf.DUMMYFUNCTION("GOOGLETRANSLATE(B211, ""it"", ""en"")"),"If a player throws a ball and it lands behind the opponent's ball, what happens?")</f>
        <v>If a player throws a ball and it lands behind the opponent's ball, what happens?</v>
      </c>
      <c r="H211" s="3" t="str">
        <f>IFERROR(__xludf.DUMMYFUNCTION("GOOGLETRANSLATE(C211, ""it"", ""en"")"),"A. The point goes to the opponent B. The game continues normally C. The point goes to the team that threw D. The jack is replaced")</f>
        <v>A. The point goes to the opponent B. The game continues normally C. The point goes to the team that threw D. The jack is replaced</v>
      </c>
      <c r="I211" s="3" t="str">
        <f>IFERROR(__xludf.DUMMYFUNCTION("GOOGLETRANSLATE(D211, ""it"", ""en"")"),"The point goes to the opponent")</f>
        <v>The point goes to the opponent</v>
      </c>
      <c r="J211" s="2"/>
      <c r="K211" s="2"/>
      <c r="L211" s="2"/>
      <c r="M211" s="2"/>
      <c r="N211" s="2"/>
      <c r="O211" s="2"/>
      <c r="P211" s="2"/>
      <c r="Q211" s="2"/>
      <c r="R211" s="2"/>
    </row>
    <row r="212" ht="22.5" customHeight="1">
      <c r="A212" s="3">
        <v>217.0</v>
      </c>
      <c r="B212" s="3" t="s">
        <v>2157</v>
      </c>
      <c r="C212" s="3" t="s">
        <v>2158</v>
      </c>
      <c r="D212" s="3" t="s">
        <v>2085</v>
      </c>
      <c r="E212" s="2"/>
      <c r="F212" s="3" t="str">
        <f>IFERROR(__xludf.DUMMYFUNCTION("GOOGLETRANSLATE(A212, ""it"", ""en"")"),"217")</f>
        <v>217</v>
      </c>
      <c r="G212" s="3" t="str">
        <f>IFERROR(__xludf.DUMMYFUNCTION("GOOGLETRANSLATE(B212, ""it"", ""en"")"),"If a player accidentally kicks a ball before throwing, what happens?")</f>
        <v>If a player accidentally kicks a ball before throwing, what happens?</v>
      </c>
      <c r="H212" s="3" t="str">
        <f>IFERROR(__xludf.DUMMYFUNCTION("GOOGLETRANSLATE(C212, ""it"", ""en"")"),"A. The game continues normally B. The point goes to the opponent C. The ball is replaced D. The throw is cancelled")</f>
        <v>A. The game continues normally B. The point goes to the opponent C. The ball is replaced D. The throw is cancelled</v>
      </c>
      <c r="I212" s="3" t="str">
        <f>IFERROR(__xludf.DUMMYFUNCTION("GOOGLETRANSLATE(D212, ""it"", ""en"")"),"The point goes to the opponent")</f>
        <v>The point goes to the opponent</v>
      </c>
      <c r="J212" s="2"/>
      <c r="K212" s="2"/>
      <c r="L212" s="2"/>
      <c r="M212" s="2"/>
      <c r="N212" s="2"/>
      <c r="O212" s="2"/>
      <c r="P212" s="2"/>
      <c r="Q212" s="2"/>
      <c r="R212" s="2"/>
    </row>
    <row r="213" ht="22.5" customHeight="1">
      <c r="A213" s="3">
        <v>218.0</v>
      </c>
      <c r="B213" s="3" t="s">
        <v>2159</v>
      </c>
      <c r="C213" s="3" t="s">
        <v>2114</v>
      </c>
      <c r="D213" s="3" t="s">
        <v>1828</v>
      </c>
      <c r="E213" s="2"/>
      <c r="F213" s="3" t="str">
        <f>IFERROR(__xludf.DUMMYFUNCTION("GOOGLETRANSLATE(A213, ""it"", ""en"")"),"218")</f>
        <v>218</v>
      </c>
      <c r="G213" s="3" t="str">
        <f>IFERROR(__xludf.DUMMYFUNCTION("GOOGLETRANSLATE(B213, ""it"", ""en"")"),"What happens if a ball hits another ball that moves toward the jack but doesn't touch it?")</f>
        <v>What happens if a ball hits another ball that moves toward the jack but doesn't touch it?</v>
      </c>
      <c r="H213" s="3" t="str">
        <f>IFERROR(__xludf.DUMMYFUNCTION("GOOGLETRANSLATE(C213,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13" s="3" t="str">
        <f>IFERROR(__xludf.DUMMYFUNCTION("GOOGLETRANSLATE(D213, ""it"", ""en"")"),"The point goes to the team that threw")</f>
        <v>The point goes to the team that threw</v>
      </c>
      <c r="J213" s="2"/>
      <c r="K213" s="2"/>
      <c r="L213" s="2"/>
      <c r="M213" s="2"/>
      <c r="N213" s="2"/>
      <c r="O213" s="2"/>
      <c r="P213" s="2"/>
      <c r="Q213" s="2"/>
      <c r="R213" s="2"/>
    </row>
    <row r="214" ht="22.5" customHeight="1">
      <c r="A214" s="3">
        <v>219.0</v>
      </c>
      <c r="B214" s="3" t="s">
        <v>2160</v>
      </c>
      <c r="C214" s="3" t="s">
        <v>2120</v>
      </c>
      <c r="D214" s="3" t="s">
        <v>2085</v>
      </c>
      <c r="E214" s="2"/>
      <c r="F214" s="3" t="str">
        <f>IFERROR(__xludf.DUMMYFUNCTION("GOOGLETRANSLATE(A214, ""it"", ""en"")"),"219")</f>
        <v>219</v>
      </c>
      <c r="G214" s="3" t="str">
        <f>IFERROR(__xludf.DUMMYFUNCTION("GOOGLETRANSLATE(B214, ""it"", ""en"")"),"If a player throws the ball too hard and it lands over the baseline without touching anything, what happens?")</f>
        <v>If a player throws the ball too hard and it lands over the baseline without touching anything, what happens?</v>
      </c>
      <c r="H214" s="3" t="str">
        <f>IFERROR(__xludf.DUMMYFUNCTION("GOOGLETRANSLATE(C214, ""it"", ""en"")"),"A. The point goes to the opponent B. The game continues normally C. The throw is cancelled D. The ball is replaced")</f>
        <v>A. The point goes to the opponent B. The game continues normally C. The throw is cancelled D. The ball is replaced</v>
      </c>
      <c r="I214" s="3" t="str">
        <f>IFERROR(__xludf.DUMMYFUNCTION("GOOGLETRANSLATE(D214, ""it"", ""en"")"),"The point goes to the opponent")</f>
        <v>The point goes to the opponent</v>
      </c>
      <c r="J214" s="2"/>
      <c r="K214" s="2"/>
      <c r="L214" s="2"/>
      <c r="M214" s="2"/>
      <c r="N214" s="2"/>
      <c r="O214" s="2"/>
      <c r="P214" s="2"/>
      <c r="Q214" s="2"/>
      <c r="R214" s="2"/>
    </row>
    <row r="215" ht="22.5" customHeight="1">
      <c r="A215" s="3">
        <v>220.0</v>
      </c>
      <c r="B215" s="3" t="s">
        <v>2161</v>
      </c>
      <c r="C215" s="3" t="s">
        <v>2162</v>
      </c>
      <c r="D215" s="3" t="s">
        <v>1828</v>
      </c>
      <c r="E215" s="2"/>
      <c r="F215" s="3" t="str">
        <f>IFERROR(__xludf.DUMMYFUNCTION("GOOGLETRANSLATE(A215, ""it"", ""en"")"),"220")</f>
        <v>220</v>
      </c>
      <c r="G215" s="3" t="str">
        <f>IFERROR(__xludf.DUMMYFUNCTION("GOOGLETRANSLATE(B215, ""it"", ""en"")"),"If a player throws the ball and it moves toward the jack, but doesn't touch it, what happens?")</f>
        <v>If a player throws the ball and it moves toward the jack, but doesn't touch it, what happens?</v>
      </c>
      <c r="H215" s="3" t="str">
        <f>IFERROR(__xludf.DUMMYFUNCTION("GOOGLETRANSLATE(C215, ""it"", ""en"")"),"A. The point goes to the team that threw it B. The point goes to the opponent C. The game continues normally D. The ball is replaced")</f>
        <v>A. The point goes to the team that threw it B. The point goes to the opponent C. The game continues normally D. The ball is replaced</v>
      </c>
      <c r="I215" s="3" t="str">
        <f>IFERROR(__xludf.DUMMYFUNCTION("GOOGLETRANSLATE(D215, ""it"", ""en"")"),"The point goes to the team that threw")</f>
        <v>The point goes to the team that threw</v>
      </c>
      <c r="J215" s="2"/>
      <c r="K215" s="2"/>
      <c r="L215" s="2"/>
      <c r="M215" s="2"/>
      <c r="N215" s="2"/>
      <c r="O215" s="2"/>
      <c r="P215" s="2"/>
      <c r="Q215" s="2"/>
      <c r="R215" s="2"/>
    </row>
    <row r="216" ht="22.5" customHeight="1">
      <c r="A216" s="3">
        <v>221.0</v>
      </c>
      <c r="B216" s="3" t="s">
        <v>2001</v>
      </c>
      <c r="C216" s="3" t="s">
        <v>2099</v>
      </c>
      <c r="D216" s="3" t="s">
        <v>549</v>
      </c>
      <c r="E216" s="2"/>
      <c r="F216" s="3" t="str">
        <f>IFERROR(__xludf.DUMMYFUNCTION("GOOGLETRANSLATE(A216, ""it"", ""en"")"),"221")</f>
        <v>221</v>
      </c>
      <c r="G216" s="3" t="str">
        <f>IFERROR(__xludf.DUMMYFUNCTION("GOOGLETRANSLATE(B216, ""it"", ""en"")"),"If a player doesn't throw the ball within the time limit, what happens?")</f>
        <v>If a player doesn't throw the ball within the time limit, what happens?</v>
      </c>
      <c r="H216" s="3" t="str">
        <f>IFERROR(__xludf.DUMMYFUNCTION("GOOGLETRANSLATE(C216, ""it"", ""en"")"),"A. The player loses the turn B. The point goes to the opponent C. The throw is cancelled D. The game continues normally")</f>
        <v>A. The player loses the turn B. The point goes to the opponent C. The throw is cancelled D. The game continues normally</v>
      </c>
      <c r="I216" s="3" t="str">
        <f>IFERROR(__xludf.DUMMYFUNCTION("GOOGLETRANSLATE(D216, ""it"", ""en"")"),"The player loses the turn")</f>
        <v>The player loses the turn</v>
      </c>
      <c r="J216" s="2"/>
      <c r="K216" s="2"/>
      <c r="L216" s="2"/>
      <c r="M216" s="2"/>
      <c r="N216" s="2"/>
      <c r="O216" s="2"/>
      <c r="P216" s="2"/>
      <c r="Q216" s="2"/>
      <c r="R216" s="2"/>
    </row>
    <row r="217" ht="22.5" customHeight="1">
      <c r="A217" s="3">
        <v>222.0</v>
      </c>
      <c r="B217" s="3" t="s">
        <v>2163</v>
      </c>
      <c r="C217" s="3" t="s">
        <v>2091</v>
      </c>
      <c r="D217" s="3" t="s">
        <v>1828</v>
      </c>
      <c r="E217" s="2"/>
      <c r="F217" s="3" t="str">
        <f>IFERROR(__xludf.DUMMYFUNCTION("GOOGLETRANSLATE(A217, ""it"", ""en"")"),"222")</f>
        <v>222</v>
      </c>
      <c r="G217" s="3" t="str">
        <f>IFERROR(__xludf.DUMMYFUNCTION("GOOGLETRANSLATE(B217, ""it"", ""en"")"),"If a boccia is thrown too hard and hits the jack, but doesn't move it, what happens?")</f>
        <v>If a boccia is thrown too hard and hits the jack, but doesn't move it, what happens?</v>
      </c>
      <c r="H217" s="3" t="str">
        <f>IFERROR(__xludf.DUMMYFUNCTION("GOOGLETRANSLATE(C217, ""it"", ""en"")"),"A. The point goes to the team that threw B. The game continues normally C. The point goes to the opponent D. The jack is replaced")</f>
        <v>A. The point goes to the team that threw B. The game continues normally C. The point goes to the opponent D. The jack is replaced</v>
      </c>
      <c r="I217" s="3" t="str">
        <f>IFERROR(__xludf.DUMMYFUNCTION("GOOGLETRANSLATE(D217, ""it"", ""en"")"),"The point goes to the team that threw")</f>
        <v>The point goes to the team that threw</v>
      </c>
      <c r="J217" s="2"/>
      <c r="K217" s="2"/>
      <c r="L217" s="2"/>
      <c r="M217" s="2"/>
      <c r="N217" s="2"/>
      <c r="O217" s="2"/>
      <c r="P217" s="2"/>
      <c r="Q217" s="2"/>
      <c r="R217" s="2"/>
    </row>
    <row r="218" ht="22.5" customHeight="1">
      <c r="A218" s="3">
        <v>223.0</v>
      </c>
      <c r="B218" s="3" t="s">
        <v>2164</v>
      </c>
      <c r="C218" s="3" t="s">
        <v>2114</v>
      </c>
      <c r="D218" s="3" t="s">
        <v>1828</v>
      </c>
      <c r="E218" s="2"/>
      <c r="F218" s="3" t="str">
        <f>IFERROR(__xludf.DUMMYFUNCTION("GOOGLETRANSLATE(A218, ""it"", ""en"")"),"223")</f>
        <v>223</v>
      </c>
      <c r="G218" s="3" t="str">
        <f>IFERROR(__xludf.DUMMYFUNCTION("GOOGLETRANSLATE(B218, ""it"", ""en"")"),"What happens if a player throws a ball and it hits an opponent's ball and moves it?")</f>
        <v>What happens if a player throws a ball and it hits an opponent's ball and moves it?</v>
      </c>
      <c r="H218" s="3" t="str">
        <f>IFERROR(__xludf.DUMMYFUNCTION("GOOGLETRANSLATE(C218,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18" s="3" t="str">
        <f>IFERROR(__xludf.DUMMYFUNCTION("GOOGLETRANSLATE(D218, ""it"", ""en"")"),"The point goes to the team that threw")</f>
        <v>The point goes to the team that threw</v>
      </c>
      <c r="J218" s="2"/>
      <c r="K218" s="2"/>
      <c r="L218" s="2"/>
      <c r="M218" s="2"/>
      <c r="N218" s="2"/>
      <c r="O218" s="2"/>
      <c r="P218" s="2"/>
      <c r="Q218" s="2"/>
      <c r="R218" s="2"/>
    </row>
    <row r="219" ht="22.5" customHeight="1">
      <c r="A219" s="3">
        <v>224.0</v>
      </c>
      <c r="B219" s="3" t="s">
        <v>1860</v>
      </c>
      <c r="C219" s="3" t="s">
        <v>2088</v>
      </c>
      <c r="D219" s="3" t="s">
        <v>1834</v>
      </c>
      <c r="E219" s="2"/>
      <c r="F219" s="3" t="str">
        <f>IFERROR(__xludf.DUMMYFUNCTION("GOOGLETRANSLATE(A219, ""it"", ""en"")"),"224")</f>
        <v>224</v>
      </c>
      <c r="G219" s="3" t="str">
        <f>IFERROR(__xludf.DUMMYFUNCTION("GOOGLETRANSLATE(B219, ""it"", ""en"")"),"If the cue ball goes out of bounds during a throw, what happens?")</f>
        <v>If the cue ball goes out of bounds during a throw, what happens?</v>
      </c>
      <c r="H219" s="3" t="str">
        <f>IFERROR(__xludf.DUMMYFUNCTION("GOOGLETRANSLATE(C219, ""it"", ""en"")"),"A. The jack is replaced B. The game is cancelled C. The point goes to the team that threw it D. Play continues normally")</f>
        <v>A. The jack is replaced B. The game is cancelled C. The point goes to the team that threw it D. Play continues normally</v>
      </c>
      <c r="I219" s="3" t="str">
        <f>IFERROR(__xludf.DUMMYFUNCTION("GOOGLETRANSLATE(D219, ""it"", ""en"")"),"The ball is repositioned")</f>
        <v>The ball is repositioned</v>
      </c>
      <c r="J219" s="2"/>
      <c r="K219" s="2"/>
      <c r="L219" s="2"/>
      <c r="M219" s="2"/>
      <c r="N219" s="2"/>
      <c r="O219" s="2"/>
      <c r="P219" s="2"/>
      <c r="Q219" s="2"/>
      <c r="R219" s="2"/>
    </row>
    <row r="220" ht="22.5" customHeight="1">
      <c r="A220" s="3">
        <v>225.0</v>
      </c>
      <c r="B220" s="3" t="s">
        <v>2165</v>
      </c>
      <c r="C220" s="3" t="s">
        <v>2166</v>
      </c>
      <c r="D220" s="3" t="s">
        <v>1828</v>
      </c>
      <c r="E220" s="2"/>
      <c r="F220" s="3" t="str">
        <f>IFERROR(__xludf.DUMMYFUNCTION("GOOGLETRANSLATE(A220, ""it"", ""en"")"),"225")</f>
        <v>225</v>
      </c>
      <c r="G220" s="3" t="str">
        <f>IFERROR(__xludf.DUMMYFUNCTION("GOOGLETRANSLATE(B220, ""it"", ""en"")"),"If a player throws a ball and it touches the baseline but doesn't go out, what happens?")</f>
        <v>If a player throws a ball and it touches the baseline but doesn't go out, what happens?</v>
      </c>
      <c r="H220" s="3" t="str">
        <f>IFERROR(__xludf.DUMMYFUNCTION("GOOGLETRANSLATE(C220, ""it"", ""en"")"),"A. The point goes to the team that threw B. The throw is cancelled C. The game continues normally D. The point goes to the opponent")</f>
        <v>A. The point goes to the team that threw B. The throw is cancelled C. The game continues normally D. The point goes to the opponent</v>
      </c>
      <c r="I220" s="3" t="str">
        <f>IFERROR(__xludf.DUMMYFUNCTION("GOOGLETRANSLATE(D220, ""it"", ""en"")"),"The point goes to the team that threw")</f>
        <v>The point goes to the team that threw</v>
      </c>
      <c r="J220" s="2"/>
      <c r="K220" s="2"/>
      <c r="L220" s="2"/>
      <c r="M220" s="2"/>
      <c r="N220" s="2"/>
      <c r="O220" s="2"/>
      <c r="P220" s="2"/>
      <c r="Q220" s="2"/>
      <c r="R220" s="2"/>
    </row>
    <row r="221" ht="22.5" customHeight="1">
      <c r="A221" s="3">
        <v>226.0</v>
      </c>
      <c r="B221" s="3" t="s">
        <v>2002</v>
      </c>
      <c r="C221" s="3" t="s">
        <v>2091</v>
      </c>
      <c r="D221" s="3" t="s">
        <v>1828</v>
      </c>
      <c r="E221" s="2"/>
      <c r="F221" s="3" t="str">
        <f>IFERROR(__xludf.DUMMYFUNCTION("GOOGLETRANSLATE(A221, ""it"", ""en"")"),"226")</f>
        <v>226</v>
      </c>
      <c r="G221" s="3" t="str">
        <f>IFERROR(__xludf.DUMMYFUNCTION("GOOGLETRANSLATE(B221, ""it"", ""en"")"),"If a player throws a boccia and it touches the jack but doesn't move it, what happens?")</f>
        <v>If a player throws a boccia and it touches the jack but doesn't move it, what happens?</v>
      </c>
      <c r="H221" s="3" t="str">
        <f>IFERROR(__xludf.DUMMYFUNCTION("GOOGLETRANSLATE(C221, ""it"", ""en"")"),"A. The point goes to the team that threw B. The game continues normally C. The point goes to the opponent D. The jack is replaced")</f>
        <v>A. The point goes to the team that threw B. The game continues normally C. The point goes to the opponent D. The jack is replaced</v>
      </c>
      <c r="I221" s="3" t="str">
        <f>IFERROR(__xludf.DUMMYFUNCTION("GOOGLETRANSLATE(D221, ""it"", ""en"")"),"The point goes to the team that threw")</f>
        <v>The point goes to the team that threw</v>
      </c>
      <c r="J221" s="2"/>
      <c r="K221" s="2"/>
      <c r="L221" s="2"/>
      <c r="M221" s="2"/>
      <c r="N221" s="2"/>
      <c r="O221" s="2"/>
      <c r="P221" s="2"/>
      <c r="Q221" s="2"/>
      <c r="R221" s="2"/>
    </row>
    <row r="222" ht="22.5" customHeight="1">
      <c r="A222" s="3">
        <v>227.0</v>
      </c>
      <c r="B222" s="3" t="s">
        <v>2167</v>
      </c>
      <c r="C222" s="3" t="s">
        <v>2096</v>
      </c>
      <c r="D222" s="3" t="s">
        <v>1828</v>
      </c>
      <c r="E222" s="2"/>
      <c r="F222" s="3" t="str">
        <f>IFERROR(__xludf.DUMMYFUNCTION("GOOGLETRANSLATE(A222, ""it"", ""en"")"),"227")</f>
        <v>227</v>
      </c>
      <c r="G222" s="3" t="str">
        <f>IFERROR(__xludf.DUMMYFUNCTION("GOOGLETRANSLATE(B222, ""it"", ""en"")"),"If a player throws a ball and it touches an opponent's ball but doesn't change position, what happens?")</f>
        <v>If a player throws a ball and it touches an opponent's ball but doesn't change position, what happens?</v>
      </c>
      <c r="H222" s="3" t="str">
        <f>IFERROR(__xludf.DUMMYFUNCTION("GOOGLETRANSLATE(C222,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22" s="3" t="str">
        <f>IFERROR(__xludf.DUMMYFUNCTION("GOOGLETRANSLATE(D222, ""it"", ""en"")"),"The point goes to the team that threw")</f>
        <v>The point goes to the team that threw</v>
      </c>
      <c r="J222" s="2"/>
      <c r="K222" s="2"/>
      <c r="L222" s="2"/>
      <c r="M222" s="2"/>
      <c r="N222" s="2"/>
      <c r="O222" s="2"/>
      <c r="P222" s="2"/>
      <c r="Q222" s="2"/>
      <c r="R222" s="2"/>
    </row>
    <row r="223" ht="22.5" customHeight="1">
      <c r="A223" s="3">
        <v>228.0</v>
      </c>
      <c r="B223" s="3" t="s">
        <v>2168</v>
      </c>
      <c r="C223" s="3" t="s">
        <v>2096</v>
      </c>
      <c r="D223" s="3" t="s">
        <v>1828</v>
      </c>
      <c r="E223" s="2"/>
      <c r="F223" s="3" t="str">
        <f>IFERROR(__xludf.DUMMYFUNCTION("GOOGLETRANSLATE(A223, ""it"", ""en"")"),"228")</f>
        <v>228</v>
      </c>
      <c r="G223" s="3" t="str">
        <f>IFERROR(__xludf.DUMMYFUNCTION("GOOGLETRANSLATE(B223, ""it"", ""en"")"),"What happens if a player throws a ball and it touches an opponent's ball that moves but does not change the position of the jack?")</f>
        <v>What happens if a player throws a ball and it touches an opponent's ball that moves but does not change the position of the jack?</v>
      </c>
      <c r="H223" s="3" t="str">
        <f>IFERROR(__xludf.DUMMYFUNCTION("GOOGLETRANSLATE(C223,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23" s="3" t="str">
        <f>IFERROR(__xludf.DUMMYFUNCTION("GOOGLETRANSLATE(D223, ""it"", ""en"")"),"The point goes to the team that threw")</f>
        <v>The point goes to the team that threw</v>
      </c>
      <c r="J223" s="2"/>
      <c r="K223" s="2"/>
      <c r="L223" s="2"/>
      <c r="M223" s="2"/>
      <c r="N223" s="2"/>
      <c r="O223" s="2"/>
      <c r="P223" s="2"/>
      <c r="Q223" s="2"/>
      <c r="R223" s="2"/>
    </row>
    <row r="224" ht="22.5" customHeight="1">
      <c r="A224" s="3">
        <v>229.0</v>
      </c>
      <c r="B224" s="3" t="s">
        <v>2169</v>
      </c>
      <c r="C224" s="3" t="s">
        <v>2093</v>
      </c>
      <c r="D224" s="3" t="s">
        <v>2085</v>
      </c>
      <c r="E224" s="2"/>
      <c r="F224" s="3" t="str">
        <f>IFERROR(__xludf.DUMMYFUNCTION("GOOGLETRANSLATE(A224, ""it"", ""en"")"),"229")</f>
        <v>229</v>
      </c>
      <c r="G224" s="3" t="str">
        <f>IFERROR(__xludf.DUMMYFUNCTION("GOOGLETRANSLATE(B224, ""it"", ""en"")"),"If a player throws a ball that goes out of bounds, what happens?")</f>
        <v>If a player throws a ball that goes out of bounds, what happens?</v>
      </c>
      <c r="H224" s="3" t="str">
        <f>IFERROR(__xludf.DUMMYFUNCTION("GOOGLETRANSLATE(C224, ""it"", ""en"")"),"A. The point goes to the opponent B. The throw is cancelled C. The game continues normally D. The ball is replaced")</f>
        <v>A. The point goes to the opponent B. The throw is cancelled C. The game continues normally D. The ball is replaced</v>
      </c>
      <c r="I224" s="3" t="str">
        <f>IFERROR(__xludf.DUMMYFUNCTION("GOOGLETRANSLATE(D224, ""it"", ""en"")"),"The point goes to the opponent")</f>
        <v>The point goes to the opponent</v>
      </c>
      <c r="J224" s="2"/>
      <c r="K224" s="2"/>
      <c r="L224" s="2"/>
      <c r="M224" s="2"/>
      <c r="N224" s="2"/>
      <c r="O224" s="2"/>
      <c r="P224" s="2"/>
      <c r="Q224" s="2"/>
      <c r="R224" s="2"/>
    </row>
    <row r="225" ht="22.5" customHeight="1">
      <c r="A225" s="3">
        <v>230.0</v>
      </c>
      <c r="B225" s="3" t="s">
        <v>2106</v>
      </c>
      <c r="C225" s="3" t="s">
        <v>2107</v>
      </c>
      <c r="D225" s="3" t="s">
        <v>1834</v>
      </c>
      <c r="E225" s="2"/>
      <c r="F225" s="3" t="str">
        <f>IFERROR(__xludf.DUMMYFUNCTION("GOOGLETRANSLATE(A225, ""it"", ""en"")"),"230")</f>
        <v>230</v>
      </c>
      <c r="G225" s="3" t="str">
        <f>IFERROR(__xludf.DUMMYFUNCTION("GOOGLETRANSLATE(B225, ""it"", ""en"")"),"If the jack goes out of bounds and no ball hits it, what happens?")</f>
        <v>If the jack goes out of bounds and no ball hits it, what happens?</v>
      </c>
      <c r="H225" s="3" t="str">
        <f>IFERROR(__xludf.DUMMYFUNCTION("GOOGLETRANSLATE(C225, ""it"", ""en"")"),"A. The cue ball is replaced B. The game is cancelled C. The point goes to the opponent D. The game continues normally")</f>
        <v>A. The cue ball is replaced B. The game is cancelled C. The point goes to the opponent D. The game continues normally</v>
      </c>
      <c r="I225" s="3" t="str">
        <f>IFERROR(__xludf.DUMMYFUNCTION("GOOGLETRANSLATE(D225, ""it"", ""en"")"),"The ball is repositioned")</f>
        <v>The ball is repositioned</v>
      </c>
      <c r="J225" s="2"/>
      <c r="K225" s="2"/>
      <c r="L225" s="2"/>
      <c r="M225" s="2"/>
      <c r="N225" s="2"/>
      <c r="O225" s="2"/>
      <c r="P225" s="2"/>
      <c r="Q225" s="2"/>
      <c r="R225" s="2"/>
    </row>
    <row r="226" ht="22.5" customHeight="1">
      <c r="A226" s="3">
        <v>231.0</v>
      </c>
      <c r="B226" s="3" t="s">
        <v>2170</v>
      </c>
      <c r="C226" s="3" t="s">
        <v>2171</v>
      </c>
      <c r="D226" s="3" t="s">
        <v>1828</v>
      </c>
      <c r="E226" s="2"/>
      <c r="F226" s="3" t="str">
        <f>IFERROR(__xludf.DUMMYFUNCTION("GOOGLETRANSLATE(A226, ""it"", ""en"")"),"231")</f>
        <v>231</v>
      </c>
      <c r="G226" s="3" t="str">
        <f>IFERROR(__xludf.DUMMYFUNCTION("GOOGLETRANSLATE(B226, ""it"", ""en"")"),"If a player throws a ball and it lands on an opponent's ball, what happens?")</f>
        <v>If a player throws a ball and it lands on an opponent's ball, what happens?</v>
      </c>
      <c r="H226" s="3" t="str">
        <f>IFERROR(__xludf.DUMMYFUNCTION("GOOGLETRANSLATE(C226, ""it"", ""en"")"),"A. The point goes to the team that threw it B. The game continues normally C. The point goes to the opponent D. The ball is replaced")</f>
        <v>A. The point goes to the team that threw it B. The game continues normally C. The point goes to the opponent D. The ball is replaced</v>
      </c>
      <c r="I226" s="3" t="str">
        <f>IFERROR(__xludf.DUMMYFUNCTION("GOOGLETRANSLATE(D226, ""it"", ""en"")"),"The point goes to the team that threw")</f>
        <v>The point goes to the team that threw</v>
      </c>
      <c r="J226" s="2"/>
      <c r="K226" s="2"/>
      <c r="L226" s="2"/>
      <c r="M226" s="2"/>
      <c r="N226" s="2"/>
      <c r="O226" s="2"/>
      <c r="P226" s="2"/>
      <c r="Q226" s="2"/>
      <c r="R226" s="2"/>
    </row>
    <row r="227" ht="22.5" customHeight="1">
      <c r="A227" s="3">
        <v>232.0</v>
      </c>
      <c r="B227" s="3" t="s">
        <v>2172</v>
      </c>
      <c r="C227" s="3" t="s">
        <v>2096</v>
      </c>
      <c r="D227" s="3" t="s">
        <v>1828</v>
      </c>
      <c r="E227" s="2"/>
      <c r="F227" s="3" t="str">
        <f>IFERROR(__xludf.DUMMYFUNCTION("GOOGLETRANSLATE(A227, ""it"", ""en"")"),"232")</f>
        <v>232</v>
      </c>
      <c r="G227" s="3" t="str">
        <f>IFERROR(__xludf.DUMMYFUNCTION("GOOGLETRANSLATE(B227, ""it"", ""en"")"),"If a player throws a ball and it touches the opponent's ball but doesn't move it, what happens?")</f>
        <v>If a player throws a ball and it touches the opponent's ball but doesn't move it, what happens?</v>
      </c>
      <c r="H227" s="3" t="str">
        <f>IFERROR(__xludf.DUMMYFUNCTION("GOOGLETRANSLATE(C227,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27" s="3" t="str">
        <f>IFERROR(__xludf.DUMMYFUNCTION("GOOGLETRANSLATE(D227, ""it"", ""en"")"),"The point goes to the team that threw")</f>
        <v>The point goes to the team that threw</v>
      </c>
      <c r="J227" s="2"/>
      <c r="K227" s="2"/>
      <c r="L227" s="2"/>
      <c r="M227" s="2"/>
      <c r="N227" s="2"/>
      <c r="O227" s="2"/>
      <c r="P227" s="2"/>
      <c r="Q227" s="2"/>
      <c r="R227" s="2"/>
    </row>
    <row r="228" ht="22.5" customHeight="1">
      <c r="A228" s="3">
        <v>233.0</v>
      </c>
      <c r="B228" s="3" t="s">
        <v>2173</v>
      </c>
      <c r="C228" s="3" t="s">
        <v>2150</v>
      </c>
      <c r="D228" s="3" t="s">
        <v>2085</v>
      </c>
      <c r="E228" s="2"/>
      <c r="F228" s="3" t="str">
        <f>IFERROR(__xludf.DUMMYFUNCTION("GOOGLETRANSLATE(A228, ""it"", ""en"")"),"233")</f>
        <v>233</v>
      </c>
      <c r="G228" s="3" t="str">
        <f>IFERROR(__xludf.DUMMYFUNCTION("GOOGLETRANSLATE(B228, ""it"", ""en"")"),"If a player throws a boccia too far from the jack, what happens?")</f>
        <v>If a player throws a boccia too far from the jack, what happens?</v>
      </c>
      <c r="H228" s="3" t="str">
        <f>IFERROR(__xludf.DUMMYFUNCTION("GOOGLETRANSLATE(C228, ""it"", ""en"")"),"A. The point goes to the opponent B. The game continues normally C. The point goes to the team that threw D. The ball is replaced")</f>
        <v>A. The point goes to the opponent B. The game continues normally C. The point goes to the team that threw D. The ball is replaced</v>
      </c>
      <c r="I228" s="3" t="str">
        <f>IFERROR(__xludf.DUMMYFUNCTION("GOOGLETRANSLATE(D228, ""it"", ""en"")"),"The point goes to the opponent")</f>
        <v>The point goes to the opponent</v>
      </c>
      <c r="J228" s="2"/>
      <c r="K228" s="2"/>
      <c r="L228" s="2"/>
      <c r="M228" s="2"/>
      <c r="N228" s="2"/>
      <c r="O228" s="2"/>
      <c r="P228" s="2"/>
      <c r="Q228" s="2"/>
      <c r="R228" s="2"/>
    </row>
    <row r="229" ht="22.5" customHeight="1">
      <c r="A229" s="3">
        <v>234.0</v>
      </c>
      <c r="B229" s="3" t="s">
        <v>2174</v>
      </c>
      <c r="C229" s="3" t="s">
        <v>2114</v>
      </c>
      <c r="D229" s="3" t="s">
        <v>1828</v>
      </c>
      <c r="E229" s="2"/>
      <c r="F229" s="3" t="str">
        <f>IFERROR(__xludf.DUMMYFUNCTION("GOOGLETRANSLATE(A229, ""it"", ""en"")"),"234")</f>
        <v>234</v>
      </c>
      <c r="G229" s="3" t="str">
        <f>IFERROR(__xludf.DUMMYFUNCTION("GOOGLETRANSLATE(B229, ""it"", ""en"")"),"If a player throws a ball and it hits an opponent's ball and moves it toward the jack, what happens?")</f>
        <v>If a player throws a ball and it hits an opponent's ball and moves it toward the jack, what happens?</v>
      </c>
      <c r="H229" s="3" t="str">
        <f>IFERROR(__xludf.DUMMYFUNCTION("GOOGLETRANSLATE(C229,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29" s="3" t="str">
        <f>IFERROR(__xludf.DUMMYFUNCTION("GOOGLETRANSLATE(D229, ""it"", ""en"")"),"The point goes to the team that threw")</f>
        <v>The point goes to the team that threw</v>
      </c>
      <c r="J229" s="2"/>
      <c r="K229" s="2"/>
      <c r="L229" s="2"/>
      <c r="M229" s="2"/>
      <c r="N229" s="2"/>
      <c r="O229" s="2"/>
      <c r="P229" s="2"/>
      <c r="Q229" s="2"/>
      <c r="R229" s="2"/>
    </row>
    <row r="230" ht="22.5" customHeight="1">
      <c r="A230" s="3">
        <v>235.0</v>
      </c>
      <c r="B230" s="3" t="s">
        <v>2175</v>
      </c>
      <c r="C230" s="3" t="s">
        <v>2105</v>
      </c>
      <c r="D230" s="3" t="s">
        <v>1828</v>
      </c>
      <c r="E230" s="2"/>
      <c r="F230" s="3" t="str">
        <f>IFERROR(__xludf.DUMMYFUNCTION("GOOGLETRANSLATE(A230, ""it"", ""en"")"),"235")</f>
        <v>235</v>
      </c>
      <c r="G230" s="3" t="str">
        <f>IFERROR(__xludf.DUMMYFUNCTION("GOOGLETRANSLATE(B230, ""it"", ""en"")"),"If a player throws a ball and it touches the baseline, what happens?")</f>
        <v>If a player throws a ball and it touches the baseline, what happens?</v>
      </c>
      <c r="H230" s="3" t="str">
        <f>IFERROR(__xludf.DUMMYFUNCTION("GOOGLETRANSLATE(C230, ""it"", ""en"")"),"A. The point goes to the team that threw B. The game continues normally C. The throw is cancelled D. The ball is replaced")</f>
        <v>A. The point goes to the team that threw B. The game continues normally C. The throw is cancelled D. The ball is replaced</v>
      </c>
      <c r="I230" s="3" t="str">
        <f>IFERROR(__xludf.DUMMYFUNCTION("GOOGLETRANSLATE(D230, ""it"", ""en"")"),"The point goes to the team that threw")</f>
        <v>The point goes to the team that threw</v>
      </c>
      <c r="J230" s="2"/>
      <c r="K230" s="2"/>
      <c r="L230" s="2"/>
      <c r="M230" s="2"/>
      <c r="N230" s="2"/>
      <c r="O230" s="2"/>
      <c r="P230" s="2"/>
      <c r="Q230" s="2"/>
      <c r="R230" s="2"/>
    </row>
    <row r="231" ht="22.5" customHeight="1">
      <c r="A231" s="3">
        <v>236.0</v>
      </c>
      <c r="B231" s="3" t="s">
        <v>2176</v>
      </c>
      <c r="C231" s="3" t="s">
        <v>2171</v>
      </c>
      <c r="D231" s="3" t="s">
        <v>1828</v>
      </c>
      <c r="E231" s="2"/>
      <c r="F231" s="3" t="str">
        <f>IFERROR(__xludf.DUMMYFUNCTION("GOOGLETRANSLATE(A231, ""it"", ""en"")"),"236")</f>
        <v>236</v>
      </c>
      <c r="G231" s="3" t="str">
        <f>IFERROR(__xludf.DUMMYFUNCTION("GOOGLETRANSLATE(B231, ""it"", ""en"")"),"If a player throws a ball and it lands on an opponent's ball but doesn't move it, what happens?")</f>
        <v>If a player throws a ball and it lands on an opponent's ball but doesn't move it, what happens?</v>
      </c>
      <c r="H231" s="3" t="str">
        <f>IFERROR(__xludf.DUMMYFUNCTION("GOOGLETRANSLATE(C231, ""it"", ""en"")"),"A. The point goes to the team that threw it B. The game continues normally C. The point goes to the opponent D. The ball is replaced")</f>
        <v>A. The point goes to the team that threw it B. The game continues normally C. The point goes to the opponent D. The ball is replaced</v>
      </c>
      <c r="I231" s="3" t="str">
        <f>IFERROR(__xludf.DUMMYFUNCTION("GOOGLETRANSLATE(D231, ""it"", ""en"")"),"The point goes to the team that threw")</f>
        <v>The point goes to the team that threw</v>
      </c>
      <c r="J231" s="2"/>
      <c r="K231" s="2"/>
      <c r="L231" s="2"/>
      <c r="M231" s="2"/>
      <c r="N231" s="2"/>
      <c r="O231" s="2"/>
      <c r="P231" s="2"/>
      <c r="Q231" s="2"/>
      <c r="R231" s="2"/>
    </row>
    <row r="232" ht="22.5" customHeight="1">
      <c r="A232" s="3">
        <v>237.0</v>
      </c>
      <c r="B232" s="3" t="s">
        <v>1889</v>
      </c>
      <c r="C232" s="3" t="s">
        <v>2094</v>
      </c>
      <c r="D232" s="3" t="s">
        <v>2085</v>
      </c>
      <c r="E232" s="2"/>
      <c r="F232" s="3" t="str">
        <f>IFERROR(__xludf.DUMMYFUNCTION("GOOGLETRANSLATE(A232, ""it"", ""en"")"),"237")</f>
        <v>237</v>
      </c>
      <c r="G232" s="3" t="str">
        <f>IFERROR(__xludf.DUMMYFUNCTION("GOOGLETRANSLATE(B232, ""it"", ""en"")"),"If a player accidentally kicks a ball while throwing, what happens?")</f>
        <v>If a player accidentally kicks a ball while throwing, what happens?</v>
      </c>
      <c r="H232" s="3" t="str">
        <f>IFERROR(__xludf.DUMMYFUNCTION("GOOGLETRANSLATE(C232, ""it"", ""en"")"),"A. The point goes to the opponent B. The ball is replaced C. The throw is cancelled D. The game continues normally")</f>
        <v>A. The point goes to the opponent B. The ball is replaced C. The throw is cancelled D. The game continues normally</v>
      </c>
      <c r="I232" s="3" t="str">
        <f>IFERROR(__xludf.DUMMYFUNCTION("GOOGLETRANSLATE(D232, ""it"", ""en"")"),"The point goes to the opponent")</f>
        <v>The point goes to the opponent</v>
      </c>
      <c r="J232" s="2"/>
      <c r="K232" s="2"/>
      <c r="L232" s="2"/>
      <c r="M232" s="2"/>
      <c r="N232" s="2"/>
      <c r="O232" s="2"/>
      <c r="P232" s="2"/>
      <c r="Q232" s="2"/>
      <c r="R232" s="2"/>
    </row>
    <row r="233" ht="22.5" customHeight="1">
      <c r="A233" s="3">
        <v>238.0</v>
      </c>
      <c r="B233" s="3" t="s">
        <v>2177</v>
      </c>
      <c r="C233" s="3" t="s">
        <v>2093</v>
      </c>
      <c r="D233" s="3" t="s">
        <v>2085</v>
      </c>
      <c r="E233" s="2"/>
      <c r="F233" s="3" t="str">
        <f>IFERROR(__xludf.DUMMYFUNCTION("GOOGLETRANSLATE(A233, ""it"", ""en"")"),"238")</f>
        <v>238</v>
      </c>
      <c r="G233" s="3" t="str">
        <f>IFERROR(__xludf.DUMMYFUNCTION("GOOGLETRANSLATE(B233, ""it"", ""en"")"),"If a player throws a ball and it lands over the baseline without touching anything, what happens?")</f>
        <v>If a player throws a ball and it lands over the baseline without touching anything, what happens?</v>
      </c>
      <c r="H233" s="3" t="str">
        <f>IFERROR(__xludf.DUMMYFUNCTION("GOOGLETRANSLATE(C233, ""it"", ""en"")"),"A. The point goes to the opponent B. The throw is cancelled C. The game continues normally D. The ball is replaced")</f>
        <v>A. The point goes to the opponent B. The throw is cancelled C. The game continues normally D. The ball is replaced</v>
      </c>
      <c r="I233" s="3" t="str">
        <f>IFERROR(__xludf.DUMMYFUNCTION("GOOGLETRANSLATE(D233, ""it"", ""en"")"),"The point goes to the opponent")</f>
        <v>The point goes to the opponent</v>
      </c>
      <c r="J233" s="2"/>
      <c r="K233" s="2"/>
      <c r="L233" s="2"/>
      <c r="M233" s="2"/>
      <c r="N233" s="2"/>
      <c r="O233" s="2"/>
      <c r="P233" s="2"/>
      <c r="Q233" s="2"/>
      <c r="R233" s="2"/>
    </row>
    <row r="234" ht="22.5" customHeight="1">
      <c r="A234" s="3">
        <v>239.0</v>
      </c>
      <c r="B234" s="3" t="s">
        <v>2178</v>
      </c>
      <c r="C234" s="3" t="s">
        <v>2120</v>
      </c>
      <c r="D234" s="3" t="s">
        <v>2085</v>
      </c>
      <c r="E234" s="2"/>
      <c r="F234" s="3" t="str">
        <f>IFERROR(__xludf.DUMMYFUNCTION("GOOGLETRANSLATE(A234, ""it"", ""en"")"),"239")</f>
        <v>239</v>
      </c>
      <c r="G234" s="3" t="str">
        <f>IFERROR(__xludf.DUMMYFUNCTION("GOOGLETRANSLATE(B234, ""it"", ""en"")"),"What happens if a player throws the ball and it lands outside the court without touching the jack?")</f>
        <v>What happens if a player throws the ball and it lands outside the court without touching the jack?</v>
      </c>
      <c r="H234" s="3" t="str">
        <f>IFERROR(__xludf.DUMMYFUNCTION("GOOGLETRANSLATE(C234, ""it"", ""en"")"),"A. The point goes to the opponent B. The game continues normally C. The throw is cancelled D. The ball is replaced")</f>
        <v>A. The point goes to the opponent B. The game continues normally C. The throw is cancelled D. The ball is replaced</v>
      </c>
      <c r="I234" s="3" t="str">
        <f>IFERROR(__xludf.DUMMYFUNCTION("GOOGLETRANSLATE(D234, ""it"", ""en"")"),"The point goes to the opponent")</f>
        <v>The point goes to the opponent</v>
      </c>
      <c r="J234" s="2"/>
      <c r="K234" s="2"/>
      <c r="L234" s="2"/>
      <c r="M234" s="2"/>
      <c r="N234" s="2"/>
      <c r="O234" s="2"/>
      <c r="P234" s="2"/>
      <c r="Q234" s="2"/>
      <c r="R234" s="2"/>
    </row>
    <row r="235" ht="22.5" customHeight="1">
      <c r="A235" s="3">
        <v>240.0</v>
      </c>
      <c r="B235" s="3" t="s">
        <v>2179</v>
      </c>
      <c r="C235" s="3" t="s">
        <v>2171</v>
      </c>
      <c r="D235" s="3" t="s">
        <v>1828</v>
      </c>
      <c r="E235" s="2"/>
      <c r="F235" s="3" t="str">
        <f>IFERROR(__xludf.DUMMYFUNCTION("GOOGLETRANSLATE(A235, ""it"", ""en"")"),"240")</f>
        <v>240</v>
      </c>
      <c r="G235" s="3" t="str">
        <f>IFERROR(__xludf.DUMMYFUNCTION("GOOGLETRANSLATE(B235, ""it"", ""en"")"),"If a player throws a ball too hard and it goes beyond the jack, what happens?")</f>
        <v>If a player throws a ball too hard and it goes beyond the jack, what happens?</v>
      </c>
      <c r="H235" s="3" t="str">
        <f>IFERROR(__xludf.DUMMYFUNCTION("GOOGLETRANSLATE(C235, ""it"", ""en"")"),"A. The point goes to the team that threw it B. The game continues normally C. The point goes to the opponent D. The ball is replaced")</f>
        <v>A. The point goes to the team that threw it B. The game continues normally C. The point goes to the opponent D. The ball is replaced</v>
      </c>
      <c r="I235" s="3" t="str">
        <f>IFERROR(__xludf.DUMMYFUNCTION("GOOGLETRANSLATE(D235, ""it"", ""en"")"),"The point goes to the team that threw")</f>
        <v>The point goes to the team that threw</v>
      </c>
      <c r="J235" s="2"/>
      <c r="K235" s="2"/>
      <c r="L235" s="2"/>
      <c r="M235" s="2"/>
      <c r="N235" s="2"/>
      <c r="O235" s="2"/>
      <c r="P235" s="2"/>
      <c r="Q235" s="2"/>
      <c r="R235" s="2"/>
    </row>
    <row r="236" ht="22.5" customHeight="1">
      <c r="A236" s="3">
        <v>241.0</v>
      </c>
      <c r="B236" s="3" t="s">
        <v>2180</v>
      </c>
      <c r="C236" s="3" t="s">
        <v>2096</v>
      </c>
      <c r="D236" s="3" t="s">
        <v>1828</v>
      </c>
      <c r="E236" s="2"/>
      <c r="F236" s="3" t="str">
        <f>IFERROR(__xludf.DUMMYFUNCTION("GOOGLETRANSLATE(A236, ""it"", ""en"")"),"241")</f>
        <v>241</v>
      </c>
      <c r="G236" s="3" t="str">
        <f>IFERROR(__xludf.DUMMYFUNCTION("GOOGLETRANSLATE(B236, ""it"", ""en"")"),"If a ball hits the opponent's ball and moves without changing the position of the jack, what happens?")</f>
        <v>If a ball hits the opponent's ball and moves without changing the position of the jack, what happens?</v>
      </c>
      <c r="H236" s="3" t="str">
        <f>IFERROR(__xludf.DUMMYFUNCTION("GOOGLETRANSLATE(C236,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36" s="3" t="str">
        <f>IFERROR(__xludf.DUMMYFUNCTION("GOOGLETRANSLATE(D236, ""it"", ""en"")"),"The point goes to the team that threw")</f>
        <v>The point goes to the team that threw</v>
      </c>
      <c r="J236" s="2"/>
      <c r="K236" s="2"/>
      <c r="L236" s="2"/>
      <c r="M236" s="2"/>
      <c r="N236" s="2"/>
      <c r="O236" s="2"/>
      <c r="P236" s="2"/>
      <c r="Q236" s="2"/>
      <c r="R236" s="2"/>
    </row>
    <row r="237" ht="22.5" customHeight="1">
      <c r="A237" s="3">
        <v>242.0</v>
      </c>
      <c r="B237" s="3" t="s">
        <v>2181</v>
      </c>
      <c r="C237" s="3" t="s">
        <v>2107</v>
      </c>
      <c r="D237" s="3" t="s">
        <v>1834</v>
      </c>
      <c r="E237" s="2"/>
      <c r="F237" s="3" t="str">
        <f>IFERROR(__xludf.DUMMYFUNCTION("GOOGLETRANSLATE(A237, ""it"", ""en"")"),"242")</f>
        <v>242</v>
      </c>
      <c r="G237" s="3" t="str">
        <f>IFERROR(__xludf.DUMMYFUNCTION("GOOGLETRANSLATE(B237, ""it"", ""en"")"),"If the jack is moved out of the court by a bowl, what happens?")</f>
        <v>If the jack is moved out of the court by a bowl, what happens?</v>
      </c>
      <c r="H237" s="3" t="str">
        <f>IFERROR(__xludf.DUMMYFUNCTION("GOOGLETRANSLATE(C237, ""it"", ""en"")"),"A. The cue ball is replaced B. The game is cancelled C. The point goes to the opponent D. The game continues normally")</f>
        <v>A. The cue ball is replaced B. The game is cancelled C. The point goes to the opponent D. The game continues normally</v>
      </c>
      <c r="I237" s="3" t="str">
        <f>IFERROR(__xludf.DUMMYFUNCTION("GOOGLETRANSLATE(D237, ""it"", ""en"")"),"The ball is repositioned")</f>
        <v>The ball is repositioned</v>
      </c>
      <c r="J237" s="2"/>
      <c r="K237" s="2"/>
      <c r="L237" s="2"/>
      <c r="M237" s="2"/>
      <c r="N237" s="2"/>
      <c r="O237" s="2"/>
      <c r="P237" s="2"/>
      <c r="Q237" s="2"/>
      <c r="R237" s="2"/>
    </row>
    <row r="238" ht="22.5" customHeight="1">
      <c r="A238" s="3">
        <v>243.0</v>
      </c>
      <c r="B238" s="3" t="s">
        <v>2182</v>
      </c>
      <c r="C238" s="3" t="s">
        <v>2183</v>
      </c>
      <c r="D238" s="3" t="s">
        <v>1828</v>
      </c>
      <c r="E238" s="2"/>
      <c r="F238" s="3" t="str">
        <f>IFERROR(__xludf.DUMMYFUNCTION("GOOGLETRANSLATE(A238, ""it"", ""en"")"),"243")</f>
        <v>243</v>
      </c>
      <c r="G238" s="3" t="str">
        <f>IFERROR(__xludf.DUMMYFUNCTION("GOOGLETRANSLATE(B238, ""it"", ""en"")"),"If a player throws a ball and it touches the baseline but doesn't cross it, what happens?")</f>
        <v>If a player throws a ball and it touches the baseline but doesn't cross it, what happens?</v>
      </c>
      <c r="H238" s="3" t="str">
        <f>IFERROR(__xludf.DUMMYFUNCTION("GOOGLETRANSLATE(C238, ""it"", ""en"")"),"A. The point goes to the team that threw B. The game continues normally C. The throw is cancelled D. The point goes to the opponent")</f>
        <v>A. The point goes to the team that threw B. The game continues normally C. The throw is cancelled D. The point goes to the opponent</v>
      </c>
      <c r="I238" s="3" t="str">
        <f>IFERROR(__xludf.DUMMYFUNCTION("GOOGLETRANSLATE(D238, ""it"", ""en"")"),"The point goes to the team that threw")</f>
        <v>The point goes to the team that threw</v>
      </c>
      <c r="J238" s="2"/>
      <c r="K238" s="2"/>
      <c r="L238" s="2"/>
      <c r="M238" s="2"/>
      <c r="N238" s="2"/>
      <c r="O238" s="2"/>
      <c r="P238" s="2"/>
      <c r="Q238" s="2"/>
      <c r="R238" s="2"/>
    </row>
    <row r="239" ht="22.5" customHeight="1">
      <c r="A239" s="3">
        <v>244.0</v>
      </c>
      <c r="B239" s="3" t="s">
        <v>2184</v>
      </c>
      <c r="C239" s="3" t="s">
        <v>2162</v>
      </c>
      <c r="D239" s="3" t="s">
        <v>1828</v>
      </c>
      <c r="E239" s="2"/>
      <c r="F239" s="3" t="str">
        <f>IFERROR(__xludf.DUMMYFUNCTION("GOOGLETRANSLATE(A239, ""it"", ""en"")"),"244")</f>
        <v>244</v>
      </c>
      <c r="G239" s="3" t="str">
        <f>IFERROR(__xludf.DUMMYFUNCTION("GOOGLETRANSLATE(B239, ""it"", ""en"")"),"If a player throws the ball and it stops halfway between the jack and the baseline, what happens?")</f>
        <v>If a player throws the ball and it stops halfway between the jack and the baseline, what happens?</v>
      </c>
      <c r="H239" s="3" t="str">
        <f>IFERROR(__xludf.DUMMYFUNCTION("GOOGLETRANSLATE(C239, ""it"", ""en"")"),"A. The point goes to the team that threw it B. The point goes to the opponent C. The game continues normally D. The ball is replaced")</f>
        <v>A. The point goes to the team that threw it B. The point goes to the opponent C. The game continues normally D. The ball is replaced</v>
      </c>
      <c r="I239" s="3" t="str">
        <f>IFERROR(__xludf.DUMMYFUNCTION("GOOGLETRANSLATE(D239, ""it"", ""en"")"),"The point goes to the team that threw")</f>
        <v>The point goes to the team that threw</v>
      </c>
      <c r="J239" s="2"/>
      <c r="K239" s="2"/>
      <c r="L239" s="2"/>
      <c r="M239" s="2"/>
      <c r="N239" s="2"/>
      <c r="O239" s="2"/>
      <c r="P239" s="2"/>
      <c r="Q239" s="2"/>
      <c r="R239" s="2"/>
    </row>
    <row r="240" ht="22.5" customHeight="1">
      <c r="A240" s="3">
        <v>245.0</v>
      </c>
      <c r="B240" s="3" t="s">
        <v>2185</v>
      </c>
      <c r="C240" s="3" t="s">
        <v>2096</v>
      </c>
      <c r="D240" s="3" t="s">
        <v>1828</v>
      </c>
      <c r="E240" s="2"/>
      <c r="F240" s="3" t="str">
        <f>IFERROR(__xludf.DUMMYFUNCTION("GOOGLETRANSLATE(A240, ""it"", ""en"")"),"245")</f>
        <v>245</v>
      </c>
      <c r="G240" s="3" t="str">
        <f>IFERROR(__xludf.DUMMYFUNCTION("GOOGLETRANSLATE(B240, ""it"", ""en"")"),"If a player throws a ball and it touches another ball but doesn't move it, what happens?")</f>
        <v>If a player throws a ball and it touches another ball but doesn't move it, what happens?</v>
      </c>
      <c r="H240" s="3" t="str">
        <f>IFERROR(__xludf.DUMMYFUNCTION("GOOGLETRANSLATE(C240,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40" s="3" t="str">
        <f>IFERROR(__xludf.DUMMYFUNCTION("GOOGLETRANSLATE(D240, ""it"", ""en"")"),"The point goes to the team that threw")</f>
        <v>The point goes to the team that threw</v>
      </c>
      <c r="J240" s="2"/>
      <c r="K240" s="2"/>
      <c r="L240" s="2"/>
      <c r="M240" s="2"/>
      <c r="N240" s="2"/>
      <c r="O240" s="2"/>
      <c r="P240" s="2"/>
      <c r="Q240" s="2"/>
      <c r="R240" s="2"/>
    </row>
    <row r="241" ht="22.5" customHeight="1">
      <c r="A241" s="3">
        <v>246.0</v>
      </c>
      <c r="B241" s="3" t="s">
        <v>2186</v>
      </c>
      <c r="C241" s="3" t="s">
        <v>2091</v>
      </c>
      <c r="D241" s="3" t="s">
        <v>1828</v>
      </c>
      <c r="E241" s="2"/>
      <c r="F241" s="3" t="str">
        <f>IFERROR(__xludf.DUMMYFUNCTION("GOOGLETRANSLATE(A241, ""it"", ""en"")"),"246")</f>
        <v>246</v>
      </c>
      <c r="G241" s="3" t="str">
        <f>IFERROR(__xludf.DUMMYFUNCTION("GOOGLETRANSLATE(B241, ""it"", ""en"")"),"If a player throws a boccia and it hits the jack but doesn't move it, what happens?")</f>
        <v>If a player throws a boccia and it hits the jack but doesn't move it, what happens?</v>
      </c>
      <c r="H241" s="3" t="str">
        <f>IFERROR(__xludf.DUMMYFUNCTION("GOOGLETRANSLATE(C241, ""it"", ""en"")"),"A. The point goes to the team that threw B. The game continues normally C. The point goes to the opponent D. The jack is replaced")</f>
        <v>A. The point goes to the team that threw B. The game continues normally C. The point goes to the opponent D. The jack is replaced</v>
      </c>
      <c r="I241" s="3" t="str">
        <f>IFERROR(__xludf.DUMMYFUNCTION("GOOGLETRANSLATE(D241, ""it"", ""en"")"),"The point goes to the team that threw")</f>
        <v>The point goes to the team that threw</v>
      </c>
      <c r="J241" s="2"/>
      <c r="K241" s="2"/>
      <c r="L241" s="2"/>
      <c r="M241" s="2"/>
      <c r="N241" s="2"/>
      <c r="O241" s="2"/>
      <c r="P241" s="2"/>
      <c r="Q241" s="2"/>
      <c r="R241" s="2"/>
    </row>
    <row r="242" ht="22.5" customHeight="1">
      <c r="A242" s="3">
        <v>247.0</v>
      </c>
      <c r="B242" s="3" t="s">
        <v>2187</v>
      </c>
      <c r="C242" s="3" t="s">
        <v>2171</v>
      </c>
      <c r="D242" s="3" t="s">
        <v>1828</v>
      </c>
      <c r="E242" s="2"/>
      <c r="F242" s="3" t="str">
        <f>IFERROR(__xludf.DUMMYFUNCTION("GOOGLETRANSLATE(A242, ""it"", ""en"")"),"247")</f>
        <v>247</v>
      </c>
      <c r="G242" s="3" t="str">
        <f>IFERROR(__xludf.DUMMYFUNCTION("GOOGLETRANSLATE(B242, ""it"", ""en"")"),"If a player throws a ball that goes out of bounds but touches another ball, what happens?")</f>
        <v>If a player throws a ball that goes out of bounds but touches another ball, what happens?</v>
      </c>
      <c r="H242" s="3" t="str">
        <f>IFERROR(__xludf.DUMMYFUNCTION("GOOGLETRANSLATE(C242, ""it"", ""en"")"),"A. The point goes to the team that threw it B. The game continues normally C. The point goes to the opponent D. The ball is replaced")</f>
        <v>A. The point goes to the team that threw it B. The game continues normally C. The point goes to the opponent D. The ball is replaced</v>
      </c>
      <c r="I242" s="3" t="str">
        <f>IFERROR(__xludf.DUMMYFUNCTION("GOOGLETRANSLATE(D242, ""it"", ""en"")"),"The point goes to the team that threw")</f>
        <v>The point goes to the team that threw</v>
      </c>
      <c r="J242" s="2"/>
      <c r="K242" s="2"/>
      <c r="L242" s="2"/>
      <c r="M242" s="2"/>
      <c r="N242" s="2"/>
      <c r="O242" s="2"/>
      <c r="P242" s="2"/>
      <c r="Q242" s="2"/>
      <c r="R242" s="2"/>
    </row>
    <row r="243" ht="22.5" customHeight="1">
      <c r="A243" s="3">
        <v>248.0</v>
      </c>
      <c r="B243" s="3" t="s">
        <v>2188</v>
      </c>
      <c r="C243" s="3" t="s">
        <v>2171</v>
      </c>
      <c r="D243" s="3" t="s">
        <v>1828</v>
      </c>
      <c r="E243" s="2"/>
      <c r="F243" s="3" t="str">
        <f>IFERROR(__xludf.DUMMYFUNCTION("GOOGLETRANSLATE(A243, ""it"", ""en"")"),"248")</f>
        <v>248</v>
      </c>
      <c r="G243" s="3" t="str">
        <f>IFERROR(__xludf.DUMMYFUNCTION("GOOGLETRANSLATE(B243, ""it"", ""en"")"),"If a player throws a ball and it lands on an opponent's ball, what happens?")</f>
        <v>If a player throws a ball and it lands on an opponent's ball, what happens?</v>
      </c>
      <c r="H243" s="3" t="str">
        <f>IFERROR(__xludf.DUMMYFUNCTION("GOOGLETRANSLATE(C243, ""it"", ""en"")"),"A. The point goes to the team that threw it B. The game continues normally C. The point goes to the opponent D. The ball is replaced")</f>
        <v>A. The point goes to the team that threw it B. The game continues normally C. The point goes to the opponent D. The ball is replaced</v>
      </c>
      <c r="I243" s="3" t="str">
        <f>IFERROR(__xludf.DUMMYFUNCTION("GOOGLETRANSLATE(D243, ""it"", ""en"")"),"The point goes to the team that threw")</f>
        <v>The point goes to the team that threw</v>
      </c>
      <c r="J243" s="2"/>
      <c r="K243" s="2"/>
      <c r="L243" s="2"/>
      <c r="M243" s="2"/>
      <c r="N243" s="2"/>
      <c r="O243" s="2"/>
      <c r="P243" s="2"/>
      <c r="Q243" s="2"/>
      <c r="R243" s="2"/>
    </row>
    <row r="244" ht="22.5" customHeight="1">
      <c r="A244" s="3">
        <v>249.0</v>
      </c>
      <c r="B244" s="3" t="s">
        <v>2189</v>
      </c>
      <c r="C244" s="3" t="s">
        <v>2154</v>
      </c>
      <c r="D244" s="3" t="s">
        <v>1840</v>
      </c>
      <c r="E244" s="2"/>
      <c r="F244" s="3" t="str">
        <f>IFERROR(__xludf.DUMMYFUNCTION("GOOGLETRANSLATE(A244, ""it"", ""en"")"),"249")</f>
        <v>249</v>
      </c>
      <c r="G244" s="3" t="str">
        <f>IFERROR(__xludf.DUMMYFUNCTION("GOOGLETRANSLATE(B244, ""it"", ""en"")"),"If a ball touches the throwing line but doesn't cross it, what happens?")</f>
        <v>If a ball touches the throwing line but doesn't cross it, what happens?</v>
      </c>
      <c r="H244" s="3" t="str">
        <f>IFERROR(__xludf.DUMMYFUNCTION("GOOGLETRANSLATE(C244, ""it"", ""en"")"),"A. The throw is cancelled B. The point goes to the team that threw it C. The game continues normally D. The ball is replaced")</f>
        <v>A. The throw is cancelled B. The point goes to the team that threw it C. The game continues normally D. The ball is replaced</v>
      </c>
      <c r="I244" s="3" t="str">
        <f>IFERROR(__xludf.DUMMYFUNCTION("GOOGLETRANSLATE(D244, ""it"", ""en"")"),"The launch is cancelled")</f>
        <v>The launch is cancelled</v>
      </c>
      <c r="J244" s="2"/>
      <c r="K244" s="2"/>
      <c r="L244" s="2"/>
      <c r="M244" s="2"/>
      <c r="N244" s="2"/>
      <c r="O244" s="2"/>
      <c r="P244" s="2"/>
      <c r="Q244" s="2"/>
      <c r="R244" s="2"/>
    </row>
    <row r="245" ht="22.5" customHeight="1">
      <c r="A245" s="3">
        <v>250.0</v>
      </c>
      <c r="B245" s="3" t="s">
        <v>2190</v>
      </c>
      <c r="C245" s="3" t="s">
        <v>2120</v>
      </c>
      <c r="D245" s="3" t="s">
        <v>2085</v>
      </c>
      <c r="E245" s="2"/>
      <c r="F245" s="3" t="str">
        <f>IFERROR(__xludf.DUMMYFUNCTION("GOOGLETRANSLATE(A245, ""it"", ""en"")"),"250")</f>
        <v>250</v>
      </c>
      <c r="G245" s="3" t="str">
        <f>IFERROR(__xludf.DUMMYFUNCTION("GOOGLETRANSLATE(B245, ""it"", ""en"")"),"If a player throws a ball and it goes out of bounds but doesn't touch anything, what happens?")</f>
        <v>If a player throws a ball and it goes out of bounds but doesn't touch anything, what happens?</v>
      </c>
      <c r="H245" s="3" t="str">
        <f>IFERROR(__xludf.DUMMYFUNCTION("GOOGLETRANSLATE(C245, ""it"", ""en"")"),"A. The point goes to the opponent B. The game continues normally C. The throw is cancelled D. The ball is replaced")</f>
        <v>A. The point goes to the opponent B. The game continues normally C. The throw is cancelled D. The ball is replaced</v>
      </c>
      <c r="I245" s="3" t="str">
        <f>IFERROR(__xludf.DUMMYFUNCTION("GOOGLETRANSLATE(D245, ""it"", ""en"")"),"The point goes to the opponent")</f>
        <v>The point goes to the opponent</v>
      </c>
      <c r="J245" s="2"/>
      <c r="K245" s="2"/>
      <c r="L245" s="2"/>
      <c r="M245" s="2"/>
      <c r="N245" s="2"/>
      <c r="O245" s="2"/>
      <c r="P245" s="2"/>
      <c r="Q245" s="2"/>
      <c r="R245" s="2"/>
    </row>
    <row r="246" ht="22.5" customHeight="1">
      <c r="A246" s="3">
        <v>251.0</v>
      </c>
      <c r="B246" s="3" t="s">
        <v>2191</v>
      </c>
      <c r="C246" s="3" t="s">
        <v>2096</v>
      </c>
      <c r="D246" s="3" t="s">
        <v>1828</v>
      </c>
      <c r="E246" s="2"/>
      <c r="F246" s="3" t="str">
        <f>IFERROR(__xludf.DUMMYFUNCTION("GOOGLETRANSLATE(A246, ""it"", ""en"")"),"251")</f>
        <v>251</v>
      </c>
      <c r="G246" s="3" t="str">
        <f>IFERROR(__xludf.DUMMYFUNCTION("GOOGLETRANSLATE(B246, ""it"", ""en"")"),"If a player throws a ball and it touches an opponent's ball but doesn't move the jack, what happens?")</f>
        <v>If a player throws a ball and it touches an opponent's ball but doesn't move the jack, what happens?</v>
      </c>
      <c r="H246" s="3" t="str">
        <f>IFERROR(__xludf.DUMMYFUNCTION("GOOGLETRANSLATE(C246,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46" s="3" t="str">
        <f>IFERROR(__xludf.DUMMYFUNCTION("GOOGLETRANSLATE(D246, ""it"", ""en"")"),"The point goes to the team that threw")</f>
        <v>The point goes to the team that threw</v>
      </c>
      <c r="J246" s="2"/>
      <c r="K246" s="2"/>
      <c r="L246" s="2"/>
      <c r="M246" s="2"/>
      <c r="N246" s="2"/>
      <c r="O246" s="2"/>
      <c r="P246" s="2"/>
      <c r="Q246" s="2"/>
      <c r="R246" s="2"/>
    </row>
    <row r="247" ht="22.5" customHeight="1">
      <c r="A247" s="3">
        <v>252.0</v>
      </c>
      <c r="B247" s="3" t="s">
        <v>2192</v>
      </c>
      <c r="C247" s="3" t="s">
        <v>2096</v>
      </c>
      <c r="D247" s="3" t="s">
        <v>1828</v>
      </c>
      <c r="E247" s="2"/>
      <c r="F247" s="3" t="str">
        <f>IFERROR(__xludf.DUMMYFUNCTION("GOOGLETRANSLATE(A247, ""it"", ""en"")"),"252")</f>
        <v>252</v>
      </c>
      <c r="G247" s="3" t="str">
        <f>IFERROR(__xludf.DUMMYFUNCTION("GOOGLETRANSLATE(B247, ""it"", ""en"")"),"If a player throws a ball and it touches an opponent's ball that moves but doesn't change the position of the jack, what happens?")</f>
        <v>If a player throws a ball and it touches an opponent's ball that moves but doesn't change the position of the jack, what happens?</v>
      </c>
      <c r="H247" s="3" t="str">
        <f>IFERROR(__xludf.DUMMYFUNCTION("GOOGLETRANSLATE(C247,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47" s="3" t="str">
        <f>IFERROR(__xludf.DUMMYFUNCTION("GOOGLETRANSLATE(D247, ""it"", ""en"")"),"The point goes to the team that threw")</f>
        <v>The point goes to the team that threw</v>
      </c>
      <c r="J247" s="2"/>
      <c r="K247" s="2"/>
      <c r="L247" s="2"/>
      <c r="M247" s="2"/>
      <c r="N247" s="2"/>
      <c r="O247" s="2"/>
      <c r="P247" s="2"/>
      <c r="Q247" s="2"/>
      <c r="R247" s="2"/>
    </row>
    <row r="248" ht="22.5" customHeight="1">
      <c r="A248" s="3">
        <v>253.0</v>
      </c>
      <c r="B248" s="3" t="s">
        <v>2193</v>
      </c>
      <c r="C248" s="3" t="s">
        <v>2091</v>
      </c>
      <c r="D248" s="3" t="s">
        <v>1828</v>
      </c>
      <c r="E248" s="2"/>
      <c r="F248" s="3" t="str">
        <f>IFERROR(__xludf.DUMMYFUNCTION("GOOGLETRANSLATE(A248, ""it"", ""en"")"),"253")</f>
        <v>253</v>
      </c>
      <c r="G248" s="3" t="str">
        <f>IFERROR(__xludf.DUMMYFUNCTION("GOOGLETRANSLATE(B248, ""it"", ""en"")"),"If a player throws a boccia and it hits the jack, but doesn't move it, what happens?")</f>
        <v>If a player throws a boccia and it hits the jack, but doesn't move it, what happens?</v>
      </c>
      <c r="H248" s="3" t="str">
        <f>IFERROR(__xludf.DUMMYFUNCTION("GOOGLETRANSLATE(C248, ""it"", ""en"")"),"A. The point goes to the team that threw B. The game continues normally C. The point goes to the opponent D. The jack is replaced")</f>
        <v>A. The point goes to the team that threw B. The game continues normally C. The point goes to the opponent D. The jack is replaced</v>
      </c>
      <c r="I248" s="3" t="str">
        <f>IFERROR(__xludf.DUMMYFUNCTION("GOOGLETRANSLATE(D248, ""it"", ""en"")"),"The point goes to the team that threw")</f>
        <v>The point goes to the team that threw</v>
      </c>
      <c r="J248" s="2"/>
      <c r="K248" s="2"/>
      <c r="L248" s="2"/>
      <c r="M248" s="2"/>
      <c r="N248" s="2"/>
      <c r="O248" s="2"/>
      <c r="P248" s="2"/>
      <c r="Q248" s="2"/>
      <c r="R248" s="2"/>
    </row>
    <row r="249" ht="22.5" customHeight="1">
      <c r="A249" s="3">
        <v>254.0</v>
      </c>
      <c r="B249" s="3" t="s">
        <v>2194</v>
      </c>
      <c r="C249" s="3" t="s">
        <v>2171</v>
      </c>
      <c r="D249" s="3" t="s">
        <v>1828</v>
      </c>
      <c r="E249" s="2"/>
      <c r="F249" s="3" t="str">
        <f>IFERROR(__xludf.DUMMYFUNCTION("GOOGLETRANSLATE(A249, ""it"", ""en"")"),"254")</f>
        <v>254</v>
      </c>
      <c r="G249" s="3" t="str">
        <f>IFERROR(__xludf.DUMMYFUNCTION("GOOGLETRANSLATE(B249, ""it"", ""en"")"),"If a player throws the ball and it moves slightly but the position of the jack doesn't change, what happens?")</f>
        <v>If a player throws the ball and it moves slightly but the position of the jack doesn't change, what happens?</v>
      </c>
      <c r="H249" s="3" t="str">
        <f>IFERROR(__xludf.DUMMYFUNCTION("GOOGLETRANSLATE(C249, ""it"", ""en"")"),"A. The point goes to the team that threw it B. The game continues normally C. The point goes to the opponent D. The ball is replaced")</f>
        <v>A. The point goes to the team that threw it B. The game continues normally C. The point goes to the opponent D. The ball is replaced</v>
      </c>
      <c r="I249" s="3" t="str">
        <f>IFERROR(__xludf.DUMMYFUNCTION("GOOGLETRANSLATE(D249, ""it"", ""en"")"),"The point goes to the team that threw")</f>
        <v>The point goes to the team that threw</v>
      </c>
      <c r="J249" s="2"/>
      <c r="K249" s="2"/>
      <c r="L249" s="2"/>
      <c r="M249" s="2"/>
      <c r="N249" s="2"/>
      <c r="O249" s="2"/>
      <c r="P249" s="2"/>
      <c r="Q249" s="2"/>
      <c r="R249" s="2"/>
    </row>
    <row r="250" ht="22.5" customHeight="1">
      <c r="A250" s="3">
        <v>255.0</v>
      </c>
      <c r="B250" s="3" t="s">
        <v>2195</v>
      </c>
      <c r="C250" s="3" t="s">
        <v>2096</v>
      </c>
      <c r="D250" s="3" t="s">
        <v>1828</v>
      </c>
      <c r="E250" s="2"/>
      <c r="F250" s="3" t="str">
        <f>IFERROR(__xludf.DUMMYFUNCTION("GOOGLETRANSLATE(A250, ""it"", ""en"")"),"255")</f>
        <v>255</v>
      </c>
      <c r="G250" s="3" t="str">
        <f>IFERROR(__xludf.DUMMYFUNCTION("GOOGLETRANSLATE(B250, ""it"", ""en"")"),"If a player throws a boule that hits an opponent's boule but doesn't move it, what happens?")</f>
        <v>If a player throws a boule that hits an opponent's boule but doesn't move it, what happens?</v>
      </c>
      <c r="H250" s="3" t="str">
        <f>IFERROR(__xludf.DUMMYFUNCTION("GOOGLETRANSLATE(C250,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50" s="3" t="str">
        <f>IFERROR(__xludf.DUMMYFUNCTION("GOOGLETRANSLATE(D250, ""it"", ""en"")"),"The point goes to the team that threw")</f>
        <v>The point goes to the team that threw</v>
      </c>
      <c r="J250" s="2"/>
      <c r="K250" s="2"/>
      <c r="L250" s="2"/>
      <c r="M250" s="2"/>
      <c r="N250" s="2"/>
      <c r="O250" s="2"/>
      <c r="P250" s="2"/>
      <c r="Q250" s="2"/>
      <c r="R250" s="2"/>
    </row>
    <row r="251" ht="22.5" customHeight="1">
      <c r="A251" s="3">
        <v>256.0</v>
      </c>
      <c r="B251" s="3" t="s">
        <v>2196</v>
      </c>
      <c r="C251" s="3" t="s">
        <v>2197</v>
      </c>
      <c r="D251" s="3" t="s">
        <v>21</v>
      </c>
      <c r="E251" s="2"/>
      <c r="F251" s="3" t="str">
        <f>IFERROR(__xludf.DUMMYFUNCTION("GOOGLETRANSLATE(A251, ""it"", ""en"")"),"256")</f>
        <v>256</v>
      </c>
      <c r="G251" s="3" t="str">
        <f>IFERROR(__xludf.DUMMYFUNCTION("GOOGLETRANSLATE(B251, ""it"", ""en"")"),"If a player throws a ball and it hits the opponent's ball but doesn't move it, what happens?")</f>
        <v>If a player throws a ball and it hits the opponent's ball but doesn't move it, what happens?</v>
      </c>
      <c r="H251" s="3" t="str">
        <f>IFERROR(__xludf.DUMMYFUNCTION("GOOGLETRANSLATE(C251, ""it"", ""en"")"),"A. The game continues normally B. The point goes to the team that threw C. The point goes to the opponent D. The opponent's ball is removed")</f>
        <v>A. The game continues normally B. The point goes to the team that threw C. The point goes to the opponent D. The opponent's ball is removed</v>
      </c>
      <c r="I251" s="3" t="str">
        <f>IFERROR(__xludf.DUMMYFUNCTION("GOOGLETRANSLATE(D251, ""it"", ""en"")"),"The game continues normally")</f>
        <v>The game continues normally</v>
      </c>
      <c r="J251" s="2"/>
      <c r="K251" s="2"/>
      <c r="L251" s="2"/>
      <c r="M251" s="2"/>
      <c r="N251" s="2"/>
      <c r="O251" s="2"/>
      <c r="P251" s="2"/>
      <c r="Q251" s="2"/>
      <c r="R251" s="2"/>
    </row>
    <row r="252" ht="22.5" customHeight="1">
      <c r="A252" s="3">
        <v>257.0</v>
      </c>
      <c r="B252" s="3" t="s">
        <v>2136</v>
      </c>
      <c r="C252" s="3" t="s">
        <v>2078</v>
      </c>
      <c r="D252" s="3" t="s">
        <v>1828</v>
      </c>
      <c r="E252" s="2"/>
      <c r="F252" s="3" t="str">
        <f>IFERROR(__xludf.DUMMYFUNCTION("GOOGLETRANSLATE(A252, ""it"", ""en"")"),"257")</f>
        <v>257</v>
      </c>
      <c r="G252" s="3" t="str">
        <f>IFERROR(__xludf.DUMMYFUNCTION("GOOGLETRANSLATE(B252, ""it"", ""en"")"),"If a player throws the ball and it hits the jack but doesn't move it, what happens?")</f>
        <v>If a player throws the ball and it hits the jack but doesn't move it, what happens?</v>
      </c>
      <c r="H252" s="3" t="str">
        <f>IFERROR(__xludf.DUMMYFUNCTION("GOOGLETRANSLATE(C252, ""it"", ""en"")"),"A. The point goes to the team that threw it B. The jack is replaced C. The point goes to the opponent D. The game continues normally")</f>
        <v>A. The point goes to the team that threw it B. The jack is replaced C. The point goes to the opponent D. The game continues normally</v>
      </c>
      <c r="I252" s="3" t="str">
        <f>IFERROR(__xludf.DUMMYFUNCTION("GOOGLETRANSLATE(D252, ""it"", ""en"")"),"The point goes to the team that threw")</f>
        <v>The point goes to the team that threw</v>
      </c>
      <c r="J252" s="2"/>
      <c r="K252" s="2"/>
      <c r="L252" s="2"/>
      <c r="M252" s="2"/>
      <c r="N252" s="2"/>
      <c r="O252" s="2"/>
      <c r="P252" s="2"/>
      <c r="Q252" s="2"/>
      <c r="R252" s="2"/>
    </row>
    <row r="253" ht="22.5" customHeight="1">
      <c r="A253" s="3">
        <v>258.0</v>
      </c>
      <c r="B253" s="3" t="s">
        <v>2182</v>
      </c>
      <c r="C253" s="3" t="s">
        <v>2042</v>
      </c>
      <c r="D253" s="3" t="s">
        <v>1828</v>
      </c>
      <c r="E253" s="2"/>
      <c r="F253" s="3" t="str">
        <f>IFERROR(__xludf.DUMMYFUNCTION("GOOGLETRANSLATE(A253, ""it"", ""en"")"),"258")</f>
        <v>258</v>
      </c>
      <c r="G253" s="3" t="str">
        <f>IFERROR(__xludf.DUMMYFUNCTION("GOOGLETRANSLATE(B253, ""it"", ""en"")"),"If a player throws a ball and it touches the baseline but doesn't cross it, what happens?")</f>
        <v>If a player throws a ball and it touches the baseline but doesn't cross it, what happens?</v>
      </c>
      <c r="H253" s="3" t="str">
        <f>IFERROR(__xludf.DUMMYFUNCTION("GOOGLETRANSLATE(C253, ""it"", ""en"")"),"A. The point goes to the team that threw B. The throw is cancelled C. The game continues normally D. The ball is replaced")</f>
        <v>A. The point goes to the team that threw B. The throw is cancelled C. The game continues normally D. The ball is replaced</v>
      </c>
      <c r="I253" s="3" t="str">
        <f>IFERROR(__xludf.DUMMYFUNCTION("GOOGLETRANSLATE(D253, ""it"", ""en"")"),"The point goes to the team that threw")</f>
        <v>The point goes to the team that threw</v>
      </c>
      <c r="J253" s="2"/>
      <c r="K253" s="2"/>
      <c r="L253" s="2"/>
      <c r="M253" s="2"/>
      <c r="N253" s="2"/>
      <c r="O253" s="2"/>
      <c r="P253" s="2"/>
      <c r="Q253" s="2"/>
      <c r="R253" s="2"/>
    </row>
    <row r="254" ht="22.5" customHeight="1">
      <c r="A254" s="3">
        <v>259.0</v>
      </c>
      <c r="B254" s="3" t="s">
        <v>2198</v>
      </c>
      <c r="C254" s="3" t="s">
        <v>2171</v>
      </c>
      <c r="D254" s="3" t="s">
        <v>1828</v>
      </c>
      <c r="E254" s="2"/>
      <c r="F254" s="3" t="str">
        <f>IFERROR(__xludf.DUMMYFUNCTION("GOOGLETRANSLATE(A254, ""it"", ""en"")"),"259")</f>
        <v>259</v>
      </c>
      <c r="G254" s="3" t="str">
        <f>IFERROR(__xludf.DUMMYFUNCTION("GOOGLETRANSLATE(B254, ""it"", ""en"")"),"If a player throws the ball and it stops less than a meter from the jack, what happens?")</f>
        <v>If a player throws the ball and it stops less than a meter from the jack, what happens?</v>
      </c>
      <c r="H254" s="3" t="str">
        <f>IFERROR(__xludf.DUMMYFUNCTION("GOOGLETRANSLATE(C254, ""it"", ""en"")"),"A. The point goes to the team that threw it B. The game continues normally C. The point goes to the opponent D. The ball is replaced")</f>
        <v>A. The point goes to the team that threw it B. The game continues normally C. The point goes to the opponent D. The ball is replaced</v>
      </c>
      <c r="I254" s="3" t="str">
        <f>IFERROR(__xludf.DUMMYFUNCTION("GOOGLETRANSLATE(D254, ""it"", ""en"")"),"The point goes to the team that threw")</f>
        <v>The point goes to the team that threw</v>
      </c>
      <c r="J254" s="2"/>
      <c r="K254" s="2"/>
      <c r="L254" s="2"/>
      <c r="M254" s="2"/>
      <c r="N254" s="2"/>
      <c r="O254" s="2"/>
      <c r="P254" s="2"/>
      <c r="Q254" s="2"/>
      <c r="R254" s="2"/>
    </row>
    <row r="255" ht="22.5" customHeight="1">
      <c r="A255" s="3">
        <v>260.0</v>
      </c>
      <c r="B255" s="3" t="s">
        <v>2199</v>
      </c>
      <c r="C255" s="3" t="s">
        <v>2120</v>
      </c>
      <c r="D255" s="3" t="s">
        <v>2085</v>
      </c>
      <c r="E255" s="2"/>
      <c r="F255" s="3" t="str">
        <f>IFERROR(__xludf.DUMMYFUNCTION("GOOGLETRANSLATE(A255, ""it"", ""en"")"),"260")</f>
        <v>260</v>
      </c>
      <c r="G255" s="3" t="str">
        <f>IFERROR(__xludf.DUMMYFUNCTION("GOOGLETRANSLATE(B255, ""it"", ""en"")"),"If a player throws the ball too hard and it goes out of bounds without hitting anything, what happens?")</f>
        <v>If a player throws the ball too hard and it goes out of bounds without hitting anything, what happens?</v>
      </c>
      <c r="H255" s="3" t="str">
        <f>IFERROR(__xludf.DUMMYFUNCTION("GOOGLETRANSLATE(C255, ""it"", ""en"")"),"A. The point goes to the opponent B. The game continues normally C. The throw is cancelled D. The ball is replaced")</f>
        <v>A. The point goes to the opponent B. The game continues normally C. The throw is cancelled D. The ball is replaced</v>
      </c>
      <c r="I255" s="3" t="str">
        <f>IFERROR(__xludf.DUMMYFUNCTION("GOOGLETRANSLATE(D255, ""it"", ""en"")"),"The point goes to the opponent")</f>
        <v>The point goes to the opponent</v>
      </c>
      <c r="J255" s="2"/>
      <c r="K255" s="2"/>
      <c r="L255" s="2"/>
      <c r="M255" s="2"/>
      <c r="N255" s="2"/>
      <c r="O255" s="2"/>
      <c r="P255" s="2"/>
      <c r="Q255" s="2"/>
      <c r="R255" s="2"/>
    </row>
    <row r="256" ht="22.5" customHeight="1">
      <c r="A256" s="3">
        <v>261.0</v>
      </c>
      <c r="B256" s="3" t="s">
        <v>2200</v>
      </c>
      <c r="C256" s="3" t="s">
        <v>2049</v>
      </c>
      <c r="D256" s="3" t="s">
        <v>1834</v>
      </c>
      <c r="E256" s="2"/>
      <c r="F256" s="3" t="str">
        <f>IFERROR(__xludf.DUMMYFUNCTION("GOOGLETRANSLATE(A256, ""it"", ""en"")"),"261")</f>
        <v>261</v>
      </c>
      <c r="G256" s="3" t="str">
        <f>IFERROR(__xludf.DUMMYFUNCTION("GOOGLETRANSLATE(B256, ""it"", ""en"")"),"If the cue ball is accidentally moved by a player, what happens?")</f>
        <v>If the cue ball is accidentally moved by a player, what happens?</v>
      </c>
      <c r="H256" s="3" t="str">
        <f>IFERROR(__xludf.DUMMYFUNCTION("GOOGLETRANSLATE(C256, ""it"", ""en"")"),"A. The jack is replaced B. The point goes to the team that threw it C. Play continues normally D. The jack is removed")</f>
        <v>A. The jack is replaced B. The point goes to the team that threw it C. Play continues normally D. The jack is removed</v>
      </c>
      <c r="I256" s="3" t="str">
        <f>IFERROR(__xludf.DUMMYFUNCTION("GOOGLETRANSLATE(D256, ""it"", ""en"")"),"The ball is repositioned")</f>
        <v>The ball is repositioned</v>
      </c>
      <c r="J256" s="2"/>
      <c r="K256" s="2"/>
      <c r="L256" s="2"/>
      <c r="M256" s="2"/>
      <c r="N256" s="2"/>
      <c r="O256" s="2"/>
      <c r="P256" s="2"/>
      <c r="Q256" s="2"/>
      <c r="R256" s="2"/>
    </row>
    <row r="257" ht="22.5" customHeight="1">
      <c r="A257" s="3">
        <v>262.0</v>
      </c>
      <c r="B257" s="3" t="s">
        <v>2201</v>
      </c>
      <c r="C257" s="3" t="s">
        <v>2093</v>
      </c>
      <c r="D257" s="3" t="s">
        <v>2085</v>
      </c>
      <c r="E257" s="2"/>
      <c r="F257" s="3" t="str">
        <f>IFERROR(__xludf.DUMMYFUNCTION("GOOGLETRANSLATE(A257, ""it"", ""en"")"),"262")</f>
        <v>262</v>
      </c>
      <c r="G257" s="3" t="str">
        <f>IFERROR(__xludf.DUMMYFUNCTION("GOOGLETRANSLATE(B257, ""it"", ""en"")"),"If a player throws a ball and it goes over the baseline without touching anything, what happens?")</f>
        <v>If a player throws a ball and it goes over the baseline without touching anything, what happens?</v>
      </c>
      <c r="H257" s="3" t="str">
        <f>IFERROR(__xludf.DUMMYFUNCTION("GOOGLETRANSLATE(C257, ""it"", ""en"")"),"A. The point goes to the opponent B. The throw is cancelled C. The game continues normally D. The ball is replaced")</f>
        <v>A. The point goes to the opponent B. The throw is cancelled C. The game continues normally D. The ball is replaced</v>
      </c>
      <c r="I257" s="3" t="str">
        <f>IFERROR(__xludf.DUMMYFUNCTION("GOOGLETRANSLATE(D257, ""it"", ""en"")"),"The point goes to the opponent")</f>
        <v>The point goes to the opponent</v>
      </c>
      <c r="J257" s="2"/>
      <c r="K257" s="2"/>
      <c r="L257" s="2"/>
      <c r="M257" s="2"/>
      <c r="N257" s="2"/>
      <c r="O257" s="2"/>
      <c r="P257" s="2"/>
      <c r="Q257" s="2"/>
      <c r="R257" s="2"/>
    </row>
    <row r="258" ht="22.5" customHeight="1">
      <c r="A258" s="3">
        <v>263.0</v>
      </c>
      <c r="B258" s="3" t="s">
        <v>2202</v>
      </c>
      <c r="C258" s="3" t="s">
        <v>2166</v>
      </c>
      <c r="D258" s="3" t="s">
        <v>1828</v>
      </c>
      <c r="E258" s="2"/>
      <c r="F258" s="3" t="str">
        <f>IFERROR(__xludf.DUMMYFUNCTION("GOOGLETRANSLATE(A258, ""it"", ""en"")"),"263")</f>
        <v>263</v>
      </c>
      <c r="G258" s="3" t="str">
        <f>IFERROR(__xludf.DUMMYFUNCTION("GOOGLETRANSLATE(B258, ""it"", ""en"")"),"If a ball touches the baseline but doesn't cross it, what happens?")</f>
        <v>If a ball touches the baseline but doesn't cross it, what happens?</v>
      </c>
      <c r="H258" s="3" t="str">
        <f>IFERROR(__xludf.DUMMYFUNCTION("GOOGLETRANSLATE(C258, ""it"", ""en"")"),"A. The point goes to the team that threw B. The throw is cancelled C. The game continues normally D. The point goes to the opponent")</f>
        <v>A. The point goes to the team that threw B. The throw is cancelled C. The game continues normally D. The point goes to the opponent</v>
      </c>
      <c r="I258" s="3" t="str">
        <f>IFERROR(__xludf.DUMMYFUNCTION("GOOGLETRANSLATE(D258, ""it"", ""en"")"),"The point goes to the team that threw")</f>
        <v>The point goes to the team that threw</v>
      </c>
      <c r="J258" s="2"/>
      <c r="K258" s="2"/>
      <c r="L258" s="2"/>
      <c r="M258" s="2"/>
      <c r="N258" s="2"/>
      <c r="O258" s="2"/>
      <c r="P258" s="2"/>
      <c r="Q258" s="2"/>
      <c r="R258" s="2"/>
    </row>
    <row r="259" ht="22.5" customHeight="1">
      <c r="A259" s="3">
        <v>264.0</v>
      </c>
      <c r="B259" s="3" t="s">
        <v>2203</v>
      </c>
      <c r="C259" s="3" t="s">
        <v>2120</v>
      </c>
      <c r="D259" s="3" t="s">
        <v>2085</v>
      </c>
      <c r="E259" s="2"/>
      <c r="F259" s="3" t="str">
        <f>IFERROR(__xludf.DUMMYFUNCTION("GOOGLETRANSLATE(A259, ""it"", ""en"")"),"264")</f>
        <v>264</v>
      </c>
      <c r="G259" s="3" t="str">
        <f>IFERROR(__xludf.DUMMYFUNCTION("GOOGLETRANSLATE(B259, ""it"", ""en"")"),"If a player throws the ball too hard and it lands behind the baseline without touching anything, what happens?")</f>
        <v>If a player throws the ball too hard and it lands behind the baseline without touching anything, what happens?</v>
      </c>
      <c r="H259" s="3" t="str">
        <f>IFERROR(__xludf.DUMMYFUNCTION("GOOGLETRANSLATE(C259, ""it"", ""en"")"),"A. The point goes to the opponent B. The game continues normally C. The throw is cancelled D. The ball is replaced")</f>
        <v>A. The point goes to the opponent B. The game continues normally C. The throw is cancelled D. The ball is replaced</v>
      </c>
      <c r="I259" s="3" t="str">
        <f>IFERROR(__xludf.DUMMYFUNCTION("GOOGLETRANSLATE(D259, ""it"", ""en"")"),"The point goes to the opponent")</f>
        <v>The point goes to the opponent</v>
      </c>
      <c r="J259" s="2"/>
      <c r="K259" s="2"/>
      <c r="L259" s="2"/>
      <c r="M259" s="2"/>
      <c r="N259" s="2"/>
      <c r="O259" s="2"/>
      <c r="P259" s="2"/>
      <c r="Q259" s="2"/>
      <c r="R259" s="2"/>
    </row>
    <row r="260" ht="22.5" customHeight="1">
      <c r="A260" s="3">
        <v>265.0</v>
      </c>
      <c r="B260" s="3" t="s">
        <v>2204</v>
      </c>
      <c r="C260" s="3" t="s">
        <v>2197</v>
      </c>
      <c r="D260" s="3" t="s">
        <v>21</v>
      </c>
      <c r="E260" s="2"/>
      <c r="F260" s="3" t="str">
        <f>IFERROR(__xludf.DUMMYFUNCTION("GOOGLETRANSLATE(A260, ""it"", ""en"")"),"265")</f>
        <v>265</v>
      </c>
      <c r="G260" s="3" t="str">
        <f>IFERROR(__xludf.DUMMYFUNCTION("GOOGLETRANSLATE(B260, ""it"", ""en"")"),"If a player throws the ball and it touches the opponent's ball, but the position of the jack does not change, what happens?")</f>
        <v>If a player throws the ball and it touches the opponent's ball, but the position of the jack does not change, what happens?</v>
      </c>
      <c r="H260" s="3" t="str">
        <f>IFERROR(__xludf.DUMMYFUNCTION("GOOGLETRANSLATE(C260, ""it"", ""en"")"),"A. The game continues normally B. The point goes to the team that threw C. The point goes to the opponent D. The opponent's ball is removed")</f>
        <v>A. The game continues normally B. The point goes to the team that threw C. The point goes to the opponent D. The opponent's ball is removed</v>
      </c>
      <c r="I260" s="3" t="str">
        <f>IFERROR(__xludf.DUMMYFUNCTION("GOOGLETRANSLATE(D260, ""it"", ""en"")"),"The game continues normally")</f>
        <v>The game continues normally</v>
      </c>
      <c r="J260" s="2"/>
      <c r="K260" s="2"/>
      <c r="L260" s="2"/>
      <c r="M260" s="2"/>
      <c r="N260" s="2"/>
      <c r="O260" s="2"/>
      <c r="P260" s="2"/>
      <c r="Q260" s="2"/>
      <c r="R260" s="2"/>
    </row>
    <row r="261" ht="22.5" customHeight="1">
      <c r="A261" s="3">
        <v>266.0</v>
      </c>
      <c r="B261" s="3" t="s">
        <v>2205</v>
      </c>
      <c r="C261" s="3" t="s">
        <v>2197</v>
      </c>
      <c r="D261" s="3" t="s">
        <v>21</v>
      </c>
      <c r="E261" s="2"/>
      <c r="F261" s="3" t="str">
        <f>IFERROR(__xludf.DUMMYFUNCTION("GOOGLETRANSLATE(A261, ""it"", ""en"")"),"266")</f>
        <v>266</v>
      </c>
      <c r="G261" s="3" t="str">
        <f>IFERROR(__xludf.DUMMYFUNCTION("GOOGLETRANSLATE(B261, ""it"", ""en"")"),"If a player throws a ball and it touches an opponent's ball, but doesn't move it, what happens?")</f>
        <v>If a player throws a ball and it touches an opponent's ball, but doesn't move it, what happens?</v>
      </c>
      <c r="H261" s="3" t="str">
        <f>IFERROR(__xludf.DUMMYFUNCTION("GOOGLETRANSLATE(C261, ""it"", ""en"")"),"A. The game continues normally B. The point goes to the team that threw C. The point goes to the opponent D. The opponent's ball is removed")</f>
        <v>A. The game continues normally B. The point goes to the team that threw C. The point goes to the opponent D. The opponent's ball is removed</v>
      </c>
      <c r="I261" s="3" t="str">
        <f>IFERROR(__xludf.DUMMYFUNCTION("GOOGLETRANSLATE(D261, ""it"", ""en"")"),"The game continues normally")</f>
        <v>The game continues normally</v>
      </c>
      <c r="J261" s="2"/>
      <c r="K261" s="2"/>
      <c r="L261" s="2"/>
      <c r="M261" s="2"/>
      <c r="N261" s="2"/>
      <c r="O261" s="2"/>
      <c r="P261" s="2"/>
      <c r="Q261" s="2"/>
      <c r="R261" s="2"/>
    </row>
    <row r="262" ht="22.5" customHeight="1">
      <c r="A262" s="3">
        <v>267.0</v>
      </c>
      <c r="B262" s="3" t="s">
        <v>2206</v>
      </c>
      <c r="C262" s="3" t="s">
        <v>2105</v>
      </c>
      <c r="D262" s="3" t="s">
        <v>1828</v>
      </c>
      <c r="E262" s="2"/>
      <c r="F262" s="3" t="str">
        <f>IFERROR(__xludf.DUMMYFUNCTION("GOOGLETRANSLATE(A262, ""it"", ""en"")"),"267")</f>
        <v>267</v>
      </c>
      <c r="G262" s="3" t="str">
        <f>IFERROR(__xludf.DUMMYFUNCTION("GOOGLETRANSLATE(B262, ""it"", ""en"")"),"If a player throws a ball and it touches the baseline but doesn't cross it, what happens?")</f>
        <v>If a player throws a ball and it touches the baseline but doesn't cross it, what happens?</v>
      </c>
      <c r="H262" s="3" t="str">
        <f>IFERROR(__xludf.DUMMYFUNCTION("GOOGLETRANSLATE(C262, ""it"", ""en"")"),"A. The point goes to the team that threw B. The game continues normally C. The throw is cancelled D. The ball is replaced")</f>
        <v>A. The point goes to the team that threw B. The game continues normally C. The throw is cancelled D. The ball is replaced</v>
      </c>
      <c r="I262" s="3" t="str">
        <f>IFERROR(__xludf.DUMMYFUNCTION("GOOGLETRANSLATE(D262, ""it"", ""en"")"),"The point goes to the team that threw")</f>
        <v>The point goes to the team that threw</v>
      </c>
      <c r="J262" s="2"/>
      <c r="K262" s="2"/>
      <c r="L262" s="2"/>
      <c r="M262" s="2"/>
      <c r="N262" s="2"/>
      <c r="O262" s="2"/>
      <c r="P262" s="2"/>
      <c r="Q262" s="2"/>
      <c r="R262" s="2"/>
    </row>
    <row r="263" ht="22.5" customHeight="1">
      <c r="A263" s="3">
        <v>268.0</v>
      </c>
      <c r="B263" s="3" t="s">
        <v>2157</v>
      </c>
      <c r="C263" s="3" t="s">
        <v>2093</v>
      </c>
      <c r="D263" s="3" t="s">
        <v>2085</v>
      </c>
      <c r="E263" s="2"/>
      <c r="F263" s="3" t="str">
        <f>IFERROR(__xludf.DUMMYFUNCTION("GOOGLETRANSLATE(A263, ""it"", ""en"")"),"268")</f>
        <v>268</v>
      </c>
      <c r="G263" s="3" t="str">
        <f>IFERROR(__xludf.DUMMYFUNCTION("GOOGLETRANSLATE(B263, ""it"", ""en"")"),"If a player accidentally kicks a ball before throwing, what happens?")</f>
        <v>If a player accidentally kicks a ball before throwing, what happens?</v>
      </c>
      <c r="H263" s="3" t="str">
        <f>IFERROR(__xludf.DUMMYFUNCTION("GOOGLETRANSLATE(C263, ""it"", ""en"")"),"A. The point goes to the opponent B. The throw is cancelled C. The game continues normally D. The ball is replaced")</f>
        <v>A. The point goes to the opponent B. The throw is cancelled C. The game continues normally D. The ball is replaced</v>
      </c>
      <c r="I263" s="3" t="str">
        <f>IFERROR(__xludf.DUMMYFUNCTION("GOOGLETRANSLATE(D263, ""it"", ""en"")"),"The point goes to the opponent")</f>
        <v>The point goes to the opponent</v>
      </c>
      <c r="J263" s="2"/>
      <c r="K263" s="2"/>
      <c r="L263" s="2"/>
      <c r="M263" s="2"/>
      <c r="N263" s="2"/>
      <c r="O263" s="2"/>
      <c r="P263" s="2"/>
      <c r="Q263" s="2"/>
      <c r="R263" s="2"/>
    </row>
    <row r="264" ht="22.5" customHeight="1">
      <c r="A264" s="3">
        <v>269.0</v>
      </c>
      <c r="B264" s="3" t="s">
        <v>2207</v>
      </c>
      <c r="C264" s="3" t="s">
        <v>2096</v>
      </c>
      <c r="D264" s="3" t="s">
        <v>1828</v>
      </c>
      <c r="E264" s="2"/>
      <c r="F264" s="3" t="str">
        <f>IFERROR(__xludf.DUMMYFUNCTION("GOOGLETRANSLATE(A264, ""it"", ""en"")"),"269")</f>
        <v>269</v>
      </c>
      <c r="G264" s="3" t="str">
        <f>IFERROR(__xludf.DUMMYFUNCTION("GOOGLETRANSLATE(B264, ""it"", ""en"")"),"If a player throws a bocce ball that hits an opponent's bocce ball, but moves it without changing the position of the jack, what happens?")</f>
        <v>If a player throws a bocce ball that hits an opponent's bocce ball, but moves it without changing the position of the jack, what happens?</v>
      </c>
      <c r="H264" s="3" t="str">
        <f>IFERROR(__xludf.DUMMYFUNCTION("GOOGLETRANSLATE(C264,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64" s="3" t="str">
        <f>IFERROR(__xludf.DUMMYFUNCTION("GOOGLETRANSLATE(D264, ""it"", ""en"")"),"The point goes to the team that threw")</f>
        <v>The point goes to the team that threw</v>
      </c>
      <c r="J264" s="2"/>
      <c r="K264" s="2"/>
      <c r="L264" s="2"/>
      <c r="M264" s="2"/>
      <c r="N264" s="2"/>
      <c r="O264" s="2"/>
      <c r="P264" s="2"/>
      <c r="Q264" s="2"/>
      <c r="R264" s="2"/>
    </row>
    <row r="265" ht="22.5" customHeight="1">
      <c r="A265" s="3">
        <v>270.0</v>
      </c>
      <c r="B265" s="3" t="s">
        <v>2208</v>
      </c>
      <c r="C265" s="3" t="s">
        <v>2091</v>
      </c>
      <c r="D265" s="3" t="s">
        <v>1828</v>
      </c>
      <c r="E265" s="2"/>
      <c r="F265" s="3" t="str">
        <f>IFERROR(__xludf.DUMMYFUNCTION("GOOGLETRANSLATE(A265, ""it"", ""en"")"),"270")</f>
        <v>270</v>
      </c>
      <c r="G265" s="3" t="str">
        <f>IFERROR(__xludf.DUMMYFUNCTION("GOOGLETRANSLATE(B265, ""it"", ""en"")"),"If a player throws the ball and it hits the jack, but moves it only slightly, what happens?")</f>
        <v>If a player throws the ball and it hits the jack, but moves it only slightly, what happens?</v>
      </c>
      <c r="H265" s="3" t="str">
        <f>IFERROR(__xludf.DUMMYFUNCTION("GOOGLETRANSLATE(C265, ""it"", ""en"")"),"A. The point goes to the team that threw B. The game continues normally C. The point goes to the opponent D. The jack is replaced")</f>
        <v>A. The point goes to the team that threw B. The game continues normally C. The point goes to the opponent D. The jack is replaced</v>
      </c>
      <c r="I265" s="3" t="str">
        <f>IFERROR(__xludf.DUMMYFUNCTION("GOOGLETRANSLATE(D265, ""it"", ""en"")"),"The point goes to the team that threw")</f>
        <v>The point goes to the team that threw</v>
      </c>
      <c r="J265" s="2"/>
      <c r="K265" s="2"/>
      <c r="L265" s="2"/>
      <c r="M265" s="2"/>
      <c r="N265" s="2"/>
      <c r="O265" s="2"/>
      <c r="P265" s="2"/>
      <c r="Q265" s="2"/>
      <c r="R265" s="2"/>
    </row>
    <row r="266" ht="22.5" customHeight="1">
      <c r="A266" s="3">
        <v>271.0</v>
      </c>
      <c r="B266" s="3" t="s">
        <v>2209</v>
      </c>
      <c r="C266" s="3" t="s">
        <v>2197</v>
      </c>
      <c r="D266" s="3" t="s">
        <v>21</v>
      </c>
      <c r="E266" s="2"/>
      <c r="F266" s="3" t="str">
        <f>IFERROR(__xludf.DUMMYFUNCTION("GOOGLETRANSLATE(A266, ""it"", ""en"")"),"271")</f>
        <v>271</v>
      </c>
      <c r="G266" s="3" t="str">
        <f>IFERROR(__xludf.DUMMYFUNCTION("GOOGLETRANSLATE(B266, ""it"", ""en"")"),"If a player throws a ball and it touches the opponent's ball and stops, what happens?")</f>
        <v>If a player throws a ball and it touches the opponent's ball and stops, what happens?</v>
      </c>
      <c r="H266" s="3" t="str">
        <f>IFERROR(__xludf.DUMMYFUNCTION("GOOGLETRANSLATE(C266, ""it"", ""en"")"),"A. The game continues normally B. The point goes to the team that threw C. The point goes to the opponent D. The opponent's ball is removed")</f>
        <v>A. The game continues normally B. The point goes to the team that threw C. The point goes to the opponent D. The opponent's ball is removed</v>
      </c>
      <c r="I266" s="3" t="str">
        <f>IFERROR(__xludf.DUMMYFUNCTION("GOOGLETRANSLATE(D266, ""it"", ""en"")"),"The game continues normally")</f>
        <v>The game continues normally</v>
      </c>
      <c r="J266" s="2"/>
      <c r="K266" s="2"/>
      <c r="L266" s="2"/>
      <c r="M266" s="2"/>
      <c r="N266" s="2"/>
      <c r="O266" s="2"/>
      <c r="P266" s="2"/>
      <c r="Q266" s="2"/>
      <c r="R266" s="2"/>
    </row>
    <row r="267" ht="22.5" customHeight="1">
      <c r="A267" s="3">
        <v>272.0</v>
      </c>
      <c r="B267" s="3" t="s">
        <v>1860</v>
      </c>
      <c r="C267" s="3" t="s">
        <v>2210</v>
      </c>
      <c r="D267" s="3" t="s">
        <v>1834</v>
      </c>
      <c r="E267" s="2"/>
      <c r="F267" s="3" t="str">
        <f>IFERROR(__xludf.DUMMYFUNCTION("GOOGLETRANSLATE(A267, ""it"", ""en"")"),"272")</f>
        <v>272</v>
      </c>
      <c r="G267" s="3" t="str">
        <f>IFERROR(__xludf.DUMMYFUNCTION("GOOGLETRANSLATE(B267, ""it"", ""en"")"),"If the cue ball goes out of bounds during a throw, what happens?")</f>
        <v>If the cue ball goes out of bounds during a throw, what happens?</v>
      </c>
      <c r="H267" s="3" t="str">
        <f>IFERROR(__xludf.DUMMYFUNCTION("GOOGLETRANSLATE(C267, ""it"", ""en"")"),"A. The cue ball is replaced B. The game continues normally C. The point goes to the opponent D. The game is cancelled")</f>
        <v>A. The cue ball is replaced B. The game continues normally C. The point goes to the opponent D. The game is cancelled</v>
      </c>
      <c r="I267" s="3" t="str">
        <f>IFERROR(__xludf.DUMMYFUNCTION("GOOGLETRANSLATE(D267, ""it"", ""en"")"),"The ball is repositioned")</f>
        <v>The ball is repositioned</v>
      </c>
      <c r="J267" s="2"/>
      <c r="K267" s="2"/>
      <c r="L267" s="2"/>
      <c r="M267" s="2"/>
      <c r="N267" s="2"/>
      <c r="O267" s="2"/>
      <c r="P267" s="2"/>
      <c r="Q267" s="2"/>
      <c r="R267" s="2"/>
    </row>
    <row r="268" ht="22.5" customHeight="1">
      <c r="A268" s="3">
        <v>273.0</v>
      </c>
      <c r="B268" s="3" t="s">
        <v>2211</v>
      </c>
      <c r="C268" s="3" t="s">
        <v>2212</v>
      </c>
      <c r="D268" s="3" t="s">
        <v>2059</v>
      </c>
      <c r="E268" s="2"/>
      <c r="F268" s="3" t="str">
        <f>IFERROR(__xludf.DUMMYFUNCTION("GOOGLETRANSLATE(A268, ""it"", ""en"")"),"273")</f>
        <v>273</v>
      </c>
      <c r="G268" s="3" t="str">
        <f>IFERROR(__xludf.DUMMYFUNCTION("GOOGLETRANSLATE(B268, ""it"", ""en"")"),"If a player throws a ball and it lands above the baseline, what happens?")</f>
        <v>If a player throws a ball and it lands above the baseline, what happens?</v>
      </c>
      <c r="H268" s="3" t="str">
        <f>IFERROR(__xludf.DUMMYFUNCTION("GOOGLETRANSLATE(C268, ""it"", ""en"")"),"A. The ball is considered out B. The game continues normally C. The point goes to the opponent D. The throw is cancelled")</f>
        <v>A. The ball is considered out B. The game continues normally C. The point goes to the opponent D. The throw is cancelled</v>
      </c>
      <c r="I268" s="3" t="str">
        <f>IFERROR(__xludf.DUMMYFUNCTION("GOOGLETRANSLATE(D268, ""it"", ""en"")"),"The ball is considered out")</f>
        <v>The ball is considered out</v>
      </c>
      <c r="J268" s="2"/>
      <c r="K268" s="2"/>
      <c r="L268" s="2"/>
      <c r="M268" s="2"/>
      <c r="N268" s="2"/>
      <c r="O268" s="2"/>
      <c r="P268" s="2"/>
      <c r="Q268" s="2"/>
      <c r="R268" s="2"/>
    </row>
    <row r="269" ht="22.5" customHeight="1">
      <c r="A269" s="3">
        <v>274.0</v>
      </c>
      <c r="B269" s="3" t="s">
        <v>2213</v>
      </c>
      <c r="C269" s="3" t="s">
        <v>2114</v>
      </c>
      <c r="D269" s="3" t="s">
        <v>1828</v>
      </c>
      <c r="E269" s="2"/>
      <c r="F269" s="3" t="str">
        <f>IFERROR(__xludf.DUMMYFUNCTION("GOOGLETRANSLATE(A269, ""it"", ""en"")"),"274")</f>
        <v>274</v>
      </c>
      <c r="G269" s="3" t="str">
        <f>IFERROR(__xludf.DUMMYFUNCTION("GOOGLETRANSLATE(B269, ""it"", ""en"")"),"If a player throws a ball and it hits an opponent's ball and moves it towards the jack, what happens?")</f>
        <v>If a player throws a ball and it hits an opponent's ball and moves it towards the jack, what happens?</v>
      </c>
      <c r="H269" s="3" t="str">
        <f>IFERROR(__xludf.DUMMYFUNCTION("GOOGLETRANSLATE(C269,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69" s="3" t="str">
        <f>IFERROR(__xludf.DUMMYFUNCTION("GOOGLETRANSLATE(D269, ""it"", ""en"")"),"The point goes to the team that threw")</f>
        <v>The point goes to the team that threw</v>
      </c>
      <c r="J269" s="2"/>
      <c r="K269" s="2"/>
      <c r="L269" s="2"/>
      <c r="M269" s="2"/>
      <c r="N269" s="2"/>
      <c r="O269" s="2"/>
      <c r="P269" s="2"/>
      <c r="Q269" s="2"/>
      <c r="R269" s="2"/>
    </row>
    <row r="270" ht="22.5" customHeight="1">
      <c r="A270" s="3">
        <v>275.0</v>
      </c>
      <c r="B270" s="3" t="s">
        <v>2155</v>
      </c>
      <c r="C270" s="3" t="s">
        <v>2156</v>
      </c>
      <c r="D270" s="3" t="s">
        <v>2085</v>
      </c>
      <c r="E270" s="2"/>
      <c r="F270" s="3" t="str">
        <f>IFERROR(__xludf.DUMMYFUNCTION("GOOGLETRANSLATE(A270, ""it"", ""en"")"),"275")</f>
        <v>275</v>
      </c>
      <c r="G270" s="3" t="str">
        <f>IFERROR(__xludf.DUMMYFUNCTION("GOOGLETRANSLATE(B270, ""it"", ""en"")"),"If a player throws a ball and it lands behind the opponent's ball, what happens?")</f>
        <v>If a player throws a ball and it lands behind the opponent's ball, what happens?</v>
      </c>
      <c r="H270" s="3" t="str">
        <f>IFERROR(__xludf.DUMMYFUNCTION("GOOGLETRANSLATE(C270, ""it"", ""en"")"),"A. The point goes to the opponent B. The game continues normally C. The point goes to the team that threw D. The jack is replaced")</f>
        <v>A. The point goes to the opponent B. The game continues normally C. The point goes to the team that threw D. The jack is replaced</v>
      </c>
      <c r="I270" s="3" t="str">
        <f>IFERROR(__xludf.DUMMYFUNCTION("GOOGLETRANSLATE(D270, ""it"", ""en"")"),"The point goes to the opponent")</f>
        <v>The point goes to the opponent</v>
      </c>
      <c r="J270" s="2"/>
      <c r="K270" s="2"/>
      <c r="L270" s="2"/>
      <c r="M270" s="2"/>
      <c r="N270" s="2"/>
      <c r="O270" s="2"/>
      <c r="P270" s="2"/>
      <c r="Q270" s="2"/>
      <c r="R270" s="2"/>
    </row>
    <row r="271" ht="22.5" customHeight="1">
      <c r="A271" s="3">
        <v>276.0</v>
      </c>
      <c r="B271" s="3" t="s">
        <v>2157</v>
      </c>
      <c r="C271" s="3" t="s">
        <v>2158</v>
      </c>
      <c r="D271" s="3" t="s">
        <v>2085</v>
      </c>
      <c r="E271" s="2"/>
      <c r="F271" s="3" t="str">
        <f>IFERROR(__xludf.DUMMYFUNCTION("GOOGLETRANSLATE(A271, ""it"", ""en"")"),"276")</f>
        <v>276</v>
      </c>
      <c r="G271" s="3" t="str">
        <f>IFERROR(__xludf.DUMMYFUNCTION("GOOGLETRANSLATE(B271, ""it"", ""en"")"),"If a player accidentally kicks a ball before throwing, what happens?")</f>
        <v>If a player accidentally kicks a ball before throwing, what happens?</v>
      </c>
      <c r="H271" s="3" t="str">
        <f>IFERROR(__xludf.DUMMYFUNCTION("GOOGLETRANSLATE(C271, ""it"", ""en"")"),"A. The game continues normally B. The point goes to the opponent C. The ball is replaced D. The throw is cancelled")</f>
        <v>A. The game continues normally B. The point goes to the opponent C. The ball is replaced D. The throw is cancelled</v>
      </c>
      <c r="I271" s="3" t="str">
        <f>IFERROR(__xludf.DUMMYFUNCTION("GOOGLETRANSLATE(D271, ""it"", ""en"")"),"The point goes to the opponent")</f>
        <v>The point goes to the opponent</v>
      </c>
      <c r="J271" s="2"/>
      <c r="K271" s="2"/>
      <c r="L271" s="2"/>
      <c r="M271" s="2"/>
      <c r="N271" s="2"/>
      <c r="O271" s="2"/>
      <c r="P271" s="2"/>
      <c r="Q271" s="2"/>
      <c r="R271" s="2"/>
    </row>
    <row r="272" ht="22.5" customHeight="1">
      <c r="A272" s="3">
        <v>277.0</v>
      </c>
      <c r="B272" s="3" t="s">
        <v>2214</v>
      </c>
      <c r="C272" s="3" t="s">
        <v>2114</v>
      </c>
      <c r="D272" s="3" t="s">
        <v>1828</v>
      </c>
      <c r="E272" s="2"/>
      <c r="F272" s="3" t="str">
        <f>IFERROR(__xludf.DUMMYFUNCTION("GOOGLETRANSLATE(A272, ""it"", ""en"")"),"277")</f>
        <v>277</v>
      </c>
      <c r="G272" s="3" t="str">
        <f>IFERROR(__xludf.DUMMYFUNCTION("GOOGLETRANSLATE(B272, ""it"", ""en"")"),"If a player throws a ball and it touches an opponent's ball that moves toward the jack, what happens?")</f>
        <v>If a player throws a ball and it touches an opponent's ball that moves toward the jack, what happens?</v>
      </c>
      <c r="H272" s="3" t="str">
        <f>IFERROR(__xludf.DUMMYFUNCTION("GOOGLETRANSLATE(C272,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72" s="3" t="str">
        <f>IFERROR(__xludf.DUMMYFUNCTION("GOOGLETRANSLATE(D272, ""it"", ""en"")"),"The point goes to the team that threw")</f>
        <v>The point goes to the team that threw</v>
      </c>
      <c r="J272" s="2"/>
      <c r="K272" s="2"/>
      <c r="L272" s="2"/>
      <c r="M272" s="2"/>
      <c r="N272" s="2"/>
      <c r="O272" s="2"/>
      <c r="P272" s="2"/>
      <c r="Q272" s="2"/>
      <c r="R272" s="2"/>
    </row>
    <row r="273" ht="22.5" customHeight="1">
      <c r="A273" s="3">
        <v>278.0</v>
      </c>
      <c r="B273" s="3" t="s">
        <v>2144</v>
      </c>
      <c r="C273" s="3" t="s">
        <v>2094</v>
      </c>
      <c r="D273" s="3" t="s">
        <v>2085</v>
      </c>
      <c r="E273" s="2"/>
      <c r="F273" s="3" t="str">
        <f>IFERROR(__xludf.DUMMYFUNCTION("GOOGLETRANSLATE(A273, ""it"", ""en"")"),"278")</f>
        <v>278</v>
      </c>
      <c r="G273" s="3" t="str">
        <f>IFERROR(__xludf.DUMMYFUNCTION("GOOGLETRANSLATE(B273, ""it"", ""en"")"),"If a player throws a ball and it lands out of bounds without hitting anything, what happens?")</f>
        <v>If a player throws a ball and it lands out of bounds without hitting anything, what happens?</v>
      </c>
      <c r="H273" s="3" t="str">
        <f>IFERROR(__xludf.DUMMYFUNCTION("GOOGLETRANSLATE(C273, ""it"", ""en"")"),"A. The point goes to the opponent B. The ball is replaced C. The throw is cancelled D. The game continues normally")</f>
        <v>A. The point goes to the opponent B. The ball is replaced C. The throw is cancelled D. The game continues normally</v>
      </c>
      <c r="I273" s="3" t="str">
        <f>IFERROR(__xludf.DUMMYFUNCTION("GOOGLETRANSLATE(D273, ""it"", ""en"")"),"The point goes to the opponent")</f>
        <v>The point goes to the opponent</v>
      </c>
      <c r="J273" s="2"/>
      <c r="K273" s="2"/>
      <c r="L273" s="2"/>
      <c r="M273" s="2"/>
      <c r="N273" s="2"/>
      <c r="O273" s="2"/>
      <c r="P273" s="2"/>
      <c r="Q273" s="2"/>
      <c r="R273" s="2"/>
    </row>
    <row r="274" ht="22.5" customHeight="1">
      <c r="A274" s="3">
        <v>279.0</v>
      </c>
      <c r="B274" s="3" t="s">
        <v>2215</v>
      </c>
      <c r="C274" s="3" t="s">
        <v>2171</v>
      </c>
      <c r="D274" s="3" t="s">
        <v>1828</v>
      </c>
      <c r="E274" s="2"/>
      <c r="F274" s="3" t="str">
        <f>IFERROR(__xludf.DUMMYFUNCTION("GOOGLETRANSLATE(A274, ""it"", ""en"")"),"279")</f>
        <v>279</v>
      </c>
      <c r="G274" s="3" t="str">
        <f>IFERROR(__xludf.DUMMYFUNCTION("GOOGLETRANSLATE(B274, ""it"", ""en"")"),"If a player throws the ball and it stops near the jack but doesn't touch it, what happens?")</f>
        <v>If a player throws the ball and it stops near the jack but doesn't touch it, what happens?</v>
      </c>
      <c r="H274" s="3" t="str">
        <f>IFERROR(__xludf.DUMMYFUNCTION("GOOGLETRANSLATE(C274, ""it"", ""en"")"),"A. The point goes to the team that threw it B. The game continues normally C. The point goes to the opponent D. The ball is replaced")</f>
        <v>A. The point goes to the team that threw it B. The game continues normally C. The point goes to the opponent D. The ball is replaced</v>
      </c>
      <c r="I274" s="3" t="str">
        <f>IFERROR(__xludf.DUMMYFUNCTION("GOOGLETRANSLATE(D274, ""it"", ""en"")"),"The point goes to the team that threw")</f>
        <v>The point goes to the team that threw</v>
      </c>
      <c r="J274" s="2"/>
      <c r="K274" s="2"/>
      <c r="L274" s="2"/>
      <c r="M274" s="2"/>
      <c r="N274" s="2"/>
      <c r="O274" s="2"/>
      <c r="P274" s="2"/>
      <c r="Q274" s="2"/>
      <c r="R274" s="2"/>
    </row>
    <row r="275" ht="22.5" customHeight="1">
      <c r="A275" s="3">
        <v>280.0</v>
      </c>
      <c r="B275" s="3" t="s">
        <v>2216</v>
      </c>
      <c r="C275" s="3" t="s">
        <v>2217</v>
      </c>
      <c r="D275" s="3" t="s">
        <v>1834</v>
      </c>
      <c r="E275" s="2"/>
      <c r="F275" s="3" t="str">
        <f>IFERROR(__xludf.DUMMYFUNCTION("GOOGLETRANSLATE(A275, ""it"", ""en"")"),"280")</f>
        <v>280</v>
      </c>
      <c r="G275" s="3" t="str">
        <f>IFERROR(__xludf.DUMMYFUNCTION("GOOGLETRANSLATE(B275, ""it"", ""en"")"),"If the cue ball is hit and moves toward the edge of the court, what happens?")</f>
        <v>If the cue ball is hit and moves toward the edge of the court, what happens?</v>
      </c>
      <c r="H275" s="3" t="str">
        <f>IFERROR(__xludf.DUMMYFUNCTION("GOOGLETRANSLATE(C275, ""it"", ""en"")"),"A. The jack is replaced B. The point goes to the team that threw it C. The game continues normally D. The point goes to the opponent")</f>
        <v>A. The jack is replaced B. The point goes to the team that threw it C. The game continues normally D. The point goes to the opponent</v>
      </c>
      <c r="I275" s="3" t="str">
        <f>IFERROR(__xludf.DUMMYFUNCTION("GOOGLETRANSLATE(D275, ""it"", ""en"")"),"The ball is repositioned")</f>
        <v>The ball is repositioned</v>
      </c>
      <c r="J275" s="2"/>
      <c r="K275" s="2"/>
      <c r="L275" s="2"/>
      <c r="M275" s="2"/>
      <c r="N275" s="2"/>
      <c r="O275" s="2"/>
      <c r="P275" s="2"/>
      <c r="Q275" s="2"/>
      <c r="R275" s="2"/>
    </row>
    <row r="276" ht="22.5" customHeight="1">
      <c r="A276" s="3">
        <v>281.0</v>
      </c>
      <c r="B276" s="3" t="s">
        <v>2186</v>
      </c>
      <c r="C276" s="3" t="s">
        <v>2078</v>
      </c>
      <c r="D276" s="3" t="s">
        <v>1828</v>
      </c>
      <c r="E276" s="2"/>
      <c r="F276" s="3" t="str">
        <f>IFERROR(__xludf.DUMMYFUNCTION("GOOGLETRANSLATE(A276, ""it"", ""en"")"),"281")</f>
        <v>281</v>
      </c>
      <c r="G276" s="3" t="str">
        <f>IFERROR(__xludf.DUMMYFUNCTION("GOOGLETRANSLATE(B276, ""it"", ""en"")"),"If a player throws a boccia and it hits the jack but doesn't move it, what happens?")</f>
        <v>If a player throws a boccia and it hits the jack but doesn't move it, what happens?</v>
      </c>
      <c r="H276" s="3" t="str">
        <f>IFERROR(__xludf.DUMMYFUNCTION("GOOGLETRANSLATE(C276, ""it"", ""en"")"),"A. The point goes to the team that threw it B. The jack is replaced C. The point goes to the opponent D. The game continues normally")</f>
        <v>A. The point goes to the team that threw it B. The jack is replaced C. The point goes to the opponent D. The game continues normally</v>
      </c>
      <c r="I276" s="3" t="str">
        <f>IFERROR(__xludf.DUMMYFUNCTION("GOOGLETRANSLATE(D276, ""it"", ""en"")"),"The point goes to the team that threw")</f>
        <v>The point goes to the team that threw</v>
      </c>
      <c r="J276" s="2"/>
      <c r="K276" s="2"/>
      <c r="L276" s="2"/>
      <c r="M276" s="2"/>
      <c r="N276" s="2"/>
      <c r="O276" s="2"/>
      <c r="P276" s="2"/>
      <c r="Q276" s="2"/>
      <c r="R276" s="2"/>
    </row>
    <row r="277" ht="22.5" customHeight="1">
      <c r="A277" s="3">
        <v>282.0</v>
      </c>
      <c r="B277" s="3" t="s">
        <v>2218</v>
      </c>
      <c r="C277" s="3" t="s">
        <v>2171</v>
      </c>
      <c r="D277" s="3" t="s">
        <v>1828</v>
      </c>
      <c r="E277" s="2"/>
      <c r="F277" s="3" t="str">
        <f>IFERROR(__xludf.DUMMYFUNCTION("GOOGLETRANSLATE(A277, ""it"", ""en"")"),"282")</f>
        <v>282</v>
      </c>
      <c r="G277" s="3" t="str">
        <f>IFERROR(__xludf.DUMMYFUNCTION("GOOGLETRANSLATE(B277, ""it"", ""en"")"),"If a player throws a boccia and it stops near the jack but doesn't touch it, what happens?")</f>
        <v>If a player throws a boccia and it stops near the jack but doesn't touch it, what happens?</v>
      </c>
      <c r="H277" s="3" t="str">
        <f>IFERROR(__xludf.DUMMYFUNCTION("GOOGLETRANSLATE(C277, ""it"", ""en"")"),"A. The point goes to the team that threw it B. The game continues normally C. The point goes to the opponent D. The ball is replaced")</f>
        <v>A. The point goes to the team that threw it B. The game continues normally C. The point goes to the opponent D. The ball is replaced</v>
      </c>
      <c r="I277" s="3" t="str">
        <f>IFERROR(__xludf.DUMMYFUNCTION("GOOGLETRANSLATE(D277, ""it"", ""en"")"),"The point goes to the team that threw")</f>
        <v>The point goes to the team that threw</v>
      </c>
      <c r="J277" s="2"/>
      <c r="K277" s="2"/>
      <c r="L277" s="2"/>
      <c r="M277" s="2"/>
      <c r="N277" s="2"/>
      <c r="O277" s="2"/>
      <c r="P277" s="2"/>
      <c r="Q277" s="2"/>
      <c r="R277" s="2"/>
    </row>
    <row r="278" ht="22.5" customHeight="1">
      <c r="A278" s="3">
        <v>283.0</v>
      </c>
      <c r="B278" s="3" t="s">
        <v>2219</v>
      </c>
      <c r="C278" s="3" t="s">
        <v>2096</v>
      </c>
      <c r="D278" s="3" t="s">
        <v>1828</v>
      </c>
      <c r="E278" s="2"/>
      <c r="F278" s="3" t="str">
        <f>IFERROR(__xludf.DUMMYFUNCTION("GOOGLETRANSLATE(A278, ""it"", ""en"")"),"283")</f>
        <v>283</v>
      </c>
      <c r="G278" s="3" t="str">
        <f>IFERROR(__xludf.DUMMYFUNCTION("GOOGLETRANSLATE(B278, ""it"", ""en"")"),"If a player throws a ball and it hits an opponent's ball that doesn't move, what happens?")</f>
        <v>If a player throws a ball and it hits an opponent's ball that doesn't move, what happens?</v>
      </c>
      <c r="H278" s="3" t="str">
        <f>IFERROR(__xludf.DUMMYFUNCTION("GOOGLETRANSLATE(C278,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78" s="3" t="str">
        <f>IFERROR(__xludf.DUMMYFUNCTION("GOOGLETRANSLATE(D278, ""it"", ""en"")"),"The point goes to the team that threw")</f>
        <v>The point goes to the team that threw</v>
      </c>
      <c r="J278" s="2"/>
      <c r="K278" s="2"/>
      <c r="L278" s="2"/>
      <c r="M278" s="2"/>
      <c r="N278" s="2"/>
      <c r="O278" s="2"/>
      <c r="P278" s="2"/>
      <c r="Q278" s="2"/>
      <c r="R278" s="2"/>
    </row>
    <row r="279" ht="22.5" customHeight="1">
      <c r="A279" s="3">
        <v>284.0</v>
      </c>
      <c r="B279" s="3" t="s">
        <v>2220</v>
      </c>
      <c r="C279" s="3" t="s">
        <v>2120</v>
      </c>
      <c r="D279" s="3" t="s">
        <v>2085</v>
      </c>
      <c r="E279" s="2"/>
      <c r="F279" s="3" t="str">
        <f>IFERROR(__xludf.DUMMYFUNCTION("GOOGLETRANSLATE(A279, ""it"", ""en"")"),"284")</f>
        <v>284</v>
      </c>
      <c r="G279" s="3" t="str">
        <f>IFERROR(__xludf.DUMMYFUNCTION("GOOGLETRANSLATE(B279, ""it"", ""en"")"),"If a player throws a ball and it lands outside the court without touching anything, what happens?")</f>
        <v>If a player throws a ball and it lands outside the court without touching anything, what happens?</v>
      </c>
      <c r="H279" s="3" t="str">
        <f>IFERROR(__xludf.DUMMYFUNCTION("GOOGLETRANSLATE(C279, ""it"", ""en"")"),"A. The point goes to the opponent B. The game continues normally C. The throw is cancelled D. The ball is replaced")</f>
        <v>A. The point goes to the opponent B. The game continues normally C. The throw is cancelled D. The ball is replaced</v>
      </c>
      <c r="I279" s="3" t="str">
        <f>IFERROR(__xludf.DUMMYFUNCTION("GOOGLETRANSLATE(D279, ""it"", ""en"")"),"The point goes to the opponent")</f>
        <v>The point goes to the opponent</v>
      </c>
      <c r="J279" s="2"/>
      <c r="K279" s="2"/>
      <c r="L279" s="2"/>
      <c r="M279" s="2"/>
      <c r="N279" s="2"/>
      <c r="O279" s="2"/>
      <c r="P279" s="2"/>
      <c r="Q279" s="2"/>
      <c r="R279" s="2"/>
    </row>
    <row r="280" ht="22.5" customHeight="1">
      <c r="A280" s="3">
        <v>285.0</v>
      </c>
      <c r="B280" s="3" t="s">
        <v>2221</v>
      </c>
      <c r="C280" s="3" t="s">
        <v>2162</v>
      </c>
      <c r="D280" s="3" t="s">
        <v>1828</v>
      </c>
      <c r="E280" s="2"/>
      <c r="F280" s="3" t="str">
        <f>IFERROR(__xludf.DUMMYFUNCTION("GOOGLETRANSLATE(A280, ""it"", ""en"")"),"285")</f>
        <v>285</v>
      </c>
      <c r="G280" s="3" t="str">
        <f>IFERROR(__xludf.DUMMYFUNCTION("GOOGLETRANSLATE(B280, ""it"", ""en"")"),"If a player throws a boccia that goes beyond the jack, what happens?")</f>
        <v>If a player throws a boccia that goes beyond the jack, what happens?</v>
      </c>
      <c r="H280" s="3" t="str">
        <f>IFERROR(__xludf.DUMMYFUNCTION("GOOGLETRANSLATE(C280, ""it"", ""en"")"),"A. The point goes to the team that threw it B. The point goes to the opponent C. The game continues normally D. The ball is replaced")</f>
        <v>A. The point goes to the team that threw it B. The point goes to the opponent C. The game continues normally D. The ball is replaced</v>
      </c>
      <c r="I280" s="3" t="str">
        <f>IFERROR(__xludf.DUMMYFUNCTION("GOOGLETRANSLATE(D280, ""it"", ""en"")"),"The point goes to the team that threw")</f>
        <v>The point goes to the team that threw</v>
      </c>
      <c r="J280" s="2"/>
      <c r="K280" s="2"/>
      <c r="L280" s="2"/>
      <c r="M280" s="2"/>
      <c r="N280" s="2"/>
      <c r="O280" s="2"/>
      <c r="P280" s="2"/>
      <c r="Q280" s="2"/>
      <c r="R280" s="2"/>
    </row>
    <row r="281" ht="22.5" customHeight="1">
      <c r="A281" s="3">
        <v>286.0</v>
      </c>
      <c r="B281" s="3" t="s">
        <v>2202</v>
      </c>
      <c r="C281" s="3" t="s">
        <v>2166</v>
      </c>
      <c r="D281" s="3" t="s">
        <v>1828</v>
      </c>
      <c r="E281" s="2"/>
      <c r="F281" s="3" t="str">
        <f>IFERROR(__xludf.DUMMYFUNCTION("GOOGLETRANSLATE(A281, ""it"", ""en"")"),"286")</f>
        <v>286</v>
      </c>
      <c r="G281" s="3" t="str">
        <f>IFERROR(__xludf.DUMMYFUNCTION("GOOGLETRANSLATE(B281, ""it"", ""en"")"),"If a ball touches the baseline but doesn't cross it, what happens?")</f>
        <v>If a ball touches the baseline but doesn't cross it, what happens?</v>
      </c>
      <c r="H281" s="3" t="str">
        <f>IFERROR(__xludf.DUMMYFUNCTION("GOOGLETRANSLATE(C281, ""it"", ""en"")"),"A. The point goes to the team that threw B. The throw is cancelled C. The game continues normally D. The point goes to the opponent")</f>
        <v>A. The point goes to the team that threw B. The throw is cancelled C. The game continues normally D. The point goes to the opponent</v>
      </c>
      <c r="I281" s="3" t="str">
        <f>IFERROR(__xludf.DUMMYFUNCTION("GOOGLETRANSLATE(D281, ""it"", ""en"")"),"The point goes to the team that threw")</f>
        <v>The point goes to the team that threw</v>
      </c>
      <c r="J281" s="2"/>
      <c r="K281" s="2"/>
      <c r="L281" s="2"/>
      <c r="M281" s="2"/>
      <c r="N281" s="2"/>
      <c r="O281" s="2"/>
      <c r="P281" s="2"/>
      <c r="Q281" s="2"/>
      <c r="R281" s="2"/>
    </row>
    <row r="282" ht="22.5" customHeight="1">
      <c r="A282" s="3">
        <v>287.0</v>
      </c>
      <c r="B282" s="3" t="s">
        <v>2157</v>
      </c>
      <c r="C282" s="3" t="s">
        <v>2093</v>
      </c>
      <c r="D282" s="3" t="s">
        <v>2085</v>
      </c>
      <c r="E282" s="2"/>
      <c r="F282" s="3" t="str">
        <f>IFERROR(__xludf.DUMMYFUNCTION("GOOGLETRANSLATE(A282, ""it"", ""en"")"),"287")</f>
        <v>287</v>
      </c>
      <c r="G282" s="3" t="str">
        <f>IFERROR(__xludf.DUMMYFUNCTION("GOOGLETRANSLATE(B282, ""it"", ""en"")"),"If a player accidentally kicks a ball before throwing, what happens?")</f>
        <v>If a player accidentally kicks a ball before throwing, what happens?</v>
      </c>
      <c r="H282" s="3" t="str">
        <f>IFERROR(__xludf.DUMMYFUNCTION("GOOGLETRANSLATE(C282, ""it"", ""en"")"),"A. The point goes to the opponent B. The throw is cancelled C. The game continues normally D. The ball is replaced")</f>
        <v>A. The point goes to the opponent B. The throw is cancelled C. The game continues normally D. The ball is replaced</v>
      </c>
      <c r="I282" s="3" t="str">
        <f>IFERROR(__xludf.DUMMYFUNCTION("GOOGLETRANSLATE(D282, ""it"", ""en"")"),"The point goes to the opponent")</f>
        <v>The point goes to the opponent</v>
      </c>
      <c r="J282" s="2"/>
      <c r="K282" s="2"/>
      <c r="L282" s="2"/>
      <c r="M282" s="2"/>
      <c r="N282" s="2"/>
      <c r="O282" s="2"/>
      <c r="P282" s="2"/>
      <c r="Q282" s="2"/>
      <c r="R282" s="2"/>
    </row>
    <row r="283" ht="22.5" customHeight="1">
      <c r="A283" s="3">
        <v>288.0</v>
      </c>
      <c r="B283" s="3" t="s">
        <v>2222</v>
      </c>
      <c r="C283" s="3" t="s">
        <v>2096</v>
      </c>
      <c r="D283" s="3" t="s">
        <v>1828</v>
      </c>
      <c r="E283" s="2"/>
      <c r="F283" s="3" t="str">
        <f>IFERROR(__xludf.DUMMYFUNCTION("GOOGLETRANSLATE(A283, ""it"", ""en"")"),"288")</f>
        <v>288</v>
      </c>
      <c r="G283" s="3" t="str">
        <f>IFERROR(__xludf.DUMMYFUNCTION("GOOGLETRANSLATE(B283, ""it"", ""en"")"),"If a player throws a ball that touches an opponent's ball and moves without changing the position of the jack, what happens?")</f>
        <v>If a player throws a ball that touches an opponent's ball and moves without changing the position of the jack, what happens?</v>
      </c>
      <c r="H283" s="3" t="str">
        <f>IFERROR(__xludf.DUMMYFUNCTION("GOOGLETRANSLATE(C283, ""it"", ""en"")"),"A. The point goes to the team that threw it B. The game continues normally C. The point goes to the opponent D. The opponent's ball is removed")</f>
        <v>A. The point goes to the team that threw it B. The game continues normally C. The point goes to the opponent D. The opponent's ball is removed</v>
      </c>
      <c r="I283" s="3" t="str">
        <f>IFERROR(__xludf.DUMMYFUNCTION("GOOGLETRANSLATE(D283, ""it"", ""en"")"),"The point goes to the team that threw")</f>
        <v>The point goes to the team that threw</v>
      </c>
      <c r="J283" s="2"/>
      <c r="K283" s="2"/>
      <c r="L283" s="2"/>
      <c r="M283" s="2"/>
      <c r="N283" s="2"/>
      <c r="O283" s="2"/>
      <c r="P283" s="2"/>
      <c r="Q283" s="2"/>
      <c r="R283" s="2"/>
    </row>
    <row r="284" ht="22.5" customHeight="1">
      <c r="A284" s="3">
        <v>289.0</v>
      </c>
      <c r="B284" s="3" t="s">
        <v>2223</v>
      </c>
      <c r="C284" s="3" t="s">
        <v>2197</v>
      </c>
      <c r="D284" s="3" t="s">
        <v>21</v>
      </c>
      <c r="E284" s="2"/>
      <c r="F284" s="3" t="str">
        <f>IFERROR(__xludf.DUMMYFUNCTION("GOOGLETRANSLATE(A284, ""it"", ""en"")"),"289")</f>
        <v>289</v>
      </c>
      <c r="G284" s="3" t="str">
        <f>IFERROR(__xludf.DUMMYFUNCTION("GOOGLETRANSLATE(B284, ""it"", ""en"")"),"If a player throws a ball and it hits an opponent's ball but doesn't change the position of the jack, what happens?")</f>
        <v>If a player throws a ball and it hits an opponent's ball but doesn't change the position of the jack, what happens?</v>
      </c>
      <c r="H284" s="3" t="str">
        <f>IFERROR(__xludf.DUMMYFUNCTION("GOOGLETRANSLATE(C284, ""it"", ""en"")"),"A. The game continues normally B. The point goes to the team that threw C. The point goes to the opponent D. The opponent's ball is removed")</f>
        <v>A. The game continues normally B. The point goes to the team that threw C. The point goes to the opponent D. The opponent's ball is removed</v>
      </c>
      <c r="I284" s="3" t="str">
        <f>IFERROR(__xludf.DUMMYFUNCTION("GOOGLETRANSLATE(D284, ""it"", ""en"")"),"The game continues normally")</f>
        <v>The game continues normally</v>
      </c>
      <c r="J284" s="2"/>
      <c r="K284" s="2"/>
      <c r="L284" s="2"/>
      <c r="M284" s="2"/>
      <c r="N284" s="2"/>
      <c r="O284" s="2"/>
      <c r="P284" s="2"/>
      <c r="Q284" s="2"/>
      <c r="R284" s="2"/>
    </row>
    <row r="285" ht="22.5" customHeight="1">
      <c r="A285" s="3">
        <v>290.0</v>
      </c>
      <c r="B285" s="3" t="s">
        <v>2224</v>
      </c>
      <c r="C285" s="3" t="s">
        <v>2114</v>
      </c>
      <c r="D285" s="3" t="s">
        <v>1828</v>
      </c>
      <c r="E285" s="2"/>
      <c r="F285" s="3" t="str">
        <f>IFERROR(__xludf.DUMMYFUNCTION("GOOGLETRANSLATE(A285, ""it"", ""en"")"),"290")</f>
        <v>290</v>
      </c>
      <c r="G285" s="3" t="str">
        <f>IFERROR(__xludf.DUMMYFUNCTION("GOOGLETRANSLATE(B285, ""it"", ""en"")"),"If a player throws a ball and it hits an opponent's ball and moves towards the jack, what happens?")</f>
        <v>If a player throws a ball and it hits an opponent's ball and moves towards the jack, what happens?</v>
      </c>
      <c r="H285" s="3" t="str">
        <f>IFERROR(__xludf.DUMMYFUNCTION("GOOGLETRANSLATE(C285,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85" s="3" t="str">
        <f>IFERROR(__xludf.DUMMYFUNCTION("GOOGLETRANSLATE(D285, ""it"", ""en"")"),"The point goes to the team that threw")</f>
        <v>The point goes to the team that threw</v>
      </c>
      <c r="J285" s="2"/>
      <c r="K285" s="2"/>
      <c r="L285" s="2"/>
      <c r="M285" s="2"/>
      <c r="N285" s="2"/>
      <c r="O285" s="2"/>
      <c r="P285" s="2"/>
      <c r="Q285" s="2"/>
      <c r="R285" s="2"/>
    </row>
    <row r="286" ht="22.5" customHeight="1">
      <c r="A286" s="3">
        <v>291.0</v>
      </c>
      <c r="B286" s="3" t="s">
        <v>2225</v>
      </c>
      <c r="C286" s="3" t="s">
        <v>2120</v>
      </c>
      <c r="D286" s="3" t="s">
        <v>2085</v>
      </c>
      <c r="E286" s="2"/>
      <c r="F286" s="3" t="str">
        <f>IFERROR(__xludf.DUMMYFUNCTION("GOOGLETRANSLATE(A286, ""it"", ""en"")"),"291")</f>
        <v>291</v>
      </c>
      <c r="G286" s="3" t="str">
        <f>IFERROR(__xludf.DUMMYFUNCTION("GOOGLETRANSLATE(B286, ""it"", ""en"")"),"If a player throws a ball and it goes out of bounds without hitting anything, what happens?")</f>
        <v>If a player throws a ball and it goes out of bounds without hitting anything, what happens?</v>
      </c>
      <c r="H286" s="3" t="str">
        <f>IFERROR(__xludf.DUMMYFUNCTION("GOOGLETRANSLATE(C286, ""it"", ""en"")"),"A. The point goes to the opponent B. The game continues normally C. The throw is cancelled D. The ball is replaced")</f>
        <v>A. The point goes to the opponent B. The game continues normally C. The throw is cancelled D. The ball is replaced</v>
      </c>
      <c r="I286" s="3" t="str">
        <f>IFERROR(__xludf.DUMMYFUNCTION("GOOGLETRANSLATE(D286, ""it"", ""en"")"),"The point goes to the opponent")</f>
        <v>The point goes to the opponent</v>
      </c>
      <c r="J286" s="2"/>
      <c r="K286" s="2"/>
      <c r="L286" s="2"/>
      <c r="M286" s="2"/>
      <c r="N286" s="2"/>
      <c r="O286" s="2"/>
      <c r="P286" s="2"/>
      <c r="Q286" s="2"/>
      <c r="R286" s="2"/>
    </row>
    <row r="287" ht="22.5" customHeight="1">
      <c r="A287" s="3">
        <v>292.0</v>
      </c>
      <c r="B287" s="3" t="s">
        <v>2226</v>
      </c>
      <c r="C287" s="3" t="s">
        <v>2080</v>
      </c>
      <c r="D287" s="3" t="s">
        <v>1828</v>
      </c>
      <c r="E287" s="2"/>
      <c r="F287" s="3" t="str">
        <f>IFERROR(__xludf.DUMMYFUNCTION("GOOGLETRANSLATE(A287, ""it"", ""en"")"),"292")</f>
        <v>292</v>
      </c>
      <c r="G287" s="3" t="str">
        <f>IFERROR(__xludf.DUMMYFUNCTION("GOOGLETRANSLATE(B287, ""it"", ""en"")"),"If a player throws the ball and it hits the jack and moves it, what happens?")</f>
        <v>If a player throws the ball and it hits the jack and moves it, what happens?</v>
      </c>
      <c r="H287" s="3" t="str">
        <f>IFERROR(__xludf.DUMMYFUNCTION("GOOGLETRANSLATE(C287, ""it"", ""en"")"),"A. The point goes to the team that threw it B. The jack is replaced C. The game continues normally D. The point goes to the opponent")</f>
        <v>A. The point goes to the team that threw it B. The jack is replaced C. The game continues normally D. The point goes to the opponent</v>
      </c>
      <c r="I287" s="3" t="str">
        <f>IFERROR(__xludf.DUMMYFUNCTION("GOOGLETRANSLATE(D287, ""it"", ""en"")"),"The point goes to the team that threw")</f>
        <v>The point goes to the team that threw</v>
      </c>
      <c r="J287" s="2"/>
      <c r="K287" s="2"/>
      <c r="L287" s="2"/>
      <c r="M287" s="2"/>
      <c r="N287" s="2"/>
      <c r="O287" s="2"/>
      <c r="P287" s="2"/>
      <c r="Q287" s="2"/>
      <c r="R287" s="2"/>
    </row>
    <row r="288" ht="22.5" customHeight="1">
      <c r="A288" s="3">
        <v>293.0</v>
      </c>
      <c r="B288" s="3" t="s">
        <v>2108</v>
      </c>
      <c r="C288" s="3" t="s">
        <v>2227</v>
      </c>
      <c r="D288" s="3" t="s">
        <v>21</v>
      </c>
      <c r="E288" s="2"/>
      <c r="F288" s="3" t="str">
        <f>IFERROR(__xludf.DUMMYFUNCTION("GOOGLETRANSLATE(A288, ""it"", ""en"")"),"293")</f>
        <v>293</v>
      </c>
      <c r="G288" s="3" t="str">
        <f>IFERROR(__xludf.DUMMYFUNCTION("GOOGLETRANSLATE(B288, ""it"", ""en"")"),"If a player throws a ball and it lands on an opponent's ball, what happens?")</f>
        <v>If a player throws a ball and it lands on an opponent's ball, what happens?</v>
      </c>
      <c r="H288" s="3" t="str">
        <f>IFERROR(__xludf.DUMMYFUNCTION("GOOGLETRANSLATE(C288, ""it"", ""en"")"),"A. The game continues normally B. The point goes to the team that threw C. The point goes to the opponent D. The ball is replaced")</f>
        <v>A. The game continues normally B. The point goes to the team that threw C. The point goes to the opponent D. The ball is replaced</v>
      </c>
      <c r="I288" s="3" t="str">
        <f>IFERROR(__xludf.DUMMYFUNCTION("GOOGLETRANSLATE(D288, ""it"", ""en"")"),"The game continues normally")</f>
        <v>The game continues normally</v>
      </c>
      <c r="J288" s="2"/>
      <c r="K288" s="2"/>
      <c r="L288" s="2"/>
      <c r="M288" s="2"/>
      <c r="N288" s="2"/>
      <c r="O288" s="2"/>
      <c r="P288" s="2"/>
      <c r="Q288" s="2"/>
      <c r="R288" s="2"/>
    </row>
    <row r="289" ht="22.5" customHeight="1">
      <c r="A289" s="3">
        <v>294.0</v>
      </c>
      <c r="B289" s="3" t="s">
        <v>2228</v>
      </c>
      <c r="C289" s="3" t="s">
        <v>2091</v>
      </c>
      <c r="D289" s="3" t="s">
        <v>1828</v>
      </c>
      <c r="E289" s="2"/>
      <c r="F289" s="3" t="str">
        <f>IFERROR(__xludf.DUMMYFUNCTION("GOOGLETRANSLATE(A289, ""it"", ""en"")"),"294")</f>
        <v>294</v>
      </c>
      <c r="G289" s="3" t="str">
        <f>IFERROR(__xludf.DUMMYFUNCTION("GOOGLETRANSLATE(B289, ""it"", ""en"")"),"If a player throws the ball and it hits the jack and moves it slightly, what happens?")</f>
        <v>If a player throws the ball and it hits the jack and moves it slightly, what happens?</v>
      </c>
      <c r="H289" s="3" t="str">
        <f>IFERROR(__xludf.DUMMYFUNCTION("GOOGLETRANSLATE(C289, ""it"", ""en"")"),"A. The point goes to the team that threw B. The game continues normally C. The point goes to the opponent D. The jack is replaced")</f>
        <v>A. The point goes to the team that threw B. The game continues normally C. The point goes to the opponent D. The jack is replaced</v>
      </c>
      <c r="I289" s="3" t="str">
        <f>IFERROR(__xludf.DUMMYFUNCTION("GOOGLETRANSLATE(D289, ""it"", ""en"")"),"The point goes to the team that threw")</f>
        <v>The point goes to the team that threw</v>
      </c>
      <c r="J289" s="2"/>
      <c r="K289" s="2"/>
      <c r="L289" s="2"/>
      <c r="M289" s="2"/>
      <c r="N289" s="2"/>
      <c r="O289" s="2"/>
      <c r="P289" s="2"/>
      <c r="Q289" s="2"/>
      <c r="R289" s="2"/>
    </row>
    <row r="290" ht="22.5" customHeight="1">
      <c r="A290" s="3">
        <v>295.0</v>
      </c>
      <c r="B290" s="3" t="s">
        <v>2229</v>
      </c>
      <c r="C290" s="3" t="s">
        <v>2042</v>
      </c>
      <c r="D290" s="3" t="s">
        <v>1828</v>
      </c>
      <c r="E290" s="2"/>
      <c r="F290" s="3" t="str">
        <f>IFERROR(__xludf.DUMMYFUNCTION("GOOGLETRANSLATE(A290, ""it"", ""en"")"),"295")</f>
        <v>295</v>
      </c>
      <c r="G290" s="3" t="str">
        <f>IFERROR(__xludf.DUMMYFUNCTION("GOOGLETRANSLATE(B290, ""it"", ""en"")"),"If a player throws a ball and it touches the baseline but doesn't cross it, what happens?")</f>
        <v>If a player throws a ball and it touches the baseline but doesn't cross it, what happens?</v>
      </c>
      <c r="H290" s="3" t="str">
        <f>IFERROR(__xludf.DUMMYFUNCTION("GOOGLETRANSLATE(C290, ""it"", ""en"")"),"A. The point goes to the team that threw B. The throw is cancelled C. The game continues normally D. The ball is replaced")</f>
        <v>A. The point goes to the team that threw B. The throw is cancelled C. The game continues normally D. The ball is replaced</v>
      </c>
      <c r="I290" s="3" t="str">
        <f>IFERROR(__xludf.DUMMYFUNCTION("GOOGLETRANSLATE(D290, ""it"", ""en"")"),"The point goes to the team that threw")</f>
        <v>The point goes to the team that threw</v>
      </c>
      <c r="J290" s="2"/>
      <c r="K290" s="2"/>
      <c r="L290" s="2"/>
      <c r="M290" s="2"/>
      <c r="N290" s="2"/>
      <c r="O290" s="2"/>
      <c r="P290" s="2"/>
      <c r="Q290" s="2"/>
      <c r="R290" s="2"/>
    </row>
    <row r="291" ht="22.5" customHeight="1">
      <c r="A291" s="3">
        <v>296.0</v>
      </c>
      <c r="B291" s="3" t="s">
        <v>2230</v>
      </c>
      <c r="C291" s="3" t="s">
        <v>2120</v>
      </c>
      <c r="D291" s="3" t="s">
        <v>2085</v>
      </c>
      <c r="E291" s="2"/>
      <c r="F291" s="3" t="str">
        <f>IFERROR(__xludf.DUMMYFUNCTION("GOOGLETRANSLATE(A291, ""it"", ""en"")"),"296")</f>
        <v>296</v>
      </c>
      <c r="G291" s="3" t="str">
        <f>IFERROR(__xludf.DUMMYFUNCTION("GOOGLETRANSLATE(B291, ""it"", ""en"")"),"If a player throws a ball and it lands behind the baseline without touching anything, what happens?")</f>
        <v>If a player throws a ball and it lands behind the baseline without touching anything, what happens?</v>
      </c>
      <c r="H291" s="3" t="str">
        <f>IFERROR(__xludf.DUMMYFUNCTION("GOOGLETRANSLATE(C291, ""it"", ""en"")"),"A. The point goes to the opponent B. The game continues normally C. The throw is cancelled D. The ball is replaced")</f>
        <v>A. The point goes to the opponent B. The game continues normally C. The throw is cancelled D. The ball is replaced</v>
      </c>
      <c r="I291" s="3" t="str">
        <f>IFERROR(__xludf.DUMMYFUNCTION("GOOGLETRANSLATE(D291, ""it"", ""en"")"),"The point goes to the opponent")</f>
        <v>The point goes to the opponent</v>
      </c>
      <c r="J291" s="2"/>
      <c r="K291" s="2"/>
      <c r="L291" s="2"/>
      <c r="M291" s="2"/>
      <c r="N291" s="2"/>
      <c r="O291" s="2"/>
      <c r="P291" s="2"/>
      <c r="Q291" s="2"/>
      <c r="R291" s="2"/>
    </row>
    <row r="292" ht="22.5" customHeight="1">
      <c r="A292" s="3">
        <v>297.0</v>
      </c>
      <c r="B292" s="3" t="s">
        <v>2174</v>
      </c>
      <c r="C292" s="3" t="s">
        <v>2114</v>
      </c>
      <c r="D292" s="3" t="s">
        <v>1828</v>
      </c>
      <c r="E292" s="2"/>
      <c r="F292" s="3" t="str">
        <f>IFERROR(__xludf.DUMMYFUNCTION("GOOGLETRANSLATE(A292, ""it"", ""en"")"),"297")</f>
        <v>297</v>
      </c>
      <c r="G292" s="3" t="str">
        <f>IFERROR(__xludf.DUMMYFUNCTION("GOOGLETRANSLATE(B292, ""it"", ""en"")"),"If a player throws a ball and it hits an opponent's ball and moves it toward the jack, what happens?")</f>
        <v>If a player throws a ball and it hits an opponent's ball and moves it toward the jack, what happens?</v>
      </c>
      <c r="H292" s="3" t="str">
        <f>IFERROR(__xludf.DUMMYFUNCTION("GOOGLETRANSLATE(C292, ""it"", ""en"")"),"A. The point goes to the team that threw it B. The point goes to the opponent C. The game continues normally D. The opponent's ball is removed")</f>
        <v>A. The point goes to the team that threw it B. The point goes to the opponent C. The game continues normally D. The opponent's ball is removed</v>
      </c>
      <c r="I292" s="3" t="str">
        <f>IFERROR(__xludf.DUMMYFUNCTION("GOOGLETRANSLATE(D292, ""it"", ""en"")"),"The point goes to the team that threw")</f>
        <v>The point goes to the team that threw</v>
      </c>
      <c r="J292" s="2"/>
      <c r="K292" s="2"/>
      <c r="L292" s="2"/>
      <c r="M292" s="2"/>
      <c r="N292" s="2"/>
      <c r="O292" s="2"/>
      <c r="P292" s="2"/>
      <c r="Q292" s="2"/>
      <c r="R292" s="2"/>
    </row>
    <row r="293" ht="22.5" customHeight="1">
      <c r="A293" s="3">
        <v>298.0</v>
      </c>
      <c r="B293" s="3" t="s">
        <v>2184</v>
      </c>
      <c r="C293" s="3" t="s">
        <v>2162</v>
      </c>
      <c r="D293" s="3" t="s">
        <v>1828</v>
      </c>
      <c r="E293" s="2"/>
      <c r="F293" s="3" t="str">
        <f>IFERROR(__xludf.DUMMYFUNCTION("GOOGLETRANSLATE(A293, ""it"", ""en"")"),"298")</f>
        <v>298</v>
      </c>
      <c r="G293" s="3" t="str">
        <f>IFERROR(__xludf.DUMMYFUNCTION("GOOGLETRANSLATE(B293, ""it"", ""en"")"),"If a player throws the ball and it stops halfway between the jack and the baseline, what happens?")</f>
        <v>If a player throws the ball and it stops halfway between the jack and the baseline, what happens?</v>
      </c>
      <c r="H293" s="3" t="str">
        <f>IFERROR(__xludf.DUMMYFUNCTION("GOOGLETRANSLATE(C293, ""it"", ""en"")"),"A. The point goes to the team that threw it B. The point goes to the opponent C. The game continues normally D. The ball is replaced")</f>
        <v>A. The point goes to the team that threw it B. The point goes to the opponent C. The game continues normally D. The ball is replaced</v>
      </c>
      <c r="I293" s="3" t="str">
        <f>IFERROR(__xludf.DUMMYFUNCTION("GOOGLETRANSLATE(D293, ""it"", ""en"")"),"The point goes to the team that threw")</f>
        <v>The point goes to the team that threw</v>
      </c>
      <c r="J293" s="2"/>
      <c r="K293" s="2"/>
      <c r="L293" s="2"/>
      <c r="M293" s="2"/>
      <c r="N293" s="2"/>
      <c r="O293" s="2"/>
      <c r="P293" s="2"/>
      <c r="Q293" s="2"/>
      <c r="R293" s="2"/>
    </row>
    <row r="294" ht="22.5" customHeight="1">
      <c r="A294" s="3">
        <v>299.0</v>
      </c>
      <c r="B294" s="3" t="s">
        <v>2182</v>
      </c>
      <c r="C294" s="3" t="s">
        <v>2105</v>
      </c>
      <c r="D294" s="3" t="s">
        <v>1828</v>
      </c>
      <c r="E294" s="2"/>
      <c r="F294" s="3" t="str">
        <f>IFERROR(__xludf.DUMMYFUNCTION("GOOGLETRANSLATE(A294, ""it"", ""en"")"),"299")</f>
        <v>299</v>
      </c>
      <c r="G294" s="3" t="str">
        <f>IFERROR(__xludf.DUMMYFUNCTION("GOOGLETRANSLATE(B294, ""it"", ""en"")"),"If a player throws a ball and it touches the baseline but doesn't cross it, what happens?")</f>
        <v>If a player throws a ball and it touches the baseline but doesn't cross it, what happens?</v>
      </c>
      <c r="H294" s="3" t="str">
        <f>IFERROR(__xludf.DUMMYFUNCTION("GOOGLETRANSLATE(C294, ""it"", ""en"")"),"A. The point goes to the team that threw B. The game continues normally C. The throw is cancelled D. The ball is replaced")</f>
        <v>A. The point goes to the team that threw B. The game continues normally C. The throw is cancelled D. The ball is replaced</v>
      </c>
      <c r="I294" s="3" t="str">
        <f>IFERROR(__xludf.DUMMYFUNCTION("GOOGLETRANSLATE(D294, ""it"", ""en"")"),"The point goes to the team that threw")</f>
        <v>The point goes to the team that threw</v>
      </c>
      <c r="J294" s="2"/>
      <c r="K294" s="2"/>
      <c r="L294" s="2"/>
      <c r="M294" s="2"/>
      <c r="N294" s="2"/>
      <c r="O294" s="2"/>
      <c r="P294" s="2"/>
      <c r="Q294" s="2"/>
      <c r="R294" s="2"/>
    </row>
    <row r="295" ht="22.5" customHeight="1">
      <c r="A295" s="3">
        <v>300.0</v>
      </c>
      <c r="B295" s="3" t="s">
        <v>2231</v>
      </c>
      <c r="C295" s="3" t="s">
        <v>2145</v>
      </c>
      <c r="D295" s="3" t="s">
        <v>2085</v>
      </c>
      <c r="E295" s="2"/>
      <c r="F295" s="3" t="str">
        <f>IFERROR(__xludf.DUMMYFUNCTION("GOOGLETRANSLATE(A295, ""it"", ""en"")"),"300")</f>
        <v>300</v>
      </c>
      <c r="G295" s="3" t="str">
        <f>IFERROR(__xludf.DUMMYFUNCTION("GOOGLETRANSLATE(B295, ""it"", ""en"")"),"If a player accidentally kicks a ball during play, what happens?")</f>
        <v>If a player accidentally kicks a ball during play, what happens?</v>
      </c>
      <c r="H295" s="3" t="str">
        <f>IFERROR(__xludf.DUMMYFUNCTION("GOOGLETRANSLATE(C295, ""it"", ""en"")"),"A. The point goes to the opponent B. The ball is replaced C. The game continues normally D. The throw is cancelled")</f>
        <v>A. The point goes to the opponent B. The ball is replaced C. The game continues normally D. The throw is cancelled</v>
      </c>
      <c r="I295" s="3" t="str">
        <f>IFERROR(__xludf.DUMMYFUNCTION("GOOGLETRANSLATE(D295, ""it"", ""en"")"),"The point goes to the opponent")</f>
        <v>The point goes to the opponent</v>
      </c>
      <c r="J295" s="2"/>
      <c r="K295" s="2"/>
      <c r="L295" s="2"/>
      <c r="M295" s="2"/>
      <c r="N295" s="2"/>
      <c r="O295" s="2"/>
      <c r="P295" s="2"/>
      <c r="Q295" s="2"/>
      <c r="R295" s="2"/>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2232</v>
      </c>
      <c r="G1" s="1" t="s">
        <v>4</v>
      </c>
      <c r="H1" s="1" t="s">
        <v>5</v>
      </c>
      <c r="I1" s="1" t="s">
        <v>6</v>
      </c>
      <c r="J1" s="2"/>
      <c r="K1" s="2"/>
      <c r="L1" s="2"/>
      <c r="M1" s="2"/>
      <c r="N1" s="2"/>
      <c r="O1" s="2"/>
      <c r="P1" s="2"/>
      <c r="Q1" s="2"/>
      <c r="R1" s="2"/>
      <c r="S1" s="2"/>
      <c r="T1" s="2"/>
      <c r="U1" s="2"/>
      <c r="V1" s="2"/>
      <c r="W1" s="2"/>
    </row>
    <row r="2" ht="22.5" customHeight="1">
      <c r="A2" s="3">
        <v>1.0</v>
      </c>
      <c r="B2" s="3" t="s">
        <v>2233</v>
      </c>
      <c r="C2" s="3" t="s">
        <v>2234</v>
      </c>
      <c r="D2" s="3" t="s">
        <v>2235</v>
      </c>
      <c r="E2" s="2"/>
      <c r="F2" s="3" t="str">
        <f>IFERROR(__xludf.DUMMYFUNCTION("GOOGLETRANSLATE(A2, ""it"", ""en"")"),"1")</f>
        <v>1</v>
      </c>
      <c r="G2" s="3" t="str">
        <f>IFERROR(__xludf.DUMMYFUNCTION("GOOGLETRANSLATE(B2, ""it"", ""en"")"),"Ye're in a game o' Ball with the Bracelet an' ye hit the ball against the wall wi' yer bracelet. What happens?")</f>
        <v>Ye're in a game o' Ball with the Bracelet an' ye hit the ball against the wall wi' yer bracelet. What happens?</v>
      </c>
      <c r="H2" s="3" t="str">
        <f>IFERROR(__xludf.DUMMYFUNCTION("GOOGLETRANSLATE(C2, ""it"", ""en"")"),"A. Ye win a point B. Ye lose the point C. Ye get a free throw D. Ye get a warning")</f>
        <v>A. Ye win a point B. Ye lose the point C. Ye get a free throw D. Ye get a warning</v>
      </c>
      <c r="I2" s="3" t="str">
        <f>IFERROR(__xludf.DUMMYFUNCTION("GOOGLETRANSLATE(D2, ""it"", ""en"")"),"Ye win a point")</f>
        <v>Ye win a point</v>
      </c>
      <c r="J2" s="2"/>
      <c r="K2" s="2"/>
      <c r="L2" s="2"/>
      <c r="M2" s="2"/>
      <c r="N2" s="2"/>
      <c r="O2" s="2"/>
      <c r="P2" s="2"/>
      <c r="Q2" s="2"/>
      <c r="R2" s="2"/>
      <c r="S2" s="2"/>
      <c r="T2" s="2"/>
      <c r="U2" s="2"/>
      <c r="V2" s="2"/>
      <c r="W2" s="2"/>
    </row>
    <row r="3" ht="22.5" customHeight="1">
      <c r="A3" s="3">
        <v>2.0</v>
      </c>
      <c r="B3" s="3" t="s">
        <v>2236</v>
      </c>
      <c r="C3" s="3" t="s">
        <v>2237</v>
      </c>
      <c r="D3" s="3" t="s">
        <v>2238</v>
      </c>
      <c r="E3" s="2"/>
      <c r="F3" s="3" t="str">
        <f>IFERROR(__xludf.DUMMYFUNCTION("GOOGLETRANSLATE(A3, ""it"", ""en"")"),"2")</f>
        <v>2</v>
      </c>
      <c r="G3" s="3" t="str">
        <f>IFERROR(__xludf.DUMMYFUNCTION("GOOGLETRANSLATE(B3, ""it"", ""en"")"),"Ye strike the ball but it goes over the wall an' lands on the ground outside the court. What happens?")</f>
        <v>Ye strike the ball but it goes over the wall an' lands on the ground outside the court. What happens?</v>
      </c>
      <c r="H3" s="3" t="str">
        <f>IFERROR(__xludf.DUMMYFUNCTION("GOOGLETRANSLATE(C3, ""it"", ""en"")"),"A. Ye lose the point B. Ye win a point C. Ye get a penalty D. The game continues")</f>
        <v>A. Ye lose the point B. Ye win a point C. Ye get a penalty D. The game continues</v>
      </c>
      <c r="I3" s="3" t="str">
        <f>IFERROR(__xludf.DUMMYFUNCTION("GOOGLETRANSLATE(D3, ""it"", ""en"")"),"You lose the point")</f>
        <v>You lose the point</v>
      </c>
      <c r="J3" s="2"/>
      <c r="K3" s="2"/>
      <c r="L3" s="2"/>
      <c r="M3" s="2"/>
      <c r="N3" s="2"/>
      <c r="O3" s="2"/>
      <c r="P3" s="2"/>
      <c r="Q3" s="2"/>
      <c r="R3" s="2"/>
      <c r="S3" s="2"/>
      <c r="T3" s="2"/>
      <c r="U3" s="2"/>
      <c r="V3" s="2"/>
      <c r="W3" s="2"/>
    </row>
    <row r="4" ht="22.5" customHeight="1">
      <c r="A4" s="3">
        <v>3.0</v>
      </c>
      <c r="B4" s="3" t="s">
        <v>2239</v>
      </c>
      <c r="C4" s="3" t="s">
        <v>2240</v>
      </c>
      <c r="D4" s="3" t="s">
        <v>2238</v>
      </c>
      <c r="E4" s="2"/>
      <c r="F4" s="3" t="str">
        <f>IFERROR(__xludf.DUMMYFUNCTION("GOOGLETRANSLATE(A4, ""it"", ""en"")"),"3")</f>
        <v>3</v>
      </c>
      <c r="G4" s="3" t="str">
        <f>IFERROR(__xludf.DUMMYFUNCTION("GOOGLETRANSLATE(B4, ""it"", ""en"")"),"Ye're in the middle o' a rally an' ye hit the ball but it touches the ground inside the court before hitting the wall. What happens?")</f>
        <v>Ye're in the middle o' a rally an' ye hit the ball but it touches the ground inside the court before hitting the wall. What happens?</v>
      </c>
      <c r="H4" s="3" t="str">
        <f>IFERROR(__xludf.DUMMYFUNCTION("GOOGLETRANSLATE(C4, ""it"", ""en"")"),"A. Ye lose the point B. Ye win the point C. Ye get a warning D. Ye get a free throw")</f>
        <v>A. Ye lose the point B. Ye win the point C. Ye get a warning D. Ye get a free throw</v>
      </c>
      <c r="I4" s="3" t="str">
        <f>IFERROR(__xludf.DUMMYFUNCTION("GOOGLETRANSLATE(D4, ""it"", ""en"")"),"You lose the point")</f>
        <v>You lose the point</v>
      </c>
      <c r="J4" s="2"/>
      <c r="K4" s="2"/>
      <c r="L4" s="2"/>
      <c r="M4" s="2"/>
      <c r="N4" s="2"/>
      <c r="O4" s="2"/>
      <c r="P4" s="2"/>
      <c r="Q4" s="2"/>
      <c r="R4" s="2"/>
      <c r="S4" s="2"/>
      <c r="T4" s="2"/>
      <c r="U4" s="2"/>
      <c r="V4" s="2"/>
      <c r="W4" s="2"/>
    </row>
    <row r="5" ht="22.5" customHeight="1">
      <c r="A5" s="3">
        <v>4.0</v>
      </c>
      <c r="B5" s="3" t="s">
        <v>2241</v>
      </c>
      <c r="C5" s="3" t="s">
        <v>2242</v>
      </c>
      <c r="D5" s="3" t="s">
        <v>2238</v>
      </c>
      <c r="E5" s="2"/>
      <c r="F5" s="3" t="str">
        <f>IFERROR(__xludf.DUMMYFUNCTION("GOOGLETRANSLATE(A5, ""it"", ""en"")"),"4")</f>
        <v>4</v>
      </c>
      <c r="G5" s="3" t="str">
        <f>IFERROR(__xludf.DUMMYFUNCTION("GOOGLETRANSLATE(B5, ""it"", ""en"")"),"Ye're using yer bracelet an' it slips aff yer arm hitting the ball wi' yer hand. What happens?")</f>
        <v>Ye're using yer bracelet an' it slips aff yer arm hitting the ball wi' yer hand. What happens?</v>
      </c>
      <c r="H5" s="3" t="str">
        <f>IFERROR(__xludf.DUMMYFUNCTION("GOOGLETRANSLATE(C5, ""it"", ""en"")"),"A. Ye lose the point B. Ye win a point C. Ye get a penalty D. Ye get a warning")</f>
        <v>A. Ye lose the point B. Ye win a point C. Ye get a penalty D. Ye get a warning</v>
      </c>
      <c r="I5" s="3" t="str">
        <f>IFERROR(__xludf.DUMMYFUNCTION("GOOGLETRANSLATE(D5, ""it"", ""en"")"),"You lose the point")</f>
        <v>You lose the point</v>
      </c>
      <c r="J5" s="2"/>
      <c r="K5" s="2"/>
      <c r="L5" s="2"/>
      <c r="M5" s="2"/>
      <c r="N5" s="2"/>
      <c r="O5" s="2"/>
      <c r="P5" s="2"/>
      <c r="Q5" s="2"/>
      <c r="R5" s="2"/>
      <c r="S5" s="2"/>
      <c r="T5" s="2"/>
      <c r="U5" s="2"/>
      <c r="V5" s="2"/>
      <c r="W5" s="2"/>
    </row>
    <row r="6" ht="22.5" customHeight="1">
      <c r="A6" s="3">
        <v>5.0</v>
      </c>
      <c r="B6" s="3" t="s">
        <v>2243</v>
      </c>
      <c r="C6" s="3" t="s">
        <v>2244</v>
      </c>
      <c r="D6" s="3" t="s">
        <v>2238</v>
      </c>
      <c r="E6" s="2"/>
      <c r="F6" s="3" t="str">
        <f>IFERROR(__xludf.DUMMYFUNCTION("GOOGLETRANSLATE(A6, ""it"", ""en"")"),"5")</f>
        <v>5</v>
      </c>
      <c r="G6" s="3" t="str">
        <f>IFERROR(__xludf.DUMMYFUNCTION("GOOGLETRANSLATE(B6, ""it"", ""en"")"),"Ye manage to strike the ball but it hits the wall an' then lands outside the court. What happens?")</f>
        <v>Ye manage to strike the ball but it hits the wall an' then lands outside the court. What happens?</v>
      </c>
      <c r="H6" s="3" t="str">
        <f>IFERROR(__xludf.DUMMYFUNCTION("GOOGLETRANSLATE(C6, ""it"", ""en"")"),"A. Ye lose the point B. Ye win the point C. Ye get a penalty D. Ye get a warning")</f>
        <v>A. Ye lose the point B. Ye win the point C. Ye get a penalty D. Ye get a warning</v>
      </c>
      <c r="I6" s="3" t="str">
        <f>IFERROR(__xludf.DUMMYFUNCTION("GOOGLETRANSLATE(D6, ""it"", ""en"")"),"You lose the point")</f>
        <v>You lose the point</v>
      </c>
      <c r="J6" s="2"/>
      <c r="K6" s="2"/>
      <c r="L6" s="2"/>
      <c r="M6" s="2"/>
      <c r="N6" s="2"/>
      <c r="O6" s="2"/>
      <c r="P6" s="2"/>
      <c r="Q6" s="2"/>
      <c r="R6" s="2"/>
      <c r="S6" s="2"/>
      <c r="T6" s="2"/>
      <c r="U6" s="2"/>
      <c r="V6" s="2"/>
      <c r="W6" s="2"/>
    </row>
    <row r="7" ht="22.5" customHeight="1">
      <c r="A7" s="3">
        <v>6.0</v>
      </c>
      <c r="B7" s="3" t="s">
        <v>2245</v>
      </c>
      <c r="C7" s="3" t="s">
        <v>2246</v>
      </c>
      <c r="D7" s="3" t="s">
        <v>2247</v>
      </c>
      <c r="E7" s="2"/>
      <c r="F7" s="3" t="str">
        <f>IFERROR(__xludf.DUMMYFUNCTION("GOOGLETRANSLATE(A7, ""it"", ""en"")"),"6")</f>
        <v>6</v>
      </c>
      <c r="G7" s="3" t="str">
        <f>IFERROR(__xludf.DUMMYFUNCTION("GOOGLETRANSLATE(B7, ""it"", ""en"")"),"Ye strike the ball but it bounces back from the wall an' hits yer opponent's bracelet. What happens?")</f>
        <v>Ye strike the ball but it bounces back from the wall an' hits yer opponent's bracelet. What happens?</v>
      </c>
      <c r="H7" s="3" t="str">
        <f>IFERROR(__xludf.DUMMYFUNCTION("GOOGLETRANSLATE(C7, ""it"", ""en"")"),"A. Ye lose the point B. Ye win the point C. Ye get a free throw D. Ye get a warning")</f>
        <v>A. Ye lose the point B. Ye win the point C. Ye get a free throw D. Ye get a warning</v>
      </c>
      <c r="I7" s="3" t="str">
        <f>IFERROR(__xludf.DUMMYFUNCTION("GOOGLETRANSLATE(D7, ""it"", ""en"")"),"You win the point")</f>
        <v>You win the point</v>
      </c>
      <c r="J7" s="2"/>
      <c r="K7" s="2"/>
      <c r="L7" s="2"/>
      <c r="M7" s="2"/>
      <c r="N7" s="2"/>
      <c r="O7" s="2"/>
      <c r="P7" s="2"/>
      <c r="Q7" s="2"/>
      <c r="R7" s="2"/>
      <c r="S7" s="2"/>
      <c r="T7" s="2"/>
      <c r="U7" s="2"/>
      <c r="V7" s="2"/>
      <c r="W7" s="2"/>
    </row>
    <row r="8" ht="22.5" customHeight="1">
      <c r="A8" s="3">
        <v>7.0</v>
      </c>
      <c r="B8" s="3" t="s">
        <v>2248</v>
      </c>
      <c r="C8" s="3" t="s">
        <v>2249</v>
      </c>
      <c r="D8" s="3" t="s">
        <v>2238</v>
      </c>
      <c r="E8" s="2"/>
      <c r="F8" s="3" t="str">
        <f>IFERROR(__xludf.DUMMYFUNCTION("GOOGLETRANSLATE(A8, ""it"", ""en"")"),"7")</f>
        <v>7</v>
      </c>
      <c r="G8" s="3" t="str">
        <f>IFERROR(__xludf.DUMMYFUNCTION("GOOGLETRANSLATE(B8, ""it"", ""en"")"),"Ye strike the ball but it goes high an' strikes the ceiling. What happens?")</f>
        <v>Ye strike the ball but it goes high an' strikes the ceiling. What happens?</v>
      </c>
      <c r="H8" s="3" t="str">
        <f>IFERROR(__xludf.DUMMYFUNCTION("GOOGLETRANSLATE(C8, ""it"", ""en"")"),"A. Ye lose the point B. Ye win the point C. Ye get a penalty D. Ye get a free throw")</f>
        <v>A. Ye lose the point B. Ye win the point C. Ye get a penalty D. Ye get a free throw</v>
      </c>
      <c r="I8" s="3" t="str">
        <f>IFERROR(__xludf.DUMMYFUNCTION("GOOGLETRANSLATE(D8, ""it"", ""en"")"),"You lose the point")</f>
        <v>You lose the point</v>
      </c>
      <c r="J8" s="2"/>
      <c r="K8" s="2"/>
      <c r="L8" s="2"/>
      <c r="M8" s="2"/>
      <c r="N8" s="2"/>
      <c r="O8" s="2"/>
      <c r="P8" s="2"/>
      <c r="Q8" s="2"/>
      <c r="R8" s="2"/>
      <c r="S8" s="2"/>
      <c r="T8" s="2"/>
      <c r="U8" s="2"/>
      <c r="V8" s="2"/>
      <c r="W8" s="2"/>
    </row>
    <row r="9" ht="22.5" customHeight="1">
      <c r="A9" s="3">
        <v>8.0</v>
      </c>
      <c r="B9" s="3" t="s">
        <v>2250</v>
      </c>
      <c r="C9" s="3" t="s">
        <v>2251</v>
      </c>
      <c r="D9" s="3" t="s">
        <v>2247</v>
      </c>
      <c r="E9" s="2"/>
      <c r="F9" s="3" t="str">
        <f>IFERROR(__xludf.DUMMYFUNCTION("GOOGLETRANSLATE(A9, ""it"", ""en"")"),"8")</f>
        <v>8</v>
      </c>
      <c r="G9" s="3" t="str">
        <f>IFERROR(__xludf.DUMMYFUNCTION("GOOGLETRANSLATE(B9, ""it"", ""en"")"),"Ye strike the ball an' yer opponent misses it entirely. What happens?")</f>
        <v>Ye strike the ball an' yer opponent misses it entirely. What happens?</v>
      </c>
      <c r="H9" s="3" t="str">
        <f>IFERROR(__xludf.DUMMYFUNCTION("GOOGLETRANSLATE(C9, ""it"", ""en"")"),"A. Ye win the point B. Ye lose the point C. Ye get a free throw D. Ye get a penalty")</f>
        <v>A. Ye win the point B. Ye lose the point C. Ye get a free throw D. Ye get a penalty</v>
      </c>
      <c r="I9" s="3" t="str">
        <f>IFERROR(__xludf.DUMMYFUNCTION("GOOGLETRANSLATE(D9, ""it"", ""en"")"),"You win the point")</f>
        <v>You win the point</v>
      </c>
      <c r="J9" s="2"/>
      <c r="K9" s="2"/>
      <c r="L9" s="2"/>
      <c r="M9" s="2"/>
      <c r="N9" s="2"/>
      <c r="O9" s="2"/>
      <c r="P9" s="2"/>
      <c r="Q9" s="2"/>
      <c r="R9" s="2"/>
      <c r="S9" s="2"/>
      <c r="T9" s="2"/>
      <c r="U9" s="2"/>
      <c r="V9" s="2"/>
      <c r="W9" s="2"/>
    </row>
    <row r="10" ht="22.5" customHeight="1">
      <c r="A10" s="3">
        <v>9.0</v>
      </c>
      <c r="B10" s="3" t="s">
        <v>2252</v>
      </c>
      <c r="C10" s="3" t="s">
        <v>2253</v>
      </c>
      <c r="D10" s="3" t="s">
        <v>2247</v>
      </c>
      <c r="E10" s="2"/>
      <c r="F10" s="3" t="str">
        <f>IFERROR(__xludf.DUMMYFUNCTION("GOOGLETRANSLATE(A10, ""it"", ""en"")"),"9")</f>
        <v>9</v>
      </c>
      <c r="G10" s="3" t="str">
        <f>IFERROR(__xludf.DUMMYFUNCTION("GOOGLETRANSLATE(B10, ""it"", ""en"")"),"Ye strike the ball but it hits the wall an' bounces back an' hits the ground within the court. What happens?")</f>
        <v>Ye strike the ball but it hits the wall an' bounces back an' hits the ground within the court. What happens?</v>
      </c>
      <c r="H10" s="3" t="str">
        <f>IFERROR(__xludf.DUMMYFUNCTION("GOOGLETRANSLATE(C10, ""it"", ""en"")"),"A. Ye lose the point B. Ye win the point C. Ye get a warning D. Ye get a penalty")</f>
        <v>A. Ye lose the point B. Ye win the point C. Ye get a warning D. Ye get a penalty</v>
      </c>
      <c r="I10" s="3" t="str">
        <f>IFERROR(__xludf.DUMMYFUNCTION("GOOGLETRANSLATE(D10, ""it"", ""en"")"),"You win the point")</f>
        <v>You win the point</v>
      </c>
      <c r="J10" s="2"/>
      <c r="K10" s="2"/>
      <c r="L10" s="2"/>
      <c r="M10" s="2"/>
      <c r="N10" s="2"/>
      <c r="O10" s="2"/>
      <c r="P10" s="2"/>
      <c r="Q10" s="2"/>
      <c r="R10" s="2"/>
      <c r="S10" s="2"/>
      <c r="T10" s="2"/>
      <c r="U10" s="2"/>
      <c r="V10" s="2"/>
      <c r="W10" s="2"/>
    </row>
    <row r="11" ht="22.5" customHeight="1">
      <c r="A11" s="3">
        <v>10.0</v>
      </c>
      <c r="B11" s="3" t="s">
        <v>2254</v>
      </c>
      <c r="C11" s="3" t="s">
        <v>2255</v>
      </c>
      <c r="D11" s="3" t="s">
        <v>2247</v>
      </c>
      <c r="E11" s="2"/>
      <c r="F11" s="3" t="str">
        <f>IFERROR(__xludf.DUMMYFUNCTION("GOOGLETRANSLATE(A11, ""it"", ""en"")"),"10")</f>
        <v>10</v>
      </c>
      <c r="G11" s="3" t="str">
        <f>IFERROR(__xludf.DUMMYFUNCTION("GOOGLETRANSLATE(B11, ""it"", ""en"")"),"Ye strike the ball in a rally an' the ball lands on the line o' the court. What happens?")</f>
        <v>Ye strike the ball in a rally an' the ball lands on the line o' the court. What happens?</v>
      </c>
      <c r="H11" s="3" t="str">
        <f>IFERROR(__xludf.DUMMYFUNCTION("GOOGLETRANSLATE(C11, ""it"", ""en"")"),"A. Ye win the point B. Ye lose the point C. Ye get a penalty D. Ye get a warning")</f>
        <v>A. Ye win the point B. Ye lose the point C. Ye get a penalty D. Ye get a warning</v>
      </c>
      <c r="I11" s="3" t="str">
        <f>IFERROR(__xludf.DUMMYFUNCTION("GOOGLETRANSLATE(D11, ""it"", ""en"")"),"You win the point")</f>
        <v>You win the point</v>
      </c>
      <c r="J11" s="2"/>
      <c r="K11" s="2"/>
      <c r="L11" s="2"/>
      <c r="M11" s="2"/>
      <c r="N11" s="2"/>
      <c r="O11" s="2"/>
      <c r="P11" s="2"/>
      <c r="Q11" s="2"/>
      <c r="R11" s="2"/>
      <c r="S11" s="2"/>
      <c r="T11" s="2"/>
      <c r="U11" s="2"/>
      <c r="V11" s="2"/>
      <c r="W11" s="2"/>
    </row>
    <row r="12" ht="22.5" customHeight="1">
      <c r="A12" s="3">
        <v>11.0</v>
      </c>
      <c r="B12" s="3" t="s">
        <v>2256</v>
      </c>
      <c r="C12" s="3" t="s">
        <v>2257</v>
      </c>
      <c r="D12" s="3" t="s">
        <v>2238</v>
      </c>
      <c r="E12" s="2"/>
      <c r="F12" s="3" t="str">
        <f>IFERROR(__xludf.DUMMYFUNCTION("GOOGLETRANSLATE(A12, ""it"", ""en"")"),"11")</f>
        <v>11</v>
      </c>
      <c r="G12" s="3" t="str">
        <f>IFERROR(__xludf.DUMMYFUNCTION("GOOGLETRANSLATE(B12, ""it"", ""en"")"),"Ye serve the ball but it goes out o' bounds on the first strike. What happens?")</f>
        <v>Ye serve the ball but it goes out o' bounds on the first strike. What happens?</v>
      </c>
      <c r="H12" s="3" t="str">
        <f>IFERROR(__xludf.DUMMYFUNCTION("GOOGLETRANSLATE(C12, ""it"", ""en"")"),"A. Ye lose the point B. Ye win the point C. Ye get a warning D. Ye get a second chance")</f>
        <v>A. Ye lose the point B. Ye win the point C. Ye get a warning D. Ye get a second chance</v>
      </c>
      <c r="I12" s="3" t="str">
        <f>IFERROR(__xludf.DUMMYFUNCTION("GOOGLETRANSLATE(D12, ""it"", ""en"")"),"You lose the point")</f>
        <v>You lose the point</v>
      </c>
      <c r="J12" s="2"/>
      <c r="K12" s="2"/>
      <c r="L12" s="2"/>
      <c r="M12" s="2"/>
      <c r="N12" s="2"/>
      <c r="O12" s="2"/>
      <c r="P12" s="2"/>
      <c r="Q12" s="2"/>
      <c r="R12" s="2"/>
      <c r="S12" s="2"/>
      <c r="T12" s="2"/>
      <c r="U12" s="2"/>
      <c r="V12" s="2"/>
      <c r="W12" s="2"/>
    </row>
    <row r="13" ht="22.5" customHeight="1">
      <c r="A13" s="3">
        <v>12.0</v>
      </c>
      <c r="B13" s="3" t="s">
        <v>2258</v>
      </c>
      <c r="C13" s="3" t="s">
        <v>2259</v>
      </c>
      <c r="D13" s="3" t="s">
        <v>2247</v>
      </c>
      <c r="E13" s="2"/>
      <c r="F13" s="3" t="str">
        <f>IFERROR(__xludf.DUMMYFUNCTION("GOOGLETRANSLATE(A13, ""it"", ""en"")"),"12")</f>
        <v>12</v>
      </c>
      <c r="G13" s="3" t="str">
        <f>IFERROR(__xludf.DUMMYFUNCTION("GOOGLETRANSLATE(B13, ""it"", ""en"")"),"Ye hit the ball but it lands in yer opponent's half an' they fail tae hit it back. What happens?")</f>
        <v>Ye hit the ball but it lands in yer opponent's half an' they fail tae hit it back. What happens?</v>
      </c>
      <c r="H13" s="3" t="str">
        <f>IFERROR(__xludf.DUMMYFUNCTION("GOOGLETRANSLATE(C13, ""it"", ""en"")"),"A. Ye win the point B. Ye lose the point C. Ye get a free throw D. Ye get a warning")</f>
        <v>A. Ye win the point B. Ye lose the point C. Ye get a free throw D. Ye get a warning</v>
      </c>
      <c r="I13" s="3" t="str">
        <f>IFERROR(__xludf.DUMMYFUNCTION("GOOGLETRANSLATE(D13, ""it"", ""en"")"),"You win the point")</f>
        <v>You win the point</v>
      </c>
      <c r="J13" s="2"/>
      <c r="K13" s="2"/>
      <c r="L13" s="2"/>
      <c r="M13" s="2"/>
      <c r="N13" s="2"/>
      <c r="O13" s="2"/>
      <c r="P13" s="2"/>
      <c r="Q13" s="2"/>
      <c r="R13" s="2"/>
      <c r="S13" s="2"/>
      <c r="T13" s="2"/>
      <c r="U13" s="2"/>
      <c r="V13" s="2"/>
      <c r="W13" s="2"/>
    </row>
    <row r="14" ht="22.5" customHeight="1">
      <c r="A14" s="3">
        <v>13.0</v>
      </c>
      <c r="B14" s="3" t="s">
        <v>2260</v>
      </c>
      <c r="C14" s="3" t="s">
        <v>2249</v>
      </c>
      <c r="D14" s="3" t="s">
        <v>2238</v>
      </c>
      <c r="E14" s="2"/>
      <c r="F14" s="3" t="str">
        <f>IFERROR(__xludf.DUMMYFUNCTION("GOOGLETRANSLATE(A14, ""it"", ""en"")"),"13")</f>
        <v>13</v>
      </c>
      <c r="G14" s="3" t="str">
        <f>IFERROR(__xludf.DUMMYFUNCTION("GOOGLETRANSLATE(B14, ""it"", ""en"")"),"Ye hit the ball wi' yer bracelet an' it ricochets back at ye hitting ye directly. What happens?")</f>
        <v>Ye hit the ball wi' yer bracelet an' it ricochets back at ye hitting ye directly. What happens?</v>
      </c>
      <c r="H14" s="3" t="str">
        <f>IFERROR(__xludf.DUMMYFUNCTION("GOOGLETRANSLATE(C14, ""it"", ""en"")"),"A. Ye lose the point B. Ye win the point C. Ye get a penalty D. Ye get a free throw")</f>
        <v>A. Ye lose the point B. Ye win the point C. Ye get a penalty D. Ye get a free throw</v>
      </c>
      <c r="I14" s="3" t="str">
        <f>IFERROR(__xludf.DUMMYFUNCTION("GOOGLETRANSLATE(D14, ""it"", ""en"")"),"You lose the point")</f>
        <v>You lose the point</v>
      </c>
      <c r="J14" s="2"/>
      <c r="K14" s="2"/>
      <c r="L14" s="2"/>
      <c r="M14" s="2"/>
      <c r="N14" s="2"/>
      <c r="O14" s="2"/>
      <c r="P14" s="2"/>
      <c r="Q14" s="2"/>
      <c r="R14" s="2"/>
      <c r="S14" s="2"/>
      <c r="T14" s="2"/>
      <c r="U14" s="2"/>
      <c r="V14" s="2"/>
      <c r="W14" s="2"/>
    </row>
    <row r="15" ht="22.5" customHeight="1">
      <c r="A15" s="3">
        <v>14.0</v>
      </c>
      <c r="B15" s="3" t="s">
        <v>2261</v>
      </c>
      <c r="C15" s="3" t="s">
        <v>2259</v>
      </c>
      <c r="D15" s="3" t="s">
        <v>2247</v>
      </c>
      <c r="E15" s="2"/>
      <c r="F15" s="3" t="str">
        <f>IFERROR(__xludf.DUMMYFUNCTION("GOOGLETRANSLATE(A15, ""it"", ""en"")"),"14")</f>
        <v>14</v>
      </c>
      <c r="G15" s="3" t="str">
        <f>IFERROR(__xludf.DUMMYFUNCTION("GOOGLETRANSLATE(B15, ""it"", ""en"")"),"Ye hit the ball but yer opponent stands inside the line blocking yer shot. What happens?")</f>
        <v>Ye hit the ball but yer opponent stands inside the line blocking yer shot. What happens?</v>
      </c>
      <c r="H15" s="3" t="str">
        <f>IFERROR(__xludf.DUMMYFUNCTION("GOOGLETRANSLATE(C15, ""it"", ""en"")"),"A. Ye win the point B. Ye lose the point C. Ye get a free throw D. Ye get a warning")</f>
        <v>A. Ye win the point B. Ye lose the point C. Ye get a free throw D. Ye get a warning</v>
      </c>
      <c r="I15" s="3" t="str">
        <f>IFERROR(__xludf.DUMMYFUNCTION("GOOGLETRANSLATE(D15, ""it"", ""en"")"),"You win the point")</f>
        <v>You win the point</v>
      </c>
      <c r="J15" s="2"/>
      <c r="K15" s="2"/>
      <c r="L15" s="2"/>
      <c r="M15" s="2"/>
      <c r="N15" s="2"/>
      <c r="O15" s="2"/>
      <c r="P15" s="2"/>
      <c r="Q15" s="2"/>
      <c r="R15" s="2"/>
      <c r="S15" s="2"/>
      <c r="T15" s="2"/>
      <c r="U15" s="2"/>
      <c r="V15" s="2"/>
      <c r="W15" s="2"/>
    </row>
    <row r="16" ht="22.5" customHeight="1">
      <c r="A16" s="3">
        <v>15.0</v>
      </c>
      <c r="B16" s="3" t="s">
        <v>2262</v>
      </c>
      <c r="C16" s="3" t="s">
        <v>2263</v>
      </c>
      <c r="D16" s="3" t="s">
        <v>2238</v>
      </c>
      <c r="E16" s="2"/>
      <c r="F16" s="3" t="str">
        <f>IFERROR(__xludf.DUMMYFUNCTION("GOOGLETRANSLATE(A16, ""it"", ""en"")"),"15")</f>
        <v>15</v>
      </c>
      <c r="G16" s="3" t="str">
        <f>IFERROR(__xludf.DUMMYFUNCTION("GOOGLETRANSLATE(B16, ""it"", ""en"")"),"Ye hit the ball an' it lands on the top o' the wall an' doesn't fall down. What happens?")</f>
        <v>Ye hit the ball an' it lands on the top o' the wall an' doesn't fall down. What happens?</v>
      </c>
      <c r="H16" s="3" t="str">
        <f>IFERROR(__xludf.DUMMYFUNCTION("GOOGLETRANSLATE(C16, ""it"", ""en"")"),"A. Ye lose the point B. Ye win the point C. The ball is returned D. Ye get a free throw")</f>
        <v>A. Ye lose the point B. Ye win the point C. The ball is returned D. Ye get a free throw</v>
      </c>
      <c r="I16" s="3" t="str">
        <f>IFERROR(__xludf.DUMMYFUNCTION("GOOGLETRANSLATE(D16, ""it"", ""en"")"),"You lose the point")</f>
        <v>You lose the point</v>
      </c>
      <c r="J16" s="2"/>
      <c r="K16" s="2"/>
      <c r="L16" s="2"/>
      <c r="M16" s="2"/>
      <c r="N16" s="2"/>
      <c r="O16" s="2"/>
      <c r="P16" s="2"/>
      <c r="Q16" s="2"/>
      <c r="R16" s="2"/>
      <c r="S16" s="2"/>
      <c r="T16" s="2"/>
      <c r="U16" s="2"/>
      <c r="V16" s="2"/>
      <c r="W16" s="2"/>
    </row>
    <row r="17" ht="22.5" customHeight="1">
      <c r="A17" s="3">
        <v>16.0</v>
      </c>
      <c r="B17" s="3" t="s">
        <v>2264</v>
      </c>
      <c r="C17" s="3" t="s">
        <v>2265</v>
      </c>
      <c r="D17" s="3" t="s">
        <v>2238</v>
      </c>
      <c r="E17" s="2"/>
      <c r="F17" s="3" t="str">
        <f>IFERROR(__xludf.DUMMYFUNCTION("GOOGLETRANSLATE(A17, ""it"", ""en"")"),"16")</f>
        <v>16</v>
      </c>
      <c r="G17" s="3" t="str">
        <f>IFERROR(__xludf.DUMMYFUNCTION("GOOGLETRANSLATE(B17, ""it"", ""en"")"),"Ye hit the ball but it lands outside the court an' yer opponent calls it in. What happens?")</f>
        <v>Ye hit the ball but it lands outside the court an' yer opponent calls it in. What happens?</v>
      </c>
      <c r="H17" s="3" t="str">
        <f>IFERROR(__xludf.DUMMYFUNCTION("GOOGLETRANSLATE(C17, ""it"", ""en"")"),"A. Ye lose the point B. Ye win the point C. Ye get a warning D. The game continues")</f>
        <v>A. Ye lose the point B. Ye win the point C. Ye get a warning D. The game continues</v>
      </c>
      <c r="I17" s="3" t="str">
        <f>IFERROR(__xludf.DUMMYFUNCTION("GOOGLETRANSLATE(D17, ""it"", ""en"")"),"You lose the point")</f>
        <v>You lose the point</v>
      </c>
      <c r="J17" s="2"/>
      <c r="K17" s="2"/>
      <c r="L17" s="2"/>
      <c r="M17" s="2"/>
      <c r="N17" s="2"/>
      <c r="O17" s="2"/>
      <c r="P17" s="2"/>
      <c r="Q17" s="2"/>
      <c r="R17" s="2"/>
      <c r="S17" s="2"/>
      <c r="T17" s="2"/>
      <c r="U17" s="2"/>
      <c r="V17" s="2"/>
      <c r="W17" s="2"/>
    </row>
    <row r="18" ht="22.5" customHeight="1">
      <c r="A18" s="3">
        <v>17.0</v>
      </c>
      <c r="B18" s="3" t="s">
        <v>2266</v>
      </c>
      <c r="C18" s="3" t="s">
        <v>2251</v>
      </c>
      <c r="D18" s="3" t="s">
        <v>2247</v>
      </c>
      <c r="E18" s="2"/>
      <c r="F18" s="3" t="str">
        <f>IFERROR(__xludf.DUMMYFUNCTION("GOOGLETRANSLATE(A18, ""it"", ""en"")"),"17")</f>
        <v>17</v>
      </c>
      <c r="G18" s="3" t="str">
        <f>IFERROR(__xludf.DUMMYFUNCTION("GOOGLETRANSLATE(B18, ""it"", ""en"")"),"Ye strike the ball an' yer opponent hits it back over yer head without touching the ground. What happens?")</f>
        <v>Ye strike the ball an' yer opponent hits it back over yer head without touching the ground. What happens?</v>
      </c>
      <c r="H18" s="3" t="str">
        <f>IFERROR(__xludf.DUMMYFUNCTION("GOOGLETRANSLATE(C18, ""it"", ""en"")"),"A. Ye win the point B. Ye lose the point C. Ye get a free throw D. Ye get a penalty")</f>
        <v>A. Ye win the point B. Ye lose the point C. Ye get a free throw D. Ye get a penalty</v>
      </c>
      <c r="I18" s="3" t="str">
        <f>IFERROR(__xludf.DUMMYFUNCTION("GOOGLETRANSLATE(D18, ""it"", ""en"")"),"You win the point")</f>
        <v>You win the point</v>
      </c>
      <c r="J18" s="2"/>
      <c r="K18" s="2"/>
      <c r="L18" s="2"/>
      <c r="M18" s="2"/>
      <c r="N18" s="2"/>
      <c r="O18" s="2"/>
      <c r="P18" s="2"/>
      <c r="Q18" s="2"/>
      <c r="R18" s="2"/>
      <c r="S18" s="2"/>
      <c r="T18" s="2"/>
      <c r="U18" s="2"/>
      <c r="V18" s="2"/>
      <c r="W18" s="2"/>
    </row>
    <row r="19" ht="22.5" customHeight="1">
      <c r="A19" s="3">
        <v>18.0</v>
      </c>
      <c r="B19" s="3" t="s">
        <v>2267</v>
      </c>
      <c r="C19" s="3" t="s">
        <v>2268</v>
      </c>
      <c r="D19" s="3" t="s">
        <v>2247</v>
      </c>
      <c r="E19" s="2"/>
      <c r="F19" s="3" t="str">
        <f>IFERROR(__xludf.DUMMYFUNCTION("GOOGLETRANSLATE(A19, ""it"", ""en"")"),"18")</f>
        <v>18</v>
      </c>
      <c r="G19" s="3" t="str">
        <f>IFERROR(__xludf.DUMMYFUNCTION("GOOGLETRANSLATE(B19, ""it"", ""en"")"),"Ye hit the ball an' it lands at the edge o' yer opponent's court. What happens?")</f>
        <v>Ye hit the ball an' it lands at the edge o' yer opponent's court. What happens?</v>
      </c>
      <c r="H19" s="3" t="str">
        <f>IFERROR(__xludf.DUMMYFUNCTION("GOOGLETRANSLATE(C19, ""it"", ""en"")"),"A. Ye win the point B. Ye lose the point C. The game stops D. Ye get a penalty")</f>
        <v>A. Ye win the point B. Ye lose the point C. The game stops D. Ye get a penalty</v>
      </c>
      <c r="I19" s="3" t="str">
        <f>IFERROR(__xludf.DUMMYFUNCTION("GOOGLETRANSLATE(D19, ""it"", ""en"")"),"You win the point")</f>
        <v>You win the point</v>
      </c>
      <c r="J19" s="2"/>
      <c r="K19" s="2"/>
      <c r="L19" s="2"/>
      <c r="M19" s="2"/>
      <c r="N19" s="2"/>
      <c r="O19" s="2"/>
      <c r="P19" s="2"/>
      <c r="Q19" s="2"/>
      <c r="R19" s="2"/>
      <c r="S19" s="2"/>
      <c r="T19" s="2"/>
      <c r="U19" s="2"/>
      <c r="V19" s="2"/>
      <c r="W19" s="2"/>
    </row>
    <row r="20" ht="22.5" customHeight="1">
      <c r="A20" s="3">
        <v>19.0</v>
      </c>
      <c r="B20" s="3" t="s">
        <v>2269</v>
      </c>
      <c r="C20" s="3" t="s">
        <v>2270</v>
      </c>
      <c r="D20" s="3" t="s">
        <v>2247</v>
      </c>
      <c r="E20" s="2"/>
      <c r="F20" s="3" t="str">
        <f>IFERROR(__xludf.DUMMYFUNCTION("GOOGLETRANSLATE(A20, ""it"", ""en"")"),"19")</f>
        <v>19</v>
      </c>
      <c r="G20" s="3" t="str">
        <f>IFERROR(__xludf.DUMMYFUNCTION("GOOGLETRANSLATE(B20, ""it"", ""en"")"),"Ye serve the ball an' yer opponent returns it wi' their bracelet but it bounces outta bounds. What happens?")</f>
        <v>Ye serve the ball an' yer opponent returns it wi' their bracelet but it bounces outta bounds. What happens?</v>
      </c>
      <c r="H20" s="3" t="str">
        <f>IFERROR(__xludf.DUMMYFUNCTION("GOOGLETRANSLATE(C20, ""it"", ""en"")"),"A. Ye win the point B. Ye lose the point C. Ye get a penalty D. Ye get a free throw")</f>
        <v>A. Ye win the point B. Ye lose the point C. Ye get a penalty D. Ye get a free throw</v>
      </c>
      <c r="I20" s="3" t="str">
        <f>IFERROR(__xludf.DUMMYFUNCTION("GOOGLETRANSLATE(D20, ""it"", ""en"")"),"You win the point")</f>
        <v>You win the point</v>
      </c>
      <c r="J20" s="2"/>
      <c r="K20" s="2"/>
      <c r="L20" s="2"/>
      <c r="M20" s="2"/>
      <c r="N20" s="2"/>
      <c r="O20" s="2"/>
      <c r="P20" s="2"/>
      <c r="Q20" s="2"/>
      <c r="R20" s="2"/>
      <c r="S20" s="2"/>
      <c r="T20" s="2"/>
      <c r="U20" s="2"/>
      <c r="V20" s="2"/>
      <c r="W20" s="2"/>
    </row>
    <row r="21" ht="22.5" customHeight="1">
      <c r="A21" s="3">
        <v>20.0</v>
      </c>
      <c r="B21" s="3" t="s">
        <v>2271</v>
      </c>
      <c r="C21" s="3" t="s">
        <v>2272</v>
      </c>
      <c r="D21" s="3" t="s">
        <v>2238</v>
      </c>
      <c r="E21" s="2"/>
      <c r="F21" s="3" t="str">
        <f>IFERROR(__xludf.DUMMYFUNCTION("GOOGLETRANSLATE(A21, ""it"", ""en"")"),"20")</f>
        <v>20</v>
      </c>
      <c r="G21" s="3" t="str">
        <f>IFERROR(__xludf.DUMMYFUNCTION("GOOGLETRANSLATE(B21, ""it"", ""en"")"),"Ye strike the ball an' it flies too far landing outside the court. What happens?")</f>
        <v>Ye strike the ball an' it flies too far landing outside the court. What happens?</v>
      </c>
      <c r="H21" s="3" t="str">
        <f>IFERROR(__xludf.DUMMYFUNCTION("GOOGLETRANSLATE(C21, ""it"", ""en"")"),"A. Ye lose the point B. Ye win the point C. Ye get a penalty D. The game continues")</f>
        <v>A. Ye lose the point B. Ye win the point C. Ye get a penalty D. The game continues</v>
      </c>
      <c r="I21" s="3" t="str">
        <f>IFERROR(__xludf.DUMMYFUNCTION("GOOGLETRANSLATE(D21, ""it"", ""en"")"),"You lose the point")</f>
        <v>You lose the point</v>
      </c>
      <c r="J21" s="2"/>
      <c r="K21" s="2"/>
      <c r="L21" s="2"/>
      <c r="M21" s="2"/>
      <c r="N21" s="2"/>
      <c r="O21" s="2"/>
      <c r="P21" s="2"/>
      <c r="Q21" s="2"/>
      <c r="R21" s="2"/>
      <c r="S21" s="2"/>
      <c r="T21" s="2"/>
      <c r="U21" s="2"/>
      <c r="V21" s="2"/>
      <c r="W21" s="2"/>
    </row>
    <row r="22" ht="22.5" customHeight="1">
      <c r="A22" s="3">
        <v>21.0</v>
      </c>
      <c r="B22" s="3" t="s">
        <v>2273</v>
      </c>
      <c r="C22" s="3" t="s">
        <v>2246</v>
      </c>
      <c r="D22" s="3" t="s">
        <v>2238</v>
      </c>
      <c r="E22" s="2"/>
      <c r="F22" s="3" t="str">
        <f>IFERROR(__xludf.DUMMYFUNCTION("GOOGLETRANSLATE(A22, ""it"", ""en"")"),"21")</f>
        <v>21</v>
      </c>
      <c r="G22" s="3" t="str">
        <f>IFERROR(__xludf.DUMMYFUNCTION("GOOGLETRANSLATE(B22, ""it"", ""en"")"),"Ye hit the ball an' it goes behind the wall an' into the crowd. What happens?")</f>
        <v>Ye hit the ball an' it goes behind the wall an' into the crowd. What happens?</v>
      </c>
      <c r="H22" s="3" t="str">
        <f>IFERROR(__xludf.DUMMYFUNCTION("GOOGLETRANSLATE(C22, ""it"", ""en"")"),"A. Ye lose the point B. Ye win the point C. Ye get a free throw D. Ye get a warning")</f>
        <v>A. Ye lose the point B. Ye win the point C. Ye get a free throw D. Ye get a warning</v>
      </c>
      <c r="I22" s="3" t="str">
        <f>IFERROR(__xludf.DUMMYFUNCTION("GOOGLETRANSLATE(D22, ""it"", ""en"")"),"You lose the point")</f>
        <v>You lose the point</v>
      </c>
      <c r="J22" s="2"/>
      <c r="K22" s="2"/>
      <c r="L22" s="2"/>
      <c r="M22" s="2"/>
      <c r="N22" s="2"/>
      <c r="O22" s="2"/>
      <c r="P22" s="2"/>
      <c r="Q22" s="2"/>
      <c r="R22" s="2"/>
      <c r="S22" s="2"/>
      <c r="T22" s="2"/>
      <c r="U22" s="2"/>
      <c r="V22" s="2"/>
      <c r="W22" s="2"/>
    </row>
    <row r="23" ht="22.5" customHeight="1">
      <c r="A23" s="3">
        <v>22.0</v>
      </c>
      <c r="B23" s="3" t="s">
        <v>2274</v>
      </c>
      <c r="C23" s="3" t="s">
        <v>2249</v>
      </c>
      <c r="D23" s="3" t="s">
        <v>2238</v>
      </c>
      <c r="E23" s="2"/>
      <c r="F23" s="3" t="str">
        <f>IFERROR(__xludf.DUMMYFUNCTION("GOOGLETRANSLATE(A23, ""it"", ""en"")"),"22")</f>
        <v>22</v>
      </c>
      <c r="G23" s="3" t="str">
        <f>IFERROR(__xludf.DUMMYFUNCTION("GOOGLETRANSLATE(B23, ""it"", ""en"")"),"Ye make a perfect strike but yer opponent catches the ball before it hits the wall. What happens?")</f>
        <v>Ye make a perfect strike but yer opponent catches the ball before it hits the wall. What happens?</v>
      </c>
      <c r="H23" s="3" t="str">
        <f>IFERROR(__xludf.DUMMYFUNCTION("GOOGLETRANSLATE(C23, ""it"", ""en"")"),"A. Ye lose the point B. Ye win the point C. Ye get a penalty D. Ye get a free throw")</f>
        <v>A. Ye lose the point B. Ye win the point C. Ye get a penalty D. Ye get a free throw</v>
      </c>
      <c r="I23" s="3" t="str">
        <f>IFERROR(__xludf.DUMMYFUNCTION("GOOGLETRANSLATE(D23, ""it"", ""en"")"),"You lose the point")</f>
        <v>You lose the point</v>
      </c>
      <c r="J23" s="2"/>
      <c r="K23" s="2"/>
      <c r="L23" s="2"/>
      <c r="M23" s="2"/>
      <c r="N23" s="2"/>
      <c r="O23" s="2"/>
      <c r="P23" s="2"/>
      <c r="Q23" s="2"/>
      <c r="R23" s="2"/>
      <c r="S23" s="2"/>
      <c r="T23" s="2"/>
      <c r="U23" s="2"/>
      <c r="V23" s="2"/>
      <c r="W23" s="2"/>
    </row>
    <row r="24" ht="22.5" customHeight="1">
      <c r="A24" s="3">
        <v>23.0</v>
      </c>
      <c r="B24" s="3" t="s">
        <v>2275</v>
      </c>
      <c r="C24" s="3" t="s">
        <v>2246</v>
      </c>
      <c r="D24" s="3" t="s">
        <v>2247</v>
      </c>
      <c r="E24" s="2"/>
      <c r="F24" s="3" t="str">
        <f>IFERROR(__xludf.DUMMYFUNCTION("GOOGLETRANSLATE(A24, ""it"", ""en"")"),"23")</f>
        <v>23</v>
      </c>
      <c r="G24" s="3" t="str">
        <f>IFERROR(__xludf.DUMMYFUNCTION("GOOGLETRANSLATE(B24, ""it"", ""en"")"),"Ye hit the ball an' it ricochets off the wall an' back intae yer side o' the court. What happens?")</f>
        <v>Ye hit the ball an' it ricochets off the wall an' back intae yer side o' the court. What happens?</v>
      </c>
      <c r="H24" s="3" t="str">
        <f>IFERROR(__xludf.DUMMYFUNCTION("GOOGLETRANSLATE(C24, ""it"", ""en"")"),"A. Ye lose the point B. Ye win the point C. Ye get a free throw D. Ye get a warning")</f>
        <v>A. Ye lose the point B. Ye win the point C. Ye get a free throw D. Ye get a warning</v>
      </c>
      <c r="I24" s="3" t="str">
        <f>IFERROR(__xludf.DUMMYFUNCTION("GOOGLETRANSLATE(D24, ""it"", ""en"")"),"You win the point")</f>
        <v>You win the point</v>
      </c>
      <c r="J24" s="2"/>
      <c r="K24" s="2"/>
      <c r="L24" s="2"/>
      <c r="M24" s="2"/>
      <c r="N24" s="2"/>
      <c r="O24" s="2"/>
      <c r="P24" s="2"/>
      <c r="Q24" s="2"/>
      <c r="R24" s="2"/>
      <c r="S24" s="2"/>
      <c r="T24" s="2"/>
      <c r="U24" s="2"/>
      <c r="V24" s="2"/>
      <c r="W24" s="2"/>
    </row>
    <row r="25" ht="22.5" customHeight="1">
      <c r="A25" s="3">
        <v>24.0</v>
      </c>
      <c r="B25" s="3" t="s">
        <v>2276</v>
      </c>
      <c r="C25" s="3" t="s">
        <v>2277</v>
      </c>
      <c r="D25" s="3" t="s">
        <v>2278</v>
      </c>
      <c r="E25" s="2"/>
      <c r="F25" s="3" t="str">
        <f>IFERROR(__xludf.DUMMYFUNCTION("GOOGLETRANSLATE(A25, ""it"", ""en"")"),"24")</f>
        <v>24</v>
      </c>
      <c r="G25" s="3" t="str">
        <f>IFERROR(__xludf.DUMMYFUNCTION("GOOGLETRANSLATE(B25, ""it"", ""en"")"),"Ye attempt to serve but miss it completely. What happens?")</f>
        <v>Ye attempt to serve but miss it completely. What happens?</v>
      </c>
      <c r="H25" s="3" t="str">
        <f>IFERROR(__xludf.DUMMYFUNCTION("GOOGLETRANSLATE(C25, ""it"", ""en"")"),"A. Ye lose the point B. Ye get another serve C. Ye win the point D. Ye get a free throw")</f>
        <v>A. Ye lose the point B. Ye get another serve C. Ye win the point D. Ye get a free throw</v>
      </c>
      <c r="I25" s="3" t="str">
        <f>IFERROR(__xludf.DUMMYFUNCTION("GOOGLETRANSLATE(D25, ""it"", ""en"")"),"Ye get another serve")</f>
        <v>Ye get another serve</v>
      </c>
      <c r="J25" s="2"/>
      <c r="K25" s="2"/>
      <c r="L25" s="2"/>
      <c r="M25" s="2"/>
      <c r="N25" s="2"/>
      <c r="O25" s="2"/>
      <c r="P25" s="2"/>
      <c r="Q25" s="2"/>
      <c r="R25" s="2"/>
      <c r="S25" s="2"/>
      <c r="T25" s="2"/>
      <c r="U25" s="2"/>
      <c r="V25" s="2"/>
      <c r="W25" s="2"/>
    </row>
    <row r="26" ht="22.5" customHeight="1">
      <c r="A26" s="3">
        <v>25.0</v>
      </c>
      <c r="B26" s="3" t="s">
        <v>2279</v>
      </c>
      <c r="C26" s="3" t="s">
        <v>2246</v>
      </c>
      <c r="D26" s="3" t="s">
        <v>2238</v>
      </c>
      <c r="E26" s="2"/>
      <c r="F26" s="3" t="str">
        <f>IFERROR(__xludf.DUMMYFUNCTION("GOOGLETRANSLATE(A26, ""it"", ""en"")"),"25")</f>
        <v>25</v>
      </c>
      <c r="G26" s="3" t="str">
        <f>IFERROR(__xludf.DUMMYFUNCTION("GOOGLETRANSLATE(B26, ""it"", ""en"")"),"Ye strike the ball but yer bracelet slips off yer arm an' the ball misses the mark. What happens?")</f>
        <v>Ye strike the ball but yer bracelet slips off yer arm an' the ball misses the mark. What happens?</v>
      </c>
      <c r="H26" s="3" t="str">
        <f>IFERROR(__xludf.DUMMYFUNCTION("GOOGLETRANSLATE(C26, ""it"", ""en"")"),"A. Ye lose the point B. Ye win the point C. Ye get a free throw D. Ye get a warning")</f>
        <v>A. Ye lose the point B. Ye win the point C. Ye get a free throw D. Ye get a warning</v>
      </c>
      <c r="I26" s="3" t="str">
        <f>IFERROR(__xludf.DUMMYFUNCTION("GOOGLETRANSLATE(D26, ""it"", ""en"")"),"You lose the point")</f>
        <v>You lose the point</v>
      </c>
      <c r="J26" s="2"/>
      <c r="K26" s="2"/>
      <c r="L26" s="2"/>
      <c r="M26" s="2"/>
      <c r="N26" s="2"/>
      <c r="O26" s="2"/>
      <c r="P26" s="2"/>
      <c r="Q26" s="2"/>
      <c r="R26" s="2"/>
      <c r="S26" s="2"/>
      <c r="T26" s="2"/>
      <c r="U26" s="2"/>
      <c r="V26" s="2"/>
      <c r="W26" s="2"/>
    </row>
    <row r="27" ht="22.5" customHeight="1">
      <c r="A27" s="3">
        <v>26.0</v>
      </c>
      <c r="B27" s="3" t="s">
        <v>2280</v>
      </c>
      <c r="C27" s="3" t="s">
        <v>2255</v>
      </c>
      <c r="D27" s="3" t="s">
        <v>2247</v>
      </c>
      <c r="E27" s="2"/>
      <c r="F27" s="3" t="str">
        <f>IFERROR(__xludf.DUMMYFUNCTION("GOOGLETRANSLATE(A27, ""it"", ""en"")"),"26")</f>
        <v>26</v>
      </c>
      <c r="G27" s="3" t="str">
        <f>IFERROR(__xludf.DUMMYFUNCTION("GOOGLETRANSLATE(B27, ""it"", ""en"")"),"Ye hit the ball but yer opponent doesn't attempt to return it. What happens?")</f>
        <v>Ye hit the ball but yer opponent doesn't attempt to return it. What happens?</v>
      </c>
      <c r="H27" s="3" t="str">
        <f>IFERROR(__xludf.DUMMYFUNCTION("GOOGLETRANSLATE(C27, ""it"", ""en"")"),"A. Ye win the point B. Ye lose the point C. Ye get a penalty D. Ye get a warning")</f>
        <v>A. Ye win the point B. Ye lose the point C. Ye get a penalty D. Ye get a warning</v>
      </c>
      <c r="I27" s="3" t="str">
        <f>IFERROR(__xludf.DUMMYFUNCTION("GOOGLETRANSLATE(D27, ""it"", ""en"")"),"You win the point")</f>
        <v>You win the point</v>
      </c>
      <c r="J27" s="2"/>
      <c r="K27" s="2"/>
      <c r="L27" s="2"/>
      <c r="M27" s="2"/>
      <c r="N27" s="2"/>
      <c r="O27" s="2"/>
      <c r="P27" s="2"/>
      <c r="Q27" s="2"/>
      <c r="R27" s="2"/>
      <c r="S27" s="2"/>
      <c r="T27" s="2"/>
      <c r="U27" s="2"/>
      <c r="V27" s="2"/>
      <c r="W27" s="2"/>
    </row>
    <row r="28" ht="22.5" customHeight="1">
      <c r="A28" s="3">
        <v>27.0</v>
      </c>
      <c r="B28" s="3" t="s">
        <v>2281</v>
      </c>
      <c r="C28" s="3" t="s">
        <v>2251</v>
      </c>
      <c r="D28" s="3" t="s">
        <v>2247</v>
      </c>
      <c r="E28" s="2"/>
      <c r="F28" s="3" t="str">
        <f>IFERROR(__xludf.DUMMYFUNCTION("GOOGLETRANSLATE(A28, ""it"", ""en"")"),"27")</f>
        <v>27</v>
      </c>
      <c r="G28" s="3" t="str">
        <f>IFERROR(__xludf.DUMMYFUNCTION("GOOGLETRANSLATE(B28, ""it"", ""en"")"),"Ye serve the ball an' yer opponent misses it entirely. What happens?")</f>
        <v>Ye serve the ball an' yer opponent misses it entirely. What happens?</v>
      </c>
      <c r="H28" s="3" t="str">
        <f>IFERROR(__xludf.DUMMYFUNCTION("GOOGLETRANSLATE(C28, ""it"", ""en"")"),"A. Ye win the point B. Ye lose the point C. Ye get a free throw D. Ye get a penalty")</f>
        <v>A. Ye win the point B. Ye lose the point C. Ye get a free throw D. Ye get a penalty</v>
      </c>
      <c r="I28" s="3" t="str">
        <f>IFERROR(__xludf.DUMMYFUNCTION("GOOGLETRANSLATE(D28, ""it"", ""en"")"),"You win the point")</f>
        <v>You win the point</v>
      </c>
      <c r="J28" s="2"/>
      <c r="K28" s="2"/>
      <c r="L28" s="2"/>
      <c r="M28" s="2"/>
      <c r="N28" s="2"/>
      <c r="O28" s="2"/>
      <c r="P28" s="2"/>
      <c r="Q28" s="2"/>
      <c r="R28" s="2"/>
      <c r="S28" s="2"/>
      <c r="T28" s="2"/>
      <c r="U28" s="2"/>
      <c r="V28" s="2"/>
      <c r="W28" s="2"/>
    </row>
    <row r="29" ht="22.5" customHeight="1">
      <c r="A29" s="3">
        <v>28.0</v>
      </c>
      <c r="B29" s="3" t="s">
        <v>2282</v>
      </c>
      <c r="C29" s="3" t="s">
        <v>2253</v>
      </c>
      <c r="D29" s="3" t="s">
        <v>2238</v>
      </c>
      <c r="E29" s="2"/>
      <c r="F29" s="3" t="str">
        <f>IFERROR(__xludf.DUMMYFUNCTION("GOOGLETRANSLATE(A29, ""it"", ""en"")"),"28")</f>
        <v>28</v>
      </c>
      <c r="G29" s="3" t="str">
        <f>IFERROR(__xludf.DUMMYFUNCTION("GOOGLETRANSLATE(B29, ""it"", ""en"")"),"Ye strike the ball but it bounces off the wall an' lands outside the bounds o' the court. What happens?")</f>
        <v>Ye strike the ball but it bounces off the wall an' lands outside the bounds o' the court. What happens?</v>
      </c>
      <c r="H29" s="3" t="str">
        <f>IFERROR(__xludf.DUMMYFUNCTION("GOOGLETRANSLATE(C29, ""it"", ""en"")"),"A. Ye lose the point B. Ye win the point C. Ye get a warning D. Ye get a penalty")</f>
        <v>A. Ye lose the point B. Ye win the point C. Ye get a warning D. Ye get a penalty</v>
      </c>
      <c r="I29" s="3" t="str">
        <f>IFERROR(__xludf.DUMMYFUNCTION("GOOGLETRANSLATE(D29, ""it"", ""en"")"),"You lose the point")</f>
        <v>You lose the point</v>
      </c>
      <c r="J29" s="2"/>
      <c r="K29" s="2"/>
      <c r="L29" s="2"/>
      <c r="M29" s="2"/>
      <c r="N29" s="2"/>
      <c r="O29" s="2"/>
      <c r="P29" s="2"/>
      <c r="Q29" s="2"/>
      <c r="R29" s="2"/>
      <c r="S29" s="2"/>
      <c r="T29" s="2"/>
      <c r="U29" s="2"/>
      <c r="V29" s="2"/>
      <c r="W29" s="2"/>
    </row>
    <row r="30" ht="22.5" customHeight="1">
      <c r="A30" s="3">
        <v>29.0</v>
      </c>
      <c r="B30" s="3" t="s">
        <v>2283</v>
      </c>
      <c r="C30" s="3" t="s">
        <v>2251</v>
      </c>
      <c r="D30" s="3" t="s">
        <v>2247</v>
      </c>
      <c r="E30" s="2"/>
      <c r="F30" s="3" t="str">
        <f>IFERROR(__xludf.DUMMYFUNCTION("GOOGLETRANSLATE(A30, ""it"", ""en"")"),"29")</f>
        <v>29</v>
      </c>
      <c r="G30" s="3" t="str">
        <f>IFERROR(__xludf.DUMMYFUNCTION("GOOGLETRANSLATE(B30, ""it"", ""en"")"),"Ye hit the ball an' it bounces off the top of the wall an' comes down into the court. What happens?")</f>
        <v>Ye hit the ball an' it bounces off the top of the wall an' comes down into the court. What happens?</v>
      </c>
      <c r="H30" s="3" t="str">
        <f>IFERROR(__xludf.DUMMYFUNCTION("GOOGLETRANSLATE(C30, ""it"", ""en"")"),"A. Ye win the point B. Ye lose the point C. Ye get a free throw D. Ye get a penalty")</f>
        <v>A. Ye win the point B. Ye lose the point C. Ye get a free throw D. Ye get a penalty</v>
      </c>
      <c r="I30" s="3" t="str">
        <f>IFERROR(__xludf.DUMMYFUNCTION("GOOGLETRANSLATE(D30, ""it"", ""en"")"),"You win the point")</f>
        <v>You win the point</v>
      </c>
      <c r="J30" s="2"/>
      <c r="K30" s="2"/>
      <c r="L30" s="2"/>
      <c r="M30" s="2"/>
      <c r="N30" s="2"/>
      <c r="O30" s="2"/>
      <c r="P30" s="2"/>
      <c r="Q30" s="2"/>
      <c r="R30" s="2"/>
      <c r="S30" s="2"/>
      <c r="T30" s="2"/>
      <c r="U30" s="2"/>
      <c r="V30" s="2"/>
      <c r="W30" s="2"/>
    </row>
    <row r="31" ht="22.5" customHeight="1">
      <c r="A31" s="3">
        <v>30.0</v>
      </c>
      <c r="B31" s="3" t="s">
        <v>2284</v>
      </c>
      <c r="C31" s="3" t="s">
        <v>2240</v>
      </c>
      <c r="D31" s="3" t="s">
        <v>2238</v>
      </c>
      <c r="E31" s="2"/>
      <c r="F31" s="3" t="str">
        <f>IFERROR(__xludf.DUMMYFUNCTION("GOOGLETRANSLATE(A31, ""it"", ""en"")"),"30")</f>
        <v>30</v>
      </c>
      <c r="G31" s="3" t="str">
        <f>IFERROR(__xludf.DUMMYFUNCTION("GOOGLETRANSLATE(B31, ""it"", ""en"")"),"Ye strike the ball an' it misses the target area entirely. What happens?")</f>
        <v>Ye strike the ball an' it misses the target area entirely. What happens?</v>
      </c>
      <c r="H31" s="3" t="str">
        <f>IFERROR(__xludf.DUMMYFUNCTION("GOOGLETRANSLATE(C31, ""it"", ""en"")"),"A. Ye lose the point B. Ye win the point C. Ye get a warning D. Ye get a free throw")</f>
        <v>A. Ye lose the point B. Ye win the point C. Ye get a warning D. Ye get a free throw</v>
      </c>
      <c r="I31" s="3" t="str">
        <f>IFERROR(__xludf.DUMMYFUNCTION("GOOGLETRANSLATE(D31, ""it"", ""en"")"),"You lose the point")</f>
        <v>You lose the point</v>
      </c>
      <c r="J31" s="2"/>
      <c r="K31" s="2"/>
      <c r="L31" s="2"/>
      <c r="M31" s="2"/>
      <c r="N31" s="2"/>
      <c r="O31" s="2"/>
      <c r="P31" s="2"/>
      <c r="Q31" s="2"/>
      <c r="R31" s="2"/>
      <c r="S31" s="2"/>
      <c r="T31" s="2"/>
      <c r="U31" s="2"/>
      <c r="V31" s="2"/>
      <c r="W31" s="2"/>
    </row>
    <row r="32" ht="22.5" customHeight="1">
      <c r="A32" s="3">
        <v>31.0</v>
      </c>
      <c r="B32" s="3" t="s">
        <v>2285</v>
      </c>
      <c r="C32" s="3" t="s">
        <v>2286</v>
      </c>
      <c r="D32" s="3" t="s">
        <v>2247</v>
      </c>
      <c r="E32" s="2"/>
      <c r="F32" s="3" t="str">
        <f>IFERROR(__xludf.DUMMYFUNCTION("GOOGLETRANSLATE(A32, ""it"", ""en"")"),"31")</f>
        <v>31</v>
      </c>
      <c r="G32" s="3" t="str">
        <f>IFERROR(__xludf.DUMMYFUNCTION("GOOGLETRANSLATE(B32, ""it"", ""en"")"),"Ye strike the ball but it lands in the middle or' the court an' yer opponent doesn't return it. What happens?")</f>
        <v>Ye strike the ball but it lands in the middle or' the court an' yer opponent doesn't return it. What happens?</v>
      </c>
      <c r="H32" s="3" t="str">
        <f>IFERROR(__xludf.DUMMYFUNCTION("GOOGLETRANSLATE(C32, ""it"", ""en"")"),"A. Ye win the point B. Ye lose the point C. Ye get a warning D. Ye get a free throw")</f>
        <v>A. Ye win the point B. Ye lose the point C. Ye get a warning D. Ye get a free throw</v>
      </c>
      <c r="I32" s="3" t="str">
        <f>IFERROR(__xludf.DUMMYFUNCTION("GOOGLETRANSLATE(D32, ""it"", ""en"")"),"You win the point")</f>
        <v>You win the point</v>
      </c>
      <c r="J32" s="2"/>
      <c r="K32" s="2"/>
      <c r="L32" s="2"/>
      <c r="M32" s="2"/>
      <c r="N32" s="2"/>
      <c r="O32" s="2"/>
      <c r="P32" s="2"/>
      <c r="Q32" s="2"/>
      <c r="R32" s="2"/>
      <c r="S32" s="2"/>
      <c r="T32" s="2"/>
      <c r="U32" s="2"/>
      <c r="V32" s="2"/>
      <c r="W32" s="2"/>
    </row>
    <row r="33" ht="22.5" customHeight="1">
      <c r="A33" s="3">
        <v>32.0</v>
      </c>
      <c r="B33" s="3" t="s">
        <v>2287</v>
      </c>
      <c r="C33" s="3" t="s">
        <v>2288</v>
      </c>
      <c r="D33" s="3" t="s">
        <v>2238</v>
      </c>
      <c r="E33" s="2"/>
      <c r="F33" s="3" t="str">
        <f>IFERROR(__xludf.DUMMYFUNCTION("GOOGLETRANSLATE(A33, ""it"", ""en"")"),"32")</f>
        <v>32</v>
      </c>
      <c r="G33" s="3" t="str">
        <f>IFERROR(__xludf.DUMMYFUNCTION("GOOGLETRANSLATE(B33, ""it"", ""en"")"),"Ye serve the ball but it strikes the ground before hitting the wall. What happens?")</f>
        <v>Ye serve the ball but it strikes the ground before hitting the wall. What happens?</v>
      </c>
      <c r="H33" s="3" t="str">
        <f>IFERROR(__xludf.DUMMYFUNCTION("GOOGLETRANSLATE(C33, ""it"", ""en"")"),"A. Ye lose the point B. Ye win the point C. Ye get a second serve D. Ye get a penalty")</f>
        <v>A. Ye lose the point B. Ye win the point C. Ye get a second serve D. Ye get a penalty</v>
      </c>
      <c r="I33" s="3" t="str">
        <f>IFERROR(__xludf.DUMMYFUNCTION("GOOGLETRANSLATE(D33, ""it"", ""en"")"),"You lose the point")</f>
        <v>You lose the point</v>
      </c>
      <c r="J33" s="2"/>
      <c r="K33" s="2"/>
      <c r="L33" s="2"/>
      <c r="M33" s="2"/>
      <c r="N33" s="2"/>
      <c r="O33" s="2"/>
      <c r="P33" s="2"/>
      <c r="Q33" s="2"/>
      <c r="R33" s="2"/>
      <c r="S33" s="2"/>
      <c r="T33" s="2"/>
      <c r="U33" s="2"/>
      <c r="V33" s="2"/>
      <c r="W33" s="2"/>
    </row>
    <row r="34" ht="22.5" customHeight="1">
      <c r="A34" s="3">
        <v>33.0</v>
      </c>
      <c r="B34" s="3" t="s">
        <v>2289</v>
      </c>
      <c r="C34" s="3" t="s">
        <v>2240</v>
      </c>
      <c r="D34" s="3" t="s">
        <v>2238</v>
      </c>
      <c r="E34" s="2"/>
      <c r="F34" s="3" t="str">
        <f>IFERROR(__xludf.DUMMYFUNCTION("GOOGLETRANSLATE(A34, ""it"", ""en"")"),"33")</f>
        <v>33</v>
      </c>
      <c r="G34" s="3" t="str">
        <f>IFERROR(__xludf.DUMMYFUNCTION("GOOGLETRANSLATE(B34, ""it"", ""en"")"),"Ye hit the ball an' it lands just outside the line o' the court. What happens?")</f>
        <v>Ye hit the ball an' it lands just outside the line o' the court. What happens?</v>
      </c>
      <c r="H34" s="3" t="str">
        <f>IFERROR(__xludf.DUMMYFUNCTION("GOOGLETRANSLATE(C34, ""it"", ""en"")"),"A. Ye lose the point B. Ye win the point C. Ye get a warning D. Ye get a free throw")</f>
        <v>A. Ye lose the point B. Ye win the point C. Ye get a warning D. Ye get a free throw</v>
      </c>
      <c r="I34" s="3" t="str">
        <f>IFERROR(__xludf.DUMMYFUNCTION("GOOGLETRANSLATE(D34, ""it"", ""en"")"),"You lose the point")</f>
        <v>You lose the point</v>
      </c>
      <c r="J34" s="2"/>
      <c r="K34" s="2"/>
      <c r="L34" s="2"/>
      <c r="M34" s="2"/>
      <c r="N34" s="2"/>
      <c r="O34" s="2"/>
      <c r="P34" s="2"/>
      <c r="Q34" s="2"/>
      <c r="R34" s="2"/>
      <c r="S34" s="2"/>
      <c r="T34" s="2"/>
      <c r="U34" s="2"/>
      <c r="V34" s="2"/>
      <c r="W34" s="2"/>
    </row>
    <row r="35" ht="22.5" customHeight="1">
      <c r="A35" s="3">
        <v>34.0</v>
      </c>
      <c r="B35" s="3" t="s">
        <v>2290</v>
      </c>
      <c r="C35" s="3" t="s">
        <v>2251</v>
      </c>
      <c r="D35" s="3" t="s">
        <v>2247</v>
      </c>
      <c r="E35" s="2"/>
      <c r="F35" s="3" t="str">
        <f>IFERROR(__xludf.DUMMYFUNCTION("GOOGLETRANSLATE(A35, ""it"", ""en"")"),"34")</f>
        <v>34</v>
      </c>
      <c r="G35" s="3" t="str">
        <f>IFERROR(__xludf.DUMMYFUNCTION("GOOGLETRANSLATE(B35, ""it"", ""en"")"),"Ye hit the ball an' it lands within the court but yer opponent doesn't move to strike it. What happens?")</f>
        <v>Ye hit the ball an' it lands within the court but yer opponent doesn't move to strike it. What happens?</v>
      </c>
      <c r="H35" s="3" t="str">
        <f>IFERROR(__xludf.DUMMYFUNCTION("GOOGLETRANSLATE(C35, ""it"", ""en"")"),"A. Ye win the point B. Ye lose the point C. Ye get a free throw D. Ye get a penalty")</f>
        <v>A. Ye win the point B. Ye lose the point C. Ye get a free throw D. Ye get a penalty</v>
      </c>
      <c r="I35" s="3" t="str">
        <f>IFERROR(__xludf.DUMMYFUNCTION("GOOGLETRANSLATE(D35, ""it"", ""en"")"),"You win the point")</f>
        <v>You win the point</v>
      </c>
      <c r="J35" s="2"/>
      <c r="K35" s="2"/>
      <c r="L35" s="2"/>
      <c r="M35" s="2"/>
      <c r="N35" s="2"/>
      <c r="O35" s="2"/>
      <c r="P35" s="2"/>
      <c r="Q35" s="2"/>
      <c r="R35" s="2"/>
      <c r="S35" s="2"/>
      <c r="T35" s="2"/>
      <c r="U35" s="2"/>
      <c r="V35" s="2"/>
      <c r="W35" s="2"/>
    </row>
    <row r="36" ht="22.5" customHeight="1">
      <c r="A36" s="3">
        <v>35.0</v>
      </c>
      <c r="B36" s="3" t="s">
        <v>2291</v>
      </c>
      <c r="C36" s="3" t="s">
        <v>2259</v>
      </c>
      <c r="D36" s="3" t="s">
        <v>2247</v>
      </c>
      <c r="E36" s="2"/>
      <c r="F36" s="3" t="str">
        <f>IFERROR(__xludf.DUMMYFUNCTION("GOOGLETRANSLATE(A36, ""it"", ""en"")"),"35")</f>
        <v>35</v>
      </c>
      <c r="G36" s="3" t="str">
        <f>IFERROR(__xludf.DUMMYFUNCTION("GOOGLETRANSLATE(B36, ""it"", ""en"")"),"Ye serve the ball an' it touches the wall before hitting the ground. What happens?")</f>
        <v>Ye serve the ball an' it touches the wall before hitting the ground. What happens?</v>
      </c>
      <c r="H36" s="3" t="str">
        <f>IFERROR(__xludf.DUMMYFUNCTION("GOOGLETRANSLATE(C36, ""it"", ""en"")"),"A. Ye win the point B. Ye lose the point C. Ye get a free throw D. Ye get a warning")</f>
        <v>A. Ye win the point B. Ye lose the point C. Ye get a free throw D. Ye get a warning</v>
      </c>
      <c r="I36" s="3" t="str">
        <f>IFERROR(__xludf.DUMMYFUNCTION("GOOGLETRANSLATE(D36, ""it"", ""en"")"),"You win the point")</f>
        <v>You win the point</v>
      </c>
      <c r="J36" s="2"/>
      <c r="K36" s="2"/>
      <c r="L36" s="2"/>
      <c r="M36" s="2"/>
      <c r="N36" s="2"/>
      <c r="O36" s="2"/>
      <c r="P36" s="2"/>
      <c r="Q36" s="2"/>
      <c r="R36" s="2"/>
      <c r="S36" s="2"/>
      <c r="T36" s="2"/>
      <c r="U36" s="2"/>
      <c r="V36" s="2"/>
      <c r="W36" s="2"/>
    </row>
    <row r="37" ht="22.5" customHeight="1">
      <c r="A37" s="3">
        <v>36.0</v>
      </c>
      <c r="B37" s="3" t="s">
        <v>2292</v>
      </c>
      <c r="C37" s="3" t="s">
        <v>2240</v>
      </c>
      <c r="D37" s="3" t="s">
        <v>2238</v>
      </c>
      <c r="E37" s="2"/>
      <c r="F37" s="3" t="str">
        <f>IFERROR(__xludf.DUMMYFUNCTION("GOOGLETRANSLATE(A37, ""it"", ""en"")"),"36")</f>
        <v>36</v>
      </c>
      <c r="G37" s="3" t="str">
        <f>IFERROR(__xludf.DUMMYFUNCTION("GOOGLETRANSLATE(B37, ""it"", ""en"")"),"Ye strike the ball an' it touches the wall but bounces back off an' lands ootside the court. What happens?")</f>
        <v>Ye strike the ball an' it touches the wall but bounces back off an' lands ootside the court. What happens?</v>
      </c>
      <c r="H37" s="3" t="str">
        <f>IFERROR(__xludf.DUMMYFUNCTION("GOOGLETRANSLATE(C37, ""it"", ""en"")"),"A. Ye lose the point B. Ye win the point C. Ye get a warning D. Ye get a free throw")</f>
        <v>A. Ye lose the point B. Ye win the point C. Ye get a warning D. Ye get a free throw</v>
      </c>
      <c r="I37" s="3" t="str">
        <f>IFERROR(__xludf.DUMMYFUNCTION("GOOGLETRANSLATE(D37, ""it"", ""en"")"),"You lose the point")</f>
        <v>You lose the point</v>
      </c>
      <c r="J37" s="2"/>
      <c r="K37" s="2"/>
      <c r="L37" s="2"/>
      <c r="M37" s="2"/>
      <c r="N37" s="2"/>
      <c r="O37" s="2"/>
      <c r="P37" s="2"/>
      <c r="Q37" s="2"/>
      <c r="R37" s="2"/>
      <c r="S37" s="2"/>
      <c r="T37" s="2"/>
      <c r="U37" s="2"/>
      <c r="V37" s="2"/>
      <c r="W37" s="2"/>
    </row>
    <row r="38" ht="22.5" customHeight="1">
      <c r="A38" s="3">
        <v>37.0</v>
      </c>
      <c r="B38" s="3" t="s">
        <v>2293</v>
      </c>
      <c r="C38" s="3" t="s">
        <v>2249</v>
      </c>
      <c r="D38" s="3" t="s">
        <v>2247</v>
      </c>
      <c r="E38" s="2"/>
      <c r="F38" s="3" t="str">
        <f>IFERROR(__xludf.DUMMYFUNCTION("GOOGLETRANSLATE(A38, ""it"", ""en"")"),"37")</f>
        <v>37</v>
      </c>
      <c r="G38" s="3" t="str">
        <f>IFERROR(__xludf.DUMMYFUNCTION("GOOGLETRANSLATE(B38, ""it"", ""en"")"),"Ye strike the ball an' it lands perfectly on the line but yer opponent calls it out. What happens?")</f>
        <v>Ye strike the ball an' it lands perfectly on the line but yer opponent calls it out. What happens?</v>
      </c>
      <c r="H38" s="3" t="str">
        <f>IFERROR(__xludf.DUMMYFUNCTION("GOOGLETRANSLATE(C38, ""it"", ""en"")"),"A. Ye lose the point B. Ye win the point C. Ye get a penalty D. Ye get a free throw")</f>
        <v>A. Ye lose the point B. Ye win the point C. Ye get a penalty D. Ye get a free throw</v>
      </c>
      <c r="I38" s="3" t="str">
        <f>IFERROR(__xludf.DUMMYFUNCTION("GOOGLETRANSLATE(D38, ""it"", ""en"")"),"You win the point")</f>
        <v>You win the point</v>
      </c>
      <c r="J38" s="2"/>
      <c r="K38" s="2"/>
      <c r="L38" s="2"/>
      <c r="M38" s="2"/>
      <c r="N38" s="2"/>
      <c r="O38" s="2"/>
      <c r="P38" s="2"/>
      <c r="Q38" s="2"/>
      <c r="R38" s="2"/>
      <c r="S38" s="2"/>
      <c r="T38" s="2"/>
      <c r="U38" s="2"/>
      <c r="V38" s="2"/>
      <c r="W38" s="2"/>
    </row>
    <row r="39" ht="22.5" customHeight="1">
      <c r="A39" s="3">
        <v>38.0</v>
      </c>
      <c r="B39" s="3" t="s">
        <v>2294</v>
      </c>
      <c r="C39" s="3" t="s">
        <v>2240</v>
      </c>
      <c r="D39" s="3" t="s">
        <v>2238</v>
      </c>
      <c r="E39" s="2"/>
      <c r="F39" s="3" t="str">
        <f>IFERROR(__xludf.DUMMYFUNCTION("GOOGLETRANSLATE(A39, ""it"", ""en"")"),"38")</f>
        <v>38</v>
      </c>
      <c r="G39" s="3" t="str">
        <f>IFERROR(__xludf.DUMMYFUNCTION("GOOGLETRANSLATE(B39, ""it"", ""en"")"),"Ye hit the ball but it strikes yer own bracelet an' lands on the ground. What happens?")</f>
        <v>Ye hit the ball but it strikes yer own bracelet an' lands on the ground. What happens?</v>
      </c>
      <c r="H39" s="3" t="str">
        <f>IFERROR(__xludf.DUMMYFUNCTION("GOOGLETRANSLATE(C39, ""it"", ""en"")"),"A. Ye lose the point B. Ye win the point C. Ye get a warning D. Ye get a free throw")</f>
        <v>A. Ye lose the point B. Ye win the point C. Ye get a warning D. Ye get a free throw</v>
      </c>
      <c r="I39" s="3" t="str">
        <f>IFERROR(__xludf.DUMMYFUNCTION("GOOGLETRANSLATE(D39, ""it"", ""en"")"),"You lose the point")</f>
        <v>You lose the point</v>
      </c>
      <c r="J39" s="2"/>
      <c r="K39" s="2"/>
      <c r="L39" s="2"/>
      <c r="M39" s="2"/>
      <c r="N39" s="2"/>
      <c r="O39" s="2"/>
      <c r="P39" s="2"/>
      <c r="Q39" s="2"/>
      <c r="R39" s="2"/>
      <c r="S39" s="2"/>
      <c r="T39" s="2"/>
      <c r="U39" s="2"/>
      <c r="V39" s="2"/>
      <c r="W39" s="2"/>
    </row>
    <row r="40" ht="22.5" customHeight="1">
      <c r="A40" s="3">
        <v>39.0</v>
      </c>
      <c r="B40" s="3" t="s">
        <v>2295</v>
      </c>
      <c r="C40" s="3" t="s">
        <v>2249</v>
      </c>
      <c r="D40" s="3" t="s">
        <v>2238</v>
      </c>
      <c r="E40" s="2"/>
      <c r="F40" s="3" t="str">
        <f>IFERROR(__xludf.DUMMYFUNCTION("GOOGLETRANSLATE(A40, ""it"", ""en"")"),"39")</f>
        <v>39</v>
      </c>
      <c r="G40" s="3" t="str">
        <f>IFERROR(__xludf.DUMMYFUNCTION("GOOGLETRANSLATE(B40, ""it"", ""en"")"),"Ye hit the ball but yer opponent strikes it back an' it lands on the far side o' yer court. What happens?")</f>
        <v>Ye hit the ball but yer opponent strikes it back an' it lands on the far side o' yer court. What happens?</v>
      </c>
      <c r="H40" s="3" t="str">
        <f>IFERROR(__xludf.DUMMYFUNCTION("GOOGLETRANSLATE(C40, ""it"", ""en"")"),"A. Ye lose the point B. Ye win the point C. Ye get a penalty D. Ye get a free throw")</f>
        <v>A. Ye lose the point B. Ye win the point C. Ye get a penalty D. Ye get a free throw</v>
      </c>
      <c r="I40" s="3" t="str">
        <f>IFERROR(__xludf.DUMMYFUNCTION("GOOGLETRANSLATE(D40, ""it"", ""en"")"),"You lose the point")</f>
        <v>You lose the point</v>
      </c>
      <c r="J40" s="2"/>
      <c r="K40" s="2"/>
      <c r="L40" s="2"/>
      <c r="M40" s="2"/>
      <c r="N40" s="2"/>
      <c r="O40" s="2"/>
      <c r="P40" s="2"/>
      <c r="Q40" s="2"/>
      <c r="R40" s="2"/>
      <c r="S40" s="2"/>
      <c r="T40" s="2"/>
      <c r="U40" s="2"/>
      <c r="V40" s="2"/>
      <c r="W40" s="2"/>
    </row>
    <row r="41" ht="22.5" customHeight="1">
      <c r="A41" s="3">
        <v>40.0</v>
      </c>
      <c r="B41" s="3" t="s">
        <v>2296</v>
      </c>
      <c r="C41" s="3" t="s">
        <v>2297</v>
      </c>
      <c r="D41" s="3" t="s">
        <v>2238</v>
      </c>
      <c r="E41" s="2"/>
      <c r="F41" s="3" t="str">
        <f>IFERROR(__xludf.DUMMYFUNCTION("GOOGLETRANSLATE(A41, ""it"", ""en"")"),"40")</f>
        <v>40</v>
      </c>
      <c r="G41" s="3" t="str">
        <f>IFERROR(__xludf.DUMMYFUNCTION("GOOGLETRANSLATE(B41, ""it"", ""en"")"),"Ye hit the ball an' it strikes the wall but doesn't land inside the court. What happens?")</f>
        <v>Ye hit the ball an' it strikes the wall but doesn't land inside the court. What happens?</v>
      </c>
      <c r="H41" s="3" t="str">
        <f>IFERROR(__xludf.DUMMYFUNCTION("GOOGLETRANSLATE(C41, ""it"", ""en"")"),"A. Ye lose the point B. Ye win the point C. Ye get a free throw D. Ye get a penalty")</f>
        <v>A. Ye lose the point B. Ye win the point C. Ye get a free throw D. Ye get a penalty</v>
      </c>
      <c r="I41" s="3" t="str">
        <f>IFERROR(__xludf.DUMMYFUNCTION("GOOGLETRANSLATE(D41, ""it"", ""en"")"),"You lose the point")</f>
        <v>You lose the point</v>
      </c>
      <c r="J41" s="2"/>
      <c r="K41" s="2"/>
      <c r="L41" s="2"/>
      <c r="M41" s="2"/>
      <c r="N41" s="2"/>
      <c r="O41" s="2"/>
      <c r="P41" s="2"/>
      <c r="Q41" s="2"/>
      <c r="R41" s="2"/>
      <c r="S41" s="2"/>
      <c r="T41" s="2"/>
      <c r="U41" s="2"/>
      <c r="V41" s="2"/>
      <c r="W41" s="2"/>
    </row>
    <row r="42" ht="22.5" customHeight="1">
      <c r="A42" s="3">
        <v>41.0</v>
      </c>
      <c r="B42" s="3" t="s">
        <v>2298</v>
      </c>
      <c r="C42" s="3" t="s">
        <v>2240</v>
      </c>
      <c r="D42" s="3" t="s">
        <v>2238</v>
      </c>
      <c r="E42" s="2"/>
      <c r="F42" s="3" t="str">
        <f>IFERROR(__xludf.DUMMYFUNCTION("GOOGLETRANSLATE(A42, ""it"", ""en"")"),"41")</f>
        <v>41</v>
      </c>
      <c r="G42" s="3" t="str">
        <f>IFERROR(__xludf.DUMMYFUNCTION("GOOGLETRANSLATE(B42, ""it"", ""en"")"),"Ye attempt tae strike the ball but it hits the ceiling instead o' the wall. What happens?")</f>
        <v>Ye attempt tae strike the ball but it hits the ceiling instead o' the wall. What happens?</v>
      </c>
      <c r="H42" s="3" t="str">
        <f>IFERROR(__xludf.DUMMYFUNCTION("GOOGLETRANSLATE(C42, ""it"", ""en"")"),"A. Ye lose the point B. Ye win the point C. Ye get a warning D. Ye get a free throw")</f>
        <v>A. Ye lose the point B. Ye win the point C. Ye get a warning D. Ye get a free throw</v>
      </c>
      <c r="I42" s="3" t="str">
        <f>IFERROR(__xludf.DUMMYFUNCTION("GOOGLETRANSLATE(D42, ""it"", ""en"")"),"You lose the point")</f>
        <v>You lose the point</v>
      </c>
      <c r="J42" s="2"/>
      <c r="K42" s="2"/>
      <c r="L42" s="2"/>
      <c r="M42" s="2"/>
      <c r="N42" s="2"/>
      <c r="O42" s="2"/>
      <c r="P42" s="2"/>
      <c r="Q42" s="2"/>
      <c r="R42" s="2"/>
      <c r="S42" s="2"/>
      <c r="T42" s="2"/>
      <c r="U42" s="2"/>
      <c r="V42" s="2"/>
      <c r="W42" s="2"/>
    </row>
    <row r="43" ht="22.5" customHeight="1">
      <c r="A43" s="3">
        <v>42.0</v>
      </c>
      <c r="B43" s="3" t="s">
        <v>2299</v>
      </c>
      <c r="C43" s="3" t="s">
        <v>2270</v>
      </c>
      <c r="D43" s="3" t="s">
        <v>2247</v>
      </c>
      <c r="E43" s="2"/>
      <c r="F43" s="3" t="str">
        <f>IFERROR(__xludf.DUMMYFUNCTION("GOOGLETRANSLATE(A43, ""it"", ""en"")"),"42")</f>
        <v>42</v>
      </c>
      <c r="G43" s="3" t="str">
        <f>IFERROR(__xludf.DUMMYFUNCTION("GOOGLETRANSLATE(B43, ""it"", ""en"")"),"Ye hit the ball an' it lands on the ground inside the court but yer opponent misses it. What happens?")</f>
        <v>Ye hit the ball an' it lands on the ground inside the court but yer opponent misses it. What happens?</v>
      </c>
      <c r="H43" s="3" t="str">
        <f>IFERROR(__xludf.DUMMYFUNCTION("GOOGLETRANSLATE(C43, ""it"", ""en"")"),"A. Ye win the point B. Ye lose the point C. Ye get a penalty D. Ye get a free throw")</f>
        <v>A. Ye win the point B. Ye lose the point C. Ye get a penalty D. Ye get a free throw</v>
      </c>
      <c r="I43" s="3" t="str">
        <f>IFERROR(__xludf.DUMMYFUNCTION("GOOGLETRANSLATE(D43, ""it"", ""en"")"),"You win the point")</f>
        <v>You win the point</v>
      </c>
      <c r="J43" s="2"/>
      <c r="K43" s="2"/>
      <c r="L43" s="2"/>
      <c r="M43" s="2"/>
      <c r="N43" s="2"/>
      <c r="O43" s="2"/>
      <c r="P43" s="2"/>
      <c r="Q43" s="2"/>
      <c r="R43" s="2"/>
      <c r="S43" s="2"/>
      <c r="T43" s="2"/>
      <c r="U43" s="2"/>
      <c r="V43" s="2"/>
      <c r="W43" s="2"/>
    </row>
    <row r="44" ht="22.5" customHeight="1">
      <c r="A44" s="3">
        <v>43.0</v>
      </c>
      <c r="B44" s="3" t="s">
        <v>2300</v>
      </c>
      <c r="C44" s="3" t="s">
        <v>2259</v>
      </c>
      <c r="D44" s="3" t="s">
        <v>2247</v>
      </c>
      <c r="E44" s="2"/>
      <c r="F44" s="3" t="str">
        <f>IFERROR(__xludf.DUMMYFUNCTION("GOOGLETRANSLATE(A44, ""it"", ""en"")"),"43")</f>
        <v>43</v>
      </c>
      <c r="G44" s="3" t="str">
        <f>IFERROR(__xludf.DUMMYFUNCTION("GOOGLETRANSLATE(B44, ""it"", ""en"")"),"Ye serve the ball an' it bounces off the wall an' lands back in yer opponent's side. What happens?")</f>
        <v>Ye serve the ball an' it bounces off the wall an' lands back in yer opponent's side. What happens?</v>
      </c>
      <c r="H44" s="3" t="str">
        <f>IFERROR(__xludf.DUMMYFUNCTION("GOOGLETRANSLATE(C44, ""it"", ""en"")"),"A. Ye win the point B. Ye lose the point C. Ye get a free throw D. Ye get a warning")</f>
        <v>A. Ye win the point B. Ye lose the point C. Ye get a free throw D. Ye get a warning</v>
      </c>
      <c r="I44" s="3" t="str">
        <f>IFERROR(__xludf.DUMMYFUNCTION("GOOGLETRANSLATE(D44, ""it"", ""en"")"),"You win the point")</f>
        <v>You win the point</v>
      </c>
      <c r="J44" s="2"/>
      <c r="K44" s="2"/>
      <c r="L44" s="2"/>
      <c r="M44" s="2"/>
      <c r="N44" s="2"/>
      <c r="O44" s="2"/>
      <c r="P44" s="2"/>
      <c r="Q44" s="2"/>
      <c r="R44" s="2"/>
      <c r="S44" s="2"/>
      <c r="T44" s="2"/>
      <c r="U44" s="2"/>
      <c r="V44" s="2"/>
      <c r="W44" s="2"/>
    </row>
    <row r="45" ht="22.5" customHeight="1">
      <c r="A45" s="3">
        <v>44.0</v>
      </c>
      <c r="B45" s="3" t="s">
        <v>2301</v>
      </c>
      <c r="C45" s="3" t="s">
        <v>2263</v>
      </c>
      <c r="D45" s="3" t="s">
        <v>2238</v>
      </c>
      <c r="E45" s="2"/>
      <c r="F45" s="3" t="str">
        <f>IFERROR(__xludf.DUMMYFUNCTION("GOOGLETRANSLATE(A45, ""it"", ""en"")"),"44")</f>
        <v>44</v>
      </c>
      <c r="G45" s="3" t="str">
        <f>IFERROR(__xludf.DUMMYFUNCTION("GOOGLETRANSLATE(B45, ""it"", ""en"")"),"Ye strike the ball an' it lands on top o' the wall an' doesn't fall down. What happens?")</f>
        <v>Ye strike the ball an' it lands on top o' the wall an' doesn't fall down. What happens?</v>
      </c>
      <c r="H45" s="3" t="str">
        <f>IFERROR(__xludf.DUMMYFUNCTION("GOOGLETRANSLATE(C45, ""it"", ""en"")"),"A. Ye lose the point B. Ye win the point C. The ball is returned D. Ye get a free throw")</f>
        <v>A. Ye lose the point B. Ye win the point C. The ball is returned D. Ye get a free throw</v>
      </c>
      <c r="I45" s="3" t="str">
        <f>IFERROR(__xludf.DUMMYFUNCTION("GOOGLETRANSLATE(D45, ""it"", ""en"")"),"You lose the point")</f>
        <v>You lose the point</v>
      </c>
      <c r="J45" s="2"/>
      <c r="K45" s="2"/>
      <c r="L45" s="2"/>
      <c r="M45" s="2"/>
      <c r="N45" s="2"/>
      <c r="O45" s="2"/>
      <c r="P45" s="2"/>
      <c r="Q45" s="2"/>
      <c r="R45" s="2"/>
      <c r="S45" s="2"/>
      <c r="T45" s="2"/>
      <c r="U45" s="2"/>
      <c r="V45" s="2"/>
      <c r="W45" s="2"/>
    </row>
    <row r="46" ht="22.5" customHeight="1">
      <c r="A46" s="3">
        <v>45.0</v>
      </c>
      <c r="B46" s="3" t="s">
        <v>2302</v>
      </c>
      <c r="C46" s="3" t="s">
        <v>2259</v>
      </c>
      <c r="D46" s="3" t="s">
        <v>2247</v>
      </c>
      <c r="E46" s="2"/>
      <c r="F46" s="3" t="str">
        <f>IFERROR(__xludf.DUMMYFUNCTION("GOOGLETRANSLATE(A46, ""it"", ""en"")"),"45")</f>
        <v>45</v>
      </c>
      <c r="G46" s="3" t="str">
        <f>IFERROR(__xludf.DUMMYFUNCTION("GOOGLETRANSLATE(B46, ""it"", ""en"")"),"Ye serve the ball an' it lands inside yer opponent's court but they don't make a move tae return it. What happens?")</f>
        <v>Ye serve the ball an' it lands inside yer opponent's court but they don't make a move tae return it. What happens?</v>
      </c>
      <c r="H46" s="3" t="str">
        <f>IFERROR(__xludf.DUMMYFUNCTION("GOOGLETRANSLATE(C46, ""it"", ""en"")"),"A. Ye win the point B. Ye lose the point C. Ye get a free throw D. Ye get a warning")</f>
        <v>A. Ye win the point B. Ye lose the point C. Ye get a free throw D. Ye get a warning</v>
      </c>
      <c r="I46" s="3" t="str">
        <f>IFERROR(__xludf.DUMMYFUNCTION("GOOGLETRANSLATE(D46, ""it"", ""en"")"),"You win the point")</f>
        <v>You win the point</v>
      </c>
      <c r="J46" s="2"/>
      <c r="K46" s="2"/>
      <c r="L46" s="2"/>
      <c r="M46" s="2"/>
      <c r="N46" s="2"/>
      <c r="O46" s="2"/>
      <c r="P46" s="2"/>
      <c r="Q46" s="2"/>
      <c r="R46" s="2"/>
      <c r="S46" s="2"/>
      <c r="T46" s="2"/>
      <c r="U46" s="2"/>
      <c r="V46" s="2"/>
      <c r="W46" s="2"/>
    </row>
    <row r="47" ht="22.5" customHeight="1">
      <c r="A47" s="3">
        <v>46.0</v>
      </c>
      <c r="B47" s="3" t="s">
        <v>2303</v>
      </c>
      <c r="C47" s="3" t="s">
        <v>2251</v>
      </c>
      <c r="D47" s="3" t="s">
        <v>2247</v>
      </c>
      <c r="E47" s="2"/>
      <c r="F47" s="3" t="str">
        <f>IFERROR(__xludf.DUMMYFUNCTION("GOOGLETRANSLATE(A47, ""it"", ""en"")"),"46")</f>
        <v>46</v>
      </c>
      <c r="G47" s="3" t="str">
        <f>IFERROR(__xludf.DUMMYFUNCTION("GOOGLETRANSLATE(B47, ""it"", ""en"")"),"Ye strike the ball an' yer opponent doesn't return it an' it bounces ootta bounds. What happens?")</f>
        <v>Ye strike the ball an' yer opponent doesn't return it an' it bounces ootta bounds. What happens?</v>
      </c>
      <c r="H47" s="3" t="str">
        <f>IFERROR(__xludf.DUMMYFUNCTION("GOOGLETRANSLATE(C47, ""it"", ""en"")"),"A. Ye win the point B. Ye lose the point C. Ye get a free throw D. Ye get a penalty")</f>
        <v>A. Ye win the point B. Ye lose the point C. Ye get a free throw D. Ye get a penalty</v>
      </c>
      <c r="I47" s="3" t="str">
        <f>IFERROR(__xludf.DUMMYFUNCTION("GOOGLETRANSLATE(D47, ""it"", ""en"")"),"You win the point")</f>
        <v>You win the point</v>
      </c>
      <c r="J47" s="2"/>
      <c r="K47" s="2"/>
      <c r="L47" s="2"/>
      <c r="M47" s="2"/>
      <c r="N47" s="2"/>
      <c r="O47" s="2"/>
      <c r="P47" s="2"/>
      <c r="Q47" s="2"/>
      <c r="R47" s="2"/>
      <c r="S47" s="2"/>
      <c r="T47" s="2"/>
      <c r="U47" s="2"/>
      <c r="V47" s="2"/>
      <c r="W47" s="2"/>
    </row>
    <row r="48" ht="22.5" customHeight="1">
      <c r="A48" s="3">
        <v>47.0</v>
      </c>
      <c r="B48" s="3" t="s">
        <v>2304</v>
      </c>
      <c r="C48" s="3" t="s">
        <v>2246</v>
      </c>
      <c r="D48" s="3" t="s">
        <v>2238</v>
      </c>
      <c r="E48" s="2"/>
      <c r="F48" s="3" t="str">
        <f>IFERROR(__xludf.DUMMYFUNCTION("GOOGLETRANSLATE(A48, ""it"", ""en"")"),"47")</f>
        <v>47</v>
      </c>
      <c r="G48" s="3" t="str">
        <f>IFERROR(__xludf.DUMMYFUNCTION("GOOGLETRANSLATE(B48, ""it"", ""en"")"),"Ye hit the ball an' it strikes yer opponent's bracelet an' lands outside the court. What happens?")</f>
        <v>Ye hit the ball an' it strikes yer opponent's bracelet an' lands outside the court. What happens?</v>
      </c>
      <c r="H48" s="3" t="str">
        <f>IFERROR(__xludf.DUMMYFUNCTION("GOOGLETRANSLATE(C48, ""it"", ""en"")"),"A. Ye lose the point B. Ye win the point C. Ye get a free throw D. Ye get a warning")</f>
        <v>A. Ye lose the point B. Ye win the point C. Ye get a free throw D. Ye get a warning</v>
      </c>
      <c r="I48" s="3" t="str">
        <f>IFERROR(__xludf.DUMMYFUNCTION("GOOGLETRANSLATE(D48, ""it"", ""en"")"),"You lose the point")</f>
        <v>You lose the point</v>
      </c>
      <c r="J48" s="2"/>
      <c r="K48" s="2"/>
      <c r="L48" s="2"/>
      <c r="M48" s="2"/>
      <c r="N48" s="2"/>
      <c r="O48" s="2"/>
      <c r="P48" s="2"/>
      <c r="Q48" s="2"/>
      <c r="R48" s="2"/>
      <c r="S48" s="2"/>
      <c r="T48" s="2"/>
      <c r="U48" s="2"/>
      <c r="V48" s="2"/>
      <c r="W48" s="2"/>
    </row>
    <row r="49" ht="22.5" customHeight="1">
      <c r="A49" s="3">
        <v>48.0</v>
      </c>
      <c r="B49" s="3" t="s">
        <v>2305</v>
      </c>
      <c r="C49" s="3" t="s">
        <v>2240</v>
      </c>
      <c r="D49" s="3" t="s">
        <v>2238</v>
      </c>
      <c r="E49" s="2"/>
      <c r="F49" s="3" t="str">
        <f>IFERROR(__xludf.DUMMYFUNCTION("GOOGLETRANSLATE(A49, ""it"", ""en"")"),"48")</f>
        <v>48</v>
      </c>
      <c r="G49" s="3" t="str">
        <f>IFERROR(__xludf.DUMMYFUNCTION("GOOGLETRANSLATE(B49, ""it"", ""en"")"),"Ye strike the ball an' yer opponent catches it before it hits the wall. What happens?")</f>
        <v>Ye strike the ball an' yer opponent catches it before it hits the wall. What happens?</v>
      </c>
      <c r="H49" s="3" t="str">
        <f>IFERROR(__xludf.DUMMYFUNCTION("GOOGLETRANSLATE(C49, ""it"", ""en"")"),"A. Ye lose the point B. Ye win the point C. Ye get a warning D. Ye get a free throw")</f>
        <v>A. Ye lose the point B. Ye win the point C. Ye get a warning D. Ye get a free throw</v>
      </c>
      <c r="I49" s="3" t="str">
        <f>IFERROR(__xludf.DUMMYFUNCTION("GOOGLETRANSLATE(D49, ""it"", ""en"")"),"You lose the point")</f>
        <v>You lose the point</v>
      </c>
      <c r="J49" s="2"/>
      <c r="K49" s="2"/>
      <c r="L49" s="2"/>
      <c r="M49" s="2"/>
      <c r="N49" s="2"/>
      <c r="O49" s="2"/>
      <c r="P49" s="2"/>
      <c r="Q49" s="2"/>
      <c r="R49" s="2"/>
      <c r="S49" s="2"/>
      <c r="T49" s="2"/>
      <c r="U49" s="2"/>
      <c r="V49" s="2"/>
      <c r="W49" s="2"/>
    </row>
    <row r="50" ht="22.5" customHeight="1">
      <c r="A50" s="3">
        <v>49.0</v>
      </c>
      <c r="B50" s="3" t="s">
        <v>2306</v>
      </c>
      <c r="C50" s="3" t="s">
        <v>2251</v>
      </c>
      <c r="D50" s="3" t="s">
        <v>2247</v>
      </c>
      <c r="E50" s="2"/>
      <c r="F50" s="3" t="str">
        <f>IFERROR(__xludf.DUMMYFUNCTION("GOOGLETRANSLATE(A50, ""it"", ""en"")"),"49")</f>
        <v>49</v>
      </c>
      <c r="G50" s="3" t="str">
        <f>IFERROR(__xludf.DUMMYFUNCTION("GOOGLETRANSLATE(B50, ""it"", ""en"")"),"Ye strike the ball an' it lands within yer court but yer opponent doesn't return it. What happens?")</f>
        <v>Ye strike the ball an' it lands within yer court but yer opponent doesn't return it. What happens?</v>
      </c>
      <c r="H50" s="3" t="str">
        <f>IFERROR(__xludf.DUMMYFUNCTION("GOOGLETRANSLATE(C50, ""it"", ""en"")"),"A. Ye win the point B. Ye lose the point C. Ye get a free throw D. Ye get a penalty")</f>
        <v>A. Ye win the point B. Ye lose the point C. Ye get a free throw D. Ye get a penalty</v>
      </c>
      <c r="I50" s="3" t="str">
        <f>IFERROR(__xludf.DUMMYFUNCTION("GOOGLETRANSLATE(D50, ""it"", ""en"")"),"You win the point")</f>
        <v>You win the point</v>
      </c>
      <c r="J50" s="2"/>
      <c r="K50" s="2"/>
      <c r="L50" s="2"/>
      <c r="M50" s="2"/>
      <c r="N50" s="2"/>
      <c r="O50" s="2"/>
      <c r="P50" s="2"/>
      <c r="Q50" s="2"/>
      <c r="R50" s="2"/>
      <c r="S50" s="2"/>
      <c r="T50" s="2"/>
      <c r="U50" s="2"/>
      <c r="V50" s="2"/>
      <c r="W50" s="2"/>
    </row>
    <row r="51" ht="22.5" customHeight="1">
      <c r="A51" s="3">
        <v>50.0</v>
      </c>
      <c r="B51" s="3" t="s">
        <v>2307</v>
      </c>
      <c r="C51" s="3" t="s">
        <v>2246</v>
      </c>
      <c r="D51" s="3" t="s">
        <v>2247</v>
      </c>
      <c r="E51" s="2"/>
      <c r="F51" s="3" t="str">
        <f>IFERROR(__xludf.DUMMYFUNCTION("GOOGLETRANSLATE(A51, ""it"", ""en"")"),"50")</f>
        <v>50</v>
      </c>
      <c r="G51" s="3" t="str">
        <f>IFERROR(__xludf.DUMMYFUNCTION("GOOGLETRANSLATE(B51, ""it"", ""en"")"),"Ye serve the ball but yer opponent returns it before it hits the wall. What happens?")</f>
        <v>Ye serve the ball but yer opponent returns it before it hits the wall. What happens?</v>
      </c>
      <c r="H51" s="3" t="str">
        <f>IFERROR(__xludf.DUMMYFUNCTION("GOOGLETRANSLATE(C51, ""it"", ""en"")"),"A. Ye lose the point B. Ye win the point C. Ye get a free throw D. Ye get a warning")</f>
        <v>A. Ye lose the point B. Ye win the point C. Ye get a free throw D. Ye get a warning</v>
      </c>
      <c r="I51" s="3" t="str">
        <f>IFERROR(__xludf.DUMMYFUNCTION("GOOGLETRANSLATE(D51, ""it"", ""en"")"),"You win the point")</f>
        <v>You win the point</v>
      </c>
      <c r="J51" s="2"/>
      <c r="K51" s="2"/>
      <c r="L51" s="2"/>
      <c r="M51" s="2"/>
      <c r="N51" s="2"/>
      <c r="O51" s="2"/>
      <c r="P51" s="2"/>
      <c r="Q51" s="2"/>
      <c r="R51" s="2"/>
      <c r="S51" s="2"/>
      <c r="T51" s="2"/>
      <c r="U51" s="2"/>
      <c r="V51" s="2"/>
      <c r="W51" s="2"/>
    </row>
    <row r="52" ht="22.5" customHeight="1">
      <c r="A52" s="3">
        <v>51.0</v>
      </c>
      <c r="B52" s="3" t="s">
        <v>2308</v>
      </c>
      <c r="C52" s="3" t="s">
        <v>2240</v>
      </c>
      <c r="D52" s="3" t="s">
        <v>2247</v>
      </c>
      <c r="E52" s="2"/>
      <c r="F52" s="3" t="str">
        <f>IFERROR(__xludf.DUMMYFUNCTION("GOOGLETRANSLATE(A52, ""it"", ""en"")"),"51")</f>
        <v>51</v>
      </c>
      <c r="G52" s="3" t="str">
        <f>IFERROR(__xludf.DUMMYFUNCTION("GOOGLETRANSLATE(B52, ""it"", ""en"")"),"Ye hit the ball an' it lands just inside the boundary line but yer opponent says it's out. What happens?")</f>
        <v>Ye hit the ball an' it lands just inside the boundary line but yer opponent says it's out. What happens?</v>
      </c>
      <c r="H52" s="3" t="str">
        <f>IFERROR(__xludf.DUMMYFUNCTION("GOOGLETRANSLATE(C52, ""it"", ""en"")"),"A. Ye lose the point B. Ye win the point C. Ye get a warning D. Ye get a free throw")</f>
        <v>A. Ye lose the point B. Ye win the point C. Ye get a warning D. Ye get a free throw</v>
      </c>
      <c r="I52" s="3" t="str">
        <f>IFERROR(__xludf.DUMMYFUNCTION("GOOGLETRANSLATE(D52, ""it"", ""en"")"),"You win the point")</f>
        <v>You win the point</v>
      </c>
      <c r="J52" s="2"/>
      <c r="K52" s="2"/>
      <c r="L52" s="2"/>
      <c r="M52" s="2"/>
      <c r="N52" s="2"/>
      <c r="O52" s="2"/>
      <c r="P52" s="2"/>
      <c r="Q52" s="2"/>
      <c r="R52" s="2"/>
      <c r="S52" s="2"/>
      <c r="T52" s="2"/>
      <c r="U52" s="2"/>
      <c r="V52" s="2"/>
      <c r="W52" s="2"/>
    </row>
    <row r="53" ht="22.5" customHeight="1">
      <c r="A53" s="3">
        <v>52.0</v>
      </c>
      <c r="B53" s="3" t="s">
        <v>2309</v>
      </c>
      <c r="C53" s="3" t="s">
        <v>2240</v>
      </c>
      <c r="D53" s="3" t="s">
        <v>2238</v>
      </c>
      <c r="E53" s="2"/>
      <c r="F53" s="3" t="str">
        <f>IFERROR(__xludf.DUMMYFUNCTION("GOOGLETRANSLATE(A53, ""it"", ""en"")"),"52")</f>
        <v>52</v>
      </c>
      <c r="G53" s="3" t="str">
        <f>IFERROR(__xludf.DUMMYFUNCTION("GOOGLETRANSLATE(B53, ""it"", ""en"")"),"Ye strike the ball an' yer opponent hits it back so it lands in yer court but yer unable to return it. What happens?")</f>
        <v>Ye strike the ball an' yer opponent hits it back so it lands in yer court but yer unable to return it. What happens?</v>
      </c>
      <c r="H53" s="3" t="str">
        <f>IFERROR(__xludf.DUMMYFUNCTION("GOOGLETRANSLATE(C53, ""it"", ""en"")"),"A. Ye lose the point B. Ye win the point C. Ye get a warning D. Ye get a free throw")</f>
        <v>A. Ye lose the point B. Ye win the point C. Ye get a warning D. Ye get a free throw</v>
      </c>
      <c r="I53" s="3" t="str">
        <f>IFERROR(__xludf.DUMMYFUNCTION("GOOGLETRANSLATE(D53, ""it"", ""en"")"),"You lose the point")</f>
        <v>You lose the point</v>
      </c>
      <c r="J53" s="2"/>
      <c r="K53" s="2"/>
      <c r="L53" s="2"/>
      <c r="M53" s="2"/>
      <c r="N53" s="2"/>
      <c r="O53" s="2"/>
      <c r="P53" s="2"/>
      <c r="Q53" s="2"/>
      <c r="R53" s="2"/>
      <c r="S53" s="2"/>
      <c r="T53" s="2"/>
      <c r="U53" s="2"/>
      <c r="V53" s="2"/>
      <c r="W53" s="2"/>
    </row>
    <row r="54" ht="22.5" customHeight="1">
      <c r="A54" s="3">
        <v>53.0</v>
      </c>
      <c r="B54" s="3" t="s">
        <v>2310</v>
      </c>
      <c r="C54" s="3" t="s">
        <v>2286</v>
      </c>
      <c r="D54" s="3" t="s">
        <v>2247</v>
      </c>
      <c r="E54" s="2"/>
      <c r="F54" s="3" t="str">
        <f>IFERROR(__xludf.DUMMYFUNCTION("GOOGLETRANSLATE(A54, ""it"", ""en"")"),"53")</f>
        <v>53</v>
      </c>
      <c r="G54" s="3" t="str">
        <f>IFERROR(__xludf.DUMMYFUNCTION("GOOGLETRANSLATE(B54, ""it"", ""en"")"),"Ye strike the ball an' yer opponent catches it with their bracelet but doesn't return it. What happens?")</f>
        <v>Ye strike the ball an' yer opponent catches it with their bracelet but doesn't return it. What happens?</v>
      </c>
      <c r="H54" s="3" t="str">
        <f>IFERROR(__xludf.DUMMYFUNCTION("GOOGLETRANSLATE(C54, ""it"", ""en"")"),"A. Ye win the point B. Ye lose the point C. Ye get a warning D. Ye get a free throw")</f>
        <v>A. Ye win the point B. Ye lose the point C. Ye get a warning D. Ye get a free throw</v>
      </c>
      <c r="I54" s="3" t="str">
        <f>IFERROR(__xludf.DUMMYFUNCTION("GOOGLETRANSLATE(D54, ""it"", ""en"")"),"You win the point")</f>
        <v>You win the point</v>
      </c>
      <c r="J54" s="2"/>
      <c r="K54" s="2"/>
      <c r="L54" s="2"/>
      <c r="M54" s="2"/>
      <c r="N54" s="2"/>
      <c r="O54" s="2"/>
      <c r="P54" s="2"/>
      <c r="Q54" s="2"/>
      <c r="R54" s="2"/>
      <c r="S54" s="2"/>
      <c r="T54" s="2"/>
      <c r="U54" s="2"/>
      <c r="V54" s="2"/>
      <c r="W54" s="2"/>
    </row>
    <row r="55" ht="22.5" customHeight="1">
      <c r="A55" s="3">
        <v>54.0</v>
      </c>
      <c r="B55" s="3" t="s">
        <v>2311</v>
      </c>
      <c r="C55" s="3" t="s">
        <v>2249</v>
      </c>
      <c r="D55" s="3" t="s">
        <v>2238</v>
      </c>
      <c r="E55" s="2"/>
      <c r="F55" s="3" t="str">
        <f>IFERROR(__xludf.DUMMYFUNCTION("GOOGLETRANSLATE(A55, ""it"", ""en"")"),"54")</f>
        <v>54</v>
      </c>
      <c r="G55" s="3" t="str">
        <f>IFERROR(__xludf.DUMMYFUNCTION("GOOGLETRANSLATE(B55, ""it"", ""en"")"),"Ye hit the ball an' it touches the wall but then lands outside the court. What happens?")</f>
        <v>Ye hit the ball an' it touches the wall but then lands outside the court. What happens?</v>
      </c>
      <c r="H55" s="3" t="str">
        <f>IFERROR(__xludf.DUMMYFUNCTION("GOOGLETRANSLATE(C55, ""it"", ""en"")"),"A. Ye lose the point B. Ye win the point C. Ye get a penalty D. Ye get a free throw")</f>
        <v>A. Ye lose the point B. Ye win the point C. Ye get a penalty D. Ye get a free throw</v>
      </c>
      <c r="I55" s="3" t="str">
        <f>IFERROR(__xludf.DUMMYFUNCTION("GOOGLETRANSLATE(D55, ""it"", ""en"")"),"You lose the point")</f>
        <v>You lose the point</v>
      </c>
      <c r="J55" s="2"/>
      <c r="K55" s="2"/>
      <c r="L55" s="2"/>
      <c r="M55" s="2"/>
      <c r="N55" s="2"/>
      <c r="O55" s="2"/>
      <c r="P55" s="2"/>
      <c r="Q55" s="2"/>
      <c r="R55" s="2"/>
      <c r="S55" s="2"/>
      <c r="T55" s="2"/>
      <c r="U55" s="2"/>
      <c r="V55" s="2"/>
      <c r="W55" s="2"/>
    </row>
    <row r="56" ht="22.5" customHeight="1">
      <c r="A56" s="3">
        <v>55.0</v>
      </c>
      <c r="B56" s="3" t="s">
        <v>2312</v>
      </c>
      <c r="C56" s="3" t="s">
        <v>2255</v>
      </c>
      <c r="D56" s="3" t="s">
        <v>2247</v>
      </c>
      <c r="E56" s="2"/>
      <c r="F56" s="3" t="str">
        <f>IFERROR(__xludf.DUMMYFUNCTION("GOOGLETRANSLATE(A56, ""it"", ""en"")"),"55")</f>
        <v>55</v>
      </c>
      <c r="G56" s="3" t="str">
        <f>IFERROR(__xludf.DUMMYFUNCTION("GOOGLETRANSLATE(B56, ""it"", ""en"")"),"Ye serve the ball but it lands inside yer opponent's court an' they fail to return it. What happens?")</f>
        <v>Ye serve the ball but it lands inside yer opponent's court an' they fail to return it. What happens?</v>
      </c>
      <c r="H56" s="3" t="str">
        <f>IFERROR(__xludf.DUMMYFUNCTION("GOOGLETRANSLATE(C56, ""it"", ""en"")"),"A. Ye win the point B. Ye lose the point C. Ye get a penalty D. Ye get a warning")</f>
        <v>A. Ye win the point B. Ye lose the point C. Ye get a penalty D. Ye get a warning</v>
      </c>
      <c r="I56" s="3" t="str">
        <f>IFERROR(__xludf.DUMMYFUNCTION("GOOGLETRANSLATE(D56, ""it"", ""en"")"),"You win the point")</f>
        <v>You win the point</v>
      </c>
      <c r="J56" s="2"/>
      <c r="K56" s="2"/>
      <c r="L56" s="2"/>
      <c r="M56" s="2"/>
      <c r="N56" s="2"/>
      <c r="O56" s="2"/>
      <c r="P56" s="2"/>
      <c r="Q56" s="2"/>
      <c r="R56" s="2"/>
      <c r="S56" s="2"/>
      <c r="T56" s="2"/>
      <c r="U56" s="2"/>
      <c r="V56" s="2"/>
      <c r="W56" s="2"/>
    </row>
    <row r="57" ht="22.5" customHeight="1">
      <c r="A57" s="3">
        <v>56.0</v>
      </c>
      <c r="B57" s="3" t="s">
        <v>2313</v>
      </c>
      <c r="C57" s="3" t="s">
        <v>2286</v>
      </c>
      <c r="D57" s="3" t="s">
        <v>2247</v>
      </c>
      <c r="E57" s="2"/>
      <c r="F57" s="3" t="str">
        <f>IFERROR(__xludf.DUMMYFUNCTION("GOOGLETRANSLATE(A57, ""it"", ""en"")"),"56")</f>
        <v>56</v>
      </c>
      <c r="G57" s="3" t="str">
        <f>IFERROR(__xludf.DUMMYFUNCTION("GOOGLETRANSLATE(B57, ""it"", ""en"")"),"Ye hit the ball but it hits the wall an' bounces back before yer opponent has a chance to return it. What happens?")</f>
        <v>Ye hit the ball but it hits the wall an' bounces back before yer opponent has a chance to return it. What happens?</v>
      </c>
      <c r="H57" s="3" t="str">
        <f>IFERROR(__xludf.DUMMYFUNCTION("GOOGLETRANSLATE(C57, ""it"", ""en"")"),"A. Ye win the point B. Ye lose the point C. Ye get a warning D. Ye get a free throw")</f>
        <v>A. Ye win the point B. Ye lose the point C. Ye get a warning D. Ye get a free throw</v>
      </c>
      <c r="I57" s="3" t="str">
        <f>IFERROR(__xludf.DUMMYFUNCTION("GOOGLETRANSLATE(D57, ""it"", ""en"")"),"You win the point")</f>
        <v>You win the point</v>
      </c>
      <c r="J57" s="2"/>
      <c r="K57" s="2"/>
      <c r="L57" s="2"/>
      <c r="M57" s="2"/>
      <c r="N57" s="2"/>
      <c r="O57" s="2"/>
      <c r="P57" s="2"/>
      <c r="Q57" s="2"/>
      <c r="R57" s="2"/>
      <c r="S57" s="2"/>
      <c r="T57" s="2"/>
      <c r="U57" s="2"/>
      <c r="V57" s="2"/>
      <c r="W57" s="2"/>
    </row>
    <row r="58" ht="22.5" customHeight="1">
      <c r="A58" s="3">
        <v>57.0</v>
      </c>
      <c r="B58" s="3" t="s">
        <v>2314</v>
      </c>
      <c r="C58" s="3" t="s">
        <v>2315</v>
      </c>
      <c r="D58" s="3" t="s">
        <v>2316</v>
      </c>
      <c r="E58" s="2"/>
      <c r="F58" s="3" t="str">
        <f>IFERROR(__xludf.DUMMYFUNCTION("GOOGLETRANSLATE(A58, ""it"", ""en"")"),"57")</f>
        <v>57</v>
      </c>
      <c r="G58" s="3" t="str">
        <f>IFERROR(__xludf.DUMMYFUNCTION("GOOGLETRANSLATE(B58, ""it"", ""en"")"),"Ye strike the ball an' it lands in yer opponent's court but they manage tae return it. What happens?")</f>
        <v>Ye strike the ball an' it lands in yer opponent's court but they manage tae return it. What happens?</v>
      </c>
      <c r="H58" s="3" t="str">
        <f>IFERROR(__xludf.DUMMYFUNCTION("GOOGLETRANSLATE(C58, ""it"", ""en"")"),"A. The rally continues B. Ye win the point C. Ye lose the point D. Ye get a free throw")</f>
        <v>A. The rally continues B. Ye win the point C. Ye lose the point D. Ye get a free throw</v>
      </c>
      <c r="I58" s="3" t="str">
        <f>IFERROR(__xludf.DUMMYFUNCTION("GOOGLETRANSLATE(D58, ""it"", ""en"")"),"The rally continues")</f>
        <v>The rally continues</v>
      </c>
      <c r="J58" s="2"/>
      <c r="K58" s="2"/>
      <c r="L58" s="2"/>
      <c r="M58" s="2"/>
      <c r="N58" s="2"/>
      <c r="O58" s="2"/>
      <c r="P58" s="2"/>
      <c r="Q58" s="2"/>
      <c r="R58" s="2"/>
      <c r="S58" s="2"/>
      <c r="T58" s="2"/>
      <c r="U58" s="2"/>
      <c r="V58" s="2"/>
      <c r="W58" s="2"/>
    </row>
    <row r="59" ht="22.5" customHeight="1">
      <c r="A59" s="3">
        <v>58.0</v>
      </c>
      <c r="B59" s="3" t="s">
        <v>2317</v>
      </c>
      <c r="C59" s="3" t="s">
        <v>2246</v>
      </c>
      <c r="D59" s="3" t="s">
        <v>2238</v>
      </c>
      <c r="E59" s="2"/>
      <c r="F59" s="3" t="str">
        <f>IFERROR(__xludf.DUMMYFUNCTION("GOOGLETRANSLATE(A59, ""it"", ""en"")"),"58")</f>
        <v>58</v>
      </c>
      <c r="G59" s="3" t="str">
        <f>IFERROR(__xludf.DUMMYFUNCTION("GOOGLETRANSLATE(B59, ""it"", ""en"")"),"Ye serve the ball an' yer opponent returns it but ye fail tae hit it back. What happens?")</f>
        <v>Ye serve the ball an' yer opponent returns it but ye fail tae hit it back. What happens?</v>
      </c>
      <c r="H59" s="3" t="str">
        <f>IFERROR(__xludf.DUMMYFUNCTION("GOOGLETRANSLATE(C59, ""it"", ""en"")"),"A. Ye lose the point B. Ye win the point C. Ye get a free throw D. Ye get a warning")</f>
        <v>A. Ye lose the point B. Ye win the point C. Ye get a free throw D. Ye get a warning</v>
      </c>
      <c r="I59" s="3" t="str">
        <f>IFERROR(__xludf.DUMMYFUNCTION("GOOGLETRANSLATE(D59, ""it"", ""en"")"),"You lose the point")</f>
        <v>You lose the point</v>
      </c>
      <c r="J59" s="2"/>
      <c r="K59" s="2"/>
      <c r="L59" s="2"/>
      <c r="M59" s="2"/>
      <c r="N59" s="2"/>
      <c r="O59" s="2"/>
      <c r="P59" s="2"/>
      <c r="Q59" s="2"/>
      <c r="R59" s="2"/>
      <c r="S59" s="2"/>
      <c r="T59" s="2"/>
      <c r="U59" s="2"/>
      <c r="V59" s="2"/>
      <c r="W59" s="2"/>
    </row>
    <row r="60" ht="22.5" customHeight="1">
      <c r="A60" s="3">
        <v>59.0</v>
      </c>
      <c r="B60" s="3" t="s">
        <v>2318</v>
      </c>
      <c r="C60" s="3" t="s">
        <v>2251</v>
      </c>
      <c r="D60" s="3" t="s">
        <v>2247</v>
      </c>
      <c r="E60" s="2"/>
      <c r="F60" s="3" t="str">
        <f>IFERROR(__xludf.DUMMYFUNCTION("GOOGLETRANSLATE(A60, ""it"", ""en"")"),"59")</f>
        <v>59</v>
      </c>
      <c r="G60" s="3" t="str">
        <f>IFERROR(__xludf.DUMMYFUNCTION("GOOGLETRANSLATE(B60, ""it"", ""en"")"),"Ye strike the ball an' yer opponent fails to make contact an' it lands in the middle o' their court. What happens?")</f>
        <v>Ye strike the ball an' yer opponent fails to make contact an' it lands in the middle o' their court. What happens?</v>
      </c>
      <c r="H60" s="3" t="str">
        <f>IFERROR(__xludf.DUMMYFUNCTION("GOOGLETRANSLATE(C60, ""it"", ""en"")"),"A. Ye win the point B. Ye lose the point C. Ye get a free throw D. Ye get a penalty")</f>
        <v>A. Ye win the point B. Ye lose the point C. Ye get a free throw D. Ye get a penalty</v>
      </c>
      <c r="I60" s="3" t="str">
        <f>IFERROR(__xludf.DUMMYFUNCTION("GOOGLETRANSLATE(D60, ""it"", ""en"")"),"You win the point")</f>
        <v>You win the point</v>
      </c>
      <c r="J60" s="2"/>
      <c r="K60" s="2"/>
      <c r="L60" s="2"/>
      <c r="M60" s="2"/>
      <c r="N60" s="2"/>
      <c r="O60" s="2"/>
      <c r="P60" s="2"/>
      <c r="Q60" s="2"/>
      <c r="R60" s="2"/>
      <c r="S60" s="2"/>
      <c r="T60" s="2"/>
      <c r="U60" s="2"/>
      <c r="V60" s="2"/>
      <c r="W60" s="2"/>
    </row>
    <row r="61" ht="22.5" customHeight="1">
      <c r="A61" s="3">
        <v>60.0</v>
      </c>
      <c r="B61" s="3" t="s">
        <v>2319</v>
      </c>
      <c r="C61" s="3" t="s">
        <v>2249</v>
      </c>
      <c r="D61" s="3" t="s">
        <v>2247</v>
      </c>
      <c r="E61" s="2"/>
      <c r="F61" s="3" t="str">
        <f>IFERROR(__xludf.DUMMYFUNCTION("GOOGLETRANSLATE(A61, ""it"", ""en"")"),"60")</f>
        <v>60</v>
      </c>
      <c r="G61" s="3" t="str">
        <f>IFERROR(__xludf.DUMMYFUNCTION("GOOGLETRANSLATE(B61, ""it"", ""en"")"),"Ye serve the ball an' it lands just behind the line but yer opponent calls it in. What happens?")</f>
        <v>Ye serve the ball an' it lands just behind the line but yer opponent calls it in. What happens?</v>
      </c>
      <c r="H61" s="3" t="str">
        <f>IFERROR(__xludf.DUMMYFUNCTION("GOOGLETRANSLATE(C61, ""it"", ""en"")"),"A. Ye lose the point B. Ye win the point C. Ye get a penalty D. Ye get a free throw")</f>
        <v>A. Ye lose the point B. Ye win the point C. Ye get a penalty D. Ye get a free throw</v>
      </c>
      <c r="I61" s="3" t="str">
        <f>IFERROR(__xludf.DUMMYFUNCTION("GOOGLETRANSLATE(D61, ""it"", ""en"")"),"You win the point")</f>
        <v>You win the point</v>
      </c>
      <c r="J61" s="2"/>
      <c r="K61" s="2"/>
      <c r="L61" s="2"/>
      <c r="M61" s="2"/>
      <c r="N61" s="2"/>
      <c r="O61" s="2"/>
      <c r="P61" s="2"/>
      <c r="Q61" s="2"/>
      <c r="R61" s="2"/>
      <c r="S61" s="2"/>
      <c r="T61" s="2"/>
      <c r="U61" s="2"/>
      <c r="V61" s="2"/>
      <c r="W61" s="2"/>
    </row>
    <row r="62" ht="22.5" customHeight="1">
      <c r="A62" s="3">
        <v>61.0</v>
      </c>
      <c r="B62" s="3" t="s">
        <v>2320</v>
      </c>
      <c r="C62" s="3" t="s">
        <v>2244</v>
      </c>
      <c r="D62" s="3" t="s">
        <v>2238</v>
      </c>
      <c r="E62" s="2"/>
      <c r="F62" s="3" t="str">
        <f>IFERROR(__xludf.DUMMYFUNCTION("GOOGLETRANSLATE(A62, ""it"", ""en"")"),"61")</f>
        <v>61</v>
      </c>
      <c r="G62" s="3" t="str">
        <f>IFERROR(__xludf.DUMMYFUNCTION("GOOGLETRANSLATE(B62, ""it"", ""en"")"),"Ye hit the ball an' it strikes the wall but doesn't bounce back into the court. What happens?")</f>
        <v>Ye hit the ball an' it strikes the wall but doesn't bounce back into the court. What happens?</v>
      </c>
      <c r="H62" s="3" t="str">
        <f>IFERROR(__xludf.DUMMYFUNCTION("GOOGLETRANSLATE(C62, ""it"", ""en"")"),"A. Ye lose the point B. Ye win the point C. Ye get a penalty D. Ye get a warning")</f>
        <v>A. Ye lose the point B. Ye win the point C. Ye get a penalty D. Ye get a warning</v>
      </c>
      <c r="I62" s="3" t="str">
        <f>IFERROR(__xludf.DUMMYFUNCTION("GOOGLETRANSLATE(D62, ""it"", ""en"")"),"You lose the point")</f>
        <v>You lose the point</v>
      </c>
      <c r="J62" s="2"/>
      <c r="K62" s="2"/>
      <c r="L62" s="2"/>
      <c r="M62" s="2"/>
      <c r="N62" s="2"/>
      <c r="O62" s="2"/>
      <c r="P62" s="2"/>
      <c r="Q62" s="2"/>
      <c r="R62" s="2"/>
      <c r="S62" s="2"/>
      <c r="T62" s="2"/>
      <c r="U62" s="2"/>
      <c r="V62" s="2"/>
      <c r="W62" s="2"/>
    </row>
    <row r="63" ht="22.5" customHeight="1">
      <c r="A63" s="3">
        <v>62.0</v>
      </c>
      <c r="B63" s="3" t="s">
        <v>2321</v>
      </c>
      <c r="C63" s="3" t="s">
        <v>2297</v>
      </c>
      <c r="D63" s="3" t="s">
        <v>2238</v>
      </c>
      <c r="E63" s="2"/>
      <c r="F63" s="3" t="str">
        <f>IFERROR(__xludf.DUMMYFUNCTION("GOOGLETRANSLATE(A63, ""it"", ""en"")"),"62")</f>
        <v>62</v>
      </c>
      <c r="G63" s="3" t="str">
        <f>IFERROR(__xludf.DUMMYFUNCTION("GOOGLETRANSLATE(B63, ""it"", ""en"")"),"Ye serve the ball an' yer opponent makes a perfect return but ye miss it completely. What happens?")</f>
        <v>Ye serve the ball an' yer opponent makes a perfect return but ye miss it completely. What happens?</v>
      </c>
      <c r="H63" s="3" t="str">
        <f>IFERROR(__xludf.DUMMYFUNCTION("GOOGLETRANSLATE(C63, ""it"", ""en"")"),"A. Ye lose the point B. Ye win the point C. Ye get a free throw D. Ye get a penalty")</f>
        <v>A. Ye lose the point B. Ye win the point C. Ye get a free throw D. Ye get a penalty</v>
      </c>
      <c r="I63" s="3" t="str">
        <f>IFERROR(__xludf.DUMMYFUNCTION("GOOGLETRANSLATE(D63, ""it"", ""en"")"),"You lose the point")</f>
        <v>You lose the point</v>
      </c>
      <c r="J63" s="2"/>
      <c r="K63" s="2"/>
      <c r="L63" s="2"/>
      <c r="M63" s="2"/>
      <c r="N63" s="2"/>
      <c r="O63" s="2"/>
      <c r="P63" s="2"/>
      <c r="Q63" s="2"/>
      <c r="R63" s="2"/>
      <c r="S63" s="2"/>
      <c r="T63" s="2"/>
      <c r="U63" s="2"/>
      <c r="V63" s="2"/>
      <c r="W63" s="2"/>
    </row>
    <row r="64" ht="22.5" customHeight="1">
      <c r="A64" s="3">
        <v>63.0</v>
      </c>
      <c r="B64" s="3" t="s">
        <v>2322</v>
      </c>
      <c r="C64" s="3" t="s">
        <v>2246</v>
      </c>
      <c r="D64" s="3" t="s">
        <v>2238</v>
      </c>
      <c r="E64" s="2"/>
      <c r="F64" s="3" t="str">
        <f>IFERROR(__xludf.DUMMYFUNCTION("GOOGLETRANSLATE(A64, ""it"", ""en"")"),"63")</f>
        <v>63</v>
      </c>
      <c r="G64" s="3" t="str">
        <f>IFERROR(__xludf.DUMMYFUNCTION("GOOGLETRANSLATE(B64, ""it"", ""en"")"),"Ye strike the ball an' it lands in yer opponent's half but bounces back out of bounds. What happens?")</f>
        <v>Ye strike the ball an' it lands in yer opponent's half but bounces back out of bounds. What happens?</v>
      </c>
      <c r="H64" s="3" t="str">
        <f>IFERROR(__xludf.DUMMYFUNCTION("GOOGLETRANSLATE(C64, ""it"", ""en"")"),"A. Ye lose the point B. Ye win the point C. Ye get a free throw D. Ye get a warning")</f>
        <v>A. Ye lose the point B. Ye win the point C. Ye get a free throw D. Ye get a warning</v>
      </c>
      <c r="I64" s="3" t="str">
        <f>IFERROR(__xludf.DUMMYFUNCTION("GOOGLETRANSLATE(D64, ""it"", ""en"")"),"You lose the point")</f>
        <v>You lose the point</v>
      </c>
      <c r="J64" s="2"/>
      <c r="K64" s="2"/>
      <c r="L64" s="2"/>
      <c r="M64" s="2"/>
      <c r="N64" s="2"/>
      <c r="O64" s="2"/>
      <c r="P64" s="2"/>
      <c r="Q64" s="2"/>
      <c r="R64" s="2"/>
      <c r="S64" s="2"/>
      <c r="T64" s="2"/>
      <c r="U64" s="2"/>
      <c r="V64" s="2"/>
      <c r="W64" s="2"/>
    </row>
    <row r="65" ht="22.5" customHeight="1">
      <c r="A65" s="3">
        <v>64.0</v>
      </c>
      <c r="B65" s="3" t="s">
        <v>2323</v>
      </c>
      <c r="C65" s="3" t="s">
        <v>2324</v>
      </c>
      <c r="D65" s="3" t="s">
        <v>2238</v>
      </c>
      <c r="E65" s="2"/>
      <c r="F65" s="3" t="str">
        <f>IFERROR(__xludf.DUMMYFUNCTION("GOOGLETRANSLATE(A65, ""it"", ""en"")"),"64")</f>
        <v>64</v>
      </c>
      <c r="G65" s="3" t="str">
        <f>IFERROR(__xludf.DUMMYFUNCTION("GOOGLETRANSLATE(B65, ""it"", ""en"")"),"Ye serve the ball but it goes out o' bounds before it hits the wall. What happens?")</f>
        <v>Ye serve the ball but it goes out o' bounds before it hits the wall. What happens?</v>
      </c>
      <c r="H65" s="3" t="str">
        <f>IFERROR(__xludf.DUMMYFUNCTION("GOOGLETRANSLATE(C65, ""it"", ""en"")"),"A. Ye lose the point B. Ye win the point C. Ye get another serve D. Ye get a penalty")</f>
        <v>A. Ye lose the point B. Ye win the point C. Ye get another serve D. Ye get a penalty</v>
      </c>
      <c r="I65" s="3" t="str">
        <f>IFERROR(__xludf.DUMMYFUNCTION("GOOGLETRANSLATE(D65, ""it"", ""en"")"),"You lose the point")</f>
        <v>You lose the point</v>
      </c>
      <c r="J65" s="2"/>
      <c r="K65" s="2"/>
      <c r="L65" s="2"/>
      <c r="M65" s="2"/>
      <c r="N65" s="2"/>
      <c r="O65" s="2"/>
      <c r="P65" s="2"/>
      <c r="Q65" s="2"/>
      <c r="R65" s="2"/>
      <c r="S65" s="2"/>
      <c r="T65" s="2"/>
      <c r="U65" s="2"/>
      <c r="V65" s="2"/>
      <c r="W65" s="2"/>
    </row>
    <row r="66" ht="22.5" customHeight="1">
      <c r="A66" s="3">
        <v>65.0</v>
      </c>
      <c r="B66" s="3" t="s">
        <v>2325</v>
      </c>
      <c r="C66" s="3" t="s">
        <v>2259</v>
      </c>
      <c r="D66" s="3" t="s">
        <v>2247</v>
      </c>
      <c r="E66" s="2"/>
      <c r="F66" s="3" t="str">
        <f>IFERROR(__xludf.DUMMYFUNCTION("GOOGLETRANSLATE(A66, ""it"", ""en"")"),"65")</f>
        <v>65</v>
      </c>
      <c r="G66" s="3" t="str">
        <f>IFERROR(__xludf.DUMMYFUNCTION("GOOGLETRANSLATE(B66, ""it"", ""en"")"),"Ye hit the ball an' yer opponent returns it but it lands in the middle or' the court an' they fail to strike it again. What happens?")</f>
        <v>Ye hit the ball an' yer opponent returns it but it lands in the middle or' the court an' they fail to strike it again. What happens?</v>
      </c>
      <c r="H66" s="3" t="str">
        <f>IFERROR(__xludf.DUMMYFUNCTION("GOOGLETRANSLATE(C66, ""it"", ""en"")"),"A. Ye win the point B. Ye lose the point C. Ye get a free throw D. Ye get a warning")</f>
        <v>A. Ye win the point B. Ye lose the point C. Ye get a free throw D. Ye get a warning</v>
      </c>
      <c r="I66" s="3" t="str">
        <f>IFERROR(__xludf.DUMMYFUNCTION("GOOGLETRANSLATE(D66, ""it"", ""en"")"),"You win the point")</f>
        <v>You win the point</v>
      </c>
      <c r="J66" s="2"/>
      <c r="K66" s="2"/>
      <c r="L66" s="2"/>
      <c r="M66" s="2"/>
      <c r="N66" s="2"/>
      <c r="O66" s="2"/>
      <c r="P66" s="2"/>
      <c r="Q66" s="2"/>
      <c r="R66" s="2"/>
      <c r="S66" s="2"/>
      <c r="T66" s="2"/>
      <c r="U66" s="2"/>
      <c r="V66" s="2"/>
      <c r="W66" s="2"/>
    </row>
    <row r="67" ht="22.5" customHeight="1">
      <c r="A67" s="3">
        <v>66.0</v>
      </c>
      <c r="B67" s="3" t="s">
        <v>2326</v>
      </c>
      <c r="C67" s="3" t="s">
        <v>2240</v>
      </c>
      <c r="D67" s="3" t="s">
        <v>2238</v>
      </c>
      <c r="E67" s="2"/>
      <c r="F67" s="3" t="str">
        <f>IFERROR(__xludf.DUMMYFUNCTION("GOOGLETRANSLATE(A67, ""it"", ""en"")"),"66")</f>
        <v>66</v>
      </c>
      <c r="G67" s="3" t="str">
        <f>IFERROR(__xludf.DUMMYFUNCTION("GOOGLETRANSLATE(B67, ""it"", ""en"")"),"Ye strike the ball an' it goes high but hits the ceiling. What happens?")</f>
        <v>Ye strike the ball an' it goes high but hits the ceiling. What happens?</v>
      </c>
      <c r="H67" s="3" t="str">
        <f>IFERROR(__xludf.DUMMYFUNCTION("GOOGLETRANSLATE(C67, ""it"", ""en"")"),"A. Ye lose the point B. Ye win the point C. Ye get a warning D. Ye get a free throw")</f>
        <v>A. Ye lose the point B. Ye win the point C. Ye get a warning D. Ye get a free throw</v>
      </c>
      <c r="I67" s="3" t="str">
        <f>IFERROR(__xludf.DUMMYFUNCTION("GOOGLETRANSLATE(D67, ""it"", ""en"")"),"You lose the point")</f>
        <v>You lose the point</v>
      </c>
      <c r="J67" s="2"/>
      <c r="K67" s="2"/>
      <c r="L67" s="2"/>
      <c r="M67" s="2"/>
      <c r="N67" s="2"/>
      <c r="O67" s="2"/>
      <c r="P67" s="2"/>
      <c r="Q67" s="2"/>
      <c r="R67" s="2"/>
      <c r="S67" s="2"/>
      <c r="T67" s="2"/>
      <c r="U67" s="2"/>
      <c r="V67" s="2"/>
      <c r="W67" s="2"/>
    </row>
    <row r="68" ht="22.5" customHeight="1">
      <c r="A68" s="3">
        <v>67.0</v>
      </c>
      <c r="B68" s="3" t="s">
        <v>2327</v>
      </c>
      <c r="C68" s="3" t="s">
        <v>2297</v>
      </c>
      <c r="D68" s="3" t="s">
        <v>2238</v>
      </c>
      <c r="E68" s="2"/>
      <c r="F68" s="3" t="str">
        <f>IFERROR(__xludf.DUMMYFUNCTION("GOOGLETRANSLATE(A68, ""it"", ""en"")"),"67")</f>
        <v>67</v>
      </c>
      <c r="G68" s="3" t="str">
        <f>IFERROR(__xludf.DUMMYFUNCTION("GOOGLETRANSLATE(B68, ""it"", ""en"")"),"Ye serve the ball but yer opponent returns it in a way that makes it impossible for ye to strike back. What happens?")</f>
        <v>Ye serve the ball but yer opponent returns it in a way that makes it impossible for ye to strike back. What happens?</v>
      </c>
      <c r="H68" s="3" t="str">
        <f>IFERROR(__xludf.DUMMYFUNCTION("GOOGLETRANSLATE(C68, ""it"", ""en"")"),"A. Ye lose the point B. Ye win the point C. Ye get a free throw D. Ye get a penalty")</f>
        <v>A. Ye lose the point B. Ye win the point C. Ye get a free throw D. Ye get a penalty</v>
      </c>
      <c r="I68" s="3" t="str">
        <f>IFERROR(__xludf.DUMMYFUNCTION("GOOGLETRANSLATE(D68, ""it"", ""en"")"),"You lose the point")</f>
        <v>You lose the point</v>
      </c>
      <c r="J68" s="2"/>
      <c r="K68" s="2"/>
      <c r="L68" s="2"/>
      <c r="M68" s="2"/>
      <c r="N68" s="2"/>
      <c r="O68" s="2"/>
      <c r="P68" s="2"/>
      <c r="Q68" s="2"/>
      <c r="R68" s="2"/>
      <c r="S68" s="2"/>
      <c r="T68" s="2"/>
      <c r="U68" s="2"/>
      <c r="V68" s="2"/>
      <c r="W68" s="2"/>
    </row>
    <row r="69" ht="22.5" customHeight="1">
      <c r="A69" s="3">
        <v>68.0</v>
      </c>
      <c r="B69" s="3" t="s">
        <v>2328</v>
      </c>
      <c r="C69" s="3" t="s">
        <v>2249</v>
      </c>
      <c r="D69" s="3" t="s">
        <v>2247</v>
      </c>
      <c r="E69" s="2"/>
      <c r="F69" s="3" t="str">
        <f>IFERROR(__xludf.DUMMYFUNCTION("GOOGLETRANSLATE(A69, ""it"", ""en"")"),"68")</f>
        <v>68</v>
      </c>
      <c r="G69" s="3" t="str">
        <f>IFERROR(__xludf.DUMMYFUNCTION("GOOGLETRANSLATE(B69, ""it"", ""en"")"),"Ye hit the ball an' it lands on the line but yer opponent calls it out. What happens?")</f>
        <v>Ye hit the ball an' it lands on the line but yer opponent calls it out. What happens?</v>
      </c>
      <c r="H69" s="3" t="str">
        <f>IFERROR(__xludf.DUMMYFUNCTION("GOOGLETRANSLATE(C69, ""it"", ""en"")"),"A. Ye lose the point B. Ye win the point C. Ye get a penalty D. Ye get a free throw")</f>
        <v>A. Ye lose the point B. Ye win the point C. Ye get a penalty D. Ye get a free throw</v>
      </c>
      <c r="I69" s="3" t="str">
        <f>IFERROR(__xludf.DUMMYFUNCTION("GOOGLETRANSLATE(D69, ""it"", ""en"")"),"You win the point")</f>
        <v>You win the point</v>
      </c>
      <c r="J69" s="2"/>
      <c r="K69" s="2"/>
      <c r="L69" s="2"/>
      <c r="M69" s="2"/>
      <c r="N69" s="2"/>
      <c r="O69" s="2"/>
      <c r="P69" s="2"/>
      <c r="Q69" s="2"/>
      <c r="R69" s="2"/>
      <c r="S69" s="2"/>
      <c r="T69" s="2"/>
      <c r="U69" s="2"/>
      <c r="V69" s="2"/>
      <c r="W69" s="2"/>
    </row>
    <row r="70" ht="22.5" customHeight="1">
      <c r="A70" s="3">
        <v>69.0</v>
      </c>
      <c r="B70" s="3" t="s">
        <v>2329</v>
      </c>
      <c r="C70" s="3" t="s">
        <v>2240</v>
      </c>
      <c r="D70" s="3" t="s">
        <v>2238</v>
      </c>
      <c r="E70" s="2"/>
      <c r="F70" s="3" t="str">
        <f>IFERROR(__xludf.DUMMYFUNCTION("GOOGLETRANSLATE(A70, ""it"", ""en"")"),"69")</f>
        <v>69</v>
      </c>
      <c r="G70" s="3" t="str">
        <f>IFERROR(__xludf.DUMMYFUNCTION("GOOGLETRANSLATE(B70, ""it"", ""en"")"),"Ye strike the ball an' it lands outside the court. What happens?")</f>
        <v>Ye strike the ball an' it lands outside the court. What happens?</v>
      </c>
      <c r="H70" s="3" t="str">
        <f>IFERROR(__xludf.DUMMYFUNCTION("GOOGLETRANSLATE(C70, ""it"", ""en"")"),"A. Ye lose the point B. Ye win the point C. Ye get a warning D. Ye get a free throw")</f>
        <v>A. Ye lose the point B. Ye win the point C. Ye get a warning D. Ye get a free throw</v>
      </c>
      <c r="I70" s="3" t="str">
        <f>IFERROR(__xludf.DUMMYFUNCTION("GOOGLETRANSLATE(D70, ""it"", ""en"")"),"You lose the point")</f>
        <v>You lose the point</v>
      </c>
      <c r="J70" s="2"/>
      <c r="K70" s="2"/>
      <c r="L70" s="2"/>
      <c r="M70" s="2"/>
      <c r="N70" s="2"/>
      <c r="O70" s="2"/>
      <c r="P70" s="2"/>
      <c r="Q70" s="2"/>
      <c r="R70" s="2"/>
      <c r="S70" s="2"/>
      <c r="T70" s="2"/>
      <c r="U70" s="2"/>
      <c r="V70" s="2"/>
      <c r="W70" s="2"/>
    </row>
    <row r="71" ht="22.5" customHeight="1">
      <c r="A71" s="3">
        <v>70.0</v>
      </c>
      <c r="B71" s="3" t="s">
        <v>2330</v>
      </c>
      <c r="C71" s="3" t="s">
        <v>2251</v>
      </c>
      <c r="D71" s="3" t="s">
        <v>2247</v>
      </c>
      <c r="E71" s="2"/>
      <c r="F71" s="3" t="str">
        <f>IFERROR(__xludf.DUMMYFUNCTION("GOOGLETRANSLATE(A71, ""it"", ""en"")"),"70")</f>
        <v>70</v>
      </c>
      <c r="G71" s="3" t="str">
        <f>IFERROR(__xludf.DUMMYFUNCTION("GOOGLETRANSLATE(B71, ""it"", ""en"")"),"Ye serve the ball an' yer opponent fails to return it in time. What happens?")</f>
        <v>Ye serve the ball an' yer opponent fails to return it in time. What happens?</v>
      </c>
      <c r="H71" s="3" t="str">
        <f>IFERROR(__xludf.DUMMYFUNCTION("GOOGLETRANSLATE(C71, ""it"", ""en"")"),"A. Ye win the point B. Ye lose the point C. Ye get a free throw D. Ye get a penalty")</f>
        <v>A. Ye win the point B. Ye lose the point C. Ye get a free throw D. Ye get a penalty</v>
      </c>
      <c r="I71" s="3" t="str">
        <f>IFERROR(__xludf.DUMMYFUNCTION("GOOGLETRANSLATE(D71, ""it"", ""en"")"),"You win the point")</f>
        <v>You win the point</v>
      </c>
      <c r="J71" s="2"/>
      <c r="K71" s="2"/>
      <c r="L71" s="2"/>
      <c r="M71" s="2"/>
      <c r="N71" s="2"/>
      <c r="O71" s="2"/>
      <c r="P71" s="2"/>
      <c r="Q71" s="2"/>
      <c r="R71" s="2"/>
      <c r="S71" s="2"/>
      <c r="T71" s="2"/>
      <c r="U71" s="2"/>
      <c r="V71" s="2"/>
      <c r="W71" s="2"/>
    </row>
    <row r="72" ht="22.5" customHeight="1">
      <c r="A72" s="3">
        <v>71.0</v>
      </c>
      <c r="B72" s="3" t="s">
        <v>2331</v>
      </c>
      <c r="C72" s="3" t="s">
        <v>2315</v>
      </c>
      <c r="D72" s="3" t="s">
        <v>2316</v>
      </c>
      <c r="E72" s="2"/>
      <c r="F72" s="3" t="str">
        <f>IFERROR(__xludf.DUMMYFUNCTION("GOOGLETRANSLATE(A72, ""it"", ""en"")"),"71")</f>
        <v>71</v>
      </c>
      <c r="G72" s="3" t="str">
        <f>IFERROR(__xludf.DUMMYFUNCTION("GOOGLETRANSLATE(B72, ""it"", ""en"")"),"Ye strike the ball an' it lands inside yer opponent's court but they return it back. What happens?")</f>
        <v>Ye strike the ball an' it lands inside yer opponent's court but they return it back. What happens?</v>
      </c>
      <c r="H72" s="3" t="str">
        <f>IFERROR(__xludf.DUMMYFUNCTION("GOOGLETRANSLATE(C72, ""it"", ""en"")"),"A. The rally continues B. Ye win the point C. Ye lose the point D. Ye get a free throw")</f>
        <v>A. The rally continues B. Ye win the point C. Ye lose the point D. Ye get a free throw</v>
      </c>
      <c r="I72" s="3" t="str">
        <f>IFERROR(__xludf.DUMMYFUNCTION("GOOGLETRANSLATE(D72, ""it"", ""en"")"),"The rally continues")</f>
        <v>The rally continues</v>
      </c>
      <c r="J72" s="2"/>
      <c r="K72" s="2"/>
      <c r="L72" s="2"/>
      <c r="M72" s="2"/>
      <c r="N72" s="2"/>
      <c r="O72" s="2"/>
      <c r="P72" s="2"/>
      <c r="Q72" s="2"/>
      <c r="R72" s="2"/>
      <c r="S72" s="2"/>
      <c r="T72" s="2"/>
      <c r="U72" s="2"/>
      <c r="V72" s="2"/>
      <c r="W72" s="2"/>
    </row>
    <row r="73" ht="22.5" customHeight="1">
      <c r="A73" s="3">
        <v>72.0</v>
      </c>
      <c r="B73" s="3" t="s">
        <v>2332</v>
      </c>
      <c r="C73" s="3" t="s">
        <v>2251</v>
      </c>
      <c r="D73" s="3" t="s">
        <v>2247</v>
      </c>
      <c r="E73" s="2"/>
      <c r="F73" s="3" t="str">
        <f>IFERROR(__xludf.DUMMYFUNCTION("GOOGLETRANSLATE(A73, ""it"", ""en"")"),"72")</f>
        <v>72</v>
      </c>
      <c r="G73" s="3" t="str">
        <f>IFERROR(__xludf.DUMMYFUNCTION("GOOGLETRANSLATE(B73, ""it"", ""en"")"),"Ye hit the ball an' it goes over the wall but yer opponent doesn't return it. What happens?")</f>
        <v>Ye hit the ball an' it goes over the wall but yer opponent doesn't return it. What happens?</v>
      </c>
      <c r="H73" s="3" t="str">
        <f>IFERROR(__xludf.DUMMYFUNCTION("GOOGLETRANSLATE(C73, ""it"", ""en"")"),"A. Ye win the point B. Ye lose the point C. Ye get a free throw D. Ye get a penalty")</f>
        <v>A. Ye win the point B. Ye lose the point C. Ye get a free throw D. Ye get a penalty</v>
      </c>
      <c r="I73" s="3" t="str">
        <f>IFERROR(__xludf.DUMMYFUNCTION("GOOGLETRANSLATE(D73, ""it"", ""en"")"),"You win the point")</f>
        <v>You win the point</v>
      </c>
      <c r="J73" s="2"/>
      <c r="K73" s="2"/>
      <c r="L73" s="2"/>
      <c r="M73" s="2"/>
      <c r="N73" s="2"/>
      <c r="O73" s="2"/>
      <c r="P73" s="2"/>
      <c r="Q73" s="2"/>
      <c r="R73" s="2"/>
      <c r="S73" s="2"/>
      <c r="T73" s="2"/>
      <c r="U73" s="2"/>
      <c r="V73" s="2"/>
      <c r="W73" s="2"/>
    </row>
    <row r="74" ht="22.5" customHeight="1">
      <c r="A74" s="3">
        <v>73.0</v>
      </c>
      <c r="B74" s="3" t="s">
        <v>2333</v>
      </c>
      <c r="C74" s="3" t="s">
        <v>2244</v>
      </c>
      <c r="D74" s="3" t="s">
        <v>2247</v>
      </c>
      <c r="E74" s="2"/>
      <c r="F74" s="3" t="str">
        <f>IFERROR(__xludf.DUMMYFUNCTION("GOOGLETRANSLATE(A74, ""it"", ""en"")"),"73")</f>
        <v>73</v>
      </c>
      <c r="G74" s="3" t="str">
        <f>IFERROR(__xludf.DUMMYFUNCTION("GOOGLETRANSLATE(B74, ""it"", ""en"")"),"Ye serve the ball an' yer opponent fails to hit it but the ball touches the wall first. What happens?")</f>
        <v>Ye serve the ball an' yer opponent fails to hit it but the ball touches the wall first. What happens?</v>
      </c>
      <c r="H74" s="3" t="str">
        <f>IFERROR(__xludf.DUMMYFUNCTION("GOOGLETRANSLATE(C74, ""it"", ""en"")"),"A. Ye lose the point B. Ye win the point C. Ye get a penalty D. Ye get a warning")</f>
        <v>A. Ye lose the point B. Ye win the point C. Ye get a penalty D. Ye get a warning</v>
      </c>
      <c r="I74" s="3" t="str">
        <f>IFERROR(__xludf.DUMMYFUNCTION("GOOGLETRANSLATE(D74, ""it"", ""en"")"),"You win the point")</f>
        <v>You win the point</v>
      </c>
      <c r="J74" s="2"/>
      <c r="K74" s="2"/>
      <c r="L74" s="2"/>
      <c r="M74" s="2"/>
      <c r="N74" s="2"/>
      <c r="O74" s="2"/>
      <c r="P74" s="2"/>
      <c r="Q74" s="2"/>
      <c r="R74" s="2"/>
      <c r="S74" s="2"/>
      <c r="T74" s="2"/>
      <c r="U74" s="2"/>
      <c r="V74" s="2"/>
      <c r="W74" s="2"/>
    </row>
    <row r="75" ht="22.5" customHeight="1">
      <c r="A75" s="3">
        <v>74.0</v>
      </c>
      <c r="B75" s="3" t="s">
        <v>2334</v>
      </c>
      <c r="C75" s="3" t="s">
        <v>2251</v>
      </c>
      <c r="D75" s="3" t="s">
        <v>2247</v>
      </c>
      <c r="E75" s="2"/>
      <c r="F75" s="3" t="str">
        <f>IFERROR(__xludf.DUMMYFUNCTION("GOOGLETRANSLATE(A75, ""it"", ""en"")"),"74")</f>
        <v>74</v>
      </c>
      <c r="G75" s="3" t="str">
        <f>IFERROR(__xludf.DUMMYFUNCTION("GOOGLETRANSLATE(B75, ""it"", ""en"")"),"Ye strike the ball an' yer opponent manages to block it but the ball goes outta bounds. What happens?")</f>
        <v>Ye strike the ball an' yer opponent manages to block it but the ball goes outta bounds. What happens?</v>
      </c>
      <c r="H75" s="3" t="str">
        <f>IFERROR(__xludf.DUMMYFUNCTION("GOOGLETRANSLATE(C75, ""it"", ""en"")"),"A. Ye win the point B. Ye lose the point C. Ye get a free throw D. Ye get a penalty")</f>
        <v>A. Ye win the point B. Ye lose the point C. Ye get a free throw D. Ye get a penalty</v>
      </c>
      <c r="I75" s="3" t="str">
        <f>IFERROR(__xludf.DUMMYFUNCTION("GOOGLETRANSLATE(D75, ""it"", ""en"")"),"You win the point")</f>
        <v>You win the point</v>
      </c>
      <c r="J75" s="2"/>
      <c r="K75" s="2"/>
      <c r="L75" s="2"/>
      <c r="M75" s="2"/>
      <c r="N75" s="2"/>
      <c r="O75" s="2"/>
      <c r="P75" s="2"/>
      <c r="Q75" s="2"/>
      <c r="R75" s="2"/>
      <c r="S75" s="2"/>
      <c r="T75" s="2"/>
      <c r="U75" s="2"/>
      <c r="V75" s="2"/>
      <c r="W75" s="2"/>
    </row>
    <row r="76" ht="22.5" customHeight="1">
      <c r="A76" s="3">
        <v>75.0</v>
      </c>
      <c r="B76" s="3" t="s">
        <v>2335</v>
      </c>
      <c r="C76" s="3" t="s">
        <v>2297</v>
      </c>
      <c r="D76" s="3" t="s">
        <v>2238</v>
      </c>
      <c r="E76" s="2"/>
      <c r="F76" s="3" t="str">
        <f>IFERROR(__xludf.DUMMYFUNCTION("GOOGLETRANSLATE(A76, ""it"", ""en"")"),"75")</f>
        <v>75</v>
      </c>
      <c r="G76" s="3" t="str">
        <f>IFERROR(__xludf.DUMMYFUNCTION("GOOGLETRANSLATE(B76, ""it"", ""en"")"),"Ye serve the ball but yer opponent catches it before it touches the wall. What happens?")</f>
        <v>Ye serve the ball but yer opponent catches it before it touches the wall. What happens?</v>
      </c>
      <c r="H76" s="3" t="str">
        <f>IFERROR(__xludf.DUMMYFUNCTION("GOOGLETRANSLATE(C76, ""it"", ""en"")"),"A. Ye lose the point B. Ye win the point C. Ye get a free throw D. Ye get a penalty")</f>
        <v>A. Ye lose the point B. Ye win the point C. Ye get a free throw D. Ye get a penalty</v>
      </c>
      <c r="I76" s="3" t="str">
        <f>IFERROR(__xludf.DUMMYFUNCTION("GOOGLETRANSLATE(D76, ""it"", ""en"")"),"You lose the point")</f>
        <v>You lose the point</v>
      </c>
      <c r="J76" s="2"/>
      <c r="K76" s="2"/>
      <c r="L76" s="2"/>
      <c r="M76" s="2"/>
      <c r="N76" s="2"/>
      <c r="O76" s="2"/>
      <c r="P76" s="2"/>
      <c r="Q76" s="2"/>
      <c r="R76" s="2"/>
      <c r="S76" s="2"/>
      <c r="T76" s="2"/>
      <c r="U76" s="2"/>
      <c r="V76" s="2"/>
      <c r="W76" s="2"/>
    </row>
    <row r="77" ht="22.5" customHeight="1">
      <c r="A77" s="3">
        <v>76.0</v>
      </c>
      <c r="B77" s="3" t="s">
        <v>2336</v>
      </c>
      <c r="C77" s="3" t="s">
        <v>2249</v>
      </c>
      <c r="D77" s="3" t="s">
        <v>2238</v>
      </c>
      <c r="E77" s="2"/>
      <c r="F77" s="3" t="str">
        <f>IFERROR(__xludf.DUMMYFUNCTION("GOOGLETRANSLATE(A77, ""it"", ""en"")"),"76")</f>
        <v>76</v>
      </c>
      <c r="G77" s="3" t="str">
        <f>IFERROR(__xludf.DUMMYFUNCTION("GOOGLETRANSLATE(B77, ""it"", ""en"")"),"Ye hit the ball an' it lands in the middle o' yer opponent's court but they return it back without touching the wall. What happens?")</f>
        <v>Ye hit the ball an' it lands in the middle o' yer opponent's court but they return it back without touching the wall. What happens?</v>
      </c>
      <c r="H77" s="3" t="str">
        <f>IFERROR(__xludf.DUMMYFUNCTION("GOOGLETRANSLATE(C77, ""it"", ""en"")"),"A. Ye lose the point B. Ye win the point C. Ye get a penalty D. Ye get a free throw")</f>
        <v>A. Ye lose the point B. Ye win the point C. Ye get a penalty D. Ye get a free throw</v>
      </c>
      <c r="I77" s="3" t="str">
        <f>IFERROR(__xludf.DUMMYFUNCTION("GOOGLETRANSLATE(D77, ""it"", ""en"")"),"You lose the point")</f>
        <v>You lose the point</v>
      </c>
      <c r="J77" s="2"/>
      <c r="K77" s="2"/>
      <c r="L77" s="2"/>
      <c r="M77" s="2"/>
      <c r="N77" s="2"/>
      <c r="O77" s="2"/>
      <c r="P77" s="2"/>
      <c r="Q77" s="2"/>
      <c r="R77" s="2"/>
      <c r="S77" s="2"/>
      <c r="T77" s="2"/>
      <c r="U77" s="2"/>
      <c r="V77" s="2"/>
      <c r="W77" s="2"/>
    </row>
    <row r="78" ht="22.5" customHeight="1">
      <c r="A78" s="3">
        <v>77.0</v>
      </c>
      <c r="B78" s="3" t="s">
        <v>2337</v>
      </c>
      <c r="C78" s="3" t="s">
        <v>2270</v>
      </c>
      <c r="D78" s="3" t="s">
        <v>2247</v>
      </c>
      <c r="E78" s="2"/>
      <c r="F78" s="3" t="str">
        <f>IFERROR(__xludf.DUMMYFUNCTION("GOOGLETRANSLATE(A78, ""it"", ""en"")"),"77")</f>
        <v>77</v>
      </c>
      <c r="G78" s="3" t="str">
        <f>IFERROR(__xludf.DUMMYFUNCTION("GOOGLETRANSLATE(B78, ""it"", ""en"")"),"Ye strike the ball an' yer opponent fails to hit it back before it touches the ground. What happens?")</f>
        <v>Ye strike the ball an' yer opponent fails to hit it back before it touches the ground. What happens?</v>
      </c>
      <c r="H78" s="3" t="str">
        <f>IFERROR(__xludf.DUMMYFUNCTION("GOOGLETRANSLATE(C78, ""it"", ""en"")"),"A. Ye win the point B. Ye lose the point C. Ye get a penalty D. Ye get a free throw")</f>
        <v>A. Ye win the point B. Ye lose the point C. Ye get a penalty D. Ye get a free throw</v>
      </c>
      <c r="I78" s="3" t="str">
        <f>IFERROR(__xludf.DUMMYFUNCTION("GOOGLETRANSLATE(D78, ""it"", ""en"")"),"You win the point")</f>
        <v>You win the point</v>
      </c>
      <c r="J78" s="2"/>
      <c r="K78" s="2"/>
      <c r="L78" s="2"/>
      <c r="M78" s="2"/>
      <c r="N78" s="2"/>
      <c r="O78" s="2"/>
      <c r="P78" s="2"/>
      <c r="Q78" s="2"/>
      <c r="R78" s="2"/>
      <c r="S78" s="2"/>
      <c r="T78" s="2"/>
      <c r="U78" s="2"/>
      <c r="V78" s="2"/>
      <c r="W78" s="2"/>
    </row>
    <row r="79" ht="22.5" customHeight="1">
      <c r="A79" s="3">
        <v>78.0</v>
      </c>
      <c r="B79" s="3" t="s">
        <v>2338</v>
      </c>
      <c r="C79" s="3" t="s">
        <v>2270</v>
      </c>
      <c r="D79" s="3" t="s">
        <v>2247</v>
      </c>
      <c r="E79" s="2"/>
      <c r="F79" s="3" t="str">
        <f>IFERROR(__xludf.DUMMYFUNCTION("GOOGLETRANSLATE(A79, ""it"", ""en"")"),"78")</f>
        <v>78</v>
      </c>
      <c r="G79" s="3" t="str">
        <f>IFERROR(__xludf.DUMMYFUNCTION("GOOGLETRANSLATE(B79, ""it"", ""en"")"),"Ye serve the ball but yer opponent returns it an' it lands outta bounds. What happens?")</f>
        <v>Ye serve the ball but yer opponent returns it an' it lands outta bounds. What happens?</v>
      </c>
      <c r="H79" s="3" t="str">
        <f>IFERROR(__xludf.DUMMYFUNCTION("GOOGLETRANSLATE(C79, ""it"", ""en"")"),"A. Ye win the point B. Ye lose the point C. Ye get a penalty D. Ye get a free throw")</f>
        <v>A. Ye win the point B. Ye lose the point C. Ye get a penalty D. Ye get a free throw</v>
      </c>
      <c r="I79" s="3" t="str">
        <f>IFERROR(__xludf.DUMMYFUNCTION("GOOGLETRANSLATE(D79, ""it"", ""en"")"),"You win the point")</f>
        <v>You win the point</v>
      </c>
      <c r="J79" s="2"/>
      <c r="K79" s="2"/>
      <c r="L79" s="2"/>
      <c r="M79" s="2"/>
      <c r="N79" s="2"/>
      <c r="O79" s="2"/>
      <c r="P79" s="2"/>
      <c r="Q79" s="2"/>
      <c r="R79" s="2"/>
      <c r="S79" s="2"/>
      <c r="T79" s="2"/>
      <c r="U79" s="2"/>
      <c r="V79" s="2"/>
      <c r="W79" s="2"/>
    </row>
    <row r="80" ht="22.5" customHeight="1">
      <c r="A80" s="3">
        <v>79.0</v>
      </c>
      <c r="B80" s="3" t="s">
        <v>2339</v>
      </c>
      <c r="C80" s="3" t="s">
        <v>2249</v>
      </c>
      <c r="D80" s="3" t="s">
        <v>2247</v>
      </c>
      <c r="E80" s="2"/>
      <c r="F80" s="3" t="str">
        <f>IFERROR(__xludf.DUMMYFUNCTION("GOOGLETRANSLATE(A80, ""it"", ""en"")"),"79")</f>
        <v>79</v>
      </c>
      <c r="G80" s="3" t="str">
        <f>IFERROR(__xludf.DUMMYFUNCTION("GOOGLETRANSLATE(B80, ""it"", ""en"")"),"Ye hit the ball an' yer opponent manages to return it but it lands behind the wall. What happens?")</f>
        <v>Ye hit the ball an' yer opponent manages to return it but it lands behind the wall. What happens?</v>
      </c>
      <c r="H80" s="3" t="str">
        <f>IFERROR(__xludf.DUMMYFUNCTION("GOOGLETRANSLATE(C80, ""it"", ""en"")"),"A. Ye lose the point B. Ye win the point C. Ye get a penalty D. Ye get a free throw")</f>
        <v>A. Ye lose the point B. Ye win the point C. Ye get a penalty D. Ye get a free throw</v>
      </c>
      <c r="I80" s="3" t="str">
        <f>IFERROR(__xludf.DUMMYFUNCTION("GOOGLETRANSLATE(D80, ""it"", ""en"")"),"You win the point")</f>
        <v>You win the point</v>
      </c>
      <c r="J80" s="2"/>
      <c r="K80" s="2"/>
      <c r="L80" s="2"/>
      <c r="M80" s="2"/>
      <c r="N80" s="2"/>
      <c r="O80" s="2"/>
      <c r="P80" s="2"/>
      <c r="Q80" s="2"/>
      <c r="R80" s="2"/>
      <c r="S80" s="2"/>
      <c r="T80" s="2"/>
      <c r="U80" s="2"/>
      <c r="V80" s="2"/>
      <c r="W80" s="2"/>
    </row>
    <row r="81" ht="22.5" customHeight="1">
      <c r="A81" s="3">
        <v>80.0</v>
      </c>
      <c r="B81" s="3" t="s">
        <v>2340</v>
      </c>
      <c r="C81" s="3" t="s">
        <v>2251</v>
      </c>
      <c r="D81" s="3" t="s">
        <v>2247</v>
      </c>
      <c r="E81" s="2"/>
      <c r="F81" s="3" t="str">
        <f>IFERROR(__xludf.DUMMYFUNCTION("GOOGLETRANSLATE(A81, ""it"", ""en"")"),"80")</f>
        <v>80</v>
      </c>
      <c r="G81" s="3" t="str">
        <f>IFERROR(__xludf.DUMMYFUNCTION("GOOGLETRANSLATE(B81, ""it"", ""en"")"),"Ye serve the ball an' yer opponent hits it back but it lands right on top o' the wall. What happens?")</f>
        <v>Ye serve the ball an' yer opponent hits it back but it lands right on top o' the wall. What happens?</v>
      </c>
      <c r="H81" s="3" t="str">
        <f>IFERROR(__xludf.DUMMYFUNCTION("GOOGLETRANSLATE(C81, ""it"", ""en"")"),"A. Ye win the point B. Ye lose the point C. Ye get a free throw D. Ye get a penalty")</f>
        <v>A. Ye win the point B. Ye lose the point C. Ye get a free throw D. Ye get a penalty</v>
      </c>
      <c r="I81" s="3" t="str">
        <f>IFERROR(__xludf.DUMMYFUNCTION("GOOGLETRANSLATE(D81, ""it"", ""en"")"),"You win the point")</f>
        <v>You win the point</v>
      </c>
      <c r="J81" s="2"/>
      <c r="K81" s="2"/>
      <c r="L81" s="2"/>
      <c r="M81" s="2"/>
      <c r="N81" s="2"/>
      <c r="O81" s="2"/>
      <c r="P81" s="2"/>
      <c r="Q81" s="2"/>
      <c r="R81" s="2"/>
      <c r="S81" s="2"/>
      <c r="T81" s="2"/>
      <c r="U81" s="2"/>
      <c r="V81" s="2"/>
      <c r="W81" s="2"/>
    </row>
    <row r="82" ht="22.5" customHeight="1">
      <c r="A82" s="3">
        <v>81.0</v>
      </c>
      <c r="B82" s="3" t="s">
        <v>2341</v>
      </c>
      <c r="C82" s="3" t="s">
        <v>2249</v>
      </c>
      <c r="D82" s="3" t="s">
        <v>2238</v>
      </c>
      <c r="E82" s="2"/>
      <c r="F82" s="3" t="str">
        <f>IFERROR(__xludf.DUMMYFUNCTION("GOOGLETRANSLATE(A82, ""it"", ""en"")"),"81")</f>
        <v>81</v>
      </c>
      <c r="G82" s="3" t="str">
        <f>IFERROR(__xludf.DUMMYFUNCTION("GOOGLETRANSLATE(B82, ""it"", ""en"")"),"Ye strike the ball but yer opponent catches it in mid-air. What happens?")</f>
        <v>Ye strike the ball but yer opponent catches it in mid-air. What happens?</v>
      </c>
      <c r="H82" s="3" t="str">
        <f>IFERROR(__xludf.DUMMYFUNCTION("GOOGLETRANSLATE(C82, ""it"", ""en"")"),"A. Ye lose the point B. Ye win the point C. Ye get a penalty D. Ye get a free throw")</f>
        <v>A. Ye lose the point B. Ye win the point C. Ye get a penalty D. Ye get a free throw</v>
      </c>
      <c r="I82" s="3" t="str">
        <f>IFERROR(__xludf.DUMMYFUNCTION("GOOGLETRANSLATE(D82, ""it"", ""en"")"),"You lose the point")</f>
        <v>You lose the point</v>
      </c>
      <c r="J82" s="2"/>
      <c r="K82" s="2"/>
      <c r="L82" s="2"/>
      <c r="M82" s="2"/>
      <c r="N82" s="2"/>
      <c r="O82" s="2"/>
      <c r="P82" s="2"/>
      <c r="Q82" s="2"/>
      <c r="R82" s="2"/>
      <c r="S82" s="2"/>
      <c r="T82" s="2"/>
      <c r="U82" s="2"/>
      <c r="V82" s="2"/>
      <c r="W82" s="2"/>
    </row>
    <row r="83" ht="22.5" customHeight="1">
      <c r="A83" s="3">
        <v>82.0</v>
      </c>
      <c r="B83" s="3" t="s">
        <v>2342</v>
      </c>
      <c r="C83" s="3" t="s">
        <v>2343</v>
      </c>
      <c r="D83" s="3" t="s">
        <v>2238</v>
      </c>
      <c r="E83" s="2"/>
      <c r="F83" s="3" t="str">
        <f>IFERROR(__xludf.DUMMYFUNCTION("GOOGLETRANSLATE(A83, ""it"", ""en"")"),"82")</f>
        <v>82</v>
      </c>
      <c r="G83" s="3" t="str">
        <f>IFERROR(__xludf.DUMMYFUNCTION("GOOGLETRANSLATE(B83, ""it"", ""en"")"),"Ye serve the ball but it strikes the ground before touching the wall. What happens?")</f>
        <v>Ye serve the ball but it strikes the ground before touching the wall. What happens?</v>
      </c>
      <c r="H83" s="3" t="str">
        <f>IFERROR(__xludf.DUMMYFUNCTION("GOOGLETRANSLATE(C83, ""it"", ""en"")"),"A. Ye lose the point B. Ye win the point C. Ye get another serve D. Ye get a free throw")</f>
        <v>A. Ye lose the point B. Ye win the point C. Ye get another serve D. Ye get a free throw</v>
      </c>
      <c r="I83" s="3" t="str">
        <f>IFERROR(__xludf.DUMMYFUNCTION("GOOGLETRANSLATE(D83, ""it"", ""en"")"),"You lose the point")</f>
        <v>You lose the point</v>
      </c>
      <c r="J83" s="2"/>
      <c r="K83" s="2"/>
      <c r="L83" s="2"/>
      <c r="M83" s="2"/>
      <c r="N83" s="2"/>
      <c r="O83" s="2"/>
      <c r="P83" s="2"/>
      <c r="Q83" s="2"/>
      <c r="R83" s="2"/>
      <c r="S83" s="2"/>
      <c r="T83" s="2"/>
      <c r="U83" s="2"/>
      <c r="V83" s="2"/>
      <c r="W83" s="2"/>
    </row>
    <row r="84" ht="22.5" customHeight="1">
      <c r="A84" s="3">
        <v>83.0</v>
      </c>
      <c r="B84" s="3" t="s">
        <v>2344</v>
      </c>
      <c r="C84" s="3" t="s">
        <v>2249</v>
      </c>
      <c r="D84" s="3" t="s">
        <v>2247</v>
      </c>
      <c r="E84" s="2"/>
      <c r="F84" s="3" t="str">
        <f>IFERROR(__xludf.DUMMYFUNCTION("GOOGLETRANSLATE(A84, ""it"", ""en"")"),"83")</f>
        <v>83</v>
      </c>
      <c r="G84" s="3" t="str">
        <f>IFERROR(__xludf.DUMMYFUNCTION("GOOGLETRANSLATE(B84, ""it"", ""en"")"),"Ye hit the ball but yer opponent manages to block it. What happens?")</f>
        <v>Ye hit the ball but yer opponent manages to block it. What happens?</v>
      </c>
      <c r="H84" s="3" t="str">
        <f>IFERROR(__xludf.DUMMYFUNCTION("GOOGLETRANSLATE(C84, ""it"", ""en"")"),"A. Ye lose the point B. Ye win the point C. Ye get a penalty D. Ye get a free throw")</f>
        <v>A. Ye lose the point B. Ye win the point C. Ye get a penalty D. Ye get a free throw</v>
      </c>
      <c r="I84" s="3" t="str">
        <f>IFERROR(__xludf.DUMMYFUNCTION("GOOGLETRANSLATE(D84, ""it"", ""en"")"),"You win the point")</f>
        <v>You win the point</v>
      </c>
      <c r="J84" s="2"/>
      <c r="K84" s="2"/>
      <c r="L84" s="2"/>
      <c r="M84" s="2"/>
      <c r="N84" s="2"/>
      <c r="O84" s="2"/>
      <c r="P84" s="2"/>
      <c r="Q84" s="2"/>
      <c r="R84" s="2"/>
      <c r="S84" s="2"/>
      <c r="T84" s="2"/>
      <c r="U84" s="2"/>
      <c r="V84" s="2"/>
      <c r="W84" s="2"/>
    </row>
    <row r="85" ht="22.5" customHeight="1">
      <c r="A85" s="3">
        <v>84.0</v>
      </c>
      <c r="B85" s="3" t="s">
        <v>2345</v>
      </c>
      <c r="C85" s="3" t="s">
        <v>2251</v>
      </c>
      <c r="D85" s="3" t="s">
        <v>2247</v>
      </c>
      <c r="E85" s="2"/>
      <c r="F85" s="3" t="str">
        <f>IFERROR(__xludf.DUMMYFUNCTION("GOOGLETRANSLATE(A85, ""it"", ""en"")"),"84")</f>
        <v>84</v>
      </c>
      <c r="G85" s="3" t="str">
        <f>IFERROR(__xludf.DUMMYFUNCTION("GOOGLETRANSLATE(B85, ""it"", ""en"")"),"Ye serve the ball an' it lands inside yer opponent's court but they fail to return it. What happens?")</f>
        <v>Ye serve the ball an' it lands inside yer opponent's court but they fail to return it. What happens?</v>
      </c>
      <c r="H85" s="3" t="str">
        <f>IFERROR(__xludf.DUMMYFUNCTION("GOOGLETRANSLATE(C85, ""it"", ""en"")"),"A. Ye win the point B. Ye lose the point C. Ye get a free throw D. Ye get a penalty")</f>
        <v>A. Ye win the point B. Ye lose the point C. Ye get a free throw D. Ye get a penalty</v>
      </c>
      <c r="I85" s="3" t="str">
        <f>IFERROR(__xludf.DUMMYFUNCTION("GOOGLETRANSLATE(D85, ""it"", ""en"")"),"You win the point")</f>
        <v>You win the point</v>
      </c>
      <c r="J85" s="2"/>
      <c r="K85" s="2"/>
      <c r="L85" s="2"/>
      <c r="M85" s="2"/>
      <c r="N85" s="2"/>
      <c r="O85" s="2"/>
      <c r="P85" s="2"/>
      <c r="Q85" s="2"/>
      <c r="R85" s="2"/>
      <c r="S85" s="2"/>
      <c r="T85" s="2"/>
      <c r="U85" s="2"/>
      <c r="V85" s="2"/>
      <c r="W85" s="2"/>
    </row>
    <row r="86" ht="22.5" customHeight="1">
      <c r="A86" s="3">
        <v>85.0</v>
      </c>
      <c r="B86" s="3" t="s">
        <v>2346</v>
      </c>
      <c r="C86" s="3" t="s">
        <v>2249</v>
      </c>
      <c r="D86" s="3" t="s">
        <v>2238</v>
      </c>
      <c r="E86" s="2"/>
      <c r="F86" s="3" t="str">
        <f>IFERROR(__xludf.DUMMYFUNCTION("GOOGLETRANSLATE(A86, ""it"", ""en"")"),"85")</f>
        <v>85</v>
      </c>
      <c r="G86" s="3" t="str">
        <f>IFERROR(__xludf.DUMMYFUNCTION("GOOGLETRANSLATE(B86, ""it"", ""en"")"),"Ye hit the ball but it bounces high an' lands outside the court. What happens?")</f>
        <v>Ye hit the ball but it bounces high an' lands outside the court. What happens?</v>
      </c>
      <c r="H86" s="3" t="str">
        <f>IFERROR(__xludf.DUMMYFUNCTION("GOOGLETRANSLATE(C86, ""it"", ""en"")"),"A. Ye lose the point B. Ye win the point C. Ye get a penalty D. Ye get a free throw")</f>
        <v>A. Ye lose the point B. Ye win the point C. Ye get a penalty D. Ye get a free throw</v>
      </c>
      <c r="I86" s="3" t="str">
        <f>IFERROR(__xludf.DUMMYFUNCTION("GOOGLETRANSLATE(D86, ""it"", ""en"")"),"You lose the point")</f>
        <v>You lose the point</v>
      </c>
      <c r="J86" s="2"/>
      <c r="K86" s="2"/>
      <c r="L86" s="2"/>
      <c r="M86" s="2"/>
      <c r="N86" s="2"/>
      <c r="O86" s="2"/>
      <c r="P86" s="2"/>
      <c r="Q86" s="2"/>
      <c r="R86" s="2"/>
      <c r="S86" s="2"/>
      <c r="T86" s="2"/>
      <c r="U86" s="2"/>
      <c r="V86" s="2"/>
      <c r="W86" s="2"/>
    </row>
    <row r="87" ht="22.5" customHeight="1">
      <c r="A87" s="3">
        <v>86.0</v>
      </c>
      <c r="B87" s="3" t="s">
        <v>2347</v>
      </c>
      <c r="C87" s="3" t="s">
        <v>2251</v>
      </c>
      <c r="D87" s="3" t="s">
        <v>2247</v>
      </c>
      <c r="E87" s="2"/>
      <c r="F87" s="3" t="str">
        <f>IFERROR(__xludf.DUMMYFUNCTION("GOOGLETRANSLATE(A87, ""it"", ""en"")"),"86")</f>
        <v>86</v>
      </c>
      <c r="G87" s="3" t="str">
        <f>IFERROR(__xludf.DUMMYFUNCTION("GOOGLETRANSLATE(B87, ""it"", ""en"")"),"Ye strike the ball an' it lands in yer opponent's court but they miss the return. What happens?")</f>
        <v>Ye strike the ball an' it lands in yer opponent's court but they miss the return. What happens?</v>
      </c>
      <c r="H87" s="3" t="str">
        <f>IFERROR(__xludf.DUMMYFUNCTION("GOOGLETRANSLATE(C87, ""it"", ""en"")"),"A. Ye win the point B. Ye lose the point C. Ye get a free throw D. Ye get a penalty")</f>
        <v>A. Ye win the point B. Ye lose the point C. Ye get a free throw D. Ye get a penalty</v>
      </c>
      <c r="I87" s="3" t="str">
        <f>IFERROR(__xludf.DUMMYFUNCTION("GOOGLETRANSLATE(D87, ""it"", ""en"")"),"You win the point")</f>
        <v>You win the point</v>
      </c>
      <c r="J87" s="2"/>
      <c r="K87" s="2"/>
      <c r="L87" s="2"/>
      <c r="M87" s="2"/>
      <c r="N87" s="2"/>
      <c r="O87" s="2"/>
      <c r="P87" s="2"/>
      <c r="Q87" s="2"/>
      <c r="R87" s="2"/>
      <c r="S87" s="2"/>
      <c r="T87" s="2"/>
      <c r="U87" s="2"/>
      <c r="V87" s="2"/>
      <c r="W87" s="2"/>
    </row>
    <row r="88" ht="22.5" customHeight="1">
      <c r="A88" s="3">
        <v>87.0</v>
      </c>
      <c r="B88" s="3" t="s">
        <v>2348</v>
      </c>
      <c r="C88" s="3" t="s">
        <v>2259</v>
      </c>
      <c r="D88" s="3" t="s">
        <v>2247</v>
      </c>
      <c r="E88" s="2"/>
      <c r="F88" s="3" t="str">
        <f>IFERROR(__xludf.DUMMYFUNCTION("GOOGLETRANSLATE(A88, ""it"", ""en"")"),"87")</f>
        <v>87</v>
      </c>
      <c r="G88" s="3" t="str">
        <f>IFERROR(__xludf.DUMMYFUNCTION("GOOGLETRANSLATE(B88, ""it"", ""en"")"),"Ye serve the ball an' yer opponent fails to return it but the ball touches the wall first. What happens?")</f>
        <v>Ye serve the ball an' yer opponent fails to return it but the ball touches the wall first. What happens?</v>
      </c>
      <c r="H88" s="3" t="str">
        <f>IFERROR(__xludf.DUMMYFUNCTION("GOOGLETRANSLATE(C88, ""it"", ""en"")"),"A. Ye win the point B. Ye lose the point C. Ye get a free throw D. Ye get a warning")</f>
        <v>A. Ye win the point B. Ye lose the point C. Ye get a free throw D. Ye get a warning</v>
      </c>
      <c r="I88" s="3" t="str">
        <f>IFERROR(__xludf.DUMMYFUNCTION("GOOGLETRANSLATE(D88, ""it"", ""en"")"),"You win the point")</f>
        <v>You win the point</v>
      </c>
      <c r="J88" s="2"/>
      <c r="K88" s="2"/>
      <c r="L88" s="2"/>
      <c r="M88" s="2"/>
      <c r="N88" s="2"/>
      <c r="O88" s="2"/>
      <c r="P88" s="2"/>
      <c r="Q88" s="2"/>
      <c r="R88" s="2"/>
      <c r="S88" s="2"/>
      <c r="T88" s="2"/>
      <c r="U88" s="2"/>
      <c r="V88" s="2"/>
      <c r="W88" s="2"/>
    </row>
    <row r="89" ht="22.5" customHeight="1">
      <c r="A89" s="3">
        <v>88.0</v>
      </c>
      <c r="B89" s="3" t="s">
        <v>2349</v>
      </c>
      <c r="C89" s="3" t="s">
        <v>2315</v>
      </c>
      <c r="D89" s="3" t="s">
        <v>2316</v>
      </c>
      <c r="E89" s="2"/>
      <c r="F89" s="3" t="str">
        <f>IFERROR(__xludf.DUMMYFUNCTION("GOOGLETRANSLATE(A89, ""it"", ""en"")"),"88")</f>
        <v>88</v>
      </c>
      <c r="G89" s="3" t="str">
        <f>IFERROR(__xludf.DUMMYFUNCTION("GOOGLETRANSLATE(B89, ""it"", ""en"")"),"Ye strike the ball an' yer opponent manages tae return it back after a long rally. What happens?")</f>
        <v>Ye strike the ball an' yer opponent manages tae return it back after a long rally. What happens?</v>
      </c>
      <c r="H89" s="3" t="str">
        <f>IFERROR(__xludf.DUMMYFUNCTION("GOOGLETRANSLATE(C89, ""it"", ""en"")"),"A. The rally continues B. Ye win the point C. Ye lose the point D. Ye get a free throw")</f>
        <v>A. The rally continues B. Ye win the point C. Ye lose the point D. Ye get a free throw</v>
      </c>
      <c r="I89" s="3" t="str">
        <f>IFERROR(__xludf.DUMMYFUNCTION("GOOGLETRANSLATE(D89, ""it"", ""en"")"),"The rally continues")</f>
        <v>The rally continues</v>
      </c>
      <c r="J89" s="2"/>
      <c r="K89" s="2"/>
      <c r="L89" s="2"/>
      <c r="M89" s="2"/>
      <c r="N89" s="2"/>
      <c r="O89" s="2"/>
      <c r="P89" s="2"/>
      <c r="Q89" s="2"/>
      <c r="R89" s="2"/>
      <c r="S89" s="2"/>
      <c r="T89" s="2"/>
      <c r="U89" s="2"/>
      <c r="V89" s="2"/>
      <c r="W89" s="2"/>
    </row>
    <row r="90" ht="22.5" customHeight="1">
      <c r="A90" s="3">
        <v>89.0</v>
      </c>
      <c r="B90" s="3" t="s">
        <v>2350</v>
      </c>
      <c r="C90" s="3" t="s">
        <v>2270</v>
      </c>
      <c r="D90" s="3" t="s">
        <v>2247</v>
      </c>
      <c r="E90" s="2"/>
      <c r="F90" s="3" t="str">
        <f>IFERROR(__xludf.DUMMYFUNCTION("GOOGLETRANSLATE(A90, ""it"", ""en"")"),"89")</f>
        <v>89</v>
      </c>
      <c r="G90" s="3" t="str">
        <f>IFERROR(__xludf.DUMMYFUNCTION("GOOGLETRANSLATE(B90, ""it"", ""en"")"),"Ye hit the ball an' yer opponent misses it entirely. What happens?")</f>
        <v>Ye hit the ball an' yer opponent misses it entirely. What happens?</v>
      </c>
      <c r="H90" s="3" t="str">
        <f>IFERROR(__xludf.DUMMYFUNCTION("GOOGLETRANSLATE(C90, ""it"", ""en"")"),"A. Ye win the point B. Ye lose the point C. Ye get a penalty D. Ye get a free throw")</f>
        <v>A. Ye win the point B. Ye lose the point C. Ye get a penalty D. Ye get a free throw</v>
      </c>
      <c r="I90" s="3" t="str">
        <f>IFERROR(__xludf.DUMMYFUNCTION("GOOGLETRANSLATE(D90, ""it"", ""en"")"),"You win the point")</f>
        <v>You win the point</v>
      </c>
      <c r="J90" s="2"/>
      <c r="K90" s="2"/>
      <c r="L90" s="2"/>
      <c r="M90" s="2"/>
      <c r="N90" s="2"/>
      <c r="O90" s="2"/>
      <c r="P90" s="2"/>
      <c r="Q90" s="2"/>
      <c r="R90" s="2"/>
      <c r="S90" s="2"/>
      <c r="T90" s="2"/>
      <c r="U90" s="2"/>
      <c r="V90" s="2"/>
      <c r="W90" s="2"/>
    </row>
    <row r="91" ht="22.5" customHeight="1">
      <c r="A91" s="3">
        <v>90.0</v>
      </c>
      <c r="B91" s="3" t="s">
        <v>2351</v>
      </c>
      <c r="C91" s="3" t="s">
        <v>2324</v>
      </c>
      <c r="D91" s="3" t="s">
        <v>2238</v>
      </c>
      <c r="E91" s="2"/>
      <c r="F91" s="3" t="str">
        <f>IFERROR(__xludf.DUMMYFUNCTION("GOOGLETRANSLATE(A91, ""it"", ""en"")"),"90")</f>
        <v>90</v>
      </c>
      <c r="G91" s="3" t="str">
        <f>IFERROR(__xludf.DUMMYFUNCTION("GOOGLETRANSLATE(B91, ""it"", ""en"")"),"Ye serve the ball but it lands outside the court on the first strike. What happens?")</f>
        <v>Ye serve the ball but it lands outside the court on the first strike. What happens?</v>
      </c>
      <c r="H91" s="3" t="str">
        <f>IFERROR(__xludf.DUMMYFUNCTION("GOOGLETRANSLATE(C91, ""it"", ""en"")"),"A. Ye lose the point B. Ye win the point C. Ye get another serve D. Ye get a penalty")</f>
        <v>A. Ye lose the point B. Ye win the point C. Ye get another serve D. Ye get a penalty</v>
      </c>
      <c r="I91" s="3" t="str">
        <f>IFERROR(__xludf.DUMMYFUNCTION("GOOGLETRANSLATE(D91, ""it"", ""en"")"),"You lose the point")</f>
        <v>You lose the point</v>
      </c>
      <c r="J91" s="2"/>
      <c r="K91" s="2"/>
      <c r="L91" s="2"/>
      <c r="M91" s="2"/>
      <c r="N91" s="2"/>
      <c r="O91" s="2"/>
      <c r="P91" s="2"/>
      <c r="Q91" s="2"/>
      <c r="R91" s="2"/>
      <c r="S91" s="2"/>
      <c r="T91" s="2"/>
      <c r="U91" s="2"/>
      <c r="V91" s="2"/>
      <c r="W91" s="2"/>
    </row>
    <row r="92" ht="22.5" customHeight="1">
      <c r="A92" s="3">
        <v>91.0</v>
      </c>
      <c r="B92" s="3" t="s">
        <v>2352</v>
      </c>
      <c r="C92" s="3" t="s">
        <v>2286</v>
      </c>
      <c r="D92" s="3" t="s">
        <v>2247</v>
      </c>
      <c r="E92" s="2"/>
      <c r="F92" s="3" t="str">
        <f>IFERROR(__xludf.DUMMYFUNCTION("GOOGLETRANSLATE(A92, ""it"", ""en"")"),"91")</f>
        <v>91</v>
      </c>
      <c r="G92" s="3" t="str">
        <f>IFERROR(__xludf.DUMMYFUNCTION("GOOGLETRANSLATE(B92, ""it"", ""en"")"),"Ye strike the ball an' it hits yer opponent's bracelet but they don't return it. What happens?")</f>
        <v>Ye strike the ball an' it hits yer opponent's bracelet but they don't return it. What happens?</v>
      </c>
      <c r="H92" s="3" t="str">
        <f>IFERROR(__xludf.DUMMYFUNCTION("GOOGLETRANSLATE(C92, ""it"", ""en"")"),"A. Ye win the point B. Ye lose the point C. Ye get a warning D. Ye get a free throw")</f>
        <v>A. Ye win the point B. Ye lose the point C. Ye get a warning D. Ye get a free throw</v>
      </c>
      <c r="I92" s="3" t="str">
        <f>IFERROR(__xludf.DUMMYFUNCTION("GOOGLETRANSLATE(D92, ""it"", ""en"")"),"You win the point")</f>
        <v>You win the point</v>
      </c>
      <c r="J92" s="2"/>
      <c r="K92" s="2"/>
      <c r="L92" s="2"/>
      <c r="M92" s="2"/>
      <c r="N92" s="2"/>
      <c r="O92" s="2"/>
      <c r="P92" s="2"/>
      <c r="Q92" s="2"/>
      <c r="R92" s="2"/>
      <c r="S92" s="2"/>
      <c r="T92" s="2"/>
      <c r="U92" s="2"/>
      <c r="V92" s="2"/>
      <c r="W92" s="2"/>
    </row>
    <row r="93" ht="22.5" customHeight="1">
      <c r="A93" s="3">
        <v>92.0</v>
      </c>
      <c r="B93" s="3" t="s">
        <v>2353</v>
      </c>
      <c r="C93" s="3" t="s">
        <v>2255</v>
      </c>
      <c r="D93" s="3" t="s">
        <v>2247</v>
      </c>
      <c r="E93" s="2"/>
      <c r="F93" s="3" t="str">
        <f>IFERROR(__xludf.DUMMYFUNCTION("GOOGLETRANSLATE(A93, ""it"", ""en"")"),"92")</f>
        <v>92</v>
      </c>
      <c r="G93" s="3" t="str">
        <f>IFERROR(__xludf.DUMMYFUNCTION("GOOGLETRANSLATE(B93, ""it"", ""en"")"),"Ye serve the ball but it lands inside the court but yer opponent fails to return it. What happens?")</f>
        <v>Ye serve the ball but it lands inside the court but yer opponent fails to return it. What happens?</v>
      </c>
      <c r="H93" s="3" t="str">
        <f>IFERROR(__xludf.DUMMYFUNCTION("GOOGLETRANSLATE(C93, ""it"", ""en"")"),"A. Ye win the point B. Ye lose the point C. Ye get a penalty D. Ye get a warning")</f>
        <v>A. Ye win the point B. Ye lose the point C. Ye get a penalty D. Ye get a warning</v>
      </c>
      <c r="I93" s="3" t="str">
        <f>IFERROR(__xludf.DUMMYFUNCTION("GOOGLETRANSLATE(D93, ""it"", ""en"")"),"You win the point")</f>
        <v>You win the point</v>
      </c>
      <c r="J93" s="2"/>
      <c r="K93" s="2"/>
      <c r="L93" s="2"/>
      <c r="M93" s="2"/>
      <c r="N93" s="2"/>
      <c r="O93" s="2"/>
      <c r="P93" s="2"/>
      <c r="Q93" s="2"/>
      <c r="R93" s="2"/>
      <c r="S93" s="2"/>
      <c r="T93" s="2"/>
      <c r="U93" s="2"/>
      <c r="V93" s="2"/>
      <c r="W93" s="2"/>
    </row>
    <row r="94" ht="22.5" customHeight="1">
      <c r="A94" s="3">
        <v>93.0</v>
      </c>
      <c r="B94" s="3" t="s">
        <v>2354</v>
      </c>
      <c r="C94" s="3" t="s">
        <v>2251</v>
      </c>
      <c r="D94" s="3" t="s">
        <v>2247</v>
      </c>
      <c r="E94" s="2"/>
      <c r="F94" s="3" t="str">
        <f>IFERROR(__xludf.DUMMYFUNCTION("GOOGLETRANSLATE(A94, ""it"", ""en"")"),"93")</f>
        <v>93</v>
      </c>
      <c r="G94" s="3" t="str">
        <f>IFERROR(__xludf.DUMMYFUNCTION("GOOGLETRANSLATE(B94, ""it"", ""en"")"),"Ye hit the ball an' yer opponent catches it mid-air but fails to return it to the wall. What happens?")</f>
        <v>Ye hit the ball an' yer opponent catches it mid-air but fails to return it to the wall. What happens?</v>
      </c>
      <c r="H94" s="3" t="str">
        <f>IFERROR(__xludf.DUMMYFUNCTION("GOOGLETRANSLATE(C94, ""it"", ""en"")"),"A. Ye win the point B. Ye lose the point C. Ye get a free throw D. Ye get a penalty")</f>
        <v>A. Ye win the point B. Ye lose the point C. Ye get a free throw D. Ye get a penalty</v>
      </c>
      <c r="I94" s="3" t="str">
        <f>IFERROR(__xludf.DUMMYFUNCTION("GOOGLETRANSLATE(D94, ""it"", ""en"")"),"You win the point")</f>
        <v>You win the point</v>
      </c>
      <c r="J94" s="2"/>
      <c r="K94" s="2"/>
      <c r="L94" s="2"/>
      <c r="M94" s="2"/>
      <c r="N94" s="2"/>
      <c r="O94" s="2"/>
      <c r="P94" s="2"/>
      <c r="Q94" s="2"/>
      <c r="R94" s="2"/>
      <c r="S94" s="2"/>
      <c r="T94" s="2"/>
      <c r="U94" s="2"/>
      <c r="V94" s="2"/>
      <c r="W94" s="2"/>
    </row>
    <row r="95" ht="22.5" customHeight="1">
      <c r="A95" s="3">
        <v>94.0</v>
      </c>
      <c r="B95" s="3" t="s">
        <v>2355</v>
      </c>
      <c r="C95" s="3" t="s">
        <v>2246</v>
      </c>
      <c r="D95" s="3" t="s">
        <v>2238</v>
      </c>
      <c r="E95" s="2"/>
      <c r="F95" s="3" t="str">
        <f>IFERROR(__xludf.DUMMYFUNCTION("GOOGLETRANSLATE(A95, ""it"", ""en"")"),"94")</f>
        <v>94</v>
      </c>
      <c r="G95" s="3" t="str">
        <f>IFERROR(__xludf.DUMMYFUNCTION("GOOGLETRANSLATE(B95, ""it"", ""en"")"),"Ye serve the ball but it bounces off the wall an' hits the ceiling. What happens?")</f>
        <v>Ye serve the ball but it bounces off the wall an' hits the ceiling. What happens?</v>
      </c>
      <c r="H95" s="3" t="str">
        <f>IFERROR(__xludf.DUMMYFUNCTION("GOOGLETRANSLATE(C95, ""it"", ""en"")"),"A. Ye lose the point B. Ye win the point C. Ye get a free throw D. Ye get a warning")</f>
        <v>A. Ye lose the point B. Ye win the point C. Ye get a free throw D. Ye get a warning</v>
      </c>
      <c r="I95" s="3" t="str">
        <f>IFERROR(__xludf.DUMMYFUNCTION("GOOGLETRANSLATE(D95, ""it"", ""en"")"),"You lose the point")</f>
        <v>You lose the point</v>
      </c>
      <c r="J95" s="2"/>
      <c r="K95" s="2"/>
      <c r="L95" s="2"/>
      <c r="M95" s="2"/>
      <c r="N95" s="2"/>
      <c r="O95" s="2"/>
      <c r="P95" s="2"/>
      <c r="Q95" s="2"/>
      <c r="R95" s="2"/>
      <c r="S95" s="2"/>
      <c r="T95" s="2"/>
      <c r="U95" s="2"/>
      <c r="V95" s="2"/>
      <c r="W95" s="2"/>
    </row>
    <row r="96" ht="22.5" customHeight="1">
      <c r="A96" s="3">
        <v>95.0</v>
      </c>
      <c r="B96" s="3" t="s">
        <v>2356</v>
      </c>
      <c r="C96" s="3" t="s">
        <v>2251</v>
      </c>
      <c r="D96" s="3" t="s">
        <v>2247</v>
      </c>
      <c r="E96" s="2"/>
      <c r="F96" s="3" t="str">
        <f>IFERROR(__xludf.DUMMYFUNCTION("GOOGLETRANSLATE(A96, ""it"", ""en"")"),"95")</f>
        <v>95</v>
      </c>
      <c r="G96" s="3" t="str">
        <f>IFERROR(__xludf.DUMMYFUNCTION("GOOGLETRANSLATE(B96, ""it"", ""en"")"),"Ye strike the ball an' yer opponent doesn't return it in time. What happens?")</f>
        <v>Ye strike the ball an' yer opponent doesn't return it in time. What happens?</v>
      </c>
      <c r="H96" s="3" t="str">
        <f>IFERROR(__xludf.DUMMYFUNCTION("GOOGLETRANSLATE(C96, ""it"", ""en"")"),"A. Ye win the point B. Ye lose the point C. Ye get a free throw D. Ye get a penalty")</f>
        <v>A. Ye win the point B. Ye lose the point C. Ye get a free throw D. Ye get a penalty</v>
      </c>
      <c r="I96" s="3" t="str">
        <f>IFERROR(__xludf.DUMMYFUNCTION("GOOGLETRANSLATE(D96, ""it"", ""en"")"),"You win the point")</f>
        <v>You win the point</v>
      </c>
      <c r="J96" s="2"/>
      <c r="K96" s="2"/>
      <c r="L96" s="2"/>
      <c r="M96" s="2"/>
      <c r="N96" s="2"/>
      <c r="O96" s="2"/>
      <c r="P96" s="2"/>
      <c r="Q96" s="2"/>
      <c r="R96" s="2"/>
      <c r="S96" s="2"/>
      <c r="T96" s="2"/>
      <c r="U96" s="2"/>
      <c r="V96" s="2"/>
      <c r="W96" s="2"/>
    </row>
    <row r="97" ht="22.5" customHeight="1">
      <c r="A97" s="3">
        <v>96.0</v>
      </c>
      <c r="B97" s="3" t="s">
        <v>2357</v>
      </c>
      <c r="C97" s="3" t="s">
        <v>2315</v>
      </c>
      <c r="D97" s="3" t="s">
        <v>2316</v>
      </c>
      <c r="E97" s="2"/>
      <c r="F97" s="3" t="str">
        <f>IFERROR(__xludf.DUMMYFUNCTION("GOOGLETRANSLATE(A97, ""it"", ""en"")"),"96")</f>
        <v>96</v>
      </c>
      <c r="G97" s="3" t="str">
        <f>IFERROR(__xludf.DUMMYFUNCTION("GOOGLETRANSLATE(B97, ""it"", ""en"")"),"Ye serve the ball but yer opponent hits it back an' it lands inside yer court. What happens?")</f>
        <v>Ye serve the ball but yer opponent hits it back an' it lands inside yer court. What happens?</v>
      </c>
      <c r="H97" s="3" t="str">
        <f>IFERROR(__xludf.DUMMYFUNCTION("GOOGLETRANSLATE(C97, ""it"", ""en"")"),"A. The rally continues B. Ye win the point C. Ye lose the point D. Ye get a free throw")</f>
        <v>A. The rally continues B. Ye win the point C. Ye lose the point D. Ye get a free throw</v>
      </c>
      <c r="I97" s="3" t="str">
        <f>IFERROR(__xludf.DUMMYFUNCTION("GOOGLETRANSLATE(D97, ""it"", ""en"")"),"The rally continues")</f>
        <v>The rally continues</v>
      </c>
      <c r="J97" s="2"/>
      <c r="K97" s="2"/>
      <c r="L97" s="2"/>
      <c r="M97" s="2"/>
      <c r="N97" s="2"/>
      <c r="O97" s="2"/>
      <c r="P97" s="2"/>
      <c r="Q97" s="2"/>
      <c r="R97" s="2"/>
      <c r="S97" s="2"/>
      <c r="T97" s="2"/>
      <c r="U97" s="2"/>
      <c r="V97" s="2"/>
      <c r="W97" s="2"/>
    </row>
    <row r="98" ht="22.5" customHeight="1">
      <c r="A98" s="3">
        <v>97.0</v>
      </c>
      <c r="B98" s="3" t="s">
        <v>2358</v>
      </c>
      <c r="C98" s="3" t="s">
        <v>2249</v>
      </c>
      <c r="D98" s="3" t="s">
        <v>2247</v>
      </c>
      <c r="E98" s="2"/>
      <c r="F98" s="3" t="str">
        <f>IFERROR(__xludf.DUMMYFUNCTION("GOOGLETRANSLATE(A98, ""it"", ""en"")"),"97")</f>
        <v>97</v>
      </c>
      <c r="G98" s="3" t="str">
        <f>IFERROR(__xludf.DUMMYFUNCTION("GOOGLETRANSLATE(B98, ""it"", ""en"")"),"Ye strike the ball an' it lands outside the court an' yer opponent calls it in. What happens?")</f>
        <v>Ye strike the ball an' it lands outside the court an' yer opponent calls it in. What happens?</v>
      </c>
      <c r="H98" s="3" t="str">
        <f>IFERROR(__xludf.DUMMYFUNCTION("GOOGLETRANSLATE(C98, ""it"", ""en"")"),"A. Ye lose the point B. Ye win the point C. Ye get a penalty D. Ye get a free throw")</f>
        <v>A. Ye lose the point B. Ye win the point C. Ye get a penalty D. Ye get a free throw</v>
      </c>
      <c r="I98" s="3" t="str">
        <f>IFERROR(__xludf.DUMMYFUNCTION("GOOGLETRANSLATE(D98, ""it"", ""en"")"),"You win the point")</f>
        <v>You win the point</v>
      </c>
      <c r="J98" s="2"/>
      <c r="K98" s="2"/>
      <c r="L98" s="2"/>
      <c r="M98" s="2"/>
      <c r="N98" s="2"/>
      <c r="O98" s="2"/>
      <c r="P98" s="2"/>
      <c r="Q98" s="2"/>
      <c r="R98" s="2"/>
      <c r="S98" s="2"/>
      <c r="T98" s="2"/>
      <c r="U98" s="2"/>
      <c r="V98" s="2"/>
      <c r="W98" s="2"/>
    </row>
    <row r="99" ht="22.5" customHeight="1">
      <c r="A99" s="3">
        <v>98.0</v>
      </c>
      <c r="B99" s="3" t="s">
        <v>2359</v>
      </c>
      <c r="C99" s="3" t="s">
        <v>2251</v>
      </c>
      <c r="D99" s="3" t="s">
        <v>2247</v>
      </c>
      <c r="E99" s="2"/>
      <c r="F99" s="3" t="str">
        <f>IFERROR(__xludf.DUMMYFUNCTION("GOOGLETRANSLATE(A99, ""it"", ""en"")"),"98")</f>
        <v>98</v>
      </c>
      <c r="G99" s="3" t="str">
        <f>IFERROR(__xludf.DUMMYFUNCTION("GOOGLETRANSLATE(B99, ""it"", ""en"")"),"Ye serve the ball an' yer opponent strikes it back an' the ball lands on top of the wall. What happens?")</f>
        <v>Ye serve the ball an' yer opponent strikes it back an' the ball lands on top of the wall. What happens?</v>
      </c>
      <c r="H99" s="3" t="str">
        <f>IFERROR(__xludf.DUMMYFUNCTION("GOOGLETRANSLATE(C99, ""it"", ""en"")"),"A. Ye win the point B. Ye lose the point C. Ye get a free throw D. Ye get a penalty")</f>
        <v>A. Ye win the point B. Ye lose the point C. Ye get a free throw D. Ye get a penalty</v>
      </c>
      <c r="I99" s="3" t="str">
        <f>IFERROR(__xludf.DUMMYFUNCTION("GOOGLETRANSLATE(D99, ""it"", ""en"")"),"You win the point")</f>
        <v>You win the point</v>
      </c>
      <c r="J99" s="2"/>
      <c r="K99" s="2"/>
      <c r="L99" s="2"/>
      <c r="M99" s="2"/>
      <c r="N99" s="2"/>
      <c r="O99" s="2"/>
      <c r="P99" s="2"/>
      <c r="Q99" s="2"/>
      <c r="R99" s="2"/>
      <c r="S99" s="2"/>
      <c r="T99" s="2"/>
      <c r="U99" s="2"/>
      <c r="V99" s="2"/>
      <c r="W99" s="2"/>
    </row>
    <row r="100" ht="22.5" customHeight="1">
      <c r="A100" s="3">
        <v>99.0</v>
      </c>
      <c r="B100" s="3" t="s">
        <v>2360</v>
      </c>
      <c r="C100" s="3" t="s">
        <v>2270</v>
      </c>
      <c r="D100" s="3" t="s">
        <v>2247</v>
      </c>
      <c r="E100" s="2"/>
      <c r="F100" s="3" t="str">
        <f>IFERROR(__xludf.DUMMYFUNCTION("GOOGLETRANSLATE(A100, ""it"", ""en"")"),"99")</f>
        <v>99</v>
      </c>
      <c r="G100" s="3" t="str">
        <f>IFERROR(__xludf.DUMMYFUNCTION("GOOGLETRANSLATE(B100, ""it"", ""en"")"),"Ye hit the ball but yer opponent misses it an' the ball lands in their court. What happens?")</f>
        <v>Ye hit the ball but yer opponent misses it an' the ball lands in their court. What happens?</v>
      </c>
      <c r="H100" s="3" t="str">
        <f>IFERROR(__xludf.DUMMYFUNCTION("GOOGLETRANSLATE(C100, ""it"", ""en"")"),"A. Ye win the point B. Ye lose the point C. Ye get a penalty D. Ye get a free throw")</f>
        <v>A. Ye win the point B. Ye lose the point C. Ye get a penalty D. Ye get a free throw</v>
      </c>
      <c r="I100" s="3" t="str">
        <f>IFERROR(__xludf.DUMMYFUNCTION("GOOGLETRANSLATE(D100, ""it"", ""en"")"),"You win the point")</f>
        <v>You win the point</v>
      </c>
      <c r="J100" s="2"/>
      <c r="K100" s="2"/>
      <c r="L100" s="2"/>
      <c r="M100" s="2"/>
      <c r="N100" s="2"/>
      <c r="O100" s="2"/>
      <c r="P100" s="2"/>
      <c r="Q100" s="2"/>
      <c r="R100" s="2"/>
      <c r="S100" s="2"/>
      <c r="T100" s="2"/>
      <c r="U100" s="2"/>
      <c r="V100" s="2"/>
      <c r="W100" s="2"/>
    </row>
    <row r="101" ht="22.5" customHeight="1">
      <c r="A101" s="3">
        <v>100.0</v>
      </c>
      <c r="B101" s="3" t="s">
        <v>2361</v>
      </c>
      <c r="C101" s="3" t="s">
        <v>2270</v>
      </c>
      <c r="D101" s="3" t="s">
        <v>2247</v>
      </c>
      <c r="E101" s="2"/>
      <c r="F101" s="3" t="str">
        <f>IFERROR(__xludf.DUMMYFUNCTION("GOOGLETRANSLATE(A101, ""it"", ""en"")"),"100")</f>
        <v>100</v>
      </c>
      <c r="G101" s="3" t="str">
        <f>IFERROR(__xludf.DUMMYFUNCTION("GOOGLETRANSLATE(B101, ""it"", ""en"")"),"Ye serve the ball an' it hits the wall an' falls back into yer court but yer opponent doesn't return it. What happens?")</f>
        <v>Ye serve the ball an' it hits the wall an' falls back into yer court but yer opponent doesn't return it. What happens?</v>
      </c>
      <c r="H101" s="3" t="str">
        <f>IFERROR(__xludf.DUMMYFUNCTION("GOOGLETRANSLATE(C101, ""it"", ""en"")"),"A. Ye win the point B. Ye lose the point C. Ye get a penalty D. Ye get a free throw")</f>
        <v>A. Ye win the point B. Ye lose the point C. Ye get a penalty D. Ye get a free throw</v>
      </c>
      <c r="I101" s="3" t="str">
        <f>IFERROR(__xludf.DUMMYFUNCTION("GOOGLETRANSLATE(D101, ""it"", ""en"")"),"You win the point")</f>
        <v>You win the point</v>
      </c>
      <c r="J101" s="2"/>
      <c r="K101" s="2"/>
      <c r="L101" s="2"/>
      <c r="M101" s="2"/>
      <c r="N101" s="2"/>
      <c r="O101" s="2"/>
      <c r="P101" s="2"/>
      <c r="Q101" s="2"/>
      <c r="R101" s="2"/>
      <c r="S101" s="2"/>
      <c r="T101" s="2"/>
      <c r="U101" s="2"/>
      <c r="V101" s="2"/>
      <c r="W101" s="2"/>
    </row>
    <row r="102" ht="22.5" customHeight="1">
      <c r="A102" s="3">
        <v>101.0</v>
      </c>
      <c r="B102" s="3" t="s">
        <v>2362</v>
      </c>
      <c r="C102" s="3" t="s">
        <v>2240</v>
      </c>
      <c r="D102" s="3" t="s">
        <v>2238</v>
      </c>
      <c r="E102" s="2"/>
      <c r="F102" s="3" t="str">
        <f>IFERROR(__xludf.DUMMYFUNCTION("GOOGLETRANSLATE(A102, ""it"", ""en"")"),"101")</f>
        <v>101</v>
      </c>
      <c r="G102" s="3" t="str">
        <f>IFERROR(__xludf.DUMMYFUNCTION("GOOGLETRANSLATE(B102, ""it"", ""en"")"),"Ye strike the ball an' yer opponent misses but the ball lands outta bounds. What happens?")</f>
        <v>Ye strike the ball an' yer opponent misses but the ball lands outta bounds. What happens?</v>
      </c>
      <c r="H102" s="3" t="str">
        <f>IFERROR(__xludf.DUMMYFUNCTION("GOOGLETRANSLATE(C102, ""it"", ""en"")"),"A. Ye lose the point B. Ye win the point C. Ye get a warning D. Ye get a free throw")</f>
        <v>A. Ye lose the point B. Ye win the point C. Ye get a warning D. Ye get a free throw</v>
      </c>
      <c r="I102" s="3" t="str">
        <f>IFERROR(__xludf.DUMMYFUNCTION("GOOGLETRANSLATE(D102, ""it"", ""en"")"),"You lose the point")</f>
        <v>You lose the point</v>
      </c>
      <c r="J102" s="2"/>
      <c r="K102" s="2"/>
      <c r="L102" s="2"/>
      <c r="M102" s="2"/>
      <c r="N102" s="2"/>
      <c r="O102" s="2"/>
      <c r="P102" s="2"/>
      <c r="Q102" s="2"/>
      <c r="R102" s="2"/>
      <c r="S102" s="2"/>
      <c r="T102" s="2"/>
      <c r="U102" s="2"/>
      <c r="V102" s="2"/>
      <c r="W102" s="2"/>
    </row>
    <row r="103" ht="22.5" customHeight="1">
      <c r="A103" s="3">
        <v>102.0</v>
      </c>
      <c r="B103" s="3" t="s">
        <v>2363</v>
      </c>
      <c r="C103" s="3" t="s">
        <v>2255</v>
      </c>
      <c r="D103" s="3" t="s">
        <v>2247</v>
      </c>
      <c r="E103" s="2"/>
      <c r="F103" s="3" t="str">
        <f>IFERROR(__xludf.DUMMYFUNCTION("GOOGLETRANSLATE(A103, ""it"", ""en"")"),"102")</f>
        <v>102</v>
      </c>
      <c r="G103" s="3" t="str">
        <f>IFERROR(__xludf.DUMMYFUNCTION("GOOGLETRANSLATE(B103, ""it"", ""en"")"),"Ye serve the ball but yer opponent fails to return it an' the ball lands in their court. What happens?")</f>
        <v>Ye serve the ball but yer opponent fails to return it an' the ball lands in their court. What happens?</v>
      </c>
      <c r="H103" s="3" t="str">
        <f>IFERROR(__xludf.DUMMYFUNCTION("GOOGLETRANSLATE(C103, ""it"", ""en"")"),"A. Ye win the point B. Ye lose the point C. Ye get a penalty D. Ye get a warning")</f>
        <v>A. Ye win the point B. Ye lose the point C. Ye get a penalty D. Ye get a warning</v>
      </c>
      <c r="I103" s="3" t="str">
        <f>IFERROR(__xludf.DUMMYFUNCTION("GOOGLETRANSLATE(D103, ""it"", ""en"")"),"You win the point")</f>
        <v>You win the point</v>
      </c>
      <c r="J103" s="2"/>
      <c r="K103" s="2"/>
      <c r="L103" s="2"/>
      <c r="M103" s="2"/>
      <c r="N103" s="2"/>
      <c r="O103" s="2"/>
      <c r="P103" s="2"/>
      <c r="Q103" s="2"/>
      <c r="R103" s="2"/>
      <c r="S103" s="2"/>
      <c r="T103" s="2"/>
      <c r="U103" s="2"/>
      <c r="V103" s="2"/>
      <c r="W103" s="2"/>
    </row>
    <row r="104" ht="22.5" customHeight="1">
      <c r="A104" s="3">
        <v>103.0</v>
      </c>
      <c r="B104" s="3" t="s">
        <v>2364</v>
      </c>
      <c r="C104" s="3" t="s">
        <v>2249</v>
      </c>
      <c r="D104" s="3" t="s">
        <v>2247</v>
      </c>
      <c r="E104" s="2"/>
      <c r="F104" s="3" t="str">
        <f>IFERROR(__xludf.DUMMYFUNCTION("GOOGLETRANSLATE(A104, ""it"", ""en"")"),"103")</f>
        <v>103</v>
      </c>
      <c r="G104" s="3" t="str">
        <f>IFERROR(__xludf.DUMMYFUNCTION("GOOGLETRANSLATE(B104, ""it"", ""en"")"),"Ye strike the ball an' it lands on the line o' the court but yer opponent calls it out. What happens?")</f>
        <v>Ye strike the ball an' it lands on the line o' the court but yer opponent calls it out. What happens?</v>
      </c>
      <c r="H104" s="3" t="str">
        <f>IFERROR(__xludf.DUMMYFUNCTION("GOOGLETRANSLATE(C104, ""it"", ""en"")"),"A. Ye lose the point B. Ye win the point C. Ye get a penalty D. Ye get a free throw")</f>
        <v>A. Ye lose the point B. Ye win the point C. Ye get a penalty D. Ye get a free throw</v>
      </c>
      <c r="I104" s="3" t="str">
        <f>IFERROR(__xludf.DUMMYFUNCTION("GOOGLETRANSLATE(D104, ""it"", ""en"")"),"You win the point")</f>
        <v>You win the point</v>
      </c>
      <c r="J104" s="2"/>
      <c r="K104" s="2"/>
      <c r="L104" s="2"/>
      <c r="M104" s="2"/>
      <c r="N104" s="2"/>
      <c r="O104" s="2"/>
      <c r="P104" s="2"/>
      <c r="Q104" s="2"/>
      <c r="R104" s="2"/>
      <c r="S104" s="2"/>
      <c r="T104" s="2"/>
      <c r="U104" s="2"/>
      <c r="V104" s="2"/>
      <c r="W104" s="2"/>
    </row>
    <row r="105" ht="22.5" customHeight="1">
      <c r="A105" s="3">
        <v>104.0</v>
      </c>
      <c r="B105" s="3" t="s">
        <v>2365</v>
      </c>
      <c r="C105" s="3" t="s">
        <v>2251</v>
      </c>
      <c r="D105" s="3" t="s">
        <v>2247</v>
      </c>
      <c r="E105" s="2"/>
      <c r="F105" s="3" t="str">
        <f>IFERROR(__xludf.DUMMYFUNCTION("GOOGLETRANSLATE(A105, ""it"", ""en"")"),"104")</f>
        <v>104</v>
      </c>
      <c r="G105" s="3" t="str">
        <f>IFERROR(__xludf.DUMMYFUNCTION("GOOGLETRANSLATE(B105, ""it"", ""en"")"),"Ye serve the ball an' it bounces off the wall but yer opponent fails to strike it back. What happens?")</f>
        <v>Ye serve the ball an' it bounces off the wall but yer opponent fails to strike it back. What happens?</v>
      </c>
      <c r="H105" s="3" t="str">
        <f>IFERROR(__xludf.DUMMYFUNCTION("GOOGLETRANSLATE(C105, ""it"", ""en"")"),"A. Ye win the point B. Ye lose the point C. Ye get a free throw D. Ye get a penalty")</f>
        <v>A. Ye win the point B. Ye lose the point C. Ye get a free throw D. Ye get a penalty</v>
      </c>
      <c r="I105" s="3" t="str">
        <f>IFERROR(__xludf.DUMMYFUNCTION("GOOGLETRANSLATE(D105, ""it"", ""en"")"),"You win the point")</f>
        <v>You win the point</v>
      </c>
      <c r="J105" s="2"/>
      <c r="K105" s="2"/>
      <c r="L105" s="2"/>
      <c r="M105" s="2"/>
      <c r="N105" s="2"/>
      <c r="O105" s="2"/>
      <c r="P105" s="2"/>
      <c r="Q105" s="2"/>
      <c r="R105" s="2"/>
      <c r="S105" s="2"/>
      <c r="T105" s="2"/>
      <c r="U105" s="2"/>
      <c r="V105" s="2"/>
      <c r="W105" s="2"/>
    </row>
    <row r="106" ht="22.5" customHeight="1">
      <c r="A106" s="3">
        <v>105.0</v>
      </c>
      <c r="B106" s="3" t="s">
        <v>2366</v>
      </c>
      <c r="C106" s="3" t="s">
        <v>2259</v>
      </c>
      <c r="D106" s="3" t="s">
        <v>2247</v>
      </c>
      <c r="E106" s="2"/>
      <c r="F106" s="3" t="str">
        <f>IFERROR(__xludf.DUMMYFUNCTION("GOOGLETRANSLATE(A106, ""it"", ""en"")"),"105")</f>
        <v>105</v>
      </c>
      <c r="G106" s="3" t="str">
        <f>IFERROR(__xludf.DUMMYFUNCTION("GOOGLETRANSLATE(B106, ""it"", ""en"")"),"Ye strike the ball an' yer opponent catches it with their bracelet an' doesn't return it. What happens?")</f>
        <v>Ye strike the ball an' yer opponent catches it with their bracelet an' doesn't return it. What happens?</v>
      </c>
      <c r="H106" s="3" t="str">
        <f>IFERROR(__xludf.DUMMYFUNCTION("GOOGLETRANSLATE(C106, ""it"", ""en"")"),"A. Ye win the point B. Ye lose the point C. Ye get a free throw D. Ye get a warning")</f>
        <v>A. Ye win the point B. Ye lose the point C. Ye get a free throw D. Ye get a warning</v>
      </c>
      <c r="I106" s="3" t="str">
        <f>IFERROR(__xludf.DUMMYFUNCTION("GOOGLETRANSLATE(D106, ""it"", ""en"")"),"You win the point")</f>
        <v>You win the point</v>
      </c>
      <c r="J106" s="2"/>
      <c r="K106" s="2"/>
      <c r="L106" s="2"/>
      <c r="M106" s="2"/>
      <c r="N106" s="2"/>
      <c r="O106" s="2"/>
      <c r="P106" s="2"/>
      <c r="Q106" s="2"/>
      <c r="R106" s="2"/>
      <c r="S106" s="2"/>
      <c r="T106" s="2"/>
      <c r="U106" s="2"/>
      <c r="V106" s="2"/>
      <c r="W106" s="2"/>
    </row>
    <row r="107" ht="22.5" customHeight="1">
      <c r="A107" s="3">
        <v>106.0</v>
      </c>
      <c r="B107" s="3" t="s">
        <v>2367</v>
      </c>
      <c r="C107" s="3" t="s">
        <v>2270</v>
      </c>
      <c r="D107" s="3" t="s">
        <v>2247</v>
      </c>
      <c r="E107" s="2"/>
      <c r="F107" s="3" t="str">
        <f>IFERROR(__xludf.DUMMYFUNCTION("GOOGLETRANSLATE(A107, ""it"", ""en"")"),"106")</f>
        <v>106</v>
      </c>
      <c r="G107" s="3" t="str">
        <f>IFERROR(__xludf.DUMMYFUNCTION("GOOGLETRANSLATE(B107, ""it"", ""en"")"),"Ye serve the ball an' yer opponent returns it but it lands just outside the court. What happens?")</f>
        <v>Ye serve the ball an' yer opponent returns it but it lands just outside the court. What happens?</v>
      </c>
      <c r="H107" s="3" t="str">
        <f>IFERROR(__xludf.DUMMYFUNCTION("GOOGLETRANSLATE(C107, ""it"", ""en"")"),"A. Ye win the point B. Ye lose the point C. Ye get a penalty D. Ye get a free throw")</f>
        <v>A. Ye win the point B. Ye lose the point C. Ye get a penalty D. Ye get a free throw</v>
      </c>
      <c r="I107" s="3" t="str">
        <f>IFERROR(__xludf.DUMMYFUNCTION("GOOGLETRANSLATE(D107, ""it"", ""en"")"),"You win the point")</f>
        <v>You win the point</v>
      </c>
      <c r="J107" s="2"/>
      <c r="K107" s="2"/>
      <c r="L107" s="2"/>
      <c r="M107" s="2"/>
      <c r="N107" s="2"/>
      <c r="O107" s="2"/>
      <c r="P107" s="2"/>
      <c r="Q107" s="2"/>
      <c r="R107" s="2"/>
      <c r="S107" s="2"/>
      <c r="T107" s="2"/>
      <c r="U107" s="2"/>
      <c r="V107" s="2"/>
      <c r="W107" s="2"/>
    </row>
    <row r="108" ht="22.5" customHeight="1">
      <c r="A108" s="3">
        <v>107.0</v>
      </c>
      <c r="B108" s="3" t="s">
        <v>2368</v>
      </c>
      <c r="C108" s="3" t="s">
        <v>2286</v>
      </c>
      <c r="D108" s="3" t="s">
        <v>2247</v>
      </c>
      <c r="E108" s="2"/>
      <c r="F108" s="3" t="str">
        <f>IFERROR(__xludf.DUMMYFUNCTION("GOOGLETRANSLATE(A108, ""it"", ""en"")"),"107")</f>
        <v>107</v>
      </c>
      <c r="G108" s="3" t="str">
        <f>IFERROR(__xludf.DUMMYFUNCTION("GOOGLETRANSLATE(B108, ""it"", ""en"")"),"Ye hit the ball but yer opponent fails to strike it back an' the ball lands in yer court. What happens?")</f>
        <v>Ye hit the ball but yer opponent fails to strike it back an' the ball lands in yer court. What happens?</v>
      </c>
      <c r="H108" s="3" t="str">
        <f>IFERROR(__xludf.DUMMYFUNCTION("GOOGLETRANSLATE(C108, ""it"", ""en"")"),"A. Ye win the point B. Ye lose the point C. Ye get a warning D. Ye get a free throw")</f>
        <v>A. Ye win the point B. Ye lose the point C. Ye get a warning D. Ye get a free throw</v>
      </c>
      <c r="I108" s="3" t="str">
        <f>IFERROR(__xludf.DUMMYFUNCTION("GOOGLETRANSLATE(D108, ""it"", ""en"")"),"You win the point")</f>
        <v>You win the point</v>
      </c>
      <c r="J108" s="2"/>
      <c r="K108" s="2"/>
      <c r="L108" s="2"/>
      <c r="M108" s="2"/>
      <c r="N108" s="2"/>
      <c r="O108" s="2"/>
      <c r="P108" s="2"/>
      <c r="Q108" s="2"/>
      <c r="R108" s="2"/>
      <c r="S108" s="2"/>
      <c r="T108" s="2"/>
      <c r="U108" s="2"/>
      <c r="V108" s="2"/>
      <c r="W108" s="2"/>
    </row>
    <row r="109" ht="22.5" customHeight="1">
      <c r="A109" s="3">
        <v>108.0</v>
      </c>
      <c r="B109" s="3" t="s">
        <v>2369</v>
      </c>
      <c r="C109" s="3" t="s">
        <v>2251</v>
      </c>
      <c r="D109" s="3" t="s">
        <v>2247</v>
      </c>
      <c r="E109" s="2"/>
      <c r="F109" s="3" t="str">
        <f>IFERROR(__xludf.DUMMYFUNCTION("GOOGLETRANSLATE(A109, ""it"", ""en"")"),"108")</f>
        <v>108</v>
      </c>
      <c r="G109" s="3" t="str">
        <f>IFERROR(__xludf.DUMMYFUNCTION("GOOGLETRANSLATE(B109, ""it"", ""en"")"),"Ye serve the ball but it lands inside yer opponent's court an' they don't move to return it. What happens?")</f>
        <v>Ye serve the ball but it lands inside yer opponent's court an' they don't move to return it. What happens?</v>
      </c>
      <c r="H109" s="3" t="str">
        <f>IFERROR(__xludf.DUMMYFUNCTION("GOOGLETRANSLATE(C109, ""it"", ""en"")"),"A. Ye win the point B. Ye lose the point C. Ye get a free throw D. Ye get a penalty")</f>
        <v>A. Ye win the point B. Ye lose the point C. Ye get a free throw D. Ye get a penalty</v>
      </c>
      <c r="I109" s="3" t="str">
        <f>IFERROR(__xludf.DUMMYFUNCTION("GOOGLETRANSLATE(D109, ""it"", ""en"")"),"You win the point")</f>
        <v>You win the point</v>
      </c>
      <c r="J109" s="2"/>
      <c r="K109" s="2"/>
      <c r="L109" s="2"/>
      <c r="M109" s="2"/>
      <c r="N109" s="2"/>
      <c r="O109" s="2"/>
      <c r="P109" s="2"/>
      <c r="Q109" s="2"/>
      <c r="R109" s="2"/>
      <c r="S109" s="2"/>
      <c r="T109" s="2"/>
      <c r="U109" s="2"/>
      <c r="V109" s="2"/>
      <c r="W109" s="2"/>
    </row>
    <row r="110" ht="22.5" customHeight="1">
      <c r="A110" s="3">
        <v>109.0</v>
      </c>
      <c r="B110" s="3" t="s">
        <v>2370</v>
      </c>
      <c r="C110" s="3" t="s">
        <v>2315</v>
      </c>
      <c r="D110" s="3" t="s">
        <v>2316</v>
      </c>
      <c r="E110" s="2"/>
      <c r="F110" s="3" t="str">
        <f>IFERROR(__xludf.DUMMYFUNCTION("GOOGLETRANSLATE(A110, ""it"", ""en"")"),"109")</f>
        <v>109</v>
      </c>
      <c r="G110" s="3" t="str">
        <f>IFERROR(__xludf.DUMMYFUNCTION("GOOGLETRANSLATE(B110, ""it"", ""en"")"),"Ye hit the ball an' yer opponent strikes it back but it lands inside yer court. What happens?")</f>
        <v>Ye hit the ball an' yer opponent strikes it back but it lands inside yer court. What happens?</v>
      </c>
      <c r="H110" s="3" t="str">
        <f>IFERROR(__xludf.DUMMYFUNCTION("GOOGLETRANSLATE(C110, ""it"", ""en"")"),"A. The rally continues B. Ye win the point C. Ye lose the point D. Ye get a free throw")</f>
        <v>A. The rally continues B. Ye win the point C. Ye lose the point D. Ye get a free throw</v>
      </c>
      <c r="I110" s="3" t="str">
        <f>IFERROR(__xludf.DUMMYFUNCTION("GOOGLETRANSLATE(D110, ""it"", ""en"")"),"The rally continues")</f>
        <v>The rally continues</v>
      </c>
      <c r="J110" s="2"/>
      <c r="K110" s="2"/>
      <c r="L110" s="2"/>
      <c r="M110" s="2"/>
      <c r="N110" s="2"/>
      <c r="O110" s="2"/>
      <c r="P110" s="2"/>
      <c r="Q110" s="2"/>
      <c r="R110" s="2"/>
      <c r="S110" s="2"/>
      <c r="T110" s="2"/>
      <c r="U110" s="2"/>
      <c r="V110" s="2"/>
      <c r="W110" s="2"/>
    </row>
    <row r="111" ht="22.5" customHeight="1">
      <c r="A111" s="3">
        <v>110.0</v>
      </c>
      <c r="B111" s="3" t="s">
        <v>2371</v>
      </c>
      <c r="C111" s="3" t="s">
        <v>2249</v>
      </c>
      <c r="D111" s="3" t="s">
        <v>2238</v>
      </c>
      <c r="E111" s="2"/>
      <c r="F111" s="3" t="str">
        <f>IFERROR(__xludf.DUMMYFUNCTION("GOOGLETRANSLATE(A111, ""it"", ""en"")"),"110")</f>
        <v>110</v>
      </c>
      <c r="G111" s="3" t="str">
        <f>IFERROR(__xludf.DUMMYFUNCTION("GOOGLETRANSLATE(B111, ""it"", ""en"")"),"Ye serve the ball an' yer opponent fails to return it but the ball touches the ceiling. What happens?")</f>
        <v>Ye serve the ball an' yer opponent fails to return it but the ball touches the ceiling. What happens?</v>
      </c>
      <c r="H111" s="3" t="str">
        <f>IFERROR(__xludf.DUMMYFUNCTION("GOOGLETRANSLATE(C111, ""it"", ""en"")"),"A. Ye lose the point B. Ye win the point C. Ye get a penalty D. Ye get a free throw")</f>
        <v>A. Ye lose the point B. Ye win the point C. Ye get a penalty D. Ye get a free throw</v>
      </c>
      <c r="I111" s="3" t="str">
        <f>IFERROR(__xludf.DUMMYFUNCTION("GOOGLETRANSLATE(D111, ""it"", ""en"")"),"You lose the point")</f>
        <v>You lose the point</v>
      </c>
      <c r="J111" s="2"/>
      <c r="K111" s="2"/>
      <c r="L111" s="2"/>
      <c r="M111" s="2"/>
      <c r="N111" s="2"/>
      <c r="O111" s="2"/>
      <c r="P111" s="2"/>
      <c r="Q111" s="2"/>
      <c r="R111" s="2"/>
      <c r="S111" s="2"/>
      <c r="T111" s="2"/>
      <c r="U111" s="2"/>
      <c r="V111" s="2"/>
      <c r="W111" s="2"/>
    </row>
    <row r="112" ht="22.5" customHeight="1">
      <c r="A112" s="3">
        <v>111.0</v>
      </c>
      <c r="B112" s="3" t="s">
        <v>2372</v>
      </c>
      <c r="C112" s="3" t="s">
        <v>2251</v>
      </c>
      <c r="D112" s="3" t="s">
        <v>2247</v>
      </c>
      <c r="E112" s="2"/>
      <c r="F112" s="3" t="str">
        <f>IFERROR(__xludf.DUMMYFUNCTION("GOOGLETRANSLATE(A112, ""it"", ""en"")"),"111")</f>
        <v>111</v>
      </c>
      <c r="G112" s="3" t="str">
        <f>IFERROR(__xludf.DUMMYFUNCTION("GOOGLETRANSLATE(B112, ""it"", ""en"")"),"Ye strike the ball an' yer opponent catches it but doesn't return it. What happens?")</f>
        <v>Ye strike the ball an' yer opponent catches it but doesn't return it. What happens?</v>
      </c>
      <c r="H112" s="3" t="str">
        <f>IFERROR(__xludf.DUMMYFUNCTION("GOOGLETRANSLATE(C112, ""it"", ""en"")"),"A. Ye win the point B. Ye lose the point C. Ye get a free throw D. Ye get a penalty")</f>
        <v>A. Ye win the point B. Ye lose the point C. Ye get a free throw D. Ye get a penalty</v>
      </c>
      <c r="I112" s="3" t="str">
        <f>IFERROR(__xludf.DUMMYFUNCTION("GOOGLETRANSLATE(D112, ""it"", ""en"")"),"You win the point")</f>
        <v>You win the point</v>
      </c>
      <c r="J112" s="2"/>
      <c r="K112" s="2"/>
      <c r="L112" s="2"/>
      <c r="M112" s="2"/>
      <c r="N112" s="2"/>
      <c r="O112" s="2"/>
      <c r="P112" s="2"/>
      <c r="Q112" s="2"/>
      <c r="R112" s="2"/>
      <c r="S112" s="2"/>
      <c r="T112" s="2"/>
      <c r="U112" s="2"/>
      <c r="V112" s="2"/>
      <c r="W112" s="2"/>
    </row>
    <row r="113" ht="22.5" customHeight="1">
      <c r="A113" s="3">
        <v>112.0</v>
      </c>
      <c r="B113" s="3" t="s">
        <v>2373</v>
      </c>
      <c r="C113" s="3" t="s">
        <v>2270</v>
      </c>
      <c r="D113" s="3" t="s">
        <v>2247</v>
      </c>
      <c r="E113" s="2"/>
      <c r="F113" s="3" t="str">
        <f>IFERROR(__xludf.DUMMYFUNCTION("GOOGLETRANSLATE(A113, ""it"", ""en"")"),"112")</f>
        <v>112</v>
      </c>
      <c r="G113" s="3" t="str">
        <f>IFERROR(__xludf.DUMMYFUNCTION("GOOGLETRANSLATE(B113, ""it"", ""en"")"),"Ye serve the ball an' yer opponent returns it back but it lands just outta bounds. What happens?")</f>
        <v>Ye serve the ball an' yer opponent returns it back but it lands just outta bounds. What happens?</v>
      </c>
      <c r="H113" s="3" t="str">
        <f>IFERROR(__xludf.DUMMYFUNCTION("GOOGLETRANSLATE(C113, ""it"", ""en"")"),"A. Ye win the point B. Ye lose the point C. Ye get a penalty D. Ye get a free throw")</f>
        <v>A. Ye win the point B. Ye lose the point C. Ye get a penalty D. Ye get a free throw</v>
      </c>
      <c r="I113" s="3" t="str">
        <f>IFERROR(__xludf.DUMMYFUNCTION("GOOGLETRANSLATE(D113, ""it"", ""en"")"),"You win the point")</f>
        <v>You win the point</v>
      </c>
      <c r="J113" s="2"/>
      <c r="K113" s="2"/>
      <c r="L113" s="2"/>
      <c r="M113" s="2"/>
      <c r="N113" s="2"/>
      <c r="O113" s="2"/>
      <c r="P113" s="2"/>
      <c r="Q113" s="2"/>
      <c r="R113" s="2"/>
      <c r="S113" s="2"/>
      <c r="T113" s="2"/>
      <c r="U113" s="2"/>
      <c r="V113" s="2"/>
      <c r="W113" s="2"/>
    </row>
    <row r="114" ht="22.5" customHeight="1">
      <c r="A114" s="3">
        <v>113.0</v>
      </c>
      <c r="B114" s="3" t="s">
        <v>2374</v>
      </c>
      <c r="C114" s="3" t="s">
        <v>2240</v>
      </c>
      <c r="D114" s="3" t="s">
        <v>2238</v>
      </c>
      <c r="E114" s="2"/>
      <c r="F114" s="3" t="str">
        <f>IFERROR(__xludf.DUMMYFUNCTION("GOOGLETRANSLATE(A114, ""it"", ""en"")"),"113")</f>
        <v>113</v>
      </c>
      <c r="G114" s="3" t="str">
        <f>IFERROR(__xludf.DUMMYFUNCTION("GOOGLETRANSLATE(B114, ""it"", ""en"")"),"Ye strike the ball an' yer opponent returns it but it lands in yer half o' the court an' ye fail tae return it. What happens?")</f>
        <v>Ye strike the ball an' yer opponent returns it but it lands in yer half o' the court an' ye fail tae return it. What happens?</v>
      </c>
      <c r="H114" s="3" t="str">
        <f>IFERROR(__xludf.DUMMYFUNCTION("GOOGLETRANSLATE(C114, ""it"", ""en"")"),"A. Ye lose the point B. Ye win the point C. Ye get a warning D. Ye get a free throw")</f>
        <v>A. Ye lose the point B. Ye win the point C. Ye get a warning D. Ye get a free throw</v>
      </c>
      <c r="I114" s="3" t="str">
        <f>IFERROR(__xludf.DUMMYFUNCTION("GOOGLETRANSLATE(D114, ""it"", ""en"")"),"You lose the point")</f>
        <v>You lose the point</v>
      </c>
      <c r="J114" s="2"/>
      <c r="K114" s="2"/>
      <c r="L114" s="2"/>
      <c r="M114" s="2"/>
      <c r="N114" s="2"/>
      <c r="O114" s="2"/>
      <c r="P114" s="2"/>
      <c r="Q114" s="2"/>
      <c r="R114" s="2"/>
      <c r="S114" s="2"/>
      <c r="T114" s="2"/>
      <c r="U114" s="2"/>
      <c r="V114" s="2"/>
      <c r="W114" s="2"/>
    </row>
    <row r="115" ht="22.5" customHeight="1">
      <c r="A115" s="3">
        <v>114.0</v>
      </c>
      <c r="B115" s="3" t="s">
        <v>2375</v>
      </c>
      <c r="C115" s="3" t="s">
        <v>2251</v>
      </c>
      <c r="D115" s="3" t="s">
        <v>2247</v>
      </c>
      <c r="E115" s="2"/>
      <c r="F115" s="3" t="str">
        <f>IFERROR(__xludf.DUMMYFUNCTION("GOOGLETRANSLATE(A115, ""it"", ""en"")"),"114")</f>
        <v>114</v>
      </c>
      <c r="G115" s="3" t="str">
        <f>IFERROR(__xludf.DUMMYFUNCTION("GOOGLETRANSLATE(B115, ""it"", ""en"")"),"Ye serve the ball but yer opponent strikes it back an' it lands outta bounds. What happens?")</f>
        <v>Ye serve the ball but yer opponent strikes it back an' it lands outta bounds. What happens?</v>
      </c>
      <c r="H115" s="3" t="str">
        <f>IFERROR(__xludf.DUMMYFUNCTION("GOOGLETRANSLATE(C115, ""it"", ""en"")"),"A. Ye win the point B. Ye lose the point C. Ye get a free throw D. Ye get a penalty")</f>
        <v>A. Ye win the point B. Ye lose the point C. Ye get a free throw D. Ye get a penalty</v>
      </c>
      <c r="I115" s="3" t="str">
        <f>IFERROR(__xludf.DUMMYFUNCTION("GOOGLETRANSLATE(D115, ""it"", ""en"")"),"You win the point")</f>
        <v>You win the point</v>
      </c>
      <c r="J115" s="2"/>
      <c r="K115" s="2"/>
      <c r="L115" s="2"/>
      <c r="M115" s="2"/>
      <c r="N115" s="2"/>
      <c r="O115" s="2"/>
      <c r="P115" s="2"/>
      <c r="Q115" s="2"/>
      <c r="R115" s="2"/>
      <c r="S115" s="2"/>
      <c r="T115" s="2"/>
      <c r="U115" s="2"/>
      <c r="V115" s="2"/>
      <c r="W115" s="2"/>
    </row>
    <row r="116" ht="22.5" customHeight="1">
      <c r="A116" s="3">
        <v>115.0</v>
      </c>
      <c r="B116" s="3" t="s">
        <v>2376</v>
      </c>
      <c r="C116" s="3" t="s">
        <v>2315</v>
      </c>
      <c r="D116" s="3" t="s">
        <v>2316</v>
      </c>
      <c r="E116" s="2"/>
      <c r="F116" s="3" t="str">
        <f>IFERROR(__xludf.DUMMYFUNCTION("GOOGLETRANSLATE(A116, ""it"", ""en"")"),"115")</f>
        <v>115</v>
      </c>
      <c r="G116" s="3" t="str">
        <f>IFERROR(__xludf.DUMMYFUNCTION("GOOGLETRANSLATE(B116, ""it"", ""en"")"),"Ye hit the ball but yer opponent returns it an' it lands inside yer court. What happens?")</f>
        <v>Ye hit the ball but yer opponent returns it an' it lands inside yer court. What happens?</v>
      </c>
      <c r="H116" s="3" t="str">
        <f>IFERROR(__xludf.DUMMYFUNCTION("GOOGLETRANSLATE(C116, ""it"", ""en"")"),"A. The rally continues B. Ye win the point C. Ye lose the point D. Ye get a free throw")</f>
        <v>A. The rally continues B. Ye win the point C. Ye lose the point D. Ye get a free throw</v>
      </c>
      <c r="I116" s="3" t="str">
        <f>IFERROR(__xludf.DUMMYFUNCTION("GOOGLETRANSLATE(D116, ""it"", ""en"")"),"The rally continues")</f>
        <v>The rally continues</v>
      </c>
      <c r="J116" s="2"/>
      <c r="K116" s="2"/>
      <c r="L116" s="2"/>
      <c r="M116" s="2"/>
      <c r="N116" s="2"/>
      <c r="O116" s="2"/>
      <c r="P116" s="2"/>
      <c r="Q116" s="2"/>
      <c r="R116" s="2"/>
      <c r="S116" s="2"/>
      <c r="T116" s="2"/>
      <c r="U116" s="2"/>
      <c r="V116" s="2"/>
      <c r="W116" s="2"/>
    </row>
    <row r="117" ht="22.5" customHeight="1">
      <c r="A117" s="3">
        <v>116.0</v>
      </c>
      <c r="B117" s="3" t="s">
        <v>2330</v>
      </c>
      <c r="C117" s="3" t="s">
        <v>2251</v>
      </c>
      <c r="D117" s="3" t="s">
        <v>2247</v>
      </c>
      <c r="E117" s="2"/>
      <c r="F117" s="3" t="str">
        <f>IFERROR(__xludf.DUMMYFUNCTION("GOOGLETRANSLATE(A117, ""it"", ""en"")"),"116")</f>
        <v>116</v>
      </c>
      <c r="G117" s="3" t="str">
        <f>IFERROR(__xludf.DUMMYFUNCTION("GOOGLETRANSLATE(B117, ""it"", ""en"")"),"Ye serve the ball an' yer opponent fails to return it in time. What happens?")</f>
        <v>Ye serve the ball an' yer opponent fails to return it in time. What happens?</v>
      </c>
      <c r="H117" s="3" t="str">
        <f>IFERROR(__xludf.DUMMYFUNCTION("GOOGLETRANSLATE(C117, ""it"", ""en"")"),"A. Ye win the point B. Ye lose the point C. Ye get a free throw D. Ye get a penalty")</f>
        <v>A. Ye win the point B. Ye lose the point C. Ye get a free throw D. Ye get a penalty</v>
      </c>
      <c r="I117" s="3" t="str">
        <f>IFERROR(__xludf.DUMMYFUNCTION("GOOGLETRANSLATE(D117, ""it"", ""en"")"),"You win the point")</f>
        <v>You win the point</v>
      </c>
      <c r="J117" s="2"/>
      <c r="K117" s="2"/>
      <c r="L117" s="2"/>
      <c r="M117" s="2"/>
      <c r="N117" s="2"/>
      <c r="O117" s="2"/>
      <c r="P117" s="2"/>
      <c r="Q117" s="2"/>
      <c r="R117" s="2"/>
      <c r="S117" s="2"/>
      <c r="T117" s="2"/>
      <c r="U117" s="2"/>
      <c r="V117" s="2"/>
      <c r="W117" s="2"/>
    </row>
    <row r="118" ht="22.5" customHeight="1">
      <c r="A118" s="3">
        <v>117.0</v>
      </c>
      <c r="B118" s="3" t="s">
        <v>2362</v>
      </c>
      <c r="C118" s="3" t="s">
        <v>2249</v>
      </c>
      <c r="D118" s="3" t="s">
        <v>2238</v>
      </c>
      <c r="E118" s="2"/>
      <c r="F118" s="3" t="str">
        <f>IFERROR(__xludf.DUMMYFUNCTION("GOOGLETRANSLATE(A118, ""it"", ""en"")"),"117")</f>
        <v>117</v>
      </c>
      <c r="G118" s="3" t="str">
        <f>IFERROR(__xludf.DUMMYFUNCTION("GOOGLETRANSLATE(B118, ""it"", ""en"")"),"Ye strike the ball an' yer opponent misses but the ball lands outta bounds. What happens?")</f>
        <v>Ye strike the ball an' yer opponent misses but the ball lands outta bounds. What happens?</v>
      </c>
      <c r="H118" s="3" t="str">
        <f>IFERROR(__xludf.DUMMYFUNCTION("GOOGLETRANSLATE(C118, ""it"", ""en"")"),"A. Ye lose the point B. Ye win the point C. Ye get a penalty D. Ye get a free throw")</f>
        <v>A. Ye lose the point B. Ye win the point C. Ye get a penalty D. Ye get a free throw</v>
      </c>
      <c r="I118" s="3" t="str">
        <f>IFERROR(__xludf.DUMMYFUNCTION("GOOGLETRANSLATE(D118, ""it"", ""en"")"),"You lose the point")</f>
        <v>You lose the point</v>
      </c>
      <c r="J118" s="2"/>
      <c r="K118" s="2"/>
      <c r="L118" s="2"/>
      <c r="M118" s="2"/>
      <c r="N118" s="2"/>
      <c r="O118" s="2"/>
      <c r="P118" s="2"/>
      <c r="Q118" s="2"/>
      <c r="R118" s="2"/>
      <c r="S118" s="2"/>
      <c r="T118" s="2"/>
      <c r="U118" s="2"/>
      <c r="V118" s="2"/>
      <c r="W118" s="2"/>
    </row>
    <row r="119" ht="22.5" customHeight="1">
      <c r="A119" s="3">
        <v>118.0</v>
      </c>
      <c r="B119" s="3" t="s">
        <v>2377</v>
      </c>
      <c r="C119" s="3" t="s">
        <v>2251</v>
      </c>
      <c r="D119" s="3" t="s">
        <v>2247</v>
      </c>
      <c r="E119" s="2"/>
      <c r="F119" s="3" t="str">
        <f>IFERROR(__xludf.DUMMYFUNCTION("GOOGLETRANSLATE(A119, ""it"", ""en"")"),"118")</f>
        <v>118</v>
      </c>
      <c r="G119" s="3" t="str">
        <f>IFERROR(__xludf.DUMMYFUNCTION("GOOGLETRANSLATE(B119, ""it"", ""en"")"),"Ye serve the ball an' yer opponent makes a return but it lands behind the wall. What happens?")</f>
        <v>Ye serve the ball an' yer opponent makes a return but it lands behind the wall. What happens?</v>
      </c>
      <c r="H119" s="3" t="str">
        <f>IFERROR(__xludf.DUMMYFUNCTION("GOOGLETRANSLATE(C119, ""it"", ""en"")"),"A. Ye win the point B. Ye lose the point C. Ye get a free throw D. Ye get a penalty")</f>
        <v>A. Ye win the point B. Ye lose the point C. Ye get a free throw D. Ye get a penalty</v>
      </c>
      <c r="I119" s="3" t="str">
        <f>IFERROR(__xludf.DUMMYFUNCTION("GOOGLETRANSLATE(D119, ""it"", ""en"")"),"You win the point")</f>
        <v>You win the point</v>
      </c>
      <c r="J119" s="2"/>
      <c r="K119" s="2"/>
      <c r="L119" s="2"/>
      <c r="M119" s="2"/>
      <c r="N119" s="2"/>
      <c r="O119" s="2"/>
      <c r="P119" s="2"/>
      <c r="Q119" s="2"/>
      <c r="R119" s="2"/>
      <c r="S119" s="2"/>
      <c r="T119" s="2"/>
      <c r="U119" s="2"/>
      <c r="V119" s="2"/>
      <c r="W119" s="2"/>
    </row>
    <row r="120" ht="22.5" customHeight="1">
      <c r="A120" s="3">
        <v>119.0</v>
      </c>
      <c r="B120" s="3" t="s">
        <v>2378</v>
      </c>
      <c r="C120" s="3" t="s">
        <v>2251</v>
      </c>
      <c r="D120" s="3" t="s">
        <v>2247</v>
      </c>
      <c r="E120" s="2"/>
      <c r="F120" s="3" t="str">
        <f>IFERROR(__xludf.DUMMYFUNCTION("GOOGLETRANSLATE(A120, ""it"", ""en"")"),"119")</f>
        <v>119</v>
      </c>
      <c r="G120" s="3" t="str">
        <f>IFERROR(__xludf.DUMMYFUNCTION("GOOGLETRANSLATE(B120, ""it"", ""en"")"),"Ye hit the ball an' yer opponent catches it in mid-air but doesn't return it. What happens?")</f>
        <v>Ye hit the ball an' yer opponent catches it in mid-air but doesn't return it. What happens?</v>
      </c>
      <c r="H120" s="3" t="str">
        <f>IFERROR(__xludf.DUMMYFUNCTION("GOOGLETRANSLATE(C120, ""it"", ""en"")"),"A. Ye win the point B. Ye lose the point C. Ye get a free throw D. Ye get a penalty")</f>
        <v>A. Ye win the point B. Ye lose the point C. Ye get a free throw D. Ye get a penalty</v>
      </c>
      <c r="I120" s="3" t="str">
        <f>IFERROR(__xludf.DUMMYFUNCTION("GOOGLETRANSLATE(D120, ""it"", ""en"")"),"You win the point")</f>
        <v>You win the point</v>
      </c>
      <c r="J120" s="2"/>
      <c r="K120" s="2"/>
      <c r="L120" s="2"/>
      <c r="M120" s="2"/>
      <c r="N120" s="2"/>
      <c r="O120" s="2"/>
      <c r="P120" s="2"/>
      <c r="Q120" s="2"/>
      <c r="R120" s="2"/>
      <c r="S120" s="2"/>
      <c r="T120" s="2"/>
      <c r="U120" s="2"/>
      <c r="V120" s="2"/>
      <c r="W120" s="2"/>
    </row>
    <row r="121" ht="22.5" customHeight="1">
      <c r="A121" s="3">
        <v>120.0</v>
      </c>
      <c r="B121" s="3" t="s">
        <v>2357</v>
      </c>
      <c r="C121" s="3" t="s">
        <v>2315</v>
      </c>
      <c r="D121" s="3" t="s">
        <v>2316</v>
      </c>
      <c r="E121" s="2"/>
      <c r="F121" s="3" t="str">
        <f>IFERROR(__xludf.DUMMYFUNCTION("GOOGLETRANSLATE(A121, ""it"", ""en"")"),"120")</f>
        <v>120</v>
      </c>
      <c r="G121" s="3" t="str">
        <f>IFERROR(__xludf.DUMMYFUNCTION("GOOGLETRANSLATE(B121, ""it"", ""en"")"),"Ye serve the ball but yer opponent hits it back an' it lands inside yer court. What happens?")</f>
        <v>Ye serve the ball but yer opponent hits it back an' it lands inside yer court. What happens?</v>
      </c>
      <c r="H121" s="3" t="str">
        <f>IFERROR(__xludf.DUMMYFUNCTION("GOOGLETRANSLATE(C121, ""it"", ""en"")"),"A. The rally continues B. Ye win the point C. Ye lose the point D. Ye get a free throw")</f>
        <v>A. The rally continues B. Ye win the point C. Ye lose the point D. Ye get a free throw</v>
      </c>
      <c r="I121" s="3" t="str">
        <f>IFERROR(__xludf.DUMMYFUNCTION("GOOGLETRANSLATE(D121, ""it"", ""en"")"),"The rally continues")</f>
        <v>The rally continues</v>
      </c>
      <c r="J121" s="2"/>
      <c r="K121" s="2"/>
      <c r="L121" s="2"/>
      <c r="M121" s="2"/>
      <c r="N121" s="2"/>
      <c r="O121" s="2"/>
      <c r="P121" s="2"/>
      <c r="Q121" s="2"/>
      <c r="R121" s="2"/>
      <c r="S121" s="2"/>
      <c r="T121" s="2"/>
      <c r="U121" s="2"/>
      <c r="V121" s="2"/>
      <c r="W121" s="2"/>
    </row>
    <row r="122" ht="22.5" customHeight="1">
      <c r="A122" s="3">
        <v>121.0</v>
      </c>
      <c r="B122" s="3" t="s">
        <v>2364</v>
      </c>
      <c r="C122" s="3" t="s">
        <v>2249</v>
      </c>
      <c r="D122" s="3" t="s">
        <v>2247</v>
      </c>
      <c r="E122" s="2"/>
      <c r="F122" s="3" t="str">
        <f>IFERROR(__xludf.DUMMYFUNCTION("GOOGLETRANSLATE(A122, ""it"", ""en"")"),"121")</f>
        <v>121</v>
      </c>
      <c r="G122" s="3" t="str">
        <f>IFERROR(__xludf.DUMMYFUNCTION("GOOGLETRANSLATE(B122, ""it"", ""en"")"),"Ye strike the ball an' it lands on the line o' the court but yer opponent calls it out. What happens?")</f>
        <v>Ye strike the ball an' it lands on the line o' the court but yer opponent calls it out. What happens?</v>
      </c>
      <c r="H122" s="3" t="str">
        <f>IFERROR(__xludf.DUMMYFUNCTION("GOOGLETRANSLATE(C122, ""it"", ""en"")"),"A. Ye lose the point B. Ye win the point C. Ye get a penalty D. Ye get a free throw")</f>
        <v>A. Ye lose the point B. Ye win the point C. Ye get a penalty D. Ye get a free throw</v>
      </c>
      <c r="I122" s="3" t="str">
        <f>IFERROR(__xludf.DUMMYFUNCTION("GOOGLETRANSLATE(D122, ""it"", ""en"")"),"You win the point")</f>
        <v>You win the point</v>
      </c>
      <c r="J122" s="2"/>
      <c r="K122" s="2"/>
      <c r="L122" s="2"/>
      <c r="M122" s="2"/>
      <c r="N122" s="2"/>
      <c r="O122" s="2"/>
      <c r="P122" s="2"/>
      <c r="Q122" s="2"/>
      <c r="R122" s="2"/>
      <c r="S122" s="2"/>
      <c r="T122" s="2"/>
      <c r="U122" s="2"/>
      <c r="V122" s="2"/>
      <c r="W122" s="2"/>
    </row>
    <row r="123" ht="22.5" customHeight="1">
      <c r="A123" s="3">
        <v>122.0</v>
      </c>
      <c r="B123" s="3" t="s">
        <v>2379</v>
      </c>
      <c r="C123" s="3" t="s">
        <v>2251</v>
      </c>
      <c r="D123" s="3" t="s">
        <v>2247</v>
      </c>
      <c r="E123" s="2"/>
      <c r="F123" s="3" t="str">
        <f>IFERROR(__xludf.DUMMYFUNCTION("GOOGLETRANSLATE(A123, ""it"", ""en"")"),"122")</f>
        <v>122</v>
      </c>
      <c r="G123" s="3" t="str">
        <f>IFERROR(__xludf.DUMMYFUNCTION("GOOGLETRANSLATE(B123, ""it"", ""en"")"),"Ye serves the ball but yer opponent catches it but fails to strike it back. What happens?")</f>
        <v>Ye serves the ball but yer opponent catches it but fails to strike it back. What happens?</v>
      </c>
      <c r="H123" s="3" t="str">
        <f>IFERROR(__xludf.DUMMYFUNCTION("GOOGLETRANSLATE(C123, ""it"", ""en"")"),"A. Ye win the point B. Ye lose the point C. Ye get a free throw D. Ye get a penalty")</f>
        <v>A. Ye win the point B. Ye lose the point C. Ye get a free throw D. Ye get a penalty</v>
      </c>
      <c r="I123" s="3" t="str">
        <f>IFERROR(__xludf.DUMMYFUNCTION("GOOGLETRANSLATE(D123, ""it"", ""en"")"),"You win the point")</f>
        <v>You win the point</v>
      </c>
      <c r="J123" s="2"/>
      <c r="K123" s="2"/>
      <c r="L123" s="2"/>
      <c r="M123" s="2"/>
      <c r="N123" s="2"/>
      <c r="O123" s="2"/>
      <c r="P123" s="2"/>
      <c r="Q123" s="2"/>
      <c r="R123" s="2"/>
      <c r="S123" s="2"/>
      <c r="T123" s="2"/>
      <c r="U123" s="2"/>
      <c r="V123" s="2"/>
      <c r="W123" s="2"/>
    </row>
    <row r="124" ht="22.5" customHeight="1">
      <c r="A124" s="3">
        <v>123.0</v>
      </c>
      <c r="B124" s="3" t="s">
        <v>2380</v>
      </c>
      <c r="C124" s="3" t="s">
        <v>2270</v>
      </c>
      <c r="D124" s="3" t="s">
        <v>2247</v>
      </c>
      <c r="E124" s="2"/>
      <c r="F124" s="3" t="str">
        <f>IFERROR(__xludf.DUMMYFUNCTION("GOOGLETRANSLATE(A124, ""it"", ""en"")"),"123")</f>
        <v>123</v>
      </c>
      <c r="G124" s="3" t="str">
        <f>IFERROR(__xludf.DUMMYFUNCTION("GOOGLETRANSLATE(B124, ""it"", ""en"")"),"Ye hit the ball an' yer opponent fails to catch it an' it lands in their half o' the court. What happens?")</f>
        <v>Ye hit the ball an' yer opponent fails to catch it an' it lands in their half o' the court. What happens?</v>
      </c>
      <c r="H124" s="3" t="str">
        <f>IFERROR(__xludf.DUMMYFUNCTION("GOOGLETRANSLATE(C124, ""it"", ""en"")"),"A. Ye win the point B. Ye lose the point C. Ye get a penalty D. Ye get a free throw")</f>
        <v>A. Ye win the point B. Ye lose the point C. Ye get a penalty D. Ye get a free throw</v>
      </c>
      <c r="I124" s="3" t="str">
        <f>IFERROR(__xludf.DUMMYFUNCTION("GOOGLETRANSLATE(D124, ""it"", ""en"")"),"You win the point")</f>
        <v>You win the point</v>
      </c>
      <c r="J124" s="2"/>
      <c r="K124" s="2"/>
      <c r="L124" s="2"/>
      <c r="M124" s="2"/>
      <c r="N124" s="2"/>
      <c r="O124" s="2"/>
      <c r="P124" s="2"/>
      <c r="Q124" s="2"/>
      <c r="R124" s="2"/>
      <c r="S124" s="2"/>
      <c r="T124" s="2"/>
      <c r="U124" s="2"/>
      <c r="V124" s="2"/>
      <c r="W124" s="2"/>
    </row>
    <row r="125" ht="22.5" customHeight="1">
      <c r="A125" s="3">
        <v>124.0</v>
      </c>
      <c r="B125" s="3" t="s">
        <v>2381</v>
      </c>
      <c r="C125" s="3" t="s">
        <v>2251</v>
      </c>
      <c r="D125" s="3" t="s">
        <v>2247</v>
      </c>
      <c r="E125" s="2"/>
      <c r="F125" s="3" t="str">
        <f>IFERROR(__xludf.DUMMYFUNCTION("GOOGLETRANSLATE(A125, ""it"", ""en"")"),"124")</f>
        <v>124</v>
      </c>
      <c r="G125" s="3" t="str">
        <f>IFERROR(__xludf.DUMMYFUNCTION("GOOGLETRANSLATE(B125, ""it"", ""en"")"),"Ye serve the ball an' it bounces off the wall but yer opponent doesn't return it. What happens?")</f>
        <v>Ye serve the ball an' it bounces off the wall but yer opponent doesn't return it. What happens?</v>
      </c>
      <c r="H125" s="3" t="str">
        <f>IFERROR(__xludf.DUMMYFUNCTION("GOOGLETRANSLATE(C125, ""it"", ""en"")"),"A. Ye win the point B. Ye lose the point C. Ye get a free throw D. Ye get a penalty")</f>
        <v>A. Ye win the point B. Ye lose the point C. Ye get a free throw D. Ye get a penalty</v>
      </c>
      <c r="I125" s="3" t="str">
        <f>IFERROR(__xludf.DUMMYFUNCTION("GOOGLETRANSLATE(D125, ""it"", ""en"")"),"You win the point")</f>
        <v>You win the point</v>
      </c>
      <c r="J125" s="2"/>
      <c r="K125" s="2"/>
      <c r="L125" s="2"/>
      <c r="M125" s="2"/>
      <c r="N125" s="2"/>
      <c r="O125" s="2"/>
      <c r="P125" s="2"/>
      <c r="Q125" s="2"/>
      <c r="R125" s="2"/>
      <c r="S125" s="2"/>
      <c r="T125" s="2"/>
      <c r="U125" s="2"/>
      <c r="V125" s="2"/>
      <c r="W125" s="2"/>
    </row>
    <row r="126" ht="22.5" customHeight="1">
      <c r="A126" s="3">
        <v>125.0</v>
      </c>
      <c r="B126" s="3" t="s">
        <v>2382</v>
      </c>
      <c r="C126" s="3" t="s">
        <v>2270</v>
      </c>
      <c r="D126" s="3" t="s">
        <v>2247</v>
      </c>
      <c r="E126" s="2"/>
      <c r="F126" s="3" t="str">
        <f>IFERROR(__xludf.DUMMYFUNCTION("GOOGLETRANSLATE(A126, ""it"", ""en"")"),"125")</f>
        <v>125</v>
      </c>
      <c r="G126" s="3" t="str">
        <f>IFERROR(__xludf.DUMMYFUNCTION("GOOGLETRANSLATE(B126, ""it"", ""en"")"),"Ye strike the ball an' yer opponent misses but it lands in the middle o' their court. What happens?")</f>
        <v>Ye strike the ball an' yer opponent misses but it lands in the middle o' their court. What happens?</v>
      </c>
      <c r="H126" s="3" t="str">
        <f>IFERROR(__xludf.DUMMYFUNCTION("GOOGLETRANSLATE(C126, ""it"", ""en"")"),"A. Ye win the point B. Ye lose the point C. Ye get a penalty D. Ye get a free throw")</f>
        <v>A. Ye win the point B. Ye lose the point C. Ye get a penalty D. Ye get a free throw</v>
      </c>
      <c r="I126" s="3" t="str">
        <f>IFERROR(__xludf.DUMMYFUNCTION("GOOGLETRANSLATE(D126, ""it"", ""en"")"),"You win the point")</f>
        <v>You win the point</v>
      </c>
      <c r="J126" s="2"/>
      <c r="K126" s="2"/>
      <c r="L126" s="2"/>
      <c r="M126" s="2"/>
      <c r="N126" s="2"/>
      <c r="O126" s="2"/>
      <c r="P126" s="2"/>
      <c r="Q126" s="2"/>
      <c r="R126" s="2"/>
      <c r="S126" s="2"/>
      <c r="T126" s="2"/>
      <c r="U126" s="2"/>
      <c r="V126" s="2"/>
      <c r="W126" s="2"/>
    </row>
    <row r="127" ht="22.5" customHeight="1">
      <c r="A127" s="3">
        <v>126.0</v>
      </c>
      <c r="B127" s="3" t="s">
        <v>2383</v>
      </c>
      <c r="C127" s="3" t="s">
        <v>2251</v>
      </c>
      <c r="D127" s="3" t="s">
        <v>2247</v>
      </c>
      <c r="E127" s="2"/>
      <c r="F127" s="3" t="str">
        <f>IFERROR(__xludf.DUMMYFUNCTION("GOOGLETRANSLATE(A127, ""it"", ""en"")"),"126")</f>
        <v>126</v>
      </c>
      <c r="G127" s="3" t="str">
        <f>IFERROR(__xludf.DUMMYFUNCTION("GOOGLETRANSLATE(B127, ""it"", ""en"")"),"Ye serve the ball an' yer opponent strikes it back but the ball lands outside the court. What happens?")</f>
        <v>Ye serve the ball an' yer opponent strikes it back but the ball lands outside the court. What happens?</v>
      </c>
      <c r="H127" s="3" t="str">
        <f>IFERROR(__xludf.DUMMYFUNCTION("GOOGLETRANSLATE(C127, ""it"", ""en"")"),"A. Ye win the point B. Ye lose the point C. Ye get a free throw D. Ye get a penalty")</f>
        <v>A. Ye win the point B. Ye lose the point C. Ye get a free throw D. Ye get a penalty</v>
      </c>
      <c r="I127" s="3" t="str">
        <f>IFERROR(__xludf.DUMMYFUNCTION("GOOGLETRANSLATE(D127, ""it"", ""en"")"),"You win the point")</f>
        <v>You win the point</v>
      </c>
      <c r="J127" s="2"/>
      <c r="K127" s="2"/>
      <c r="L127" s="2"/>
      <c r="M127" s="2"/>
      <c r="N127" s="2"/>
      <c r="O127" s="2"/>
      <c r="P127" s="2"/>
      <c r="Q127" s="2"/>
      <c r="R127" s="2"/>
      <c r="S127" s="2"/>
      <c r="T127" s="2"/>
      <c r="U127" s="2"/>
      <c r="V127" s="2"/>
      <c r="W127" s="2"/>
    </row>
    <row r="128" ht="22.5" customHeight="1">
      <c r="A128" s="3">
        <v>127.0</v>
      </c>
      <c r="B128" s="3" t="s">
        <v>2384</v>
      </c>
      <c r="C128" s="3" t="s">
        <v>2297</v>
      </c>
      <c r="D128" s="3" t="s">
        <v>2238</v>
      </c>
      <c r="E128" s="2"/>
      <c r="F128" s="3" t="str">
        <f>IFERROR(__xludf.DUMMYFUNCTION("GOOGLETRANSLATE(A128, ""it"", ""en"")"),"127")</f>
        <v>127</v>
      </c>
      <c r="G128" s="3" t="str">
        <f>IFERROR(__xludf.DUMMYFUNCTION("GOOGLETRANSLATE(B128, ""it"", ""en"")"),"Ye hit the ball an' yer opponent doesn't return it but the ball lands outside the court. What happens?")</f>
        <v>Ye hit the ball an' yer opponent doesn't return it but the ball lands outside the court. What happens?</v>
      </c>
      <c r="H128" s="3" t="str">
        <f>IFERROR(__xludf.DUMMYFUNCTION("GOOGLETRANSLATE(C128, ""it"", ""en"")"),"A. Ye lose the point B. Ye win the point C. Ye get a free throw D. Ye get a penalty")</f>
        <v>A. Ye lose the point B. Ye win the point C. Ye get a free throw D. Ye get a penalty</v>
      </c>
      <c r="I128" s="3" t="str">
        <f>IFERROR(__xludf.DUMMYFUNCTION("GOOGLETRANSLATE(D128, ""it"", ""en"")"),"You lose the point")</f>
        <v>You lose the point</v>
      </c>
      <c r="J128" s="2"/>
      <c r="K128" s="2"/>
      <c r="L128" s="2"/>
      <c r="M128" s="2"/>
      <c r="N128" s="2"/>
      <c r="O128" s="2"/>
      <c r="P128" s="2"/>
      <c r="Q128" s="2"/>
      <c r="R128" s="2"/>
      <c r="S128" s="2"/>
      <c r="T128" s="2"/>
      <c r="U128" s="2"/>
      <c r="V128" s="2"/>
      <c r="W128" s="2"/>
    </row>
    <row r="129" ht="22.5" customHeight="1">
      <c r="A129" s="3">
        <v>128.0</v>
      </c>
      <c r="B129" s="3" t="s">
        <v>2385</v>
      </c>
      <c r="C129" s="3" t="s">
        <v>2251</v>
      </c>
      <c r="D129" s="3" t="s">
        <v>2247</v>
      </c>
      <c r="E129" s="2"/>
      <c r="F129" s="3" t="str">
        <f>IFERROR(__xludf.DUMMYFUNCTION("GOOGLETRANSLATE(A129, ""it"", ""en"")"),"128")</f>
        <v>128</v>
      </c>
      <c r="G129" s="3" t="str">
        <f>IFERROR(__xludf.DUMMYFUNCTION("GOOGLETRANSLATE(B129, ""it"", ""en"")"),"Ye serve the ball but yer opponent catches it an' fails to strike it back. What happens?")</f>
        <v>Ye serve the ball but yer opponent catches it an' fails to strike it back. What happens?</v>
      </c>
      <c r="H129" s="3" t="str">
        <f>IFERROR(__xludf.DUMMYFUNCTION("GOOGLETRANSLATE(C129, ""it"", ""en"")"),"A. Ye win the point B. Ye lose the point C. Ye get a free throw D. Ye get a penalty")</f>
        <v>A. Ye win the point B. Ye lose the point C. Ye get a free throw D. Ye get a penalty</v>
      </c>
      <c r="I129" s="3" t="str">
        <f>IFERROR(__xludf.DUMMYFUNCTION("GOOGLETRANSLATE(D129, ""it"", ""en"")"),"You win the point")</f>
        <v>You win the point</v>
      </c>
      <c r="J129" s="2"/>
      <c r="K129" s="2"/>
      <c r="L129" s="2"/>
      <c r="M129" s="2"/>
      <c r="N129" s="2"/>
      <c r="O129" s="2"/>
      <c r="P129" s="2"/>
      <c r="Q129" s="2"/>
      <c r="R129" s="2"/>
      <c r="S129" s="2"/>
      <c r="T129" s="2"/>
      <c r="U129" s="2"/>
      <c r="V129" s="2"/>
      <c r="W129" s="2"/>
    </row>
    <row r="130" ht="22.5" customHeight="1">
      <c r="A130" s="3">
        <v>129.0</v>
      </c>
      <c r="B130" s="3" t="s">
        <v>2386</v>
      </c>
      <c r="C130" s="3" t="s">
        <v>2270</v>
      </c>
      <c r="D130" s="3" t="s">
        <v>2247</v>
      </c>
      <c r="E130" s="2"/>
      <c r="F130" s="3" t="str">
        <f>IFERROR(__xludf.DUMMYFUNCTION("GOOGLETRANSLATE(A130, ""it"", ""en"")"),"129")</f>
        <v>129</v>
      </c>
      <c r="G130" s="3" t="str">
        <f>IFERROR(__xludf.DUMMYFUNCTION("GOOGLETRANSLATE(B130, ""it"", ""en"")"),"Ye strike the ball an' yer opponent fails to return it before it touches the ground. What happens?")</f>
        <v>Ye strike the ball an' yer opponent fails to return it before it touches the ground. What happens?</v>
      </c>
      <c r="H130" s="3" t="str">
        <f>IFERROR(__xludf.DUMMYFUNCTION("GOOGLETRANSLATE(C130, ""it"", ""en"")"),"A. Ye win the point B. Ye lose the point C. Ye get a penalty D. Ye get a free throw")</f>
        <v>A. Ye win the point B. Ye lose the point C. Ye get a penalty D. Ye get a free throw</v>
      </c>
      <c r="I130" s="3" t="str">
        <f>IFERROR(__xludf.DUMMYFUNCTION("GOOGLETRANSLATE(D130, ""it"", ""en"")"),"You win the point")</f>
        <v>You win the point</v>
      </c>
      <c r="J130" s="2"/>
      <c r="K130" s="2"/>
      <c r="L130" s="2"/>
      <c r="M130" s="2"/>
      <c r="N130" s="2"/>
      <c r="O130" s="2"/>
      <c r="P130" s="2"/>
      <c r="Q130" s="2"/>
      <c r="R130" s="2"/>
      <c r="S130" s="2"/>
      <c r="T130" s="2"/>
      <c r="U130" s="2"/>
      <c r="V130" s="2"/>
      <c r="W130" s="2"/>
    </row>
    <row r="131" ht="22.5" customHeight="1">
      <c r="A131" s="3">
        <v>130.0</v>
      </c>
      <c r="B131" s="3" t="s">
        <v>2387</v>
      </c>
      <c r="C131" s="3" t="s">
        <v>2251</v>
      </c>
      <c r="D131" s="3" t="s">
        <v>2247</v>
      </c>
      <c r="E131" s="2"/>
      <c r="F131" s="3" t="str">
        <f>IFERROR(__xludf.DUMMYFUNCTION("GOOGLETRANSLATE(A131, ""it"", ""en"")"),"130")</f>
        <v>130</v>
      </c>
      <c r="G131" s="3" t="str">
        <f>IFERROR(__xludf.DUMMYFUNCTION("GOOGLETRANSLATE(B131, ""it"", ""en"")"),"Ye serve the ball an' yer opponent strikes it but misses completely. What happens?")</f>
        <v>Ye serve the ball an' yer opponent strikes it but misses completely. What happens?</v>
      </c>
      <c r="H131" s="3" t="str">
        <f>IFERROR(__xludf.DUMMYFUNCTION("GOOGLETRANSLATE(C131, ""it"", ""en"")"),"A. Ye win the point B. Ye lose the point C. Ye get a free throw D. Ye get a penalty")</f>
        <v>A. Ye win the point B. Ye lose the point C. Ye get a free throw D. Ye get a penalty</v>
      </c>
      <c r="I131" s="3" t="str">
        <f>IFERROR(__xludf.DUMMYFUNCTION("GOOGLETRANSLATE(D131, ""it"", ""en"")"),"You win the point")</f>
        <v>You win the point</v>
      </c>
      <c r="J131" s="2"/>
      <c r="K131" s="2"/>
      <c r="L131" s="2"/>
      <c r="M131" s="2"/>
      <c r="N131" s="2"/>
      <c r="O131" s="2"/>
      <c r="P131" s="2"/>
      <c r="Q131" s="2"/>
      <c r="R131" s="2"/>
      <c r="S131" s="2"/>
      <c r="T131" s="2"/>
      <c r="U131" s="2"/>
      <c r="V131" s="2"/>
      <c r="W131" s="2"/>
    </row>
    <row r="132" ht="22.5" customHeight="1">
      <c r="A132" s="3">
        <v>131.0</v>
      </c>
      <c r="B132" s="3" t="s">
        <v>2388</v>
      </c>
      <c r="C132" s="3" t="s">
        <v>2240</v>
      </c>
      <c r="D132" s="3" t="s">
        <v>2238</v>
      </c>
      <c r="E132" s="2"/>
      <c r="F132" s="3" t="str">
        <f>IFERROR(__xludf.DUMMYFUNCTION("GOOGLETRANSLATE(A132, ""it"", ""en"")"),"131")</f>
        <v>131</v>
      </c>
      <c r="G132" s="3" t="str">
        <f>IFERROR(__xludf.DUMMYFUNCTION("GOOGLETRANSLATE(B132, ""it"", ""en"")"),"Ye hit the ball an' yer opponent returns it but it lands in yer half an' ye fail to strike it back. What happens?")</f>
        <v>Ye hit the ball an' yer opponent returns it but it lands in yer half an' ye fail to strike it back. What happens?</v>
      </c>
      <c r="H132" s="3" t="str">
        <f>IFERROR(__xludf.DUMMYFUNCTION("GOOGLETRANSLATE(C132, ""it"", ""en"")"),"A. Ye lose the point B. Ye win the point C. Ye get a warning D. Ye get a free throw")</f>
        <v>A. Ye lose the point B. Ye win the point C. Ye get a warning D. Ye get a free throw</v>
      </c>
      <c r="I132" s="3" t="str">
        <f>IFERROR(__xludf.DUMMYFUNCTION("GOOGLETRANSLATE(D132, ""it"", ""en"")"),"You lose the point")</f>
        <v>You lose the point</v>
      </c>
      <c r="J132" s="2"/>
      <c r="K132" s="2"/>
      <c r="L132" s="2"/>
      <c r="M132" s="2"/>
      <c r="N132" s="2"/>
      <c r="O132" s="2"/>
      <c r="P132" s="2"/>
      <c r="Q132" s="2"/>
      <c r="R132" s="2"/>
      <c r="S132" s="2"/>
      <c r="T132" s="2"/>
      <c r="U132" s="2"/>
      <c r="V132" s="2"/>
      <c r="W132" s="2"/>
    </row>
    <row r="133" ht="22.5" customHeight="1">
      <c r="A133" s="3">
        <v>132.0</v>
      </c>
      <c r="B133" s="3" t="s">
        <v>2389</v>
      </c>
      <c r="C133" s="3" t="s">
        <v>2315</v>
      </c>
      <c r="D133" s="3" t="s">
        <v>2316</v>
      </c>
      <c r="E133" s="2"/>
      <c r="F133" s="3" t="str">
        <f>IFERROR(__xludf.DUMMYFUNCTION("GOOGLETRANSLATE(A133, ""it"", ""en"")"),"132")</f>
        <v>132</v>
      </c>
      <c r="G133" s="3" t="str">
        <f>IFERROR(__xludf.DUMMYFUNCTION("GOOGLETRANSLATE(B133, ""it"", ""en"")"),"Ye serve the ball an' yer opponent returns it but it lands inside yer court. What happens?")</f>
        <v>Ye serve the ball an' yer opponent returns it but it lands inside yer court. What happens?</v>
      </c>
      <c r="H133" s="3" t="str">
        <f>IFERROR(__xludf.DUMMYFUNCTION("GOOGLETRANSLATE(C133, ""it"", ""en"")"),"A. The rally continues B. Ye win the point C. Ye lose the point D. Ye get a free throw")</f>
        <v>A. The rally continues B. Ye win the point C. Ye lose the point D. Ye get a free throw</v>
      </c>
      <c r="I133" s="3" t="str">
        <f>IFERROR(__xludf.DUMMYFUNCTION("GOOGLETRANSLATE(D133, ""it"", ""en"")"),"The rally continues")</f>
        <v>The rally continues</v>
      </c>
      <c r="J133" s="2"/>
      <c r="K133" s="2"/>
      <c r="L133" s="2"/>
      <c r="M133" s="2"/>
      <c r="N133" s="2"/>
      <c r="O133" s="2"/>
      <c r="P133" s="2"/>
      <c r="Q133" s="2"/>
      <c r="R133" s="2"/>
      <c r="S133" s="2"/>
      <c r="T133" s="2"/>
      <c r="U133" s="2"/>
      <c r="V133" s="2"/>
      <c r="W133" s="2"/>
    </row>
    <row r="134" ht="22.5" customHeight="1">
      <c r="A134" s="3">
        <v>133.0</v>
      </c>
      <c r="B134" s="3" t="s">
        <v>2390</v>
      </c>
      <c r="C134" s="3" t="s">
        <v>2251</v>
      </c>
      <c r="D134" s="3" t="s">
        <v>2247</v>
      </c>
      <c r="E134" s="2"/>
      <c r="F134" s="3" t="str">
        <f>IFERROR(__xludf.DUMMYFUNCTION("GOOGLETRANSLATE(A134, ""it"", ""en"")"),"133")</f>
        <v>133</v>
      </c>
      <c r="G134" s="3" t="str">
        <f>IFERROR(__xludf.DUMMYFUNCTION("GOOGLETRANSLATE(B134, ""it"", ""en"")"),"Ye strike the ball an' yer opponent blocks it with their bracelet but doesn't return it. What happens?")</f>
        <v>Ye strike the ball an' yer opponent blocks it with their bracelet but doesn't return it. What happens?</v>
      </c>
      <c r="H134" s="3" t="str">
        <f>IFERROR(__xludf.DUMMYFUNCTION("GOOGLETRANSLATE(C134, ""it"", ""en"")"),"A. Ye win the point B. Ye lose the point C. Ye get a free throw D. Ye get a penalty")</f>
        <v>A. Ye win the point B. Ye lose the point C. Ye get a free throw D. Ye get a penalty</v>
      </c>
      <c r="I134" s="3" t="str">
        <f>IFERROR(__xludf.DUMMYFUNCTION("GOOGLETRANSLATE(D134, ""it"", ""en"")"),"You win the point")</f>
        <v>You win the point</v>
      </c>
      <c r="J134" s="2"/>
      <c r="K134" s="2"/>
      <c r="L134" s="2"/>
      <c r="M134" s="2"/>
      <c r="N134" s="2"/>
      <c r="O134" s="2"/>
      <c r="P134" s="2"/>
      <c r="Q134" s="2"/>
      <c r="R134" s="2"/>
      <c r="S134" s="2"/>
      <c r="T134" s="2"/>
      <c r="U134" s="2"/>
      <c r="V134" s="2"/>
      <c r="W134" s="2"/>
    </row>
    <row r="135" ht="22.5" customHeight="1">
      <c r="A135" s="3">
        <v>134.0</v>
      </c>
      <c r="B135" s="3" t="s">
        <v>2391</v>
      </c>
      <c r="C135" s="3" t="s">
        <v>2270</v>
      </c>
      <c r="D135" s="3" t="s">
        <v>2247</v>
      </c>
      <c r="E135" s="2"/>
      <c r="F135" s="3" t="str">
        <f>IFERROR(__xludf.DUMMYFUNCTION("GOOGLETRANSLATE(A135, ""it"", ""en"")"),"134")</f>
        <v>134</v>
      </c>
      <c r="G135" s="3" t="str">
        <f>IFERROR(__xludf.DUMMYFUNCTION("GOOGLETRANSLATE(B135, ""it"", ""en"")"),"Ye serve the ball but yer opponent returns it an' it lands behind the wall. What happens?")</f>
        <v>Ye serve the ball but yer opponent returns it an' it lands behind the wall. What happens?</v>
      </c>
      <c r="H135" s="3" t="str">
        <f>IFERROR(__xludf.DUMMYFUNCTION("GOOGLETRANSLATE(C135, ""it"", ""en"")"),"A. Ye win the point B. Ye lose the point C. Ye get a penalty D. Ye get a free throw")</f>
        <v>A. Ye win the point B. Ye lose the point C. Ye get a penalty D. Ye get a free throw</v>
      </c>
      <c r="I135" s="3" t="str">
        <f>IFERROR(__xludf.DUMMYFUNCTION("GOOGLETRANSLATE(D135, ""it"", ""en"")"),"You win the point")</f>
        <v>You win the point</v>
      </c>
      <c r="J135" s="2"/>
      <c r="K135" s="2"/>
      <c r="L135" s="2"/>
      <c r="M135" s="2"/>
      <c r="N135" s="2"/>
      <c r="O135" s="2"/>
      <c r="P135" s="2"/>
      <c r="Q135" s="2"/>
      <c r="R135" s="2"/>
      <c r="S135" s="2"/>
      <c r="T135" s="2"/>
      <c r="U135" s="2"/>
      <c r="V135" s="2"/>
      <c r="W135" s="2"/>
    </row>
    <row r="136" ht="22.5" customHeight="1">
      <c r="A136" s="3">
        <v>135.0</v>
      </c>
      <c r="B136" s="3" t="s">
        <v>2392</v>
      </c>
      <c r="C136" s="3" t="s">
        <v>2249</v>
      </c>
      <c r="D136" s="3" t="s">
        <v>2238</v>
      </c>
      <c r="E136" s="2"/>
      <c r="F136" s="3" t="str">
        <f>IFERROR(__xludf.DUMMYFUNCTION("GOOGLETRANSLATE(A136, ""it"", ""en"")"),"135")</f>
        <v>135</v>
      </c>
      <c r="G136" s="3" t="str">
        <f>IFERROR(__xludf.DUMMYFUNCTION("GOOGLETRANSLATE(B136, ""it"", ""en"")"),"Ye hit the ball an' yer opponent misses but the ball lands outta bounds. What happens?")</f>
        <v>Ye hit the ball an' yer opponent misses but the ball lands outta bounds. What happens?</v>
      </c>
      <c r="H136" s="3" t="str">
        <f>IFERROR(__xludf.DUMMYFUNCTION("GOOGLETRANSLATE(C136, ""it"", ""en"")"),"A. Ye lose the point B. Ye win the point C. Ye get a penalty D. Ye get a free throw")</f>
        <v>A. Ye lose the point B. Ye win the point C. Ye get a penalty D. Ye get a free throw</v>
      </c>
      <c r="I136" s="3" t="str">
        <f>IFERROR(__xludf.DUMMYFUNCTION("GOOGLETRANSLATE(D136, ""it"", ""en"")"),"You lose the point")</f>
        <v>You lose the point</v>
      </c>
      <c r="J136" s="2"/>
      <c r="K136" s="2"/>
      <c r="L136" s="2"/>
      <c r="M136" s="2"/>
      <c r="N136" s="2"/>
      <c r="O136" s="2"/>
      <c r="P136" s="2"/>
      <c r="Q136" s="2"/>
      <c r="R136" s="2"/>
      <c r="S136" s="2"/>
      <c r="T136" s="2"/>
      <c r="U136" s="2"/>
      <c r="V136" s="2"/>
      <c r="W136" s="2"/>
    </row>
    <row r="137" ht="22.5" customHeight="1">
      <c r="A137" s="3">
        <v>136.0</v>
      </c>
      <c r="B137" s="3" t="s">
        <v>2393</v>
      </c>
      <c r="C137" s="3" t="s">
        <v>2249</v>
      </c>
      <c r="D137" s="3" t="s">
        <v>2238</v>
      </c>
      <c r="E137" s="2"/>
      <c r="F137" s="3" t="str">
        <f>IFERROR(__xludf.DUMMYFUNCTION("GOOGLETRANSLATE(A137, ""it"", ""en"")"),"136")</f>
        <v>136</v>
      </c>
      <c r="G137" s="3" t="str">
        <f>IFERROR(__xludf.DUMMYFUNCTION("GOOGLETRANSLATE(B137, ""it"", ""en"")"),"Ye serve the ball an' yer opponent returns it but it hits the ceiling. What happens?")</f>
        <v>Ye serve the ball an' yer opponent returns it but it hits the ceiling. What happens?</v>
      </c>
      <c r="H137" s="3" t="str">
        <f>IFERROR(__xludf.DUMMYFUNCTION("GOOGLETRANSLATE(C137, ""it"", ""en"")"),"A. Ye lose the point B. Ye win the point C. Ye get a penalty D. Ye get a free throw")</f>
        <v>A. Ye lose the point B. Ye win the point C. Ye get a penalty D. Ye get a free throw</v>
      </c>
      <c r="I137" s="3" t="str">
        <f>IFERROR(__xludf.DUMMYFUNCTION("GOOGLETRANSLATE(D137, ""it"", ""en"")"),"You lose the point")</f>
        <v>You lose the point</v>
      </c>
      <c r="J137" s="2"/>
      <c r="K137" s="2"/>
      <c r="L137" s="2"/>
      <c r="M137" s="2"/>
      <c r="N137" s="2"/>
      <c r="O137" s="2"/>
      <c r="P137" s="2"/>
      <c r="Q137" s="2"/>
      <c r="R137" s="2"/>
      <c r="S137" s="2"/>
      <c r="T137" s="2"/>
      <c r="U137" s="2"/>
      <c r="V137" s="2"/>
      <c r="W137" s="2"/>
    </row>
    <row r="138" ht="22.5" customHeight="1">
      <c r="A138" s="3">
        <v>137.0</v>
      </c>
      <c r="B138" s="3" t="s">
        <v>2394</v>
      </c>
      <c r="C138" s="3" t="s">
        <v>2251</v>
      </c>
      <c r="D138" s="3" t="s">
        <v>2247</v>
      </c>
      <c r="E138" s="2"/>
      <c r="F138" s="3" t="str">
        <f>IFERROR(__xludf.DUMMYFUNCTION("GOOGLETRANSLATE(A138, ""it"", ""en"")"),"137")</f>
        <v>137</v>
      </c>
      <c r="G138" s="3" t="str">
        <f>IFERROR(__xludf.DUMMYFUNCTION("GOOGLETRANSLATE(B138, ""it"", ""en"")"),"Ye strike the ball an' yer opponent catches it in mid-air but doesn't return it. What happens?")</f>
        <v>Ye strike the ball an' yer opponent catches it in mid-air but doesn't return it. What happens?</v>
      </c>
      <c r="H138" s="3" t="str">
        <f>IFERROR(__xludf.DUMMYFUNCTION("GOOGLETRANSLATE(C138, ""it"", ""en"")"),"A. Ye win the point B. Ye lose the point C. Ye get a free throw D. Ye get a penalty")</f>
        <v>A. Ye win the point B. Ye lose the point C. Ye get a free throw D. Ye get a penalty</v>
      </c>
      <c r="I138" s="3" t="str">
        <f>IFERROR(__xludf.DUMMYFUNCTION("GOOGLETRANSLATE(D138, ""it"", ""en"")"),"You win the point")</f>
        <v>You win the point</v>
      </c>
      <c r="J138" s="2"/>
      <c r="K138" s="2"/>
      <c r="L138" s="2"/>
      <c r="M138" s="2"/>
      <c r="N138" s="2"/>
      <c r="O138" s="2"/>
      <c r="P138" s="2"/>
      <c r="Q138" s="2"/>
      <c r="R138" s="2"/>
      <c r="S138" s="2"/>
      <c r="T138" s="2"/>
      <c r="U138" s="2"/>
      <c r="V138" s="2"/>
      <c r="W138" s="2"/>
    </row>
    <row r="139" ht="22.5" customHeight="1">
      <c r="A139" s="3">
        <v>138.0</v>
      </c>
      <c r="B139" s="3" t="s">
        <v>2395</v>
      </c>
      <c r="C139" s="3" t="s">
        <v>2270</v>
      </c>
      <c r="D139" s="3" t="s">
        <v>2247</v>
      </c>
      <c r="E139" s="2"/>
      <c r="F139" s="3" t="str">
        <f>IFERROR(__xludf.DUMMYFUNCTION("GOOGLETRANSLATE(A139, ""it"", ""en"")"),"138")</f>
        <v>138</v>
      </c>
      <c r="G139" s="3" t="str">
        <f>IFERROR(__xludf.DUMMYFUNCTION("GOOGLETRANSLATE(B139, ""it"", ""en"")"),"Ye serve the ball an' yer opponent doesn't return it before it touches the wall. What happens?")</f>
        <v>Ye serve the ball an' yer opponent doesn't return it before it touches the wall. What happens?</v>
      </c>
      <c r="H139" s="3" t="str">
        <f>IFERROR(__xludf.DUMMYFUNCTION("GOOGLETRANSLATE(C139, ""it"", ""en"")"),"A. Ye win the point B. Ye lose the point C. Ye get a penalty D. Ye get a free throw")</f>
        <v>A. Ye win the point B. Ye lose the point C. Ye get a penalty D. Ye get a free throw</v>
      </c>
      <c r="I139" s="3" t="str">
        <f>IFERROR(__xludf.DUMMYFUNCTION("GOOGLETRANSLATE(D139, ""it"", ""en"")"),"You win the point")</f>
        <v>You win the point</v>
      </c>
      <c r="J139" s="2"/>
      <c r="K139" s="2"/>
      <c r="L139" s="2"/>
      <c r="M139" s="2"/>
      <c r="N139" s="2"/>
      <c r="O139" s="2"/>
      <c r="P139" s="2"/>
      <c r="Q139" s="2"/>
      <c r="R139" s="2"/>
      <c r="S139" s="2"/>
      <c r="T139" s="2"/>
      <c r="U139" s="2"/>
      <c r="V139" s="2"/>
      <c r="W139" s="2"/>
    </row>
    <row r="140" ht="22.5" customHeight="1">
      <c r="A140" s="3">
        <v>139.0</v>
      </c>
      <c r="B140" s="3" t="s">
        <v>2396</v>
      </c>
      <c r="C140" s="3" t="s">
        <v>2270</v>
      </c>
      <c r="D140" s="3" t="s">
        <v>2247</v>
      </c>
      <c r="E140" s="2"/>
      <c r="F140" s="3" t="str">
        <f>IFERROR(__xludf.DUMMYFUNCTION("GOOGLETRANSLATE(A140, ""it"", ""en"")"),"139")</f>
        <v>139</v>
      </c>
      <c r="G140" s="3" t="str">
        <f>IFERROR(__xludf.DUMMYFUNCTION("GOOGLETRANSLATE(B140, ""it"", ""en"")"),"Ye hit the ball an' yer opponent blocks it with their bracelet an' the ball lands outta bounds. What happens?")</f>
        <v>Ye hit the ball an' yer opponent blocks it with their bracelet an' the ball lands outta bounds. What happens?</v>
      </c>
      <c r="H140" s="3" t="str">
        <f>IFERROR(__xludf.DUMMYFUNCTION("GOOGLETRANSLATE(C140, ""it"", ""en"")"),"A. Ye win the point B. Ye lose the point C. Ye get a penalty D. Ye get a free throw")</f>
        <v>A. Ye win the point B. Ye lose the point C. Ye get a penalty D. Ye get a free throw</v>
      </c>
      <c r="I140" s="3" t="str">
        <f>IFERROR(__xludf.DUMMYFUNCTION("GOOGLETRANSLATE(D140, ""it"", ""en"")"),"You win the point")</f>
        <v>You win the point</v>
      </c>
      <c r="J140" s="2"/>
      <c r="K140" s="2"/>
      <c r="L140" s="2"/>
      <c r="M140" s="2"/>
      <c r="N140" s="2"/>
      <c r="O140" s="2"/>
      <c r="P140" s="2"/>
      <c r="Q140" s="2"/>
      <c r="R140" s="2"/>
      <c r="S140" s="2"/>
      <c r="T140" s="2"/>
      <c r="U140" s="2"/>
      <c r="V140" s="2"/>
      <c r="W140" s="2"/>
    </row>
    <row r="141" ht="22.5" customHeight="1">
      <c r="A141" s="3">
        <v>140.0</v>
      </c>
      <c r="B141" s="3" t="s">
        <v>2397</v>
      </c>
      <c r="C141" s="3" t="s">
        <v>2297</v>
      </c>
      <c r="D141" s="3" t="s">
        <v>2247</v>
      </c>
      <c r="E141" s="2"/>
      <c r="F141" s="3" t="str">
        <f>IFERROR(__xludf.DUMMYFUNCTION("GOOGLETRANSLATE(A141, ""it"", ""en"")"),"140")</f>
        <v>140</v>
      </c>
      <c r="G141" s="3" t="str">
        <f>IFERROR(__xludf.DUMMYFUNCTION("GOOGLETRANSLATE(B141, ""it"", ""en"")"),"Ye serve the ball but yer opponent strikes it back an' the ball lands inside their court. What happens?")</f>
        <v>Ye serve the ball but yer opponent strikes it back an' the ball lands inside their court. What happens?</v>
      </c>
      <c r="H141" s="3" t="str">
        <f>IFERROR(__xludf.DUMMYFUNCTION("GOOGLETRANSLATE(C141, ""it"", ""en"")"),"A. Ye lose the point B. Ye win the point C. Ye get a free throw D. Ye get a penalty")</f>
        <v>A. Ye lose the point B. Ye win the point C. Ye get a free throw D. Ye get a penalty</v>
      </c>
      <c r="I141" s="3" t="str">
        <f>IFERROR(__xludf.DUMMYFUNCTION("GOOGLETRANSLATE(D141, ""it"", ""en"")"),"You win the point")</f>
        <v>You win the point</v>
      </c>
      <c r="J141" s="2"/>
      <c r="K141" s="2"/>
      <c r="L141" s="2"/>
      <c r="M141" s="2"/>
      <c r="N141" s="2"/>
      <c r="O141" s="2"/>
      <c r="P141" s="2"/>
      <c r="Q141" s="2"/>
      <c r="R141" s="2"/>
      <c r="S141" s="2"/>
      <c r="T141" s="2"/>
      <c r="U141" s="2"/>
      <c r="V141" s="2"/>
      <c r="W141" s="2"/>
    </row>
    <row r="142" ht="22.5" customHeight="1">
      <c r="A142" s="3">
        <v>141.0</v>
      </c>
      <c r="B142" s="3" t="s">
        <v>2398</v>
      </c>
      <c r="C142" s="3" t="s">
        <v>2251</v>
      </c>
      <c r="D142" s="3" t="s">
        <v>2247</v>
      </c>
      <c r="E142" s="2"/>
      <c r="F142" s="3" t="str">
        <f>IFERROR(__xludf.DUMMYFUNCTION("GOOGLETRANSLATE(A142, ""it"", ""en"")"),"141")</f>
        <v>141</v>
      </c>
      <c r="G142" s="3" t="str">
        <f>IFERROR(__xludf.DUMMYFUNCTION("GOOGLETRANSLATE(B142, ""it"", ""en"")"),"Ye strike the ball an' yer opponent catches it but doesn't return it to the wall. What happens?")</f>
        <v>Ye strike the ball an' yer opponent catches it but doesn't return it to the wall. What happens?</v>
      </c>
      <c r="H142" s="3" t="str">
        <f>IFERROR(__xludf.DUMMYFUNCTION("GOOGLETRANSLATE(C142, ""it"", ""en"")"),"A. Ye win the point B. Ye lose the point C. Ye get a free throw D. Ye get a penalty")</f>
        <v>A. Ye win the point B. Ye lose the point C. Ye get a free throw D. Ye get a penalty</v>
      </c>
      <c r="I142" s="3" t="str">
        <f>IFERROR(__xludf.DUMMYFUNCTION("GOOGLETRANSLATE(D142, ""it"", ""en"")"),"You win the point")</f>
        <v>You win the point</v>
      </c>
      <c r="J142" s="2"/>
      <c r="K142" s="2"/>
      <c r="L142" s="2"/>
      <c r="M142" s="2"/>
      <c r="N142" s="2"/>
      <c r="O142" s="2"/>
      <c r="P142" s="2"/>
      <c r="Q142" s="2"/>
      <c r="R142" s="2"/>
      <c r="S142" s="2"/>
      <c r="T142" s="2"/>
      <c r="U142" s="2"/>
      <c r="V142" s="2"/>
      <c r="W142" s="2"/>
    </row>
    <row r="143" ht="22.5" customHeight="1">
      <c r="A143" s="3">
        <v>142.0</v>
      </c>
      <c r="B143" s="3" t="s">
        <v>2399</v>
      </c>
      <c r="C143" s="3" t="s">
        <v>2251</v>
      </c>
      <c r="D143" s="3" t="s">
        <v>2247</v>
      </c>
      <c r="E143" s="2"/>
      <c r="F143" s="3" t="str">
        <f>IFERROR(__xludf.DUMMYFUNCTION("GOOGLETRANSLATE(A143, ""it"", ""en"")"),"142")</f>
        <v>142</v>
      </c>
      <c r="G143" s="3" t="str">
        <f>IFERROR(__xludf.DUMMYFUNCTION("GOOGLETRANSLATE(B143, ""it"", ""en"")"),"Ye serve the ball an' yer opponent strikes it but the ball lands outta bounds. What happens?")</f>
        <v>Ye serve the ball an' yer opponent strikes it but the ball lands outta bounds. What happens?</v>
      </c>
      <c r="H143" s="3" t="str">
        <f>IFERROR(__xludf.DUMMYFUNCTION("GOOGLETRANSLATE(C143, ""it"", ""en"")"),"A. Ye win the point B. Ye lose the point C. Ye get a free throw D. Ye get a penalty")</f>
        <v>A. Ye win the point B. Ye lose the point C. Ye get a free throw D. Ye get a penalty</v>
      </c>
      <c r="I143" s="3" t="str">
        <f>IFERROR(__xludf.DUMMYFUNCTION("GOOGLETRANSLATE(D143, ""it"", ""en"")"),"You win the point")</f>
        <v>You win the point</v>
      </c>
      <c r="J143" s="2"/>
      <c r="K143" s="2"/>
      <c r="L143" s="2"/>
      <c r="M143" s="2"/>
      <c r="N143" s="2"/>
      <c r="O143" s="2"/>
      <c r="P143" s="2"/>
      <c r="Q143" s="2"/>
      <c r="R143" s="2"/>
      <c r="S143" s="2"/>
      <c r="T143" s="2"/>
      <c r="U143" s="2"/>
      <c r="V143" s="2"/>
      <c r="W143" s="2"/>
    </row>
    <row r="144" ht="22.5" customHeight="1">
      <c r="A144" s="3">
        <v>143.0</v>
      </c>
      <c r="B144" s="3" t="s">
        <v>2400</v>
      </c>
      <c r="C144" s="3" t="s">
        <v>2251</v>
      </c>
      <c r="D144" s="3" t="s">
        <v>2247</v>
      </c>
      <c r="E144" s="2"/>
      <c r="F144" s="3" t="str">
        <f>IFERROR(__xludf.DUMMYFUNCTION("GOOGLETRANSLATE(A144, ""it"", ""en"")"),"143")</f>
        <v>143</v>
      </c>
      <c r="G144" s="3" t="str">
        <f>IFERROR(__xludf.DUMMYFUNCTION("GOOGLETRANSLATE(B144, ""it"", ""en"")"),"Ye hit the ball an' yer opponent misses but the ball lands behind the wall. What happens?")</f>
        <v>Ye hit the ball an' yer opponent misses but the ball lands behind the wall. What happens?</v>
      </c>
      <c r="H144" s="3" t="str">
        <f>IFERROR(__xludf.DUMMYFUNCTION("GOOGLETRANSLATE(C144, ""it"", ""en"")"),"A. Ye win the point B. Ye lose the point C. Ye get a free throw D. Ye get a penalty")</f>
        <v>A. Ye win the point B. Ye lose the point C. Ye get a free throw D. Ye get a penalty</v>
      </c>
      <c r="I144" s="3" t="str">
        <f>IFERROR(__xludf.DUMMYFUNCTION("GOOGLETRANSLATE(D144, ""it"", ""en"")"),"You win the point")</f>
        <v>You win the point</v>
      </c>
      <c r="J144" s="2"/>
      <c r="K144" s="2"/>
      <c r="L144" s="2"/>
      <c r="M144" s="2"/>
      <c r="N144" s="2"/>
      <c r="O144" s="2"/>
      <c r="P144" s="2"/>
      <c r="Q144" s="2"/>
      <c r="R144" s="2"/>
      <c r="S144" s="2"/>
      <c r="T144" s="2"/>
      <c r="U144" s="2"/>
      <c r="V144" s="2"/>
      <c r="W144" s="2"/>
    </row>
    <row r="145" ht="22.5" customHeight="1">
      <c r="A145" s="3">
        <v>144.0</v>
      </c>
      <c r="B145" s="3" t="s">
        <v>2401</v>
      </c>
      <c r="C145" s="3" t="s">
        <v>2251</v>
      </c>
      <c r="D145" s="3" t="s">
        <v>2247</v>
      </c>
      <c r="E145" s="2"/>
      <c r="F145" s="3" t="str">
        <f>IFERROR(__xludf.DUMMYFUNCTION("GOOGLETRANSLATE(A145, ""it"", ""en"")"),"144")</f>
        <v>144</v>
      </c>
      <c r="G145" s="3" t="str">
        <f>IFERROR(__xludf.DUMMYFUNCTION("GOOGLETRANSLATE(B145, ""it"", ""en"")"),"Ye serve the ball an' yer opponent fails to strike it back in time. What happens?")</f>
        <v>Ye serve the ball an' yer opponent fails to strike it back in time. What happens?</v>
      </c>
      <c r="H145" s="3" t="str">
        <f>IFERROR(__xludf.DUMMYFUNCTION("GOOGLETRANSLATE(C145, ""it"", ""en"")"),"A. Ye win the point B. Ye lose the point C. Ye get a free throw D. Ye get a penalty")</f>
        <v>A. Ye win the point B. Ye lose the point C. Ye get a free throw D. Ye get a penalty</v>
      </c>
      <c r="I145" s="3" t="str">
        <f>IFERROR(__xludf.DUMMYFUNCTION("GOOGLETRANSLATE(D145, ""it"", ""en"")"),"You win the point")</f>
        <v>You win the point</v>
      </c>
      <c r="J145" s="2"/>
      <c r="K145" s="2"/>
      <c r="L145" s="2"/>
      <c r="M145" s="2"/>
      <c r="N145" s="2"/>
      <c r="O145" s="2"/>
      <c r="P145" s="2"/>
      <c r="Q145" s="2"/>
      <c r="R145" s="2"/>
      <c r="S145" s="2"/>
      <c r="T145" s="2"/>
      <c r="U145" s="2"/>
      <c r="V145" s="2"/>
      <c r="W145" s="2"/>
    </row>
    <row r="146" ht="22.5" customHeight="1">
      <c r="A146" s="3">
        <v>145.0</v>
      </c>
      <c r="B146" s="3" t="s">
        <v>2402</v>
      </c>
      <c r="C146" s="3" t="s">
        <v>2297</v>
      </c>
      <c r="D146" s="3" t="s">
        <v>2238</v>
      </c>
      <c r="E146" s="2"/>
      <c r="F146" s="3" t="str">
        <f>IFERROR(__xludf.DUMMYFUNCTION("GOOGLETRANSLATE(A146, ""it"", ""en"")"),"145")</f>
        <v>145</v>
      </c>
      <c r="G146" s="3" t="str">
        <f>IFERROR(__xludf.DUMMYFUNCTION("GOOGLETRANSLATE(B146, ""it"", ""en"")"),"Ye strike the ball an' yer opponent fails to block it but it lands outta bounds. What happens?")</f>
        <v>Ye strike the ball an' yer opponent fails to block it but it lands outta bounds. What happens?</v>
      </c>
      <c r="H146" s="3" t="str">
        <f>IFERROR(__xludf.DUMMYFUNCTION("GOOGLETRANSLATE(C146, ""it"", ""en"")"),"A. Ye lose the point B. Ye win the point C. Ye get a free throw D. Ye get a penalty")</f>
        <v>A. Ye lose the point B. Ye win the point C. Ye get a free throw D. Ye get a penalty</v>
      </c>
      <c r="I146" s="3" t="str">
        <f>IFERROR(__xludf.DUMMYFUNCTION("GOOGLETRANSLATE(D146, ""it"", ""en"")"),"You lose the point")</f>
        <v>You lose the point</v>
      </c>
      <c r="J146" s="2"/>
      <c r="K146" s="2"/>
      <c r="L146" s="2"/>
      <c r="M146" s="2"/>
      <c r="N146" s="2"/>
      <c r="O146" s="2"/>
      <c r="P146" s="2"/>
      <c r="Q146" s="2"/>
      <c r="R146" s="2"/>
      <c r="S146" s="2"/>
      <c r="T146" s="2"/>
      <c r="U146" s="2"/>
      <c r="V146" s="2"/>
      <c r="W146" s="2"/>
    </row>
    <row r="147" ht="22.5" customHeight="1">
      <c r="A147" s="3">
        <v>146.0</v>
      </c>
      <c r="B147" s="3" t="s">
        <v>2403</v>
      </c>
      <c r="C147" s="3" t="s">
        <v>2251</v>
      </c>
      <c r="D147" s="3" t="s">
        <v>2247</v>
      </c>
      <c r="E147" s="2"/>
      <c r="F147" s="3" t="str">
        <f>IFERROR(__xludf.DUMMYFUNCTION("GOOGLETRANSLATE(A147, ""it"", ""en"")"),"146")</f>
        <v>146</v>
      </c>
      <c r="G147" s="3" t="str">
        <f>IFERROR(__xludf.DUMMYFUNCTION("GOOGLETRANSLATE(B147, ""it"", ""en"")"),"Ye serve the ball an' yer opponent returns it but it lands on top o' the wall. What happens?")</f>
        <v>Ye serve the ball an' yer opponent returns it but it lands on top o' the wall. What happens?</v>
      </c>
      <c r="H147" s="3" t="str">
        <f>IFERROR(__xludf.DUMMYFUNCTION("GOOGLETRANSLATE(C147, ""it"", ""en"")"),"A. Ye win the point B. Ye lose the point C. Ye get a free throw D. Ye get a penalty")</f>
        <v>A. Ye win the point B. Ye lose the point C. Ye get a free throw D. Ye get a penalty</v>
      </c>
      <c r="I147" s="3" t="str">
        <f>IFERROR(__xludf.DUMMYFUNCTION("GOOGLETRANSLATE(D147, ""it"", ""en"")"),"You win the point")</f>
        <v>You win the point</v>
      </c>
      <c r="J147" s="2"/>
      <c r="K147" s="2"/>
      <c r="L147" s="2"/>
      <c r="M147" s="2"/>
      <c r="N147" s="2"/>
      <c r="O147" s="2"/>
      <c r="P147" s="2"/>
      <c r="Q147" s="2"/>
      <c r="R147" s="2"/>
      <c r="S147" s="2"/>
      <c r="T147" s="2"/>
      <c r="U147" s="2"/>
      <c r="V147" s="2"/>
      <c r="W147" s="2"/>
    </row>
    <row r="148" ht="22.5" customHeight="1">
      <c r="A148" s="3">
        <v>147.0</v>
      </c>
      <c r="B148" s="3" t="s">
        <v>2404</v>
      </c>
      <c r="C148" s="3" t="s">
        <v>2251</v>
      </c>
      <c r="D148" s="3" t="s">
        <v>2247</v>
      </c>
      <c r="E148" s="2"/>
      <c r="F148" s="3" t="str">
        <f>IFERROR(__xludf.DUMMYFUNCTION("GOOGLETRANSLATE(A148, ""it"", ""en"")"),"147")</f>
        <v>147</v>
      </c>
      <c r="G148" s="3" t="str">
        <f>IFERROR(__xludf.DUMMYFUNCTION("GOOGLETRANSLATE(B148, ""it"", ""en"")"),"Ye hit the ball but yer opponent catches it mid-air an' doesn't return it. What happens?")</f>
        <v>Ye hit the ball but yer opponent catches it mid-air an' doesn't return it. What happens?</v>
      </c>
      <c r="H148" s="3" t="str">
        <f>IFERROR(__xludf.DUMMYFUNCTION("GOOGLETRANSLATE(C148, ""it"", ""en"")"),"A. Ye win the point B. Ye lose the point C. Ye get a free throw D. Ye get a penalty")</f>
        <v>A. Ye win the point B. Ye lose the point C. Ye get a free throw D. Ye get a penalty</v>
      </c>
      <c r="I148" s="3" t="str">
        <f>IFERROR(__xludf.DUMMYFUNCTION("GOOGLETRANSLATE(D148, ""it"", ""en"")"),"You win the point")</f>
        <v>You win the point</v>
      </c>
      <c r="J148" s="2"/>
      <c r="K148" s="2"/>
      <c r="L148" s="2"/>
      <c r="M148" s="2"/>
      <c r="N148" s="2"/>
      <c r="O148" s="2"/>
      <c r="P148" s="2"/>
      <c r="Q148" s="2"/>
      <c r="R148" s="2"/>
      <c r="S148" s="2"/>
      <c r="T148" s="2"/>
      <c r="U148" s="2"/>
      <c r="V148" s="2"/>
      <c r="W148" s="2"/>
    </row>
    <row r="149" ht="22.5" customHeight="1">
      <c r="A149" s="3">
        <v>148.0</v>
      </c>
      <c r="B149" s="3" t="s">
        <v>2405</v>
      </c>
      <c r="C149" s="3" t="s">
        <v>2270</v>
      </c>
      <c r="D149" s="3" t="s">
        <v>2247</v>
      </c>
      <c r="E149" s="2"/>
      <c r="F149" s="3" t="str">
        <f>IFERROR(__xludf.DUMMYFUNCTION("GOOGLETRANSLATE(A149, ""it"", ""en"")"),"148")</f>
        <v>148</v>
      </c>
      <c r="G149" s="3" t="str">
        <f>IFERROR(__xludf.DUMMYFUNCTION("GOOGLETRANSLATE(B149, ""it"", ""en"")"),"Ye serve the ball an' yer opponent returns it but it lands outside the court. What happens?")</f>
        <v>Ye serve the ball an' yer opponent returns it but it lands outside the court. What happens?</v>
      </c>
      <c r="H149" s="3" t="str">
        <f>IFERROR(__xludf.DUMMYFUNCTION("GOOGLETRANSLATE(C149, ""it"", ""en"")"),"A. Ye win the point B. Ye lose the point C. Ye get a penalty D. Ye get a free throw")</f>
        <v>A. Ye win the point B. Ye lose the point C. Ye get a penalty D. Ye get a free throw</v>
      </c>
      <c r="I149" s="3" t="str">
        <f>IFERROR(__xludf.DUMMYFUNCTION("GOOGLETRANSLATE(D149, ""it"", ""en"")"),"You win the point")</f>
        <v>You win the point</v>
      </c>
      <c r="J149" s="2"/>
      <c r="K149" s="2"/>
      <c r="L149" s="2"/>
      <c r="M149" s="2"/>
      <c r="N149" s="2"/>
      <c r="O149" s="2"/>
      <c r="P149" s="2"/>
      <c r="Q149" s="2"/>
      <c r="R149" s="2"/>
      <c r="S149" s="2"/>
      <c r="T149" s="2"/>
      <c r="U149" s="2"/>
      <c r="V149" s="2"/>
      <c r="W149" s="2"/>
    </row>
    <row r="150" ht="22.5" customHeight="1">
      <c r="A150" s="3">
        <v>149.0</v>
      </c>
      <c r="B150" s="3" t="s">
        <v>2406</v>
      </c>
      <c r="C150" s="3" t="s">
        <v>2270</v>
      </c>
      <c r="D150" s="3" t="s">
        <v>2247</v>
      </c>
      <c r="E150" s="2"/>
      <c r="F150" s="3" t="str">
        <f>IFERROR(__xludf.DUMMYFUNCTION("GOOGLETRANSLATE(A150, ""it"", ""en"")"),"149")</f>
        <v>149</v>
      </c>
      <c r="G150" s="3" t="str">
        <f>IFERROR(__xludf.DUMMYFUNCTION("GOOGLETRANSLATE(B150, ""it"", ""en"")"),"Ye strike the ball an' yer opponent misses but the ball lands on the line o' the court. What happens?")</f>
        <v>Ye strike the ball an' yer opponent misses but the ball lands on the line o' the court. What happens?</v>
      </c>
      <c r="H150" s="3" t="str">
        <f>IFERROR(__xludf.DUMMYFUNCTION("GOOGLETRANSLATE(C150, ""it"", ""en"")"),"A. Ye win the point B. Ye lose the point C. Ye get a penalty D. Ye get a free throw")</f>
        <v>A. Ye win the point B. Ye lose the point C. Ye get a penalty D. Ye get a free throw</v>
      </c>
      <c r="I150" s="3" t="str">
        <f>IFERROR(__xludf.DUMMYFUNCTION("GOOGLETRANSLATE(D150, ""it"", ""en"")"),"You win the point")</f>
        <v>You win the point</v>
      </c>
      <c r="J150" s="2"/>
      <c r="K150" s="2"/>
      <c r="L150" s="2"/>
      <c r="M150" s="2"/>
      <c r="N150" s="2"/>
      <c r="O150" s="2"/>
      <c r="P150" s="2"/>
      <c r="Q150" s="2"/>
      <c r="R150" s="2"/>
      <c r="S150" s="2"/>
      <c r="T150" s="2"/>
      <c r="U150" s="2"/>
      <c r="V150" s="2"/>
      <c r="W150" s="2"/>
    </row>
    <row r="151" ht="22.5" customHeight="1">
      <c r="A151" s="3">
        <v>150.0</v>
      </c>
      <c r="B151" s="3" t="s">
        <v>2407</v>
      </c>
      <c r="C151" s="3" t="s">
        <v>2251</v>
      </c>
      <c r="D151" s="3" t="s">
        <v>2247</v>
      </c>
      <c r="E151" s="2"/>
      <c r="F151" s="3" t="str">
        <f>IFERROR(__xludf.DUMMYFUNCTION("GOOGLETRANSLATE(A151, ""it"", ""en"")"),"150")</f>
        <v>150</v>
      </c>
      <c r="G151" s="3" t="str">
        <f>IFERROR(__xludf.DUMMYFUNCTION("GOOGLETRANSLATE(B151, ""it"", ""en"")"),"Ye serves the ball but your opponent fails to return it. What happens?")</f>
        <v>Ye serves the ball but your opponent fails to return it. What happens?</v>
      </c>
      <c r="H151" s="3" t="str">
        <f>IFERROR(__xludf.DUMMYFUNCTION("GOOGLETRANSLATE(C151, ""it"", ""en"")"),"A. Ye win the point B. Ye lose the point C. Ye get a free throw D. Ye get a penalty")</f>
        <v>A. Ye win the point B. Ye lose the point C. Ye get a free throw D. Ye get a penalty</v>
      </c>
      <c r="I151" s="3" t="str">
        <f>IFERROR(__xludf.DUMMYFUNCTION("GOOGLETRANSLATE(D151, ""it"", ""en"")"),"You win the point")</f>
        <v>You win the point</v>
      </c>
      <c r="J151" s="2"/>
      <c r="K151" s="2"/>
      <c r="L151" s="2"/>
      <c r="M151" s="2"/>
      <c r="N151" s="2"/>
      <c r="O151" s="2"/>
      <c r="P151" s="2"/>
      <c r="Q151" s="2"/>
      <c r="R151" s="2"/>
      <c r="S151" s="2"/>
      <c r="T151" s="2"/>
      <c r="U151" s="2"/>
      <c r="V151" s="2"/>
      <c r="W151" s="2"/>
    </row>
    <row r="152" ht="22.5" customHeight="1">
      <c r="A152" s="3">
        <v>151.0</v>
      </c>
      <c r="B152" s="3" t="s">
        <v>2408</v>
      </c>
      <c r="C152" s="3" t="s">
        <v>2270</v>
      </c>
      <c r="D152" s="3" t="s">
        <v>2247</v>
      </c>
      <c r="E152" s="2"/>
      <c r="F152" s="3" t="str">
        <f>IFERROR(__xludf.DUMMYFUNCTION("GOOGLETRANSLATE(A152, ""it"", ""en"")"),"151")</f>
        <v>151</v>
      </c>
      <c r="G152" s="3" t="str">
        <f>IFERROR(__xludf.DUMMYFUNCTION("GOOGLETRANSLATE(B152, ""it"", ""en"")"),"Ye serve the ball an' yer opponent returns it but the ball bounces back into their own side. What happens?")</f>
        <v>Ye serve the ball an' yer opponent returns it but the ball bounces back into their own side. What happens?</v>
      </c>
      <c r="H152" s="3" t="str">
        <f>IFERROR(__xludf.DUMMYFUNCTION("GOOGLETRANSLATE(C152, ""it"", ""en"")"),"A. Ye win the point B. Ye lose the point C. Ye get a penalty D. Ye get a free throw")</f>
        <v>A. Ye win the point B. Ye lose the point C. Ye get a penalty D. Ye get a free throw</v>
      </c>
      <c r="I152" s="3" t="str">
        <f>IFERROR(__xludf.DUMMYFUNCTION("GOOGLETRANSLATE(D152, ""it"", ""en"")"),"You win the point")</f>
        <v>You win the point</v>
      </c>
      <c r="J152" s="2"/>
      <c r="K152" s="2"/>
      <c r="L152" s="2"/>
      <c r="M152" s="2"/>
      <c r="N152" s="2"/>
      <c r="O152" s="2"/>
      <c r="P152" s="2"/>
      <c r="Q152" s="2"/>
      <c r="R152" s="2"/>
      <c r="S152" s="2"/>
      <c r="T152" s="2"/>
      <c r="U152" s="2"/>
      <c r="V152" s="2"/>
      <c r="W152" s="2"/>
    </row>
    <row r="153" ht="22.5" customHeight="1">
      <c r="A153" s="3">
        <v>152.0</v>
      </c>
      <c r="B153" s="3" t="s">
        <v>2409</v>
      </c>
      <c r="C153" s="3" t="s">
        <v>2251</v>
      </c>
      <c r="D153" s="3" t="s">
        <v>2247</v>
      </c>
      <c r="E153" s="2"/>
      <c r="F153" s="3" t="str">
        <f>IFERROR(__xludf.DUMMYFUNCTION("GOOGLETRANSLATE(A153, ""it"", ""en"")"),"152")</f>
        <v>152</v>
      </c>
      <c r="G153" s="3" t="str">
        <f>IFERROR(__xludf.DUMMYFUNCTION("GOOGLETRANSLATE(B153, ""it"", ""en"")"),"Ye hit the ball an' yer opponent catches it but doesn't strike it back. What happens?")</f>
        <v>Ye hit the ball an' yer opponent catches it but doesn't strike it back. What happens?</v>
      </c>
      <c r="H153" s="3" t="str">
        <f>IFERROR(__xludf.DUMMYFUNCTION("GOOGLETRANSLATE(C153, ""it"", ""en"")"),"A. Ye win the point B. Ye lose the point C. Ye get a free throw D. Ye get a penalty")</f>
        <v>A. Ye win the point B. Ye lose the point C. Ye get a free throw D. Ye get a penalty</v>
      </c>
      <c r="I153" s="3" t="str">
        <f>IFERROR(__xludf.DUMMYFUNCTION("GOOGLETRANSLATE(D153, ""it"", ""en"")"),"You win the point")</f>
        <v>You win the point</v>
      </c>
      <c r="J153" s="2"/>
      <c r="K153" s="2"/>
      <c r="L153" s="2"/>
      <c r="M153" s="2"/>
      <c r="N153" s="2"/>
      <c r="O153" s="2"/>
      <c r="P153" s="2"/>
      <c r="Q153" s="2"/>
      <c r="R153" s="2"/>
      <c r="S153" s="2"/>
      <c r="T153" s="2"/>
      <c r="U153" s="2"/>
      <c r="V153" s="2"/>
      <c r="W153" s="2"/>
    </row>
    <row r="154" ht="22.5" customHeight="1">
      <c r="A154" s="3">
        <v>153.0</v>
      </c>
      <c r="B154" s="3" t="s">
        <v>2410</v>
      </c>
      <c r="C154" s="3" t="s">
        <v>2270</v>
      </c>
      <c r="D154" s="3" t="s">
        <v>2247</v>
      </c>
      <c r="E154" s="2"/>
      <c r="F154" s="3" t="str">
        <f>IFERROR(__xludf.DUMMYFUNCTION("GOOGLETRANSLATE(A154, ""it"", ""en"")"),"153")</f>
        <v>153</v>
      </c>
      <c r="G154" s="3" t="str">
        <f>IFERROR(__xludf.DUMMYFUNCTION("GOOGLETRANSLATE(B154, ""it"", ""en"")"),"Ye serves the ball but your opponent fails to catch it and it lands outside the court. What happens?")</f>
        <v>Ye serves the ball but your opponent fails to catch it and it lands outside the court. What happens?</v>
      </c>
      <c r="H154" s="3" t="str">
        <f>IFERROR(__xludf.DUMMYFUNCTION("GOOGLETRANSLATE(C154, ""it"", ""en"")"),"A. Ye win the point B. Ye lose the point C. Ye get a penalty D. Ye get a free throw")</f>
        <v>A. Ye win the point B. Ye lose the point C. Ye get a penalty D. Ye get a free throw</v>
      </c>
      <c r="I154" s="3" t="str">
        <f>IFERROR(__xludf.DUMMYFUNCTION("GOOGLETRANSLATE(D154, ""it"", ""en"")"),"You win the point")</f>
        <v>You win the point</v>
      </c>
      <c r="J154" s="2"/>
      <c r="K154" s="2"/>
      <c r="L154" s="2"/>
      <c r="M154" s="2"/>
      <c r="N154" s="2"/>
      <c r="O154" s="2"/>
      <c r="P154" s="2"/>
      <c r="Q154" s="2"/>
      <c r="R154" s="2"/>
      <c r="S154" s="2"/>
      <c r="T154" s="2"/>
      <c r="U154" s="2"/>
      <c r="V154" s="2"/>
      <c r="W154" s="2"/>
    </row>
    <row r="155" ht="22.5" customHeight="1">
      <c r="A155" s="3">
        <v>154.0</v>
      </c>
      <c r="B155" s="3" t="s">
        <v>2411</v>
      </c>
      <c r="C155" s="3" t="s">
        <v>2270</v>
      </c>
      <c r="D155" s="3" t="s">
        <v>2247</v>
      </c>
      <c r="E155" s="2"/>
      <c r="F155" s="3" t="str">
        <f>IFERROR(__xludf.DUMMYFUNCTION("GOOGLETRANSLATE(A155, ""it"", ""en"")"),"154")</f>
        <v>154</v>
      </c>
      <c r="G155" s="3" t="str">
        <f>IFERROR(__xludf.DUMMYFUNCTION("GOOGLETRANSLATE(B155, ""it"", ""en"")"),"Ye strike the ball an' yer opponent blocks it with their bracelet an' it falls in their side. What happens?")</f>
        <v>Ye strike the ball an' yer opponent blocks it with their bracelet an' it falls in their side. What happens?</v>
      </c>
      <c r="H155" s="3" t="str">
        <f>IFERROR(__xludf.DUMMYFUNCTION("GOOGLETRANSLATE(C155, ""it"", ""en"")"),"A. Ye win the point B. Ye lose the point C. Ye get a penalty D. Ye get a free throw")</f>
        <v>A. Ye win the point B. Ye lose the point C. Ye get a penalty D. Ye get a free throw</v>
      </c>
      <c r="I155" s="3" t="str">
        <f>IFERROR(__xludf.DUMMYFUNCTION("GOOGLETRANSLATE(D155, ""it"", ""en"")"),"You win the point")</f>
        <v>You win the point</v>
      </c>
      <c r="J155" s="2"/>
      <c r="K155" s="2"/>
      <c r="L155" s="2"/>
      <c r="M155" s="2"/>
      <c r="N155" s="2"/>
      <c r="O155" s="2"/>
      <c r="P155" s="2"/>
      <c r="Q155" s="2"/>
      <c r="R155" s="2"/>
      <c r="S155" s="2"/>
      <c r="T155" s="2"/>
      <c r="U155" s="2"/>
      <c r="V155" s="2"/>
      <c r="W155" s="2"/>
    </row>
    <row r="156" ht="22.5" customHeight="1">
      <c r="A156" s="3">
        <v>155.0</v>
      </c>
      <c r="B156" s="3" t="s">
        <v>2412</v>
      </c>
      <c r="C156" s="3" t="s">
        <v>2270</v>
      </c>
      <c r="D156" s="3" t="s">
        <v>2247</v>
      </c>
      <c r="E156" s="2"/>
      <c r="F156" s="3" t="str">
        <f>IFERROR(__xludf.DUMMYFUNCTION("GOOGLETRANSLATE(A156, ""it"", ""en"")"),"155")</f>
        <v>155</v>
      </c>
      <c r="G156" s="3" t="str">
        <f>IFERROR(__xludf.DUMMYFUNCTION("GOOGLETRANSLATE(B156, ""it"", ""en"")"),"Ye serve the ball an' yer opponent strikes it back but the ball lands on the line. What happens?")</f>
        <v>Ye serve the ball an' yer opponent strikes it back but the ball lands on the line. What happens?</v>
      </c>
      <c r="H156" s="3" t="str">
        <f>IFERROR(__xludf.DUMMYFUNCTION("GOOGLETRANSLATE(C156, ""it"", ""en"")"),"A. Ye win the point B. Ye lose the point C. Ye get a penalty D. Ye get a free throw")</f>
        <v>A. Ye win the point B. Ye lose the point C. Ye get a penalty D. Ye get a free throw</v>
      </c>
      <c r="I156" s="3" t="str">
        <f>IFERROR(__xludf.DUMMYFUNCTION("GOOGLETRANSLATE(D156, ""it"", ""en"")"),"You win the point")</f>
        <v>You win the point</v>
      </c>
      <c r="J156" s="2"/>
      <c r="K156" s="2"/>
      <c r="L156" s="2"/>
      <c r="M156" s="2"/>
      <c r="N156" s="2"/>
      <c r="O156" s="2"/>
      <c r="P156" s="2"/>
      <c r="Q156" s="2"/>
      <c r="R156" s="2"/>
      <c r="S156" s="2"/>
      <c r="T156" s="2"/>
      <c r="U156" s="2"/>
      <c r="V156" s="2"/>
      <c r="W156" s="2"/>
    </row>
    <row r="157" ht="22.5" customHeight="1">
      <c r="A157" s="3">
        <v>156.0</v>
      </c>
      <c r="B157" s="3" t="s">
        <v>2413</v>
      </c>
      <c r="C157" s="3" t="s">
        <v>2249</v>
      </c>
      <c r="D157" s="3" t="s">
        <v>2247</v>
      </c>
      <c r="E157" s="2"/>
      <c r="F157" s="3" t="str">
        <f>IFERROR(__xludf.DUMMYFUNCTION("GOOGLETRANSLATE(A157, ""it"", ""en"")"),"156")</f>
        <v>156</v>
      </c>
      <c r="G157" s="3" t="str">
        <f>IFERROR(__xludf.DUMMYFUNCTION("GOOGLETRANSLATE(B157, ""it"", ""en"")"),"Ye hit the ball an' yer opponent catches it but the ball falls outta bounds. What happens?")</f>
        <v>Ye hit the ball an' yer opponent catches it but the ball falls outta bounds. What happens?</v>
      </c>
      <c r="H157" s="3" t="str">
        <f>IFERROR(__xludf.DUMMYFUNCTION("GOOGLETRANSLATE(C157, ""it"", ""en"")"),"A. Ye lose the point B. Ye win the point C. Ye get a penalty D. Ye get a free throw")</f>
        <v>A. Ye lose the point B. Ye win the point C. Ye get a penalty D. Ye get a free throw</v>
      </c>
      <c r="I157" s="3" t="str">
        <f>IFERROR(__xludf.DUMMYFUNCTION("GOOGLETRANSLATE(D157, ""it"", ""en"")"),"You win the point")</f>
        <v>You win the point</v>
      </c>
      <c r="J157" s="2"/>
      <c r="K157" s="2"/>
      <c r="L157" s="2"/>
      <c r="M157" s="2"/>
      <c r="N157" s="2"/>
      <c r="O157" s="2"/>
      <c r="P157" s="2"/>
      <c r="Q157" s="2"/>
      <c r="R157" s="2"/>
      <c r="S157" s="2"/>
      <c r="T157" s="2"/>
      <c r="U157" s="2"/>
      <c r="V157" s="2"/>
      <c r="W157" s="2"/>
    </row>
    <row r="158" ht="22.5" customHeight="1">
      <c r="A158" s="3">
        <v>157.0</v>
      </c>
      <c r="B158" s="3" t="s">
        <v>2414</v>
      </c>
      <c r="C158" s="3" t="s">
        <v>2270</v>
      </c>
      <c r="D158" s="3" t="s">
        <v>2247</v>
      </c>
      <c r="E158" s="2"/>
      <c r="F158" s="3" t="str">
        <f>IFERROR(__xludf.DUMMYFUNCTION("GOOGLETRANSLATE(A158, ""it"", ""en"")"),"157")</f>
        <v>157</v>
      </c>
      <c r="G158" s="3" t="str">
        <f>IFERROR(__xludf.DUMMYFUNCTION("GOOGLETRANSLATE(B158, ""it"", ""en"")"),"Ye serve the ball an' yer opponent misses it but the ball bounces back. What happens?")</f>
        <v>Ye serve the ball an' yer opponent misses it but the ball bounces back. What happens?</v>
      </c>
      <c r="H158" s="3" t="str">
        <f>IFERROR(__xludf.DUMMYFUNCTION("GOOGLETRANSLATE(C158, ""it"", ""en"")"),"A. Ye win the point B. Ye lose the point C. Ye get a penalty D. Ye get a free throw")</f>
        <v>A. Ye win the point B. Ye lose the point C. Ye get a penalty D. Ye get a free throw</v>
      </c>
      <c r="I158" s="3" t="str">
        <f>IFERROR(__xludf.DUMMYFUNCTION("GOOGLETRANSLATE(D158, ""it"", ""en"")"),"You win the point")</f>
        <v>You win the point</v>
      </c>
      <c r="J158" s="2"/>
      <c r="K158" s="2"/>
      <c r="L158" s="2"/>
      <c r="M158" s="2"/>
      <c r="N158" s="2"/>
      <c r="O158" s="2"/>
      <c r="P158" s="2"/>
      <c r="Q158" s="2"/>
      <c r="R158" s="2"/>
      <c r="S158" s="2"/>
      <c r="T158" s="2"/>
      <c r="U158" s="2"/>
      <c r="V158" s="2"/>
      <c r="W158" s="2"/>
    </row>
    <row r="159" ht="22.5" customHeight="1">
      <c r="A159" s="3">
        <v>158.0</v>
      </c>
      <c r="B159" s="3" t="s">
        <v>2415</v>
      </c>
      <c r="C159" s="3" t="s">
        <v>2270</v>
      </c>
      <c r="D159" s="3" t="s">
        <v>2247</v>
      </c>
      <c r="E159" s="2"/>
      <c r="F159" s="3" t="str">
        <f>IFERROR(__xludf.DUMMYFUNCTION("GOOGLETRANSLATE(A159, ""it"", ""en"")"),"158")</f>
        <v>158</v>
      </c>
      <c r="G159" s="3" t="str">
        <f>IFERROR(__xludf.DUMMYFUNCTION("GOOGLETRANSLATE(B159, ""it"", ""en"")"),"Ye strike the ball an' yer opponent strikes it but it lands outta bounds. What happens?")</f>
        <v>Ye strike the ball an' yer opponent strikes it but it lands outta bounds. What happens?</v>
      </c>
      <c r="H159" s="3" t="str">
        <f>IFERROR(__xludf.DUMMYFUNCTION("GOOGLETRANSLATE(C159, ""it"", ""en"")"),"A. Ye win the point B. Ye lose the point C. Ye get a penalty D. Ye get a free throw")</f>
        <v>A. Ye win the point B. Ye lose the point C. Ye get a penalty D. Ye get a free throw</v>
      </c>
      <c r="I159" s="3" t="str">
        <f>IFERROR(__xludf.DUMMYFUNCTION("GOOGLETRANSLATE(D159, ""it"", ""en"")"),"You win the point")</f>
        <v>You win the point</v>
      </c>
      <c r="J159" s="2"/>
      <c r="K159" s="2"/>
      <c r="L159" s="2"/>
      <c r="M159" s="2"/>
      <c r="N159" s="2"/>
      <c r="O159" s="2"/>
      <c r="P159" s="2"/>
      <c r="Q159" s="2"/>
      <c r="R159" s="2"/>
      <c r="S159" s="2"/>
      <c r="T159" s="2"/>
      <c r="U159" s="2"/>
      <c r="V159" s="2"/>
      <c r="W159" s="2"/>
    </row>
    <row r="160" ht="22.5" customHeight="1">
      <c r="A160" s="3">
        <v>159.0</v>
      </c>
      <c r="B160" s="3" t="s">
        <v>2416</v>
      </c>
      <c r="C160" s="3" t="s">
        <v>2270</v>
      </c>
      <c r="D160" s="3" t="s">
        <v>2247</v>
      </c>
      <c r="E160" s="2"/>
      <c r="F160" s="3" t="str">
        <f>IFERROR(__xludf.DUMMYFUNCTION("GOOGLETRANSLATE(A160, ""it"", ""en"")"),"159")</f>
        <v>159</v>
      </c>
      <c r="G160" s="3" t="str">
        <f>IFERROR(__xludf.DUMMYFUNCTION("GOOGLETRANSLATE(B160, ""it"", ""en"")"),"Ye serve the ball an' yer opponent fails to return it before it hits the wall. What happens?")</f>
        <v>Ye serve the ball an' yer opponent fails to return it before it hits the wall. What happens?</v>
      </c>
      <c r="H160" s="3" t="str">
        <f>IFERROR(__xludf.DUMMYFUNCTION("GOOGLETRANSLATE(C160, ""it"", ""en"")"),"A. Ye win the point B. Ye lose the point C. Ye get a penalty D. Ye get a free throw")</f>
        <v>A. Ye win the point B. Ye lose the point C. Ye get a penalty D. Ye get a free throw</v>
      </c>
      <c r="I160" s="3" t="str">
        <f>IFERROR(__xludf.DUMMYFUNCTION("GOOGLETRANSLATE(D160, ""it"", ""en"")"),"You win the point")</f>
        <v>You win the point</v>
      </c>
      <c r="J160" s="2"/>
      <c r="K160" s="2"/>
      <c r="L160" s="2"/>
      <c r="M160" s="2"/>
      <c r="N160" s="2"/>
      <c r="O160" s="2"/>
      <c r="P160" s="2"/>
      <c r="Q160" s="2"/>
      <c r="R160" s="2"/>
      <c r="S160" s="2"/>
      <c r="T160" s="2"/>
      <c r="U160" s="2"/>
      <c r="V160" s="2"/>
      <c r="W160" s="2"/>
    </row>
    <row r="161" ht="22.5" customHeight="1">
      <c r="A161" s="3">
        <v>160.0</v>
      </c>
      <c r="B161" s="3" t="s">
        <v>2417</v>
      </c>
      <c r="C161" s="3" t="s">
        <v>2270</v>
      </c>
      <c r="D161" s="3" t="s">
        <v>2247</v>
      </c>
      <c r="E161" s="2"/>
      <c r="F161" s="3" t="str">
        <f>IFERROR(__xludf.DUMMYFUNCTION("GOOGLETRANSLATE(A161, ""it"", ""en"")"),"160")</f>
        <v>160</v>
      </c>
      <c r="G161" s="3" t="str">
        <f>IFERROR(__xludf.DUMMYFUNCTION("GOOGLETRANSLATE(B161, ""it"", ""en"")"),"Ye hit the ball an' yer opponent catches it but it lands outta bounds. What happens?")</f>
        <v>Ye hit the ball an' yer opponent catches it but it lands outta bounds. What happens?</v>
      </c>
      <c r="H161" s="3" t="str">
        <f>IFERROR(__xludf.DUMMYFUNCTION("GOOGLETRANSLATE(C161, ""it"", ""en"")"),"A. Ye win the point B. Ye lose the point C. Ye get a penalty D. Ye get a free throw")</f>
        <v>A. Ye win the point B. Ye lose the point C. Ye get a penalty D. Ye get a free throw</v>
      </c>
      <c r="I161" s="3" t="str">
        <f>IFERROR(__xludf.DUMMYFUNCTION("GOOGLETRANSLATE(D161, ""it"", ""en"")"),"You win the point")</f>
        <v>You win the point</v>
      </c>
      <c r="J161" s="2"/>
      <c r="K161" s="2"/>
      <c r="L161" s="2"/>
      <c r="M161" s="2"/>
      <c r="N161" s="2"/>
      <c r="O161" s="2"/>
      <c r="P161" s="2"/>
      <c r="Q161" s="2"/>
      <c r="R161" s="2"/>
      <c r="S161" s="2"/>
      <c r="T161" s="2"/>
      <c r="U161" s="2"/>
      <c r="V161" s="2"/>
      <c r="W161" s="2"/>
    </row>
    <row r="162" ht="22.5" customHeight="1">
      <c r="A162" s="3">
        <v>161.0</v>
      </c>
      <c r="B162" s="3" t="s">
        <v>2418</v>
      </c>
      <c r="C162" s="3" t="s">
        <v>2251</v>
      </c>
      <c r="D162" s="3" t="s">
        <v>2247</v>
      </c>
      <c r="E162" s="2"/>
      <c r="F162" s="3" t="str">
        <f>IFERROR(__xludf.DUMMYFUNCTION("GOOGLETRANSLATE(A162, ""it"", ""en"")"),"161")</f>
        <v>161</v>
      </c>
      <c r="G162" s="3" t="str">
        <f>IFERROR(__xludf.DUMMYFUNCTION("GOOGLETRANSLATE(B162, ""it"", ""en"")"),"Ye serve the ball an' yer opponent blocks it with their bracelet but fails to strike it back. What happens?")</f>
        <v>Ye serve the ball an' yer opponent blocks it with their bracelet but fails to strike it back. What happens?</v>
      </c>
      <c r="H162" s="3" t="str">
        <f>IFERROR(__xludf.DUMMYFUNCTION("GOOGLETRANSLATE(C162, ""it"", ""en"")"),"A. Ye win the point B. Ye lose the point C. Ye get a free throw D. Ye get a penalty")</f>
        <v>A. Ye win the point B. Ye lose the point C. Ye get a free throw D. Ye get a penalty</v>
      </c>
      <c r="I162" s="3" t="str">
        <f>IFERROR(__xludf.DUMMYFUNCTION("GOOGLETRANSLATE(D162, ""it"", ""en"")"),"You win the point")</f>
        <v>You win the point</v>
      </c>
      <c r="J162" s="2"/>
      <c r="K162" s="2"/>
      <c r="L162" s="2"/>
      <c r="M162" s="2"/>
      <c r="N162" s="2"/>
      <c r="O162" s="2"/>
      <c r="P162" s="2"/>
      <c r="Q162" s="2"/>
      <c r="R162" s="2"/>
      <c r="S162" s="2"/>
      <c r="T162" s="2"/>
      <c r="U162" s="2"/>
      <c r="V162" s="2"/>
      <c r="W162" s="2"/>
    </row>
    <row r="163" ht="22.5" customHeight="1">
      <c r="A163" s="3">
        <v>162.0</v>
      </c>
      <c r="B163" s="3" t="s">
        <v>2419</v>
      </c>
      <c r="C163" s="3" t="s">
        <v>2270</v>
      </c>
      <c r="D163" s="3" t="s">
        <v>2247</v>
      </c>
      <c r="E163" s="2"/>
      <c r="F163" s="3" t="str">
        <f>IFERROR(__xludf.DUMMYFUNCTION("GOOGLETRANSLATE(A163, ""it"", ""en"")"),"162")</f>
        <v>162</v>
      </c>
      <c r="G163" s="3" t="str">
        <f>IFERROR(__xludf.DUMMYFUNCTION("GOOGLETRANSLATE(B163, ""it"", ""en"")"),"Ye strike the ball an' yer opponent strikes it back but the ball lands in yer half. What happens?")</f>
        <v>Ye strike the ball an' yer opponent strikes it back but the ball lands in yer half. What happens?</v>
      </c>
      <c r="H163" s="3" t="str">
        <f>IFERROR(__xludf.DUMMYFUNCTION("GOOGLETRANSLATE(C163, ""it"", ""en"")"),"A. Ye win the point B. Ye lose the point C. Ye get a penalty D. Ye get a free throw")</f>
        <v>A. Ye win the point B. Ye lose the point C. Ye get a penalty D. Ye get a free throw</v>
      </c>
      <c r="I163" s="3" t="str">
        <f>IFERROR(__xludf.DUMMYFUNCTION("GOOGLETRANSLATE(D163, ""it"", ""en"")"),"You win the point")</f>
        <v>You win the point</v>
      </c>
      <c r="J163" s="2"/>
      <c r="K163" s="2"/>
      <c r="L163" s="2"/>
      <c r="M163" s="2"/>
      <c r="N163" s="2"/>
      <c r="O163" s="2"/>
      <c r="P163" s="2"/>
      <c r="Q163" s="2"/>
      <c r="R163" s="2"/>
      <c r="S163" s="2"/>
      <c r="T163" s="2"/>
      <c r="U163" s="2"/>
      <c r="V163" s="2"/>
      <c r="W163" s="2"/>
    </row>
    <row r="164" ht="22.5" customHeight="1">
      <c r="A164" s="3">
        <v>163.0</v>
      </c>
      <c r="B164" s="3" t="s">
        <v>2420</v>
      </c>
      <c r="C164" s="3" t="s">
        <v>2249</v>
      </c>
      <c r="D164" s="3" t="s">
        <v>2247</v>
      </c>
      <c r="E164" s="2"/>
      <c r="F164" s="3" t="str">
        <f>IFERROR(__xludf.DUMMYFUNCTION("GOOGLETRANSLATE(A164, ""it"", ""en"")"),"163")</f>
        <v>163</v>
      </c>
      <c r="G164" s="3" t="str">
        <f>IFERROR(__xludf.DUMMYFUNCTION("GOOGLETRANSLATE(B164, ""it"", ""en"")"),"Ye serve the ball an' yer opponent returns it but it lands inside the court. What happens?")</f>
        <v>Ye serve the ball an' yer opponent returns it but it lands inside the court. What happens?</v>
      </c>
      <c r="H164" s="3" t="str">
        <f>IFERROR(__xludf.DUMMYFUNCTION("GOOGLETRANSLATE(C164, ""it"", ""en"")"),"A. Ye lose the point B. Ye win the point C. Ye get a penalty D. Ye get a free throw")</f>
        <v>A. Ye lose the point B. Ye win the point C. Ye get a penalty D. Ye get a free throw</v>
      </c>
      <c r="I164" s="3" t="str">
        <f>IFERROR(__xludf.DUMMYFUNCTION("GOOGLETRANSLATE(D164, ""it"", ""en"")"),"You win the point")</f>
        <v>You win the point</v>
      </c>
      <c r="J164" s="2"/>
      <c r="K164" s="2"/>
      <c r="L164" s="2"/>
      <c r="M164" s="2"/>
      <c r="N164" s="2"/>
      <c r="O164" s="2"/>
      <c r="P164" s="2"/>
      <c r="Q164" s="2"/>
      <c r="R164" s="2"/>
      <c r="S164" s="2"/>
      <c r="T164" s="2"/>
      <c r="U164" s="2"/>
      <c r="V164" s="2"/>
      <c r="W164" s="2"/>
    </row>
    <row r="165" ht="22.5" customHeight="1">
      <c r="A165" s="3">
        <v>164.0</v>
      </c>
      <c r="B165" s="3" t="s">
        <v>2421</v>
      </c>
      <c r="C165" s="3" t="s">
        <v>2270</v>
      </c>
      <c r="D165" s="3" t="s">
        <v>2247</v>
      </c>
      <c r="E165" s="2"/>
      <c r="F165" s="3" t="str">
        <f>IFERROR(__xludf.DUMMYFUNCTION("GOOGLETRANSLATE(A165, ""it"", ""en"")"),"164")</f>
        <v>164</v>
      </c>
      <c r="G165" s="3" t="str">
        <f>IFERROR(__xludf.DUMMYFUNCTION("GOOGLETRANSLATE(B165, ""it"", ""en"")"),"Ye hit the ball an' yer opponent doesn't return it an' the ball lands in their side. What happens?")</f>
        <v>Ye hit the ball an' yer opponent doesn't return it an' the ball lands in their side. What happens?</v>
      </c>
      <c r="H165" s="3" t="str">
        <f>IFERROR(__xludf.DUMMYFUNCTION("GOOGLETRANSLATE(C165, ""it"", ""en"")"),"A. Ye win the point B. Ye lose the point C. Ye get a penalty D. Ye get a free throw")</f>
        <v>A. Ye win the point B. Ye lose the point C. Ye get a penalty D. Ye get a free throw</v>
      </c>
      <c r="I165" s="3" t="str">
        <f>IFERROR(__xludf.DUMMYFUNCTION("GOOGLETRANSLATE(D165, ""it"", ""en"")"),"You win the point")</f>
        <v>You win the point</v>
      </c>
      <c r="J165" s="2"/>
      <c r="K165" s="2"/>
      <c r="L165" s="2"/>
      <c r="M165" s="2"/>
      <c r="N165" s="2"/>
      <c r="O165" s="2"/>
      <c r="P165" s="2"/>
      <c r="Q165" s="2"/>
      <c r="R165" s="2"/>
      <c r="S165" s="2"/>
      <c r="T165" s="2"/>
      <c r="U165" s="2"/>
      <c r="V165" s="2"/>
      <c r="W165" s="2"/>
    </row>
    <row r="166" ht="22.5" customHeight="1">
      <c r="A166" s="3">
        <v>165.0</v>
      </c>
      <c r="B166" s="3" t="s">
        <v>2422</v>
      </c>
      <c r="C166" s="3" t="s">
        <v>2249</v>
      </c>
      <c r="D166" s="3" t="s">
        <v>2247</v>
      </c>
      <c r="E166" s="2"/>
      <c r="F166" s="3" t="str">
        <f>IFERROR(__xludf.DUMMYFUNCTION("GOOGLETRANSLATE(A166, ""it"", ""en"")"),"165")</f>
        <v>165</v>
      </c>
      <c r="G166" s="3" t="str">
        <f>IFERROR(__xludf.DUMMYFUNCTION("GOOGLETRANSLATE(B166, ""it"", ""en"")"),"Ye serve the ball but yer opponent misses it an' the ball lands in yer court. What happens?")</f>
        <v>Ye serve the ball but yer opponent misses it an' the ball lands in yer court. What happens?</v>
      </c>
      <c r="H166" s="3" t="str">
        <f>IFERROR(__xludf.DUMMYFUNCTION("GOOGLETRANSLATE(C166, ""it"", ""en"")"),"A. Ye lose the point B. Ye win the point C. Ye get a penalty D. Ye get a free throw")</f>
        <v>A. Ye lose the point B. Ye win the point C. Ye get a penalty D. Ye get a free throw</v>
      </c>
      <c r="I166" s="3" t="str">
        <f>IFERROR(__xludf.DUMMYFUNCTION("GOOGLETRANSLATE(D166, ""it"", ""en"")"),"You win the point")</f>
        <v>You win the point</v>
      </c>
      <c r="J166" s="2"/>
      <c r="K166" s="2"/>
      <c r="L166" s="2"/>
      <c r="M166" s="2"/>
      <c r="N166" s="2"/>
      <c r="O166" s="2"/>
      <c r="P166" s="2"/>
      <c r="Q166" s="2"/>
      <c r="R166" s="2"/>
      <c r="S166" s="2"/>
      <c r="T166" s="2"/>
      <c r="U166" s="2"/>
      <c r="V166" s="2"/>
      <c r="W166" s="2"/>
    </row>
    <row r="167" ht="22.5" customHeight="1">
      <c r="A167" s="3">
        <v>166.0</v>
      </c>
      <c r="B167" s="3" t="s">
        <v>2423</v>
      </c>
      <c r="C167" s="3" t="s">
        <v>2251</v>
      </c>
      <c r="D167" s="3" t="s">
        <v>2247</v>
      </c>
      <c r="E167" s="2"/>
      <c r="F167" s="3" t="str">
        <f>IFERROR(__xludf.DUMMYFUNCTION("GOOGLETRANSLATE(A167, ""it"", ""en"")"),"166")</f>
        <v>166</v>
      </c>
      <c r="G167" s="3" t="str">
        <f>IFERROR(__xludf.DUMMYFUNCTION("GOOGLETRANSLATE(B167, ""it"", ""en"")"),"Ye strike the ball an' yer opponent catches it mid-air but doesn't strike it back. What happens?")</f>
        <v>Ye strike the ball an' yer opponent catches it mid-air but doesn't strike it back. What happens?</v>
      </c>
      <c r="H167" s="3" t="str">
        <f>IFERROR(__xludf.DUMMYFUNCTION("GOOGLETRANSLATE(C167, ""it"", ""en"")"),"A. Ye win the point B. Ye lose the point C. Ye get a free throw D. Ye get a penalty")</f>
        <v>A. Ye win the point B. Ye lose the point C. Ye get a free throw D. Ye get a penalty</v>
      </c>
      <c r="I167" s="3" t="str">
        <f>IFERROR(__xludf.DUMMYFUNCTION("GOOGLETRANSLATE(D167, ""it"", ""en"")"),"You win the point")</f>
        <v>You win the point</v>
      </c>
      <c r="J167" s="2"/>
      <c r="K167" s="2"/>
      <c r="L167" s="2"/>
      <c r="M167" s="2"/>
      <c r="N167" s="2"/>
      <c r="O167" s="2"/>
      <c r="P167" s="2"/>
      <c r="Q167" s="2"/>
      <c r="R167" s="2"/>
      <c r="S167" s="2"/>
      <c r="T167" s="2"/>
      <c r="U167" s="2"/>
      <c r="V167" s="2"/>
      <c r="W167" s="2"/>
    </row>
    <row r="168" ht="22.5" customHeight="1">
      <c r="A168" s="3">
        <v>167.0</v>
      </c>
      <c r="B168" s="3" t="s">
        <v>2424</v>
      </c>
      <c r="C168" s="3" t="s">
        <v>2251</v>
      </c>
      <c r="D168" s="3" t="s">
        <v>2247</v>
      </c>
      <c r="E168" s="2"/>
      <c r="F168" s="3" t="str">
        <f>IFERROR(__xludf.DUMMYFUNCTION("GOOGLETRANSLATE(A168, ""it"", ""en"")"),"167")</f>
        <v>167</v>
      </c>
      <c r="G168" s="3" t="str">
        <f>IFERROR(__xludf.DUMMYFUNCTION("GOOGLETRANSLATE(B168, ""it"", ""en"")"),"Ye serve the ball an' yer opponent blocks it with their bracelet but doesn't return it. What happens?")</f>
        <v>Ye serve the ball an' yer opponent blocks it with their bracelet but doesn't return it. What happens?</v>
      </c>
      <c r="H168" s="3" t="str">
        <f>IFERROR(__xludf.DUMMYFUNCTION("GOOGLETRANSLATE(C168, ""it"", ""en"")"),"A. Ye win the point B. Ye lose the point C. Ye get a free throw D. Ye get a penalty")</f>
        <v>A. Ye win the point B. Ye lose the point C. Ye get a free throw D. Ye get a penalty</v>
      </c>
      <c r="I168" s="3" t="str">
        <f>IFERROR(__xludf.DUMMYFUNCTION("GOOGLETRANSLATE(D168, ""it"", ""en"")"),"You win the point")</f>
        <v>You win the point</v>
      </c>
      <c r="J168" s="2"/>
      <c r="K168" s="2"/>
      <c r="L168" s="2"/>
      <c r="M168" s="2"/>
      <c r="N168" s="2"/>
      <c r="O168" s="2"/>
      <c r="P168" s="2"/>
      <c r="Q168" s="2"/>
      <c r="R168" s="2"/>
      <c r="S168" s="2"/>
      <c r="T168" s="2"/>
      <c r="U168" s="2"/>
      <c r="V168" s="2"/>
      <c r="W168" s="2"/>
    </row>
    <row r="169" ht="22.5" customHeight="1">
      <c r="A169" s="3">
        <v>168.0</v>
      </c>
      <c r="B169" s="3" t="s">
        <v>2425</v>
      </c>
      <c r="C169" s="3" t="s">
        <v>2270</v>
      </c>
      <c r="D169" s="3" t="s">
        <v>2247</v>
      </c>
      <c r="E169" s="2"/>
      <c r="F169" s="3" t="str">
        <f>IFERROR(__xludf.DUMMYFUNCTION("GOOGLETRANSLATE(A169, ""it"", ""en"")"),"168")</f>
        <v>168</v>
      </c>
      <c r="G169" s="3" t="str">
        <f>IFERROR(__xludf.DUMMYFUNCTION("GOOGLETRANSLATE(B169, ""it"", ""en"")"),"Ye hit the ball an' yer opponent strikes it back but it lands behind the wall. What happens?")</f>
        <v>Ye hit the ball an' yer opponent strikes it back but it lands behind the wall. What happens?</v>
      </c>
      <c r="H169" s="3" t="str">
        <f>IFERROR(__xludf.DUMMYFUNCTION("GOOGLETRANSLATE(C169, ""it"", ""en"")"),"A. Ye win the point B. Ye lose the point C. Ye get a penalty D. Ye get a free throw")</f>
        <v>A. Ye win the point B. Ye lose the point C. Ye get a penalty D. Ye get a free throw</v>
      </c>
      <c r="I169" s="3" t="str">
        <f>IFERROR(__xludf.DUMMYFUNCTION("GOOGLETRANSLATE(D169, ""it"", ""en"")"),"You win the point")</f>
        <v>You win the point</v>
      </c>
      <c r="J169" s="2"/>
      <c r="K169" s="2"/>
      <c r="L169" s="2"/>
      <c r="M169" s="2"/>
      <c r="N169" s="2"/>
      <c r="O169" s="2"/>
      <c r="P169" s="2"/>
      <c r="Q169" s="2"/>
      <c r="R169" s="2"/>
      <c r="S169" s="2"/>
      <c r="T169" s="2"/>
      <c r="U169" s="2"/>
      <c r="V169" s="2"/>
      <c r="W169" s="2"/>
    </row>
    <row r="170" ht="22.5" customHeight="1">
      <c r="A170" s="3">
        <v>169.0</v>
      </c>
      <c r="B170" s="3" t="s">
        <v>2426</v>
      </c>
      <c r="C170" s="3" t="s">
        <v>2251</v>
      </c>
      <c r="D170" s="3" t="s">
        <v>2247</v>
      </c>
      <c r="E170" s="2"/>
      <c r="F170" s="3" t="str">
        <f>IFERROR(__xludf.DUMMYFUNCTION("GOOGLETRANSLATE(A170, ""it"", ""en"")"),"169")</f>
        <v>169</v>
      </c>
      <c r="G170" s="3" t="str">
        <f>IFERROR(__xludf.DUMMYFUNCTION("GOOGLETRANSLATE(B170, ""it"", ""en"")"),"Ye serve the ball an' yer opponent catches it but doesn't strike it back in time. What happens?")</f>
        <v>Ye serve the ball an' yer opponent catches it but doesn't strike it back in time. What happens?</v>
      </c>
      <c r="H170" s="3" t="str">
        <f>IFERROR(__xludf.DUMMYFUNCTION("GOOGLETRANSLATE(C170, ""it"", ""en"")"),"A. Ye win the point B. Ye lose the point C. Ye get a free throw D. Ye get a penalty")</f>
        <v>A. Ye win the point B. Ye lose the point C. Ye get a free throw D. Ye get a penalty</v>
      </c>
      <c r="I170" s="3" t="str">
        <f>IFERROR(__xludf.DUMMYFUNCTION("GOOGLETRANSLATE(D170, ""it"", ""en"")"),"You win the point")</f>
        <v>You win the point</v>
      </c>
      <c r="J170" s="2"/>
      <c r="K170" s="2"/>
      <c r="L170" s="2"/>
      <c r="M170" s="2"/>
      <c r="N170" s="2"/>
      <c r="O170" s="2"/>
      <c r="P170" s="2"/>
      <c r="Q170" s="2"/>
      <c r="R170" s="2"/>
      <c r="S170" s="2"/>
      <c r="T170" s="2"/>
      <c r="U170" s="2"/>
      <c r="V170" s="2"/>
      <c r="W170" s="2"/>
    </row>
    <row r="171" ht="22.5" customHeight="1">
      <c r="A171" s="3">
        <v>170.0</v>
      </c>
      <c r="B171" s="3" t="s">
        <v>2427</v>
      </c>
      <c r="C171" s="3" t="s">
        <v>2270</v>
      </c>
      <c r="D171" s="3" t="s">
        <v>2247</v>
      </c>
      <c r="E171" s="2"/>
      <c r="F171" s="3" t="str">
        <f>IFERROR(__xludf.DUMMYFUNCTION("GOOGLETRANSLATE(A171, ""it"", ""en"")"),"170")</f>
        <v>170</v>
      </c>
      <c r="G171" s="3" t="str">
        <f>IFERROR(__xludf.DUMMYFUNCTION("GOOGLETRANSLATE(B171, ""it"", ""en"")"),"Ye strike the ball an' yer opponent misses but it lands outside the court. What happens?")</f>
        <v>Ye strike the ball an' yer opponent misses but it lands outside the court. What happens?</v>
      </c>
      <c r="H171" s="3" t="str">
        <f>IFERROR(__xludf.DUMMYFUNCTION("GOOGLETRANSLATE(C171, ""it"", ""en"")"),"A. Ye win the point B. Ye lose the point C. Ye get a penalty D. Ye get a free throw")</f>
        <v>A. Ye win the point B. Ye lose the point C. Ye get a penalty D. Ye get a free throw</v>
      </c>
      <c r="I171" s="3" t="str">
        <f>IFERROR(__xludf.DUMMYFUNCTION("GOOGLETRANSLATE(D171, ""it"", ""en"")"),"You win the point")</f>
        <v>You win the point</v>
      </c>
      <c r="J171" s="2"/>
      <c r="K171" s="2"/>
      <c r="L171" s="2"/>
      <c r="M171" s="2"/>
      <c r="N171" s="2"/>
      <c r="O171" s="2"/>
      <c r="P171" s="2"/>
      <c r="Q171" s="2"/>
      <c r="R171" s="2"/>
      <c r="S171" s="2"/>
      <c r="T171" s="2"/>
      <c r="U171" s="2"/>
      <c r="V171" s="2"/>
      <c r="W171" s="2"/>
    </row>
    <row r="172" ht="22.5" customHeight="1">
      <c r="A172" s="3">
        <v>171.0</v>
      </c>
      <c r="B172" s="3" t="s">
        <v>2428</v>
      </c>
      <c r="C172" s="3" t="s">
        <v>2270</v>
      </c>
      <c r="D172" s="3" t="s">
        <v>2247</v>
      </c>
      <c r="E172" s="2"/>
      <c r="F172" s="3" t="str">
        <f>IFERROR(__xludf.DUMMYFUNCTION("GOOGLETRANSLATE(A172, ""it"", ""en"")"),"171")</f>
        <v>171</v>
      </c>
      <c r="G172" s="3" t="str">
        <f>IFERROR(__xludf.DUMMYFUNCTION("GOOGLETRANSLATE(B172, ""it"", ""en"")"),"Ye serve the ball an' yer opponent fails to return it but the ball lands on the line. What happens?")</f>
        <v>Ye serve the ball an' yer opponent fails to return it but the ball lands on the line. What happens?</v>
      </c>
      <c r="H172" s="3" t="str">
        <f>IFERROR(__xludf.DUMMYFUNCTION("GOOGLETRANSLATE(C172, ""it"", ""en"")"),"A. Ye win the point B. Ye lose the point C. Ye get a penalty D. Ye get a free throw")</f>
        <v>A. Ye win the point B. Ye lose the point C. Ye get a penalty D. Ye get a free throw</v>
      </c>
      <c r="I172" s="3" t="str">
        <f>IFERROR(__xludf.DUMMYFUNCTION("GOOGLETRANSLATE(D172, ""it"", ""en"")"),"You win the point")</f>
        <v>You win the point</v>
      </c>
      <c r="J172" s="2"/>
      <c r="K172" s="2"/>
      <c r="L172" s="2"/>
      <c r="M172" s="2"/>
      <c r="N172" s="2"/>
      <c r="O172" s="2"/>
      <c r="P172" s="2"/>
      <c r="Q172" s="2"/>
      <c r="R172" s="2"/>
      <c r="S172" s="2"/>
      <c r="T172" s="2"/>
      <c r="U172" s="2"/>
      <c r="V172" s="2"/>
      <c r="W172" s="2"/>
    </row>
    <row r="173" ht="22.5" customHeight="1">
      <c r="A173" s="3">
        <v>173.0</v>
      </c>
      <c r="B173" s="3" t="s">
        <v>2429</v>
      </c>
      <c r="C173" s="3" t="s">
        <v>2270</v>
      </c>
      <c r="D173" s="3" t="s">
        <v>2247</v>
      </c>
      <c r="E173" s="2"/>
      <c r="F173" s="3" t="str">
        <f>IFERROR(__xludf.DUMMYFUNCTION("GOOGLETRANSLATE(A173, ""it"", ""en"")"),"173")</f>
        <v>173</v>
      </c>
      <c r="G173" s="3" t="str">
        <f>IFERROR(__xludf.DUMMYFUNCTION("GOOGLETRANSLATE(B173, ""it"", ""en"")"),"Ye serve the ball an' yer opponent strikes it but the ball lands behind the line. What happens?")</f>
        <v>Ye serve the ball an' yer opponent strikes it but the ball lands behind the line. What happens?</v>
      </c>
      <c r="H173" s="3" t="str">
        <f>IFERROR(__xludf.DUMMYFUNCTION("GOOGLETRANSLATE(C173, ""it"", ""en"")"),"A. Ye win the point B. Ye lose the point C. Ye get a penalty D. Ye get a free throw")</f>
        <v>A. Ye win the point B. Ye lose the point C. Ye get a penalty D. Ye get a free throw</v>
      </c>
      <c r="I173" s="3" t="str">
        <f>IFERROR(__xludf.DUMMYFUNCTION("GOOGLETRANSLATE(D173, ""it"", ""en"")"),"You win the point")</f>
        <v>You win the point</v>
      </c>
      <c r="J173" s="2"/>
      <c r="K173" s="2"/>
      <c r="L173" s="2"/>
      <c r="M173" s="2"/>
      <c r="N173" s="2"/>
      <c r="O173" s="2"/>
      <c r="P173" s="2"/>
      <c r="Q173" s="2"/>
      <c r="R173" s="2"/>
      <c r="S173" s="2"/>
      <c r="T173" s="2"/>
      <c r="U173" s="2"/>
      <c r="V173" s="2"/>
      <c r="W173" s="2"/>
    </row>
    <row r="174" ht="22.5" customHeight="1">
      <c r="A174" s="3">
        <v>174.0</v>
      </c>
      <c r="B174" s="3" t="s">
        <v>2430</v>
      </c>
      <c r="C174" s="3" t="s">
        <v>2251</v>
      </c>
      <c r="D174" s="3" t="s">
        <v>2247</v>
      </c>
      <c r="E174" s="2"/>
      <c r="F174" s="3" t="str">
        <f>IFERROR(__xludf.DUMMYFUNCTION("GOOGLETRANSLATE(A174, ""it"", ""en"")"),"174")</f>
        <v>174</v>
      </c>
      <c r="G174" s="3" t="str">
        <f>IFERROR(__xludf.DUMMYFUNCTION("GOOGLETRANSLATE(B174, ""it"", ""en"")"),"Ye strike the ball an' yer opponent catches it but doesn't strike it back in time. What happens?")</f>
        <v>Ye strike the ball an' yer opponent catches it but doesn't strike it back in time. What happens?</v>
      </c>
      <c r="H174" s="3" t="str">
        <f>IFERROR(__xludf.DUMMYFUNCTION("GOOGLETRANSLATE(C174, ""it"", ""en"")"),"A. Ye win the point B. Ye lose the point C. Ye get a free throw D. Ye get a penalty")</f>
        <v>A. Ye win the point B. Ye lose the point C. Ye get a free throw D. Ye get a penalty</v>
      </c>
      <c r="I174" s="3" t="str">
        <f>IFERROR(__xludf.DUMMYFUNCTION("GOOGLETRANSLATE(D174, ""it"", ""en"")"),"You win the point")</f>
        <v>You win the point</v>
      </c>
      <c r="J174" s="2"/>
      <c r="K174" s="2"/>
      <c r="L174" s="2"/>
      <c r="M174" s="2"/>
      <c r="N174" s="2"/>
      <c r="O174" s="2"/>
      <c r="P174" s="2"/>
      <c r="Q174" s="2"/>
      <c r="R174" s="2"/>
      <c r="S174" s="2"/>
      <c r="T174" s="2"/>
      <c r="U174" s="2"/>
      <c r="V174" s="2"/>
      <c r="W174" s="2"/>
    </row>
    <row r="175" ht="22.5" customHeight="1">
      <c r="A175" s="3">
        <v>176.0</v>
      </c>
      <c r="B175" s="3" t="s">
        <v>2431</v>
      </c>
      <c r="C175" s="3" t="s">
        <v>2251</v>
      </c>
      <c r="D175" s="3" t="s">
        <v>2247</v>
      </c>
      <c r="E175" s="2"/>
      <c r="F175" s="3" t="str">
        <f>IFERROR(__xludf.DUMMYFUNCTION("GOOGLETRANSLATE(A175, ""it"", ""en"")"),"176")</f>
        <v>176</v>
      </c>
      <c r="G175" s="3" t="str">
        <f>IFERROR(__xludf.DUMMYFUNCTION("GOOGLETRANSLATE(B175, ""it"", ""en"")"),"Ye strike the ball an' yer opponent doesn't return it before the ball touches the ground. What happens?")</f>
        <v>Ye strike the ball an' yer opponent doesn't return it before the ball touches the ground. What happens?</v>
      </c>
      <c r="H175" s="3" t="str">
        <f>IFERROR(__xludf.DUMMYFUNCTION("GOOGLETRANSLATE(C175, ""it"", ""en"")"),"A. Ye win the point B. Ye lose the point C. Ye get a free throw D. Ye get a penalty")</f>
        <v>A. Ye win the point B. Ye lose the point C. Ye get a free throw D. Ye get a penalty</v>
      </c>
      <c r="I175" s="3" t="str">
        <f>IFERROR(__xludf.DUMMYFUNCTION("GOOGLETRANSLATE(D175, ""it"", ""en"")"),"You win the point")</f>
        <v>You win the point</v>
      </c>
      <c r="J175" s="2"/>
      <c r="K175" s="2"/>
      <c r="L175" s="2"/>
      <c r="M175" s="2"/>
      <c r="N175" s="2"/>
      <c r="O175" s="2"/>
      <c r="P175" s="2"/>
      <c r="Q175" s="2"/>
      <c r="R175" s="2"/>
      <c r="S175" s="2"/>
      <c r="T175" s="2"/>
      <c r="U175" s="2"/>
      <c r="V175" s="2"/>
      <c r="W175" s="2"/>
    </row>
    <row r="176" ht="22.5" customHeight="1">
      <c r="A176" s="3">
        <v>177.0</v>
      </c>
      <c r="B176" s="3" t="s">
        <v>2432</v>
      </c>
      <c r="C176" s="3" t="s">
        <v>2270</v>
      </c>
      <c r="D176" s="3" t="s">
        <v>2247</v>
      </c>
      <c r="E176" s="2"/>
      <c r="F176" s="3" t="str">
        <f>IFERROR(__xludf.DUMMYFUNCTION("GOOGLETRANSLATE(A176, ""it"", ""en"")"),"177")</f>
        <v>177</v>
      </c>
      <c r="G176" s="3" t="str">
        <f>IFERROR(__xludf.DUMMYFUNCTION("GOOGLETRANSLATE(B176, ""it"", ""en"")"),"Ye serves the ball but your opponent fails to return it in time. What happens?")</f>
        <v>Ye serves the ball but your opponent fails to return it in time. What happens?</v>
      </c>
      <c r="H176" s="3" t="str">
        <f>IFERROR(__xludf.DUMMYFUNCTION("GOOGLETRANSLATE(C176, ""it"", ""en"")"),"A. Ye win the point B. Ye lose the point C. Ye get a penalty D. Ye get a free throw")</f>
        <v>A. Ye win the point B. Ye lose the point C. Ye get a penalty D. Ye get a free throw</v>
      </c>
      <c r="I176" s="3" t="str">
        <f>IFERROR(__xludf.DUMMYFUNCTION("GOOGLETRANSLATE(D176, ""it"", ""en"")"),"You win the point")</f>
        <v>You win the point</v>
      </c>
      <c r="J176" s="2"/>
      <c r="K176" s="2"/>
      <c r="L176" s="2"/>
      <c r="M176" s="2"/>
      <c r="N176" s="2"/>
      <c r="O176" s="2"/>
      <c r="P176" s="2"/>
      <c r="Q176" s="2"/>
      <c r="R176" s="2"/>
      <c r="S176" s="2"/>
      <c r="T176" s="2"/>
      <c r="U176" s="2"/>
      <c r="V176" s="2"/>
      <c r="W176" s="2"/>
    </row>
    <row r="177" ht="22.5" customHeight="1">
      <c r="A177" s="3">
        <v>178.0</v>
      </c>
      <c r="B177" s="3" t="s">
        <v>2433</v>
      </c>
      <c r="C177" s="3" t="s">
        <v>2249</v>
      </c>
      <c r="D177" s="3" t="s">
        <v>2247</v>
      </c>
      <c r="E177" s="2"/>
      <c r="F177" s="3" t="str">
        <f>IFERROR(__xludf.DUMMYFUNCTION("GOOGLETRANSLATE(A177, ""it"", ""en"")"),"178")</f>
        <v>178</v>
      </c>
      <c r="G177" s="3" t="str">
        <f>IFERROR(__xludf.DUMMYFUNCTION("GOOGLETRANSLATE(B177, ""it"", ""en"")"),"Ye hit the ball an' yer opponent catches it but the ball lands outta bounds. What happens?")</f>
        <v>Ye hit the ball an' yer opponent catches it but the ball lands outta bounds. What happens?</v>
      </c>
      <c r="H177" s="3" t="str">
        <f>IFERROR(__xludf.DUMMYFUNCTION("GOOGLETRANSLATE(C177, ""it"", ""en"")"),"A. Ye lose the point B. Ye win the point C. Ye get a penalty D. Ye get a free throw")</f>
        <v>A. Ye lose the point B. Ye win the point C. Ye get a penalty D. Ye get a free throw</v>
      </c>
      <c r="I177" s="3" t="str">
        <f>IFERROR(__xludf.DUMMYFUNCTION("GOOGLETRANSLATE(D177, ""it"", ""en"")"),"You win the point")</f>
        <v>You win the point</v>
      </c>
      <c r="J177" s="2"/>
      <c r="K177" s="2"/>
      <c r="L177" s="2"/>
      <c r="M177" s="2"/>
      <c r="N177" s="2"/>
      <c r="O177" s="2"/>
      <c r="P177" s="2"/>
      <c r="Q177" s="2"/>
      <c r="R177" s="2"/>
      <c r="S177" s="2"/>
      <c r="T177" s="2"/>
      <c r="U177" s="2"/>
      <c r="V177" s="2"/>
      <c r="W177" s="2"/>
    </row>
    <row r="178" ht="22.5" customHeight="1">
      <c r="A178" s="3">
        <v>179.0</v>
      </c>
      <c r="B178" s="3" t="s">
        <v>2434</v>
      </c>
      <c r="C178" s="3" t="s">
        <v>2249</v>
      </c>
      <c r="D178" s="3" t="s">
        <v>2247</v>
      </c>
      <c r="E178" s="2"/>
      <c r="F178" s="3" t="str">
        <f>IFERROR(__xludf.DUMMYFUNCTION("GOOGLETRANSLATE(A178, ""it"", ""en"")"),"179")</f>
        <v>179</v>
      </c>
      <c r="G178" s="3" t="str">
        <f>IFERROR(__xludf.DUMMYFUNCTION("GOOGLETRANSLATE(B178, ""it"", ""en"")"),"Ye serve the ball but yer opponent doesn't return it an' the ball lands in yer court. What happens?")</f>
        <v>Ye serve the ball but yer opponent doesn't return it an' the ball lands in yer court. What happens?</v>
      </c>
      <c r="H178" s="3" t="str">
        <f>IFERROR(__xludf.DUMMYFUNCTION("GOOGLETRANSLATE(C178, ""it"", ""en"")"),"A. Ye lose the point B. Ye win the point C. Ye get a penalty D. Ye get a free throw")</f>
        <v>A. Ye lose the point B. Ye win the point C. Ye get a penalty D. Ye get a free throw</v>
      </c>
      <c r="I178" s="3" t="str">
        <f>IFERROR(__xludf.DUMMYFUNCTION("GOOGLETRANSLATE(D178, ""it"", ""en"")"),"You win the point")</f>
        <v>You win the point</v>
      </c>
      <c r="J178" s="2"/>
      <c r="K178" s="2"/>
      <c r="L178" s="2"/>
      <c r="M178" s="2"/>
      <c r="N178" s="2"/>
      <c r="O178" s="2"/>
      <c r="P178" s="2"/>
      <c r="Q178" s="2"/>
      <c r="R178" s="2"/>
      <c r="S178" s="2"/>
      <c r="T178" s="2"/>
      <c r="U178" s="2"/>
      <c r="V178" s="2"/>
      <c r="W178" s="2"/>
    </row>
    <row r="179" ht="22.5" customHeight="1">
      <c r="A179" s="3">
        <v>180.0</v>
      </c>
      <c r="B179" s="3" t="s">
        <v>2435</v>
      </c>
      <c r="C179" s="3" t="s">
        <v>2270</v>
      </c>
      <c r="D179" s="3" t="s">
        <v>2247</v>
      </c>
      <c r="E179" s="2"/>
      <c r="F179" s="3" t="str">
        <f>IFERROR(__xludf.DUMMYFUNCTION("GOOGLETRANSLATE(A179, ""it"", ""en"")"),"180")</f>
        <v>180</v>
      </c>
      <c r="G179" s="3" t="str">
        <f>IFERROR(__xludf.DUMMYFUNCTION("GOOGLETRANSLATE(B179, ""it"", ""en"")"),"Ye strike the ball an' yer opponent returns it but it lands outta bounds. What happens?")</f>
        <v>Ye strike the ball an' yer opponent returns it but it lands outta bounds. What happens?</v>
      </c>
      <c r="H179" s="3" t="str">
        <f>IFERROR(__xludf.DUMMYFUNCTION("GOOGLETRANSLATE(C179, ""it"", ""en"")"),"A. Ye win the point B. Ye lose the point C. Ye get a penalty D. Ye get a free throw")</f>
        <v>A. Ye win the point B. Ye lose the point C. Ye get a penalty D. Ye get a free throw</v>
      </c>
      <c r="I179" s="3" t="str">
        <f>IFERROR(__xludf.DUMMYFUNCTION("GOOGLETRANSLATE(D179, ""it"", ""en"")"),"You win the point")</f>
        <v>You win the point</v>
      </c>
      <c r="J179" s="2"/>
      <c r="K179" s="2"/>
      <c r="L179" s="2"/>
      <c r="M179" s="2"/>
      <c r="N179" s="2"/>
      <c r="O179" s="2"/>
      <c r="P179" s="2"/>
      <c r="Q179" s="2"/>
      <c r="R179" s="2"/>
      <c r="S179" s="2"/>
      <c r="T179" s="2"/>
      <c r="U179" s="2"/>
      <c r="V179" s="2"/>
      <c r="W179" s="2"/>
    </row>
    <row r="180" ht="22.5" customHeight="1">
      <c r="A180" s="3">
        <v>181.0</v>
      </c>
      <c r="B180" s="3" t="s">
        <v>2436</v>
      </c>
      <c r="C180" s="3" t="s">
        <v>2270</v>
      </c>
      <c r="D180" s="3" t="s">
        <v>2247</v>
      </c>
      <c r="E180" s="2"/>
      <c r="F180" s="3" t="str">
        <f>IFERROR(__xludf.DUMMYFUNCTION("GOOGLETRANSLATE(A180, ""it"", ""en"")"),"181")</f>
        <v>181</v>
      </c>
      <c r="G180" s="3" t="str">
        <f>IFERROR(__xludf.DUMMYFUNCTION("GOOGLETRANSLATE(B180, ""it"", ""en"")"),"Ye strike the ball an' yer opponent catches it but fails to strike it back. What happens?")</f>
        <v>Ye strike the ball an' yer opponent catches it but fails to strike it back. What happens?</v>
      </c>
      <c r="H180" s="3" t="str">
        <f>IFERROR(__xludf.DUMMYFUNCTION("GOOGLETRANSLATE(C180, ""it"", ""en"")"),"A. Ye win the point B. Ye lose the point C. Ye get a penalty D. Ye get a free throw")</f>
        <v>A. Ye win the point B. Ye lose the point C. Ye get a penalty D. Ye get a free throw</v>
      </c>
      <c r="I180" s="3" t="str">
        <f>IFERROR(__xludf.DUMMYFUNCTION("GOOGLETRANSLATE(D180, ""it"", ""en"")"),"You win the point")</f>
        <v>You win the point</v>
      </c>
      <c r="J180" s="2"/>
      <c r="K180" s="2"/>
      <c r="L180" s="2"/>
      <c r="M180" s="2"/>
      <c r="N180" s="2"/>
      <c r="O180" s="2"/>
      <c r="P180" s="2"/>
      <c r="Q180" s="2"/>
      <c r="R180" s="2"/>
      <c r="S180" s="2"/>
      <c r="T180" s="2"/>
      <c r="U180" s="2"/>
      <c r="V180" s="2"/>
      <c r="W180" s="2"/>
    </row>
    <row r="181" ht="22.5" customHeight="1">
      <c r="A181" s="3">
        <v>182.0</v>
      </c>
      <c r="B181" s="3" t="s">
        <v>2437</v>
      </c>
      <c r="C181" s="3" t="s">
        <v>2270</v>
      </c>
      <c r="D181" s="3" t="s">
        <v>2247</v>
      </c>
      <c r="E181" s="2"/>
      <c r="F181" s="3" t="str">
        <f>IFERROR(__xludf.DUMMYFUNCTION("GOOGLETRANSLATE(A181, ""it"", ""en"")"),"182")</f>
        <v>182</v>
      </c>
      <c r="G181" s="3" t="str">
        <f>IFERROR(__xludf.DUMMYFUNCTION("GOOGLETRANSLATE(B181, ""it"", ""en"")"),"Ye serve the ball an' yer opponent strikes it back but it lands behind the line. What happens?")</f>
        <v>Ye serve the ball an' yer opponent strikes it back but it lands behind the line. What happens?</v>
      </c>
      <c r="H181" s="3" t="str">
        <f>IFERROR(__xludf.DUMMYFUNCTION("GOOGLETRANSLATE(C181, ""it"", ""en"")"),"A. Ye win the point B. Ye lose the point C. Ye get a penalty D. Ye get a free throw")</f>
        <v>A. Ye win the point B. Ye lose the point C. Ye get a penalty D. Ye get a free throw</v>
      </c>
      <c r="I181" s="3" t="str">
        <f>IFERROR(__xludf.DUMMYFUNCTION("GOOGLETRANSLATE(D181, ""it"", ""en"")"),"You win the point")</f>
        <v>You win the point</v>
      </c>
      <c r="J181" s="2"/>
      <c r="K181" s="2"/>
      <c r="L181" s="2"/>
      <c r="M181" s="2"/>
      <c r="N181" s="2"/>
      <c r="O181" s="2"/>
      <c r="P181" s="2"/>
      <c r="Q181" s="2"/>
      <c r="R181" s="2"/>
      <c r="S181" s="2"/>
      <c r="T181" s="2"/>
      <c r="U181" s="2"/>
      <c r="V181" s="2"/>
      <c r="W181" s="2"/>
    </row>
    <row r="182" ht="22.5" customHeight="1">
      <c r="A182" s="3">
        <v>183.0</v>
      </c>
      <c r="B182" s="3" t="s">
        <v>2438</v>
      </c>
      <c r="C182" s="3" t="s">
        <v>2251</v>
      </c>
      <c r="D182" s="3" t="s">
        <v>2247</v>
      </c>
      <c r="E182" s="2"/>
      <c r="F182" s="3" t="str">
        <f>IFERROR(__xludf.DUMMYFUNCTION("GOOGLETRANSLATE(A182, ""it"", ""en"")"),"183")</f>
        <v>183</v>
      </c>
      <c r="G182" s="3" t="str">
        <f>IFERROR(__xludf.DUMMYFUNCTION("GOOGLETRANSLATE(B182, ""it"", ""en"")"),"Ye hit the ball an' yer opponent blocks it with their bracelet but doesn't return it. What happens?")</f>
        <v>Ye hit the ball an' yer opponent blocks it with their bracelet but doesn't return it. What happens?</v>
      </c>
      <c r="H182" s="3" t="str">
        <f>IFERROR(__xludf.DUMMYFUNCTION("GOOGLETRANSLATE(C182, ""it"", ""en"")"),"A. Ye win the point B. Ye lose the point C. Ye get a free throw D. Ye get a penalty")</f>
        <v>A. Ye win the point B. Ye lose the point C. Ye get a free throw D. Ye get a penalty</v>
      </c>
      <c r="I182" s="3" t="str">
        <f>IFERROR(__xludf.DUMMYFUNCTION("GOOGLETRANSLATE(D182, ""it"", ""en"")"),"You win the point")</f>
        <v>You win the point</v>
      </c>
      <c r="J182" s="2"/>
      <c r="K182" s="2"/>
      <c r="L182" s="2"/>
      <c r="M182" s="2"/>
      <c r="N182" s="2"/>
      <c r="O182" s="2"/>
      <c r="P182" s="2"/>
      <c r="Q182" s="2"/>
      <c r="R182" s="2"/>
      <c r="S182" s="2"/>
      <c r="T182" s="2"/>
      <c r="U182" s="2"/>
      <c r="V182" s="2"/>
      <c r="W182" s="2"/>
    </row>
    <row r="183" ht="22.5" customHeight="1">
      <c r="A183" s="3">
        <v>184.0</v>
      </c>
      <c r="B183" s="3" t="s">
        <v>2439</v>
      </c>
      <c r="C183" s="3" t="s">
        <v>2270</v>
      </c>
      <c r="D183" s="3" t="s">
        <v>2247</v>
      </c>
      <c r="E183" s="2"/>
      <c r="F183" s="3" t="str">
        <f>IFERROR(__xludf.DUMMYFUNCTION("GOOGLETRANSLATE(A183, ""it"", ""en"")"),"184")</f>
        <v>184</v>
      </c>
      <c r="G183" s="3" t="str">
        <f>IFERROR(__xludf.DUMMYFUNCTION("GOOGLETRANSLATE(B183, ""it"", ""en"")"),"Ye serve the ball an' yer opponent catches it mid-air but doesn't return it. What happens?")</f>
        <v>Ye serve the ball an' yer opponent catches it mid-air but doesn't return it. What happens?</v>
      </c>
      <c r="H183" s="3" t="str">
        <f>IFERROR(__xludf.DUMMYFUNCTION("GOOGLETRANSLATE(C183, ""it"", ""en"")"),"A. Ye win the point B. Ye lose the point C. Ye get a penalty D. Ye get a free throw")</f>
        <v>A. Ye win the point B. Ye lose the point C. Ye get a penalty D. Ye get a free throw</v>
      </c>
      <c r="I183" s="3" t="str">
        <f>IFERROR(__xludf.DUMMYFUNCTION("GOOGLETRANSLATE(D183, ""it"", ""en"")"),"You win the point")</f>
        <v>You win the point</v>
      </c>
      <c r="J183" s="2"/>
      <c r="K183" s="2"/>
      <c r="L183" s="2"/>
      <c r="M183" s="2"/>
      <c r="N183" s="2"/>
      <c r="O183" s="2"/>
      <c r="P183" s="2"/>
      <c r="Q183" s="2"/>
      <c r="R183" s="2"/>
      <c r="S183" s="2"/>
      <c r="T183" s="2"/>
      <c r="U183" s="2"/>
      <c r="V183" s="2"/>
      <c r="W183" s="2"/>
    </row>
    <row r="184" ht="22.5" customHeight="1">
      <c r="A184" s="3">
        <v>185.0</v>
      </c>
      <c r="B184" s="3" t="s">
        <v>2440</v>
      </c>
      <c r="C184" s="3" t="s">
        <v>2270</v>
      </c>
      <c r="D184" s="3" t="s">
        <v>2247</v>
      </c>
      <c r="E184" s="2"/>
      <c r="F184" s="3" t="str">
        <f>IFERROR(__xludf.DUMMYFUNCTION("GOOGLETRANSLATE(A184, ""it"", ""en"")"),"185")</f>
        <v>185</v>
      </c>
      <c r="G184" s="3" t="str">
        <f>IFERROR(__xludf.DUMMYFUNCTION("GOOGLETRANSLATE(B184, ""it"", ""en"")"),"Ye strike the ball an' yer opponent misses it but the ball lands outside the court. What happens?")</f>
        <v>Ye strike the ball an' yer opponent misses it but the ball lands outside the court. What happens?</v>
      </c>
      <c r="H184" s="3" t="str">
        <f>IFERROR(__xludf.DUMMYFUNCTION("GOOGLETRANSLATE(C184, ""it"", ""en"")"),"A. Ye win the point B. Ye lose the point C. Ye get a penalty D. Ye get a free throw")</f>
        <v>A. Ye win the point B. Ye lose the point C. Ye get a penalty D. Ye get a free throw</v>
      </c>
      <c r="I184" s="3" t="str">
        <f>IFERROR(__xludf.DUMMYFUNCTION("GOOGLETRANSLATE(D184, ""it"", ""en"")"),"You win the point")</f>
        <v>You win the point</v>
      </c>
      <c r="J184" s="2"/>
      <c r="K184" s="2"/>
      <c r="L184" s="2"/>
      <c r="M184" s="2"/>
      <c r="N184" s="2"/>
      <c r="O184" s="2"/>
      <c r="P184" s="2"/>
      <c r="Q184" s="2"/>
      <c r="R184" s="2"/>
      <c r="S184" s="2"/>
      <c r="T184" s="2"/>
      <c r="U184" s="2"/>
      <c r="V184" s="2"/>
      <c r="W184" s="2"/>
    </row>
    <row r="185" ht="22.5" customHeight="1">
      <c r="A185" s="3">
        <v>188.0</v>
      </c>
      <c r="B185" s="3" t="s">
        <v>2441</v>
      </c>
      <c r="C185" s="3" t="s">
        <v>2270</v>
      </c>
      <c r="D185" s="3" t="s">
        <v>2247</v>
      </c>
      <c r="E185" s="2"/>
      <c r="F185" s="3" t="str">
        <f>IFERROR(__xludf.DUMMYFUNCTION("GOOGLETRANSLATE(A185, ""it"", ""en"")"),"188")</f>
        <v>188</v>
      </c>
      <c r="G185" s="3" t="str">
        <f>IFERROR(__xludf.DUMMYFUNCTION("GOOGLETRANSLATE(B185, ""it"", ""en"")"),"Ye serve the ball but yer opponent catches it an' doesn't strike it back. What happens?")</f>
        <v>Ye serve the ball but yer opponent catches it an' doesn't strike it back. What happens?</v>
      </c>
      <c r="H185" s="3" t="str">
        <f>IFERROR(__xludf.DUMMYFUNCTION("GOOGLETRANSLATE(C185, ""it"", ""en"")"),"A. Ye win the point B. Ye lose the point C. Ye get a penalty D. Ye get a free throw")</f>
        <v>A. Ye win the point B. Ye lose the point C. Ye get a penalty D. Ye get a free throw</v>
      </c>
      <c r="I185" s="3" t="str">
        <f>IFERROR(__xludf.DUMMYFUNCTION("GOOGLETRANSLATE(D185, ""it"", ""en"")"),"You win the point")</f>
        <v>You win the point</v>
      </c>
      <c r="J185" s="2"/>
      <c r="K185" s="2"/>
      <c r="L185" s="2"/>
      <c r="M185" s="2"/>
      <c r="N185" s="2"/>
      <c r="O185" s="2"/>
      <c r="P185" s="2"/>
      <c r="Q185" s="2"/>
      <c r="R185" s="2"/>
      <c r="S185" s="2"/>
      <c r="T185" s="2"/>
      <c r="U185" s="2"/>
      <c r="V185" s="2"/>
      <c r="W185" s="2"/>
    </row>
    <row r="186" ht="22.5" customHeight="1">
      <c r="A186" s="3">
        <v>189.0</v>
      </c>
      <c r="B186" s="3" t="s">
        <v>2442</v>
      </c>
      <c r="C186" s="3" t="s">
        <v>2251</v>
      </c>
      <c r="D186" s="3" t="s">
        <v>2247</v>
      </c>
      <c r="E186" s="2"/>
      <c r="F186" s="3" t="str">
        <f>IFERROR(__xludf.DUMMYFUNCTION("GOOGLETRANSLATE(A186, ""it"", ""en"")"),"189")</f>
        <v>189</v>
      </c>
      <c r="G186" s="3" t="str">
        <f>IFERROR(__xludf.DUMMYFUNCTION("GOOGLETRANSLATE(B186, ""it"", ""en"")"),"Ye hit the ball an' yer opponent blocks it but doesn't strike it back. What happens?")</f>
        <v>Ye hit the ball an' yer opponent blocks it but doesn't strike it back. What happens?</v>
      </c>
      <c r="H186" s="3" t="str">
        <f>IFERROR(__xludf.DUMMYFUNCTION("GOOGLETRANSLATE(C186, ""it"", ""en"")"),"A. Ye win the point B. Ye lose the point C. Ye get a free throw D. Ye get a penalty")</f>
        <v>A. Ye win the point B. Ye lose the point C. Ye get a free throw D. Ye get a penalty</v>
      </c>
      <c r="I186" s="3" t="str">
        <f>IFERROR(__xludf.DUMMYFUNCTION("GOOGLETRANSLATE(D186, ""it"", ""en"")"),"You win the point")</f>
        <v>You win the point</v>
      </c>
      <c r="J186" s="2"/>
      <c r="K186" s="2"/>
      <c r="L186" s="2"/>
      <c r="M186" s="2"/>
      <c r="N186" s="2"/>
      <c r="O186" s="2"/>
      <c r="P186" s="2"/>
      <c r="Q186" s="2"/>
      <c r="R186" s="2"/>
      <c r="S186" s="2"/>
      <c r="T186" s="2"/>
      <c r="U186" s="2"/>
      <c r="V186" s="2"/>
      <c r="W186" s="2"/>
    </row>
    <row r="187" ht="22.5" customHeight="1">
      <c r="A187" s="3">
        <v>190.0</v>
      </c>
      <c r="B187" s="3" t="s">
        <v>2443</v>
      </c>
      <c r="C187" s="3" t="s">
        <v>2270</v>
      </c>
      <c r="D187" s="3" t="s">
        <v>2247</v>
      </c>
      <c r="E187" s="2"/>
      <c r="F187" s="3" t="str">
        <f>IFERROR(__xludf.DUMMYFUNCTION("GOOGLETRANSLATE(A187, ""it"", ""en"")"),"190")</f>
        <v>190</v>
      </c>
      <c r="G187" s="3" t="str">
        <f>IFERROR(__xludf.DUMMYFUNCTION("GOOGLETRANSLATE(B187, ""it"", ""en"")"),"Ye serve the ball an' yer opponent returns it but the ball lands in yer court. What happens?")</f>
        <v>Ye serve the ball an' yer opponent returns it but the ball lands in yer court. What happens?</v>
      </c>
      <c r="H187" s="3" t="str">
        <f>IFERROR(__xludf.DUMMYFUNCTION("GOOGLETRANSLATE(C187, ""it"", ""en"")"),"A. Ye win the point B. Ye lose the point C. Ye get a penalty D. Ye get a free throw")</f>
        <v>A. Ye win the point B. Ye lose the point C. Ye get a penalty D. Ye get a free throw</v>
      </c>
      <c r="I187" s="3" t="str">
        <f>IFERROR(__xludf.DUMMYFUNCTION("GOOGLETRANSLATE(D187, ""it"", ""en"")"),"You win the point")</f>
        <v>You win the point</v>
      </c>
      <c r="J187" s="2"/>
      <c r="K187" s="2"/>
      <c r="L187" s="2"/>
      <c r="M187" s="2"/>
      <c r="N187" s="2"/>
      <c r="O187" s="2"/>
      <c r="P187" s="2"/>
      <c r="Q187" s="2"/>
      <c r="R187" s="2"/>
      <c r="S187" s="2"/>
      <c r="T187" s="2"/>
      <c r="U187" s="2"/>
      <c r="V187" s="2"/>
      <c r="W187" s="2"/>
    </row>
    <row r="188" ht="22.5" customHeight="1">
      <c r="A188" s="3">
        <v>191.0</v>
      </c>
      <c r="B188" s="3" t="s">
        <v>2430</v>
      </c>
      <c r="C188" s="3" t="s">
        <v>2251</v>
      </c>
      <c r="D188" s="3" t="s">
        <v>2247</v>
      </c>
      <c r="E188" s="2"/>
      <c r="F188" s="3" t="str">
        <f>IFERROR(__xludf.DUMMYFUNCTION("GOOGLETRANSLATE(A188, ""it"", ""en"")"),"191")</f>
        <v>191</v>
      </c>
      <c r="G188" s="3" t="str">
        <f>IFERROR(__xludf.DUMMYFUNCTION("GOOGLETRANSLATE(B188, ""it"", ""en"")"),"Ye strike the ball an' yer opponent catches it but doesn't strike it back in time. What happens?")</f>
        <v>Ye strike the ball an' yer opponent catches it but doesn't strike it back in time. What happens?</v>
      </c>
      <c r="H188" s="3" t="str">
        <f>IFERROR(__xludf.DUMMYFUNCTION("GOOGLETRANSLATE(C188, ""it"", ""en"")"),"A. Ye win the point B. Ye lose the point C. Ye get a free throw D. Ye get a penalty")</f>
        <v>A. Ye win the point B. Ye lose the point C. Ye get a free throw D. Ye get a penalty</v>
      </c>
      <c r="I188" s="3" t="str">
        <f>IFERROR(__xludf.DUMMYFUNCTION("GOOGLETRANSLATE(D188, ""it"", ""en"")"),"You win the point")</f>
        <v>You win the point</v>
      </c>
      <c r="J188" s="2"/>
      <c r="K188" s="2"/>
      <c r="L188" s="2"/>
      <c r="M188" s="2"/>
      <c r="N188" s="2"/>
      <c r="O188" s="2"/>
      <c r="P188" s="2"/>
      <c r="Q188" s="2"/>
      <c r="R188" s="2"/>
      <c r="S188" s="2"/>
      <c r="T188" s="2"/>
      <c r="U188" s="2"/>
      <c r="V188" s="2"/>
      <c r="W188" s="2"/>
    </row>
    <row r="189" ht="22.5" customHeight="1">
      <c r="A189" s="3">
        <v>192.0</v>
      </c>
      <c r="B189" s="3" t="s">
        <v>2444</v>
      </c>
      <c r="C189" s="3" t="s">
        <v>2270</v>
      </c>
      <c r="D189" s="3" t="s">
        <v>2247</v>
      </c>
      <c r="E189" s="2"/>
      <c r="F189" s="3" t="str">
        <f>IFERROR(__xludf.DUMMYFUNCTION("GOOGLETRANSLATE(A189, ""it"", ""en"")"),"192")</f>
        <v>192</v>
      </c>
      <c r="G189" s="3" t="str">
        <f>IFERROR(__xludf.DUMMYFUNCTION("GOOGLETRANSLATE(B189, ""it"", ""en"")"),"Ye serve the ball an' yer opponent strikes it back but the ball lands out of bounds. What happens?")</f>
        <v>Ye serve the ball an' yer opponent strikes it back but the ball lands out of bounds. What happens?</v>
      </c>
      <c r="H189" s="3" t="str">
        <f>IFERROR(__xludf.DUMMYFUNCTION("GOOGLETRANSLATE(C189, ""it"", ""en"")"),"A. Ye win the point B. Ye lose the point C. Ye get a penalty D. Ye get a free throw")</f>
        <v>A. Ye win the point B. Ye lose the point C. Ye get a penalty D. Ye get a free throw</v>
      </c>
      <c r="I189" s="3" t="str">
        <f>IFERROR(__xludf.DUMMYFUNCTION("GOOGLETRANSLATE(D189, ""it"", ""en"")"),"You win the point")</f>
        <v>You win the point</v>
      </c>
      <c r="J189" s="2"/>
      <c r="K189" s="2"/>
      <c r="L189" s="2"/>
      <c r="M189" s="2"/>
      <c r="N189" s="2"/>
      <c r="O189" s="2"/>
      <c r="P189" s="2"/>
      <c r="Q189" s="2"/>
      <c r="R189" s="2"/>
      <c r="S189" s="2"/>
      <c r="T189" s="2"/>
      <c r="U189" s="2"/>
      <c r="V189" s="2"/>
      <c r="W189" s="2"/>
    </row>
    <row r="190" ht="22.5" customHeight="1">
      <c r="A190" s="3">
        <v>193.0</v>
      </c>
      <c r="B190" s="3" t="s">
        <v>2445</v>
      </c>
      <c r="C190" s="3" t="s">
        <v>2270</v>
      </c>
      <c r="D190" s="3" t="s">
        <v>2247</v>
      </c>
      <c r="E190" s="2"/>
      <c r="F190" s="3" t="str">
        <f>IFERROR(__xludf.DUMMYFUNCTION("GOOGLETRANSLATE(A190, ""it"", ""en"")"),"193")</f>
        <v>193</v>
      </c>
      <c r="G190" s="3" t="str">
        <f>IFERROR(__xludf.DUMMYFUNCTION("GOOGLETRANSLATE(B190, ""it"", ""en"")"),"Ye hit the ball an' yer opponent returns it but the ball bounces back into their side. What happens?")</f>
        <v>Ye hit the ball an' yer opponent returns it but the ball bounces back into their side. What happens?</v>
      </c>
      <c r="H190" s="3" t="str">
        <f>IFERROR(__xludf.DUMMYFUNCTION("GOOGLETRANSLATE(C190, ""it"", ""en"")"),"A. Ye win the point B. Ye lose the point C. Ye get a penalty D. Ye get a free throw")</f>
        <v>A. Ye win the point B. Ye lose the point C. Ye get a penalty D. Ye get a free throw</v>
      </c>
      <c r="I190" s="3" t="str">
        <f>IFERROR(__xludf.DUMMYFUNCTION("GOOGLETRANSLATE(D190, ""it"", ""en"")"),"You win the point")</f>
        <v>You win the point</v>
      </c>
      <c r="J190" s="2"/>
      <c r="K190" s="2"/>
      <c r="L190" s="2"/>
      <c r="M190" s="2"/>
      <c r="N190" s="2"/>
      <c r="O190" s="2"/>
      <c r="P190" s="2"/>
      <c r="Q190" s="2"/>
      <c r="R190" s="2"/>
      <c r="S190" s="2"/>
      <c r="T190" s="2"/>
      <c r="U190" s="2"/>
      <c r="V190" s="2"/>
      <c r="W190" s="2"/>
    </row>
    <row r="191" ht="22.5" customHeight="1">
      <c r="A191" s="3">
        <v>194.0</v>
      </c>
      <c r="B191" s="3" t="s">
        <v>2446</v>
      </c>
      <c r="C191" s="3" t="s">
        <v>2249</v>
      </c>
      <c r="D191" s="3" t="s">
        <v>2247</v>
      </c>
      <c r="E191" s="2"/>
      <c r="F191" s="3" t="str">
        <f>IFERROR(__xludf.DUMMYFUNCTION("GOOGLETRANSLATE(A191, ""it"", ""en"")"),"194")</f>
        <v>194</v>
      </c>
      <c r="G191" s="3" t="str">
        <f>IFERROR(__xludf.DUMMYFUNCTION("GOOGLETRANSLATE(B191, ""it"", ""en"")"),"Ye serve the ball an' yer opponent misses but the ball lands out of bounds. What happens?")</f>
        <v>Ye serve the ball an' yer opponent misses but the ball lands out of bounds. What happens?</v>
      </c>
      <c r="H191" s="3" t="str">
        <f>IFERROR(__xludf.DUMMYFUNCTION("GOOGLETRANSLATE(C191, ""it"", ""en"")"),"A. Ye lose the point B. Ye win the point C. Ye get a penalty D. Ye get a free throw")</f>
        <v>A. Ye lose the point B. Ye win the point C. Ye get a penalty D. Ye get a free throw</v>
      </c>
      <c r="I191" s="3" t="str">
        <f>IFERROR(__xludf.DUMMYFUNCTION("GOOGLETRANSLATE(D191, ""it"", ""en"")"),"You win the point")</f>
        <v>You win the point</v>
      </c>
      <c r="J191" s="2"/>
      <c r="K191" s="2"/>
      <c r="L191" s="2"/>
      <c r="M191" s="2"/>
      <c r="N191" s="2"/>
      <c r="O191" s="2"/>
      <c r="P191" s="2"/>
      <c r="Q191" s="2"/>
      <c r="R191" s="2"/>
      <c r="S191" s="2"/>
      <c r="T191" s="2"/>
      <c r="U191" s="2"/>
      <c r="V191" s="2"/>
      <c r="W191" s="2"/>
    </row>
    <row r="192" ht="22.5" customHeight="1">
      <c r="A192" s="3">
        <v>195.0</v>
      </c>
      <c r="B192" s="3" t="s">
        <v>2447</v>
      </c>
      <c r="C192" s="3" t="s">
        <v>2270</v>
      </c>
      <c r="D192" s="3" t="s">
        <v>2247</v>
      </c>
      <c r="E192" s="2"/>
      <c r="F192" s="3" t="str">
        <f>IFERROR(__xludf.DUMMYFUNCTION("GOOGLETRANSLATE(A192, ""it"", ""en"")"),"195")</f>
        <v>195</v>
      </c>
      <c r="G192" s="3" t="str">
        <f>IFERROR(__xludf.DUMMYFUNCTION("GOOGLETRANSLATE(B192, ""it"", ""en"")"),"Ye strike the ball an' yer opponent catches it but doesn't strike it back. What happens?")</f>
        <v>Ye strike the ball an' yer opponent catches it but doesn't strike it back. What happens?</v>
      </c>
      <c r="H192" s="3" t="str">
        <f>IFERROR(__xludf.DUMMYFUNCTION("GOOGLETRANSLATE(C192, ""it"", ""en"")"),"A. Ye win the point B. Ye lose the point C. Ye get a penalty D. Ye get a free throw")</f>
        <v>A. Ye win the point B. Ye lose the point C. Ye get a penalty D. Ye get a free throw</v>
      </c>
      <c r="I192" s="3" t="str">
        <f>IFERROR(__xludf.DUMMYFUNCTION("GOOGLETRANSLATE(D192, ""it"", ""en"")"),"You win the point")</f>
        <v>You win the point</v>
      </c>
      <c r="J192" s="2"/>
      <c r="K192" s="2"/>
      <c r="L192" s="2"/>
      <c r="M192" s="2"/>
      <c r="N192" s="2"/>
      <c r="O192" s="2"/>
      <c r="P192" s="2"/>
      <c r="Q192" s="2"/>
      <c r="R192" s="2"/>
      <c r="S192" s="2"/>
      <c r="T192" s="2"/>
      <c r="U192" s="2"/>
      <c r="V192" s="2"/>
      <c r="W192" s="2"/>
    </row>
    <row r="193" ht="22.5" customHeight="1">
      <c r="A193" s="3">
        <v>196.0</v>
      </c>
      <c r="B193" s="3" t="s">
        <v>2448</v>
      </c>
      <c r="C193" s="3" t="s">
        <v>2251</v>
      </c>
      <c r="D193" s="3" t="s">
        <v>2247</v>
      </c>
      <c r="E193" s="2"/>
      <c r="F193" s="3" t="str">
        <f>IFERROR(__xludf.DUMMYFUNCTION("GOOGLETRANSLATE(A193, ""it"", ""en"")"),"196")</f>
        <v>196</v>
      </c>
      <c r="G193" s="3" t="str">
        <f>IFERROR(__xludf.DUMMYFUNCTION("GOOGLETRANSLATE(B193, ""it"", ""en"")"),"Ye serve the ball an' yer opponent blocks it but fails to return it. What happens?")</f>
        <v>Ye serve the ball an' yer opponent blocks it but fails to return it. What happens?</v>
      </c>
      <c r="H193" s="3" t="str">
        <f>IFERROR(__xludf.DUMMYFUNCTION("GOOGLETRANSLATE(C193, ""it"", ""en"")"),"A. Ye win the point B. Ye lose the point C. Ye get a free throw D. Ye get a penalty")</f>
        <v>A. Ye win the point B. Ye lose the point C. Ye get a free throw D. Ye get a penalty</v>
      </c>
      <c r="I193" s="3" t="str">
        <f>IFERROR(__xludf.DUMMYFUNCTION("GOOGLETRANSLATE(D193, ""it"", ""en"")"),"You win the point")</f>
        <v>You win the point</v>
      </c>
      <c r="J193" s="2"/>
      <c r="K193" s="2"/>
      <c r="L193" s="2"/>
      <c r="M193" s="2"/>
      <c r="N193" s="2"/>
      <c r="O193" s="2"/>
      <c r="P193" s="2"/>
      <c r="Q193" s="2"/>
      <c r="R193" s="2"/>
      <c r="S193" s="2"/>
      <c r="T193" s="2"/>
      <c r="U193" s="2"/>
      <c r="V193" s="2"/>
      <c r="W193" s="2"/>
    </row>
    <row r="194" ht="22.5" customHeight="1">
      <c r="A194" s="3">
        <v>197.0</v>
      </c>
      <c r="B194" s="3" t="s">
        <v>2449</v>
      </c>
      <c r="C194" s="3" t="s">
        <v>2270</v>
      </c>
      <c r="D194" s="3" t="s">
        <v>2247</v>
      </c>
      <c r="E194" s="2"/>
      <c r="F194" s="3" t="str">
        <f>IFERROR(__xludf.DUMMYFUNCTION("GOOGLETRANSLATE(A194, ""it"", ""en"")"),"197")</f>
        <v>197</v>
      </c>
      <c r="G194" s="3" t="str">
        <f>IFERROR(__xludf.DUMMYFUNCTION("GOOGLETRANSLATE(B194, ""it"", ""en"")"),"Ye hit the ball an' yer opponent catches it but doesn't strike it back in time. What happens?")</f>
        <v>Ye hit the ball an' yer opponent catches it but doesn't strike it back in time. What happens?</v>
      </c>
      <c r="H194" s="3" t="str">
        <f>IFERROR(__xludf.DUMMYFUNCTION("GOOGLETRANSLATE(C194, ""it"", ""en"")"),"A. Ye win the point B. Ye lose the point C. Ye get a penalty D. Ye get a free throw")</f>
        <v>A. Ye win the point B. Ye lose the point C. Ye get a penalty D. Ye get a free throw</v>
      </c>
      <c r="I194" s="3" t="str">
        <f>IFERROR(__xludf.DUMMYFUNCTION("GOOGLETRANSLATE(D194, ""it"", ""en"")"),"You win the point")</f>
        <v>You win the point</v>
      </c>
      <c r="J194" s="2"/>
      <c r="K194" s="2"/>
      <c r="L194" s="2"/>
      <c r="M194" s="2"/>
      <c r="N194" s="2"/>
      <c r="O194" s="2"/>
      <c r="P194" s="2"/>
      <c r="Q194" s="2"/>
      <c r="R194" s="2"/>
      <c r="S194" s="2"/>
      <c r="T194" s="2"/>
      <c r="U194" s="2"/>
      <c r="V194" s="2"/>
      <c r="W194" s="2"/>
    </row>
    <row r="195" ht="22.5" customHeight="1">
      <c r="A195" s="3">
        <v>198.0</v>
      </c>
      <c r="B195" s="3" t="s">
        <v>2450</v>
      </c>
      <c r="C195" s="3" t="s">
        <v>2270</v>
      </c>
      <c r="D195" s="3" t="s">
        <v>2247</v>
      </c>
      <c r="E195" s="2"/>
      <c r="F195" s="3" t="str">
        <f>IFERROR(__xludf.DUMMYFUNCTION("GOOGLETRANSLATE(A195, ""it"", ""en"")"),"198")</f>
        <v>198</v>
      </c>
      <c r="G195" s="3" t="str">
        <f>IFERROR(__xludf.DUMMYFUNCTION("GOOGLETRANSLATE(B195, ""it"", ""en"")"),"Ye serve the ball but yer opponent fails to return it before the ball lands in their court. What happens?")</f>
        <v>Ye serve the ball but yer opponent fails to return it before the ball lands in their court. What happens?</v>
      </c>
      <c r="H195" s="3" t="str">
        <f>IFERROR(__xludf.DUMMYFUNCTION("GOOGLETRANSLATE(C195, ""it"", ""en"")"),"A. Ye win the point B. Ye lose the point C. Ye get a penalty D. Ye get a free throw")</f>
        <v>A. Ye win the point B. Ye lose the point C. Ye get a penalty D. Ye get a free throw</v>
      </c>
      <c r="I195" s="3" t="str">
        <f>IFERROR(__xludf.DUMMYFUNCTION("GOOGLETRANSLATE(D195, ""it"", ""en"")"),"You win the point")</f>
        <v>You win the point</v>
      </c>
      <c r="J195" s="2"/>
      <c r="K195" s="2"/>
      <c r="L195" s="2"/>
      <c r="M195" s="2"/>
      <c r="N195" s="2"/>
      <c r="O195" s="2"/>
      <c r="P195" s="2"/>
      <c r="Q195" s="2"/>
      <c r="R195" s="2"/>
      <c r="S195" s="2"/>
      <c r="T195" s="2"/>
      <c r="U195" s="2"/>
      <c r="V195" s="2"/>
      <c r="W195" s="2"/>
    </row>
    <row r="196" ht="22.5" customHeight="1">
      <c r="A196" s="3">
        <v>200.0</v>
      </c>
      <c r="B196" s="3" t="s">
        <v>2451</v>
      </c>
      <c r="C196" s="3" t="s">
        <v>2249</v>
      </c>
      <c r="D196" s="3" t="s">
        <v>2247</v>
      </c>
      <c r="E196" s="2"/>
      <c r="F196" s="3" t="str">
        <f>IFERROR(__xludf.DUMMYFUNCTION("GOOGLETRANSLATE(A196, ""it"", ""en"")"),"200")</f>
        <v>200</v>
      </c>
      <c r="G196" s="3" t="str">
        <f>IFERROR(__xludf.DUMMYFUNCTION("GOOGLETRANSLATE(B196, ""it"", ""en"")"),"Ye serve the ball an' yer opponent misses but the ball lands inside the court. What happens?")</f>
        <v>Ye serve the ball an' yer opponent misses but the ball lands inside the court. What happens?</v>
      </c>
      <c r="H196" s="3" t="str">
        <f>IFERROR(__xludf.DUMMYFUNCTION("GOOGLETRANSLATE(C196, ""it"", ""en"")"),"A. Ye lose the point B. Ye win the point C. Ye get a penalty D. Ye get a free throw")</f>
        <v>A. Ye lose the point B. Ye win the point C. Ye get a penalty D. Ye get a free throw</v>
      </c>
      <c r="I196" s="3" t="str">
        <f>IFERROR(__xludf.DUMMYFUNCTION("GOOGLETRANSLATE(D196, ""it"", ""en"")"),"You win the point")</f>
        <v>You win the point</v>
      </c>
      <c r="J196" s="2"/>
      <c r="K196" s="2"/>
      <c r="L196" s="2"/>
      <c r="M196" s="2"/>
      <c r="N196" s="2"/>
      <c r="O196" s="2"/>
      <c r="P196" s="2"/>
      <c r="Q196" s="2"/>
      <c r="R196" s="2"/>
      <c r="S196" s="2"/>
      <c r="T196" s="2"/>
      <c r="U196" s="2"/>
      <c r="V196" s="2"/>
      <c r="W196" s="2"/>
    </row>
    <row r="197" ht="22.5" customHeight="1">
      <c r="A197" s="3">
        <v>201.0</v>
      </c>
      <c r="B197" s="3" t="s">
        <v>2452</v>
      </c>
      <c r="C197" s="3" t="s">
        <v>2270</v>
      </c>
      <c r="D197" s="3" t="s">
        <v>2247</v>
      </c>
      <c r="E197" s="2"/>
      <c r="F197" s="3" t="str">
        <f>IFERROR(__xludf.DUMMYFUNCTION("GOOGLETRANSLATE(A197, ""it"", ""en"")"),"201")</f>
        <v>201</v>
      </c>
      <c r="G197" s="3" t="str">
        <f>IFERROR(__xludf.DUMMYFUNCTION("GOOGLETRANSLATE(B197, ""it"", ""en"")"),"Ye hit the ball an' yer opponent strikes it back but the ball lands outside the court. What happens?")</f>
        <v>Ye hit the ball an' yer opponent strikes it back but the ball lands outside the court. What happens?</v>
      </c>
      <c r="H197" s="3" t="str">
        <f>IFERROR(__xludf.DUMMYFUNCTION("GOOGLETRANSLATE(C197, ""it"", ""en"")"),"A. Ye win the point B. Ye lose the point C. Ye get a penalty D. Ye get a free throw")</f>
        <v>A. Ye win the point B. Ye lose the point C. Ye get a penalty D. Ye get a free throw</v>
      </c>
      <c r="I197" s="3" t="str">
        <f>IFERROR(__xludf.DUMMYFUNCTION("GOOGLETRANSLATE(D197, ""it"", ""en"")"),"You win the point")</f>
        <v>You win the point</v>
      </c>
      <c r="J197" s="2"/>
      <c r="K197" s="2"/>
      <c r="L197" s="2"/>
      <c r="M197" s="2"/>
      <c r="N197" s="2"/>
      <c r="O197" s="2"/>
      <c r="P197" s="2"/>
      <c r="Q197" s="2"/>
      <c r="R197" s="2"/>
      <c r="S197" s="2"/>
      <c r="T197" s="2"/>
      <c r="U197" s="2"/>
      <c r="V197" s="2"/>
      <c r="W197" s="2"/>
    </row>
    <row r="198" ht="22.5" customHeight="1">
      <c r="A198" s="3">
        <v>202.0</v>
      </c>
      <c r="B198" s="3" t="s">
        <v>2453</v>
      </c>
      <c r="C198" s="3" t="s">
        <v>2270</v>
      </c>
      <c r="D198" s="3" t="s">
        <v>2247</v>
      </c>
      <c r="E198" s="2"/>
      <c r="F198" s="3" t="str">
        <f>IFERROR(__xludf.DUMMYFUNCTION("GOOGLETRANSLATE(A198, ""it"", ""en"")"),"202")</f>
        <v>202</v>
      </c>
      <c r="G198" s="3" t="str">
        <f>IFERROR(__xludf.DUMMYFUNCTION("GOOGLETRANSLATE(B198, ""it"", ""en"")"),"Ye serve the ball an' yer opponent returns it but it lands out of bounds. What happens?")</f>
        <v>Ye serve the ball an' yer opponent returns it but it lands out of bounds. What happens?</v>
      </c>
      <c r="H198" s="3" t="str">
        <f>IFERROR(__xludf.DUMMYFUNCTION("GOOGLETRANSLATE(C198, ""it"", ""en"")"),"A. Ye win the point B. Ye lose the point C. Ye get a penalty D. Ye get a free throw")</f>
        <v>A. Ye win the point B. Ye lose the point C. Ye get a penalty D. Ye get a free throw</v>
      </c>
      <c r="I198" s="3" t="str">
        <f>IFERROR(__xludf.DUMMYFUNCTION("GOOGLETRANSLATE(D198, ""it"", ""en"")"),"You win the point")</f>
        <v>You win the point</v>
      </c>
      <c r="J198" s="2"/>
      <c r="K198" s="2"/>
      <c r="L198" s="2"/>
      <c r="M198" s="2"/>
      <c r="N198" s="2"/>
      <c r="O198" s="2"/>
      <c r="P198" s="2"/>
      <c r="Q198" s="2"/>
      <c r="R198" s="2"/>
      <c r="S198" s="2"/>
      <c r="T198" s="2"/>
      <c r="U198" s="2"/>
      <c r="V198" s="2"/>
      <c r="W198" s="2"/>
    </row>
    <row r="199" ht="22.5" customHeight="1">
      <c r="A199" s="3">
        <v>203.0</v>
      </c>
      <c r="B199" s="3" t="s">
        <v>2454</v>
      </c>
      <c r="C199" s="3" t="s">
        <v>2270</v>
      </c>
      <c r="D199" s="3" t="s">
        <v>2247</v>
      </c>
      <c r="E199" s="2"/>
      <c r="F199" s="3" t="str">
        <f>IFERROR(__xludf.DUMMYFUNCTION("GOOGLETRANSLATE(A199, ""it"", ""en"")"),"203")</f>
        <v>203</v>
      </c>
      <c r="G199" s="3" t="str">
        <f>IFERROR(__xludf.DUMMYFUNCTION("GOOGLETRANSLATE(B199, ""it"", ""en"")"),"Ye strike the ball an' yer opponent misses it but the ball lands in their side. What happens?")</f>
        <v>Ye strike the ball an' yer opponent misses it but the ball lands in their side. What happens?</v>
      </c>
      <c r="H199" s="3" t="str">
        <f>IFERROR(__xludf.DUMMYFUNCTION("GOOGLETRANSLATE(C199, ""it"", ""en"")"),"A. Ye win the point B. Ye lose the point C. Ye get a penalty D. Ye get a free throw")</f>
        <v>A. Ye win the point B. Ye lose the point C. Ye get a penalty D. Ye get a free throw</v>
      </c>
      <c r="I199" s="3" t="str">
        <f>IFERROR(__xludf.DUMMYFUNCTION("GOOGLETRANSLATE(D199, ""it"", ""en"")"),"You win the point")</f>
        <v>You win the point</v>
      </c>
      <c r="J199" s="2"/>
      <c r="K199" s="2"/>
      <c r="L199" s="2"/>
      <c r="M199" s="2"/>
      <c r="N199" s="2"/>
      <c r="O199" s="2"/>
      <c r="P199" s="2"/>
      <c r="Q199" s="2"/>
      <c r="R199" s="2"/>
      <c r="S199" s="2"/>
      <c r="T199" s="2"/>
      <c r="U199" s="2"/>
      <c r="V199" s="2"/>
      <c r="W199" s="2"/>
    </row>
    <row r="200" ht="22.5" customHeight="1">
      <c r="A200" s="3">
        <v>204.0</v>
      </c>
      <c r="B200" s="3" t="s">
        <v>2455</v>
      </c>
      <c r="C200" s="3" t="s">
        <v>2270</v>
      </c>
      <c r="D200" s="3" t="s">
        <v>2247</v>
      </c>
      <c r="E200" s="2"/>
      <c r="F200" s="3" t="str">
        <f>IFERROR(__xludf.DUMMYFUNCTION("GOOGLETRANSLATE(A200, ""it"", ""en"")"),"204")</f>
        <v>204</v>
      </c>
      <c r="G200" s="3" t="str">
        <f>IFERROR(__xludf.DUMMYFUNCTION("GOOGLETRANSLATE(B200, ""it"", ""en"")"),"Ye serve the ball an' yer opponent fails to return it before the ball lands in their half. What happens?")</f>
        <v>Ye serve the ball an' yer opponent fails to return it before the ball lands in their half. What happens?</v>
      </c>
      <c r="H200" s="3" t="str">
        <f>IFERROR(__xludf.DUMMYFUNCTION("GOOGLETRANSLATE(C200, ""it"", ""en"")"),"A. Ye win the point B. Ye lose the point C. Ye get a penalty D. Ye get a free throw")</f>
        <v>A. Ye win the point B. Ye lose the point C. Ye get a penalty D. Ye get a free throw</v>
      </c>
      <c r="I200" s="3" t="str">
        <f>IFERROR(__xludf.DUMMYFUNCTION("GOOGLETRANSLATE(D200, ""it"", ""en"")"),"You win the point")</f>
        <v>You win the point</v>
      </c>
      <c r="J200" s="2"/>
      <c r="K200" s="2"/>
      <c r="L200" s="2"/>
      <c r="M200" s="2"/>
      <c r="N200" s="2"/>
      <c r="O200" s="2"/>
      <c r="P200" s="2"/>
      <c r="Q200" s="2"/>
      <c r="R200" s="2"/>
      <c r="S200" s="2"/>
      <c r="T200" s="2"/>
      <c r="U200" s="2"/>
      <c r="V200" s="2"/>
      <c r="W200" s="2"/>
    </row>
    <row r="201" ht="22.5" customHeight="1">
      <c r="A201" s="3">
        <v>205.0</v>
      </c>
      <c r="B201" s="3" t="s">
        <v>2456</v>
      </c>
      <c r="C201" s="3" t="s">
        <v>2270</v>
      </c>
      <c r="D201" s="3" t="s">
        <v>2247</v>
      </c>
      <c r="E201" s="2"/>
      <c r="F201" s="3" t="str">
        <f>IFERROR(__xludf.DUMMYFUNCTION("GOOGLETRANSLATE(A201, ""it"", ""en"")"),"205")</f>
        <v>205</v>
      </c>
      <c r="G201" s="3" t="str">
        <f>IFERROR(__xludf.DUMMYFUNCTION("GOOGLETRANSLATE(B201, ""it"", ""en"")"),"Ye hit the ball an' yer opponent returns it but it lands in yer court. What happens?")</f>
        <v>Ye hit the ball an' yer opponent returns it but it lands in yer court. What happens?</v>
      </c>
      <c r="H201" s="3" t="str">
        <f>IFERROR(__xludf.DUMMYFUNCTION("GOOGLETRANSLATE(C201, ""it"", ""en"")"),"A. Ye win the point B. Ye lose the point C. Ye get a penalty D. Ye get a free throw")</f>
        <v>A. Ye win the point B. Ye lose the point C. Ye get a penalty D. Ye get a free throw</v>
      </c>
      <c r="I201" s="3" t="str">
        <f>IFERROR(__xludf.DUMMYFUNCTION("GOOGLETRANSLATE(D201, ""it"", ""en"")"),"You win the point")</f>
        <v>You win the point</v>
      </c>
      <c r="J201" s="2"/>
      <c r="K201" s="2"/>
      <c r="L201" s="2"/>
      <c r="M201" s="2"/>
      <c r="N201" s="2"/>
      <c r="O201" s="2"/>
      <c r="P201" s="2"/>
      <c r="Q201" s="2"/>
      <c r="R201" s="2"/>
      <c r="S201" s="2"/>
      <c r="T201" s="2"/>
      <c r="U201" s="2"/>
      <c r="V201" s="2"/>
      <c r="W201" s="2"/>
    </row>
    <row r="202" ht="22.5" customHeight="1">
      <c r="A202" s="3">
        <v>206.0</v>
      </c>
      <c r="B202" s="3" t="s">
        <v>2457</v>
      </c>
      <c r="C202" s="3" t="s">
        <v>2251</v>
      </c>
      <c r="D202" s="3" t="s">
        <v>2247</v>
      </c>
      <c r="E202" s="2"/>
      <c r="F202" s="3" t="str">
        <f>IFERROR(__xludf.DUMMYFUNCTION("GOOGLETRANSLATE(A202, ""it"", ""en"")"),"206")</f>
        <v>206</v>
      </c>
      <c r="G202" s="3" t="str">
        <f>IFERROR(__xludf.DUMMYFUNCTION("GOOGLETRANSLATE(B202, ""it"", ""en"")"),"Ye serve the ball an' yer opponent blocks it with their bracelet but doesn't strike it back. What happens?")</f>
        <v>Ye serve the ball an' yer opponent blocks it with their bracelet but doesn't strike it back. What happens?</v>
      </c>
      <c r="H202" s="3" t="str">
        <f>IFERROR(__xludf.DUMMYFUNCTION("GOOGLETRANSLATE(C202, ""it"", ""en"")"),"A. Ye win the point B. Ye lose the point C. Ye get a free throw D. Ye get a penalty")</f>
        <v>A. Ye win the point B. Ye lose the point C. Ye get a free throw D. Ye get a penalty</v>
      </c>
      <c r="I202" s="3" t="str">
        <f>IFERROR(__xludf.DUMMYFUNCTION("GOOGLETRANSLATE(D202, ""it"", ""en"")"),"You win the point")</f>
        <v>You win the point</v>
      </c>
      <c r="J202" s="2"/>
      <c r="K202" s="2"/>
      <c r="L202" s="2"/>
      <c r="M202" s="2"/>
      <c r="N202" s="2"/>
      <c r="O202" s="2"/>
      <c r="P202" s="2"/>
      <c r="Q202" s="2"/>
      <c r="R202" s="2"/>
      <c r="S202" s="2"/>
      <c r="T202" s="2"/>
      <c r="U202" s="2"/>
      <c r="V202" s="2"/>
      <c r="W202" s="2"/>
    </row>
    <row r="203" ht="22.5" customHeight="1">
      <c r="A203" s="3">
        <v>207.0</v>
      </c>
      <c r="B203" s="3" t="s">
        <v>2430</v>
      </c>
      <c r="C203" s="3" t="s">
        <v>2270</v>
      </c>
      <c r="D203" s="3" t="s">
        <v>2247</v>
      </c>
      <c r="E203" s="2"/>
      <c r="F203" s="3" t="str">
        <f>IFERROR(__xludf.DUMMYFUNCTION("GOOGLETRANSLATE(A203, ""it"", ""en"")"),"207")</f>
        <v>207</v>
      </c>
      <c r="G203" s="3" t="str">
        <f>IFERROR(__xludf.DUMMYFUNCTION("GOOGLETRANSLATE(B203, ""it"", ""en"")"),"Ye strike the ball an' yer opponent catches it but doesn't strike it back in time. What happens?")</f>
        <v>Ye strike the ball an' yer opponent catches it but doesn't strike it back in time. What happens?</v>
      </c>
      <c r="H203" s="3" t="str">
        <f>IFERROR(__xludf.DUMMYFUNCTION("GOOGLETRANSLATE(C203, ""it"", ""en"")"),"A. Ye win the point B. Ye lose the point C. Ye get a penalty D. Ye get a free throw")</f>
        <v>A. Ye win the point B. Ye lose the point C. Ye get a penalty D. Ye get a free throw</v>
      </c>
      <c r="I203" s="3" t="str">
        <f>IFERROR(__xludf.DUMMYFUNCTION("GOOGLETRANSLATE(D203, ""it"", ""en"")"),"You win the point")</f>
        <v>You win the point</v>
      </c>
      <c r="J203" s="2"/>
      <c r="K203" s="2"/>
      <c r="L203" s="2"/>
      <c r="M203" s="2"/>
      <c r="N203" s="2"/>
      <c r="O203" s="2"/>
      <c r="P203" s="2"/>
      <c r="Q203" s="2"/>
      <c r="R203" s="2"/>
      <c r="S203" s="2"/>
      <c r="T203" s="2"/>
      <c r="U203" s="2"/>
      <c r="V203" s="2"/>
      <c r="W203" s="2"/>
    </row>
    <row r="204" ht="22.5" customHeight="1">
      <c r="A204" s="3">
        <v>208.0</v>
      </c>
      <c r="B204" s="3" t="s">
        <v>2458</v>
      </c>
      <c r="C204" s="3" t="s">
        <v>2249</v>
      </c>
      <c r="D204" s="3" t="s">
        <v>2247</v>
      </c>
      <c r="E204" s="2"/>
      <c r="F204" s="3" t="str">
        <f>IFERROR(__xludf.DUMMYFUNCTION("GOOGLETRANSLATE(A204, ""it"", ""en"")"),"208")</f>
        <v>208</v>
      </c>
      <c r="G204" s="3" t="str">
        <f>IFERROR(__xludf.DUMMYFUNCTION("GOOGLETRANSLATE(B204, ""it"", ""en"")"),"Ye serve the ball an' yer opponent misses but the ball lands outta bounds. What happens?")</f>
        <v>Ye serve the ball an' yer opponent misses but the ball lands outta bounds. What happens?</v>
      </c>
      <c r="H204" s="3" t="str">
        <f>IFERROR(__xludf.DUMMYFUNCTION("GOOGLETRANSLATE(C204, ""it"", ""en"")"),"A. Ye lose the point B. Ye win the point C. Ye get a penalty D. Ye get a free throw")</f>
        <v>A. Ye lose the point B. Ye win the point C. Ye get a penalty D. Ye get a free throw</v>
      </c>
      <c r="I204" s="3" t="str">
        <f>IFERROR(__xludf.DUMMYFUNCTION("GOOGLETRANSLATE(D204, ""it"", ""en"")"),"You win the point")</f>
        <v>You win the point</v>
      </c>
      <c r="J204" s="2"/>
      <c r="K204" s="2"/>
      <c r="L204" s="2"/>
      <c r="M204" s="2"/>
      <c r="N204" s="2"/>
      <c r="O204" s="2"/>
      <c r="P204" s="2"/>
      <c r="Q204" s="2"/>
      <c r="R204" s="2"/>
      <c r="S204" s="2"/>
      <c r="T204" s="2"/>
      <c r="U204" s="2"/>
      <c r="V204" s="2"/>
      <c r="W204" s="2"/>
    </row>
    <row r="205" ht="22.5" customHeight="1">
      <c r="A205" s="3">
        <v>209.0</v>
      </c>
      <c r="B205" s="3" t="s">
        <v>2459</v>
      </c>
      <c r="C205" s="3" t="s">
        <v>2270</v>
      </c>
      <c r="D205" s="3" t="s">
        <v>2247</v>
      </c>
      <c r="E205" s="2"/>
      <c r="F205" s="3" t="str">
        <f>IFERROR(__xludf.DUMMYFUNCTION("GOOGLETRANSLATE(A205, ""it"", ""en"")"),"209")</f>
        <v>209</v>
      </c>
      <c r="G205" s="3" t="str">
        <f>IFERROR(__xludf.DUMMYFUNCTION("GOOGLETRANSLATE(B205, ""it"", ""en"")"),"Ye hit the ball an' yer opponent strikes it back but it lands in yer half. What happens?")</f>
        <v>Ye hit the ball an' yer opponent strikes it back but it lands in yer half. What happens?</v>
      </c>
      <c r="H205" s="3" t="str">
        <f>IFERROR(__xludf.DUMMYFUNCTION("GOOGLETRANSLATE(C205, ""it"", ""en"")"),"A. Ye win the point B. Ye lose the point C. Ye get a penalty D. Ye get a free throw")</f>
        <v>A. Ye win the point B. Ye lose the point C. Ye get a penalty D. Ye get a free throw</v>
      </c>
      <c r="I205" s="3" t="str">
        <f>IFERROR(__xludf.DUMMYFUNCTION("GOOGLETRANSLATE(D205, ""it"", ""en"")"),"You win the point")</f>
        <v>You win the point</v>
      </c>
      <c r="J205" s="2"/>
      <c r="K205" s="2"/>
      <c r="L205" s="2"/>
      <c r="M205" s="2"/>
      <c r="N205" s="2"/>
      <c r="O205" s="2"/>
      <c r="P205" s="2"/>
      <c r="Q205" s="2"/>
      <c r="R205" s="2"/>
      <c r="S205" s="2"/>
      <c r="T205" s="2"/>
      <c r="U205" s="2"/>
      <c r="V205" s="2"/>
      <c r="W205" s="2"/>
    </row>
    <row r="206" ht="22.5" customHeight="1">
      <c r="A206" s="3">
        <v>210.0</v>
      </c>
      <c r="B206" s="3" t="s">
        <v>2460</v>
      </c>
      <c r="C206" s="3" t="s">
        <v>2270</v>
      </c>
      <c r="D206" s="3" t="s">
        <v>2247</v>
      </c>
      <c r="E206" s="2"/>
      <c r="F206" s="3" t="str">
        <f>IFERROR(__xludf.DUMMYFUNCTION("GOOGLETRANSLATE(A206, ""it"", ""en"")"),"210")</f>
        <v>210</v>
      </c>
      <c r="G206" s="3" t="str">
        <f>IFERROR(__xludf.DUMMYFUNCTION("GOOGLETRANSLATE(B206, ""it"", ""en"")"),"Ye serve the ball an' yer opponent strikes it back but lands behind the line. What happens?")</f>
        <v>Ye serve the ball an' yer opponent strikes it back but lands behind the line. What happens?</v>
      </c>
      <c r="H206" s="3" t="str">
        <f>IFERROR(__xludf.DUMMYFUNCTION("GOOGLETRANSLATE(C206, ""it"", ""en"")"),"A. Ye win the point B. Ye lose the point C. Ye get a penalty D. Ye get a free throw")</f>
        <v>A. Ye win the point B. Ye lose the point C. Ye get a penalty D. Ye get a free throw</v>
      </c>
      <c r="I206" s="3" t="str">
        <f>IFERROR(__xludf.DUMMYFUNCTION("GOOGLETRANSLATE(D206, ""it"", ""en"")"),"You win the point")</f>
        <v>You win the point</v>
      </c>
      <c r="J206" s="2"/>
      <c r="K206" s="2"/>
      <c r="L206" s="2"/>
      <c r="M206" s="2"/>
      <c r="N206" s="2"/>
      <c r="O206" s="2"/>
      <c r="P206" s="2"/>
      <c r="Q206" s="2"/>
      <c r="R206" s="2"/>
      <c r="S206" s="2"/>
      <c r="T206" s="2"/>
      <c r="U206" s="2"/>
      <c r="V206" s="2"/>
      <c r="W206" s="2"/>
    </row>
    <row r="207" ht="22.5" customHeight="1">
      <c r="A207" s="3">
        <v>211.0</v>
      </c>
      <c r="B207" s="3" t="s">
        <v>2461</v>
      </c>
      <c r="C207" s="3" t="s">
        <v>2270</v>
      </c>
      <c r="D207" s="3" t="s">
        <v>2247</v>
      </c>
      <c r="E207" s="2"/>
      <c r="F207" s="3" t="str">
        <f>IFERROR(__xludf.DUMMYFUNCTION("GOOGLETRANSLATE(A207, ""it"", ""en"")"),"211")</f>
        <v>211</v>
      </c>
      <c r="G207" s="3" t="str">
        <f>IFERROR(__xludf.DUMMYFUNCTION("GOOGLETRANSLATE(B207, ""it"", ""en"")"),"Ye strike the ball an' yer opponent catches it but doesn't return it in time. What happens?")</f>
        <v>Ye strike the ball an' yer opponent catches it but doesn't return it in time. What happens?</v>
      </c>
      <c r="H207" s="3" t="str">
        <f>IFERROR(__xludf.DUMMYFUNCTION("GOOGLETRANSLATE(C207, ""it"", ""en"")"),"A. Ye win the point B. Ye lose the point C. Ye get a penalty D. Ye get a free throw")</f>
        <v>A. Ye win the point B. Ye lose the point C. Ye get a penalty D. Ye get a free throw</v>
      </c>
      <c r="I207" s="3" t="str">
        <f>IFERROR(__xludf.DUMMYFUNCTION("GOOGLETRANSLATE(D207, ""it"", ""en"")"),"You win the point")</f>
        <v>You win the point</v>
      </c>
      <c r="J207" s="2"/>
      <c r="K207" s="2"/>
      <c r="L207" s="2"/>
      <c r="M207" s="2"/>
      <c r="N207" s="2"/>
      <c r="O207" s="2"/>
      <c r="P207" s="2"/>
      <c r="Q207" s="2"/>
      <c r="R207" s="2"/>
      <c r="S207" s="2"/>
      <c r="T207" s="2"/>
      <c r="U207" s="2"/>
      <c r="V207" s="2"/>
      <c r="W207" s="2"/>
    </row>
    <row r="208" ht="22.5" customHeight="1">
      <c r="A208" s="3">
        <v>212.0</v>
      </c>
      <c r="B208" s="3" t="s">
        <v>2462</v>
      </c>
      <c r="C208" s="3" t="s">
        <v>2270</v>
      </c>
      <c r="D208" s="3" t="s">
        <v>2247</v>
      </c>
      <c r="E208" s="2"/>
      <c r="F208" s="3" t="str">
        <f>IFERROR(__xludf.DUMMYFUNCTION("GOOGLETRANSLATE(A208, ""it"", ""en"")"),"212")</f>
        <v>212</v>
      </c>
      <c r="G208" s="3" t="str">
        <f>IFERROR(__xludf.DUMMYFUNCTION("GOOGLETRANSLATE(B208, ""it"", ""en"")"),"Ye serve the ball an' yer opponent returns it but it lands outta bounds. What happens?")</f>
        <v>Ye serve the ball an' yer opponent returns it but it lands outta bounds. What happens?</v>
      </c>
      <c r="H208" s="3" t="str">
        <f>IFERROR(__xludf.DUMMYFUNCTION("GOOGLETRANSLATE(C208, ""it"", ""en"")"),"A. Ye win the point B. Ye lose the point C. Ye get a penalty D. Ye get a free throw")</f>
        <v>A. Ye win the point B. Ye lose the point C. Ye get a penalty D. Ye get a free throw</v>
      </c>
      <c r="I208" s="3" t="str">
        <f>IFERROR(__xludf.DUMMYFUNCTION("GOOGLETRANSLATE(D208, ""it"", ""en"")"),"You win the point")</f>
        <v>You win the point</v>
      </c>
      <c r="J208" s="2"/>
      <c r="K208" s="2"/>
      <c r="L208" s="2"/>
      <c r="M208" s="2"/>
      <c r="N208" s="2"/>
      <c r="O208" s="2"/>
      <c r="P208" s="2"/>
      <c r="Q208" s="2"/>
      <c r="R208" s="2"/>
      <c r="S208" s="2"/>
      <c r="T208" s="2"/>
      <c r="U208" s="2"/>
      <c r="V208" s="2"/>
      <c r="W208" s="2"/>
    </row>
    <row r="209" ht="22.5" customHeight="1">
      <c r="A209" s="3">
        <v>213.0</v>
      </c>
      <c r="B209" s="3" t="s">
        <v>2463</v>
      </c>
      <c r="C209" s="3" t="s">
        <v>2251</v>
      </c>
      <c r="D209" s="3" t="s">
        <v>2247</v>
      </c>
      <c r="E209" s="2"/>
      <c r="F209" s="3" t="str">
        <f>IFERROR(__xludf.DUMMYFUNCTION("GOOGLETRANSLATE(A209, ""it"", ""en"")"),"213")</f>
        <v>213</v>
      </c>
      <c r="G209" s="3" t="str">
        <f>IFERROR(__xludf.DUMMYFUNCTION("GOOGLETRANSLATE(B209, ""it"", ""en"")"),"Ye hit the ball an' yer opponent blocks it but doesn't return it. What happens?")</f>
        <v>Ye hit the ball an' yer opponent blocks it but doesn't return it. What happens?</v>
      </c>
      <c r="H209" s="3" t="str">
        <f>IFERROR(__xludf.DUMMYFUNCTION("GOOGLETRANSLATE(C209, ""it"", ""en"")"),"A. Ye win the point B. Ye lose the point C. Ye get a free throw D. Ye get a penalty")</f>
        <v>A. Ye win the point B. Ye lose the point C. Ye get a free throw D. Ye get a penalty</v>
      </c>
      <c r="I209" s="3" t="str">
        <f>IFERROR(__xludf.DUMMYFUNCTION("GOOGLETRANSLATE(D209, ""it"", ""en"")"),"You win the point")</f>
        <v>You win the point</v>
      </c>
      <c r="J209" s="2"/>
      <c r="K209" s="2"/>
      <c r="L209" s="2"/>
      <c r="M209" s="2"/>
      <c r="N209" s="2"/>
      <c r="O209" s="2"/>
      <c r="P209" s="2"/>
      <c r="Q209" s="2"/>
      <c r="R209" s="2"/>
      <c r="S209" s="2"/>
      <c r="T209" s="2"/>
      <c r="U209" s="2"/>
      <c r="V209" s="2"/>
      <c r="W209" s="2"/>
    </row>
    <row r="210" ht="22.5" customHeight="1">
      <c r="A210" s="3">
        <v>214.0</v>
      </c>
      <c r="B210" s="3" t="s">
        <v>2464</v>
      </c>
      <c r="C210" s="3" t="s">
        <v>2270</v>
      </c>
      <c r="D210" s="3" t="s">
        <v>2247</v>
      </c>
      <c r="E210" s="2"/>
      <c r="F210" s="3" t="str">
        <f>IFERROR(__xludf.DUMMYFUNCTION("GOOGLETRANSLATE(A210, ""it"", ""en"")"),"214")</f>
        <v>214</v>
      </c>
      <c r="G210" s="3" t="str">
        <f>IFERROR(__xludf.DUMMYFUNCTION("GOOGLETRANSLATE(B210, ""it"", ""en"")"),"Ye serve the ball an' yer opponent misses but the ball lands in their court. What happens?")</f>
        <v>Ye serve the ball an' yer opponent misses but the ball lands in their court. What happens?</v>
      </c>
      <c r="H210" s="3" t="str">
        <f>IFERROR(__xludf.DUMMYFUNCTION("GOOGLETRANSLATE(C210, ""it"", ""en"")"),"A. Ye win the point B. Ye lose the point C. Ye get a penalty D. Ye get a free throw")</f>
        <v>A. Ye win the point B. Ye lose the point C. Ye get a penalty D. Ye get a free throw</v>
      </c>
      <c r="I210" s="3" t="str">
        <f>IFERROR(__xludf.DUMMYFUNCTION("GOOGLETRANSLATE(D210, ""it"", ""en"")"),"You win the point")</f>
        <v>You win the point</v>
      </c>
      <c r="J210" s="2"/>
      <c r="K210" s="2"/>
      <c r="L210" s="2"/>
      <c r="M210" s="2"/>
      <c r="N210" s="2"/>
      <c r="O210" s="2"/>
      <c r="P210" s="2"/>
      <c r="Q210" s="2"/>
      <c r="R210" s="2"/>
      <c r="S210" s="2"/>
      <c r="T210" s="2"/>
      <c r="U210" s="2"/>
      <c r="V210" s="2"/>
      <c r="W210" s="2"/>
    </row>
    <row r="211" ht="22.5" customHeight="1">
      <c r="A211" s="3">
        <v>215.0</v>
      </c>
      <c r="B211" s="3" t="s">
        <v>2465</v>
      </c>
      <c r="C211" s="3" t="s">
        <v>2270</v>
      </c>
      <c r="D211" s="3" t="s">
        <v>2247</v>
      </c>
      <c r="E211" s="2"/>
      <c r="F211" s="3" t="str">
        <f>IFERROR(__xludf.DUMMYFUNCTION("GOOGLETRANSLATE(A211, ""it"", ""en"")"),"215")</f>
        <v>215</v>
      </c>
      <c r="G211" s="3" t="str">
        <f>IFERROR(__xludf.DUMMYFUNCTION("GOOGLETRANSLATE(B211, ""it"", ""en"")"),"Ye strike the ball an' yer opponent catches it but fails to return it. What happens?")</f>
        <v>Ye strike the ball an' yer opponent catches it but fails to return it. What happens?</v>
      </c>
      <c r="H211" s="3" t="str">
        <f>IFERROR(__xludf.DUMMYFUNCTION("GOOGLETRANSLATE(C211, ""it"", ""en"")"),"A. Ye win the point B. Ye lose the point C. Ye get a penalty D. Ye get a free throw")</f>
        <v>A. Ye win the point B. Ye lose the point C. Ye get a penalty D. Ye get a free throw</v>
      </c>
      <c r="I211" s="3" t="str">
        <f>IFERROR(__xludf.DUMMYFUNCTION("GOOGLETRANSLATE(D211, ""it"", ""en"")"),"You win the point")</f>
        <v>You win the point</v>
      </c>
      <c r="J211" s="2"/>
      <c r="K211" s="2"/>
      <c r="L211" s="2"/>
      <c r="M211" s="2"/>
      <c r="N211" s="2"/>
      <c r="O211" s="2"/>
      <c r="P211" s="2"/>
      <c r="Q211" s="2"/>
      <c r="R211" s="2"/>
      <c r="S211" s="2"/>
      <c r="T211" s="2"/>
      <c r="U211" s="2"/>
      <c r="V211" s="2"/>
      <c r="W211" s="2"/>
    </row>
    <row r="212" ht="22.5" customHeight="1">
      <c r="A212" s="3">
        <v>216.0</v>
      </c>
      <c r="B212" s="3" t="s">
        <v>2466</v>
      </c>
      <c r="C212" s="3" t="s">
        <v>2270</v>
      </c>
      <c r="D212" s="3" t="s">
        <v>2247</v>
      </c>
      <c r="E212" s="2"/>
      <c r="F212" s="3" t="str">
        <f>IFERROR(__xludf.DUMMYFUNCTION("GOOGLETRANSLATE(A212, ""it"", ""en"")"),"216")</f>
        <v>216</v>
      </c>
      <c r="G212" s="3" t="str">
        <f>IFERROR(__xludf.DUMMYFUNCTION("GOOGLETRANSLATE(B212, ""it"", ""en"")"),"Ye serve the ball an' yer opponent strikes it back but the ball lands behind the line. What happens?")</f>
        <v>Ye serve the ball an' yer opponent strikes it back but the ball lands behind the line. What happens?</v>
      </c>
      <c r="H212" s="3" t="str">
        <f>IFERROR(__xludf.DUMMYFUNCTION("GOOGLETRANSLATE(C212, ""it"", ""en"")"),"A. Ye win the point B. Ye lose the point C. Ye get a penalty D. Ye get a free throw")</f>
        <v>A. Ye win the point B. Ye lose the point C. Ye get a penalty D. Ye get a free throw</v>
      </c>
      <c r="I212" s="3" t="str">
        <f>IFERROR(__xludf.DUMMYFUNCTION("GOOGLETRANSLATE(D212, ""it"", ""en"")"),"You win the point")</f>
        <v>You win the point</v>
      </c>
      <c r="J212" s="2"/>
      <c r="K212" s="2"/>
      <c r="L212" s="2"/>
      <c r="M212" s="2"/>
      <c r="N212" s="2"/>
      <c r="O212" s="2"/>
      <c r="P212" s="2"/>
      <c r="Q212" s="2"/>
      <c r="R212" s="2"/>
      <c r="S212" s="2"/>
      <c r="T212" s="2"/>
      <c r="U212" s="2"/>
      <c r="V212" s="2"/>
      <c r="W212" s="2"/>
    </row>
    <row r="213" ht="22.5" customHeight="1">
      <c r="A213" s="3">
        <v>217.0</v>
      </c>
      <c r="B213" s="3" t="s">
        <v>2442</v>
      </c>
      <c r="C213" s="3" t="s">
        <v>2251</v>
      </c>
      <c r="D213" s="3" t="s">
        <v>2247</v>
      </c>
      <c r="E213" s="2"/>
      <c r="F213" s="3" t="str">
        <f>IFERROR(__xludf.DUMMYFUNCTION("GOOGLETRANSLATE(A213, ""it"", ""en"")"),"217")</f>
        <v>217</v>
      </c>
      <c r="G213" s="3" t="str">
        <f>IFERROR(__xludf.DUMMYFUNCTION("GOOGLETRANSLATE(B213, ""it"", ""en"")"),"Ye hit the ball an' yer opponent blocks it but doesn't strike it back. What happens?")</f>
        <v>Ye hit the ball an' yer opponent blocks it but doesn't strike it back. What happens?</v>
      </c>
      <c r="H213" s="3" t="str">
        <f>IFERROR(__xludf.DUMMYFUNCTION("GOOGLETRANSLATE(C213, ""it"", ""en"")"),"A. Ye win the point B. Ye lose the point C. Ye get a free throw D. Ye get a penalty")</f>
        <v>A. Ye win the point B. Ye lose the point C. Ye get a free throw D. Ye get a penalty</v>
      </c>
      <c r="I213" s="3" t="str">
        <f>IFERROR(__xludf.DUMMYFUNCTION("GOOGLETRANSLATE(D213, ""it"", ""en"")"),"You win the point")</f>
        <v>You win the point</v>
      </c>
      <c r="J213" s="2"/>
      <c r="K213" s="2"/>
      <c r="L213" s="2"/>
      <c r="M213" s="2"/>
      <c r="N213" s="2"/>
      <c r="O213" s="2"/>
      <c r="P213" s="2"/>
      <c r="Q213" s="2"/>
      <c r="R213" s="2"/>
      <c r="S213" s="2"/>
      <c r="T213" s="2"/>
      <c r="U213" s="2"/>
      <c r="V213" s="2"/>
      <c r="W213" s="2"/>
    </row>
    <row r="214" ht="22.5" customHeight="1">
      <c r="A214" s="3">
        <v>218.0</v>
      </c>
      <c r="B214" s="3" t="s">
        <v>2467</v>
      </c>
      <c r="C214" s="3" t="s">
        <v>2270</v>
      </c>
      <c r="D214" s="3" t="s">
        <v>2247</v>
      </c>
      <c r="E214" s="2"/>
      <c r="F214" s="3" t="str">
        <f>IFERROR(__xludf.DUMMYFUNCTION("GOOGLETRANSLATE(A214, ""it"", ""en"")"),"218")</f>
        <v>218</v>
      </c>
      <c r="G214" s="3" t="str">
        <f>IFERROR(__xludf.DUMMYFUNCTION("GOOGLETRANSLATE(B214, ""it"", ""en"")"),"Ye serve the ball an' yer opponent misses it but the ball lands in their court. What happens?")</f>
        <v>Ye serve the ball an' yer opponent misses it but the ball lands in their court. What happens?</v>
      </c>
      <c r="H214" s="3" t="str">
        <f>IFERROR(__xludf.DUMMYFUNCTION("GOOGLETRANSLATE(C214, ""it"", ""en"")"),"A. Ye win the point B. Ye lose the point C. Ye get a penalty D. Ye get a free throw")</f>
        <v>A. Ye win the point B. Ye lose the point C. Ye get a penalty D. Ye get a free throw</v>
      </c>
      <c r="I214" s="3" t="str">
        <f>IFERROR(__xludf.DUMMYFUNCTION("GOOGLETRANSLATE(D214, ""it"", ""en"")"),"You win the point")</f>
        <v>You win the point</v>
      </c>
      <c r="J214" s="2"/>
      <c r="K214" s="2"/>
      <c r="L214" s="2"/>
      <c r="M214" s="2"/>
      <c r="N214" s="2"/>
      <c r="O214" s="2"/>
      <c r="P214" s="2"/>
      <c r="Q214" s="2"/>
      <c r="R214" s="2"/>
      <c r="S214" s="2"/>
      <c r="T214" s="2"/>
      <c r="U214" s="2"/>
      <c r="V214" s="2"/>
      <c r="W214" s="2"/>
    </row>
    <row r="215" ht="22.5" customHeight="1">
      <c r="A215" s="3">
        <v>219.0</v>
      </c>
      <c r="B215" s="3" t="s">
        <v>2447</v>
      </c>
      <c r="C215" s="3" t="s">
        <v>2270</v>
      </c>
      <c r="D215" s="3" t="s">
        <v>2247</v>
      </c>
      <c r="E215" s="2"/>
      <c r="F215" s="3" t="str">
        <f>IFERROR(__xludf.DUMMYFUNCTION("GOOGLETRANSLATE(A215, ""it"", ""en"")"),"219")</f>
        <v>219</v>
      </c>
      <c r="G215" s="3" t="str">
        <f>IFERROR(__xludf.DUMMYFUNCTION("GOOGLETRANSLATE(B215, ""it"", ""en"")"),"Ye strike the ball an' yer opponent catches it but doesn't strike it back. What happens?")</f>
        <v>Ye strike the ball an' yer opponent catches it but doesn't strike it back. What happens?</v>
      </c>
      <c r="H215" s="3" t="str">
        <f>IFERROR(__xludf.DUMMYFUNCTION("GOOGLETRANSLATE(C215, ""it"", ""en"")"),"A. Ye win the point B. Ye lose the point C. Ye get a penalty D. Ye get a free throw")</f>
        <v>A. Ye win the point B. Ye lose the point C. Ye get a penalty D. Ye get a free throw</v>
      </c>
      <c r="I215" s="3" t="str">
        <f>IFERROR(__xludf.DUMMYFUNCTION("GOOGLETRANSLATE(D215, ""it"", ""en"")"),"You win the point")</f>
        <v>You win the point</v>
      </c>
      <c r="J215" s="2"/>
      <c r="K215" s="2"/>
      <c r="L215" s="2"/>
      <c r="M215" s="2"/>
      <c r="N215" s="2"/>
      <c r="O215" s="2"/>
      <c r="P215" s="2"/>
      <c r="Q215" s="2"/>
      <c r="R215" s="2"/>
      <c r="S215" s="2"/>
      <c r="T215" s="2"/>
      <c r="U215" s="2"/>
      <c r="V215" s="2"/>
      <c r="W215" s="2"/>
    </row>
    <row r="216" ht="22.5" customHeight="1">
      <c r="A216" s="3">
        <v>220.0</v>
      </c>
      <c r="B216" s="3" t="s">
        <v>2468</v>
      </c>
      <c r="C216" s="3" t="s">
        <v>2251</v>
      </c>
      <c r="D216" s="3" t="s">
        <v>2247</v>
      </c>
      <c r="E216" s="2"/>
      <c r="F216" s="3" t="str">
        <f>IFERROR(__xludf.DUMMYFUNCTION("GOOGLETRANSLATE(A216, ""it"", ""en"")"),"220")</f>
        <v>220</v>
      </c>
      <c r="G216" s="3" t="str">
        <f>IFERROR(__xludf.DUMMYFUNCTION("GOOGLETRANSLATE(B216, ""it"", ""en"")"),"Ye serve the ball an' yer opponent blocks it but doesn't return it. What happens?")</f>
        <v>Ye serve the ball an' yer opponent blocks it but doesn't return it. What happens?</v>
      </c>
      <c r="H216" s="3" t="str">
        <f>IFERROR(__xludf.DUMMYFUNCTION("GOOGLETRANSLATE(C216, ""it"", ""en"")"),"A. Ye win the point B. Ye lose the point C. Ye get a free throw D. Ye get a penalty")</f>
        <v>A. Ye win the point B. Ye lose the point C. Ye get a free throw D. Ye get a penalty</v>
      </c>
      <c r="I216" s="3" t="str">
        <f>IFERROR(__xludf.DUMMYFUNCTION("GOOGLETRANSLATE(D216, ""it"", ""en"")"),"You win the point")</f>
        <v>You win the point</v>
      </c>
      <c r="J216" s="2"/>
      <c r="K216" s="2"/>
      <c r="L216" s="2"/>
      <c r="M216" s="2"/>
      <c r="N216" s="2"/>
      <c r="O216" s="2"/>
      <c r="P216" s="2"/>
      <c r="Q216" s="2"/>
      <c r="R216" s="2"/>
      <c r="S216" s="2"/>
      <c r="T216" s="2"/>
      <c r="U216" s="2"/>
      <c r="V216" s="2"/>
      <c r="W216" s="2"/>
    </row>
    <row r="217" ht="22.5" customHeight="1">
      <c r="A217" s="3">
        <v>221.0</v>
      </c>
      <c r="B217" s="3" t="s">
        <v>2469</v>
      </c>
      <c r="C217" s="3" t="s">
        <v>2270</v>
      </c>
      <c r="D217" s="3" t="s">
        <v>2247</v>
      </c>
      <c r="E217" s="2"/>
      <c r="F217" s="3" t="str">
        <f>IFERROR(__xludf.DUMMYFUNCTION("GOOGLETRANSLATE(A217, ""it"", ""en"")"),"221")</f>
        <v>221</v>
      </c>
      <c r="G217" s="3" t="str">
        <f>IFERROR(__xludf.DUMMYFUNCTION("GOOGLETRANSLATE(B217, ""it"", ""en"")"),"Ye strike the ball an' yer opponent misses it and the ball lands in their court. What happens?")</f>
        <v>Ye strike the ball an' yer opponent misses it and the ball lands in their court. What happens?</v>
      </c>
      <c r="H217" s="3" t="str">
        <f>IFERROR(__xludf.DUMMYFUNCTION("GOOGLETRANSLATE(C217, ""it"", ""en"")"),"A. Ye win the point B. Ye lose the point C. Ye get a penalty D. Ye get a free throw")</f>
        <v>A. Ye win the point B. Ye lose the point C. Ye get a penalty D. Ye get a free throw</v>
      </c>
      <c r="I217" s="3" t="str">
        <f>IFERROR(__xludf.DUMMYFUNCTION("GOOGLETRANSLATE(D217, ""it"", ""en"")"),"You win the point")</f>
        <v>You win the point</v>
      </c>
      <c r="J217" s="2"/>
      <c r="K217" s="2"/>
      <c r="L217" s="2"/>
      <c r="M217" s="2"/>
      <c r="N217" s="2"/>
      <c r="O217" s="2"/>
      <c r="P217" s="2"/>
      <c r="Q217" s="2"/>
      <c r="R217" s="2"/>
      <c r="S217" s="2"/>
      <c r="T217" s="2"/>
      <c r="U217" s="2"/>
      <c r="V217" s="2"/>
      <c r="W217" s="2"/>
    </row>
    <row r="218" ht="22.5" customHeight="1">
      <c r="A218" s="3">
        <v>222.0</v>
      </c>
      <c r="B218" s="3" t="s">
        <v>2470</v>
      </c>
      <c r="C218" s="3" t="s">
        <v>2270</v>
      </c>
      <c r="D218" s="3" t="s">
        <v>2247</v>
      </c>
      <c r="E218" s="2"/>
      <c r="F218" s="3" t="str">
        <f>IFERROR(__xludf.DUMMYFUNCTION("GOOGLETRANSLATE(A218, ""it"", ""en"")"),"222")</f>
        <v>222</v>
      </c>
      <c r="G218" s="3" t="str">
        <f>IFERROR(__xludf.DUMMYFUNCTION("GOOGLETRANSLATE(B218, ""it"", ""en"")"),"Ye serve the ball an' yer opponent returns it but it lands behind the line. What happens?")</f>
        <v>Ye serve the ball an' yer opponent returns it but it lands behind the line. What happens?</v>
      </c>
      <c r="H218" s="3" t="str">
        <f>IFERROR(__xludf.DUMMYFUNCTION("GOOGLETRANSLATE(C218, ""it"", ""en"")"),"A. Ye win the point B. Ye lose the point C. Ye get a penalty D. Ye get a free throw")</f>
        <v>A. Ye win the point B. Ye lose the point C. Ye get a penalty D. Ye get a free throw</v>
      </c>
      <c r="I218" s="3" t="str">
        <f>IFERROR(__xludf.DUMMYFUNCTION("GOOGLETRANSLATE(D218, ""it"", ""en"")"),"You win the point")</f>
        <v>You win the point</v>
      </c>
      <c r="J218" s="2"/>
      <c r="K218" s="2"/>
      <c r="L218" s="2"/>
      <c r="M218" s="2"/>
      <c r="N218" s="2"/>
      <c r="O218" s="2"/>
      <c r="P218" s="2"/>
      <c r="Q218" s="2"/>
      <c r="R218" s="2"/>
      <c r="S218" s="2"/>
      <c r="T218" s="2"/>
      <c r="U218" s="2"/>
      <c r="V218" s="2"/>
      <c r="W218" s="2"/>
    </row>
    <row r="219" ht="22.5" customHeight="1">
      <c r="A219" s="3">
        <v>223.0</v>
      </c>
      <c r="B219" s="3" t="s">
        <v>2471</v>
      </c>
      <c r="C219" s="3" t="s">
        <v>2270</v>
      </c>
      <c r="D219" s="3" t="s">
        <v>2247</v>
      </c>
      <c r="E219" s="2"/>
      <c r="F219" s="3" t="str">
        <f>IFERROR(__xludf.DUMMYFUNCTION("GOOGLETRANSLATE(A219, ""it"", ""en"")"),"223")</f>
        <v>223</v>
      </c>
      <c r="G219" s="3" t="str">
        <f>IFERROR(__xludf.DUMMYFUNCTION("GOOGLETRANSLATE(B219, ""it"", ""en"")"),"Ye hit the ball an' yer opponent catches it but fails to return it. What happens?")</f>
        <v>Ye hit the ball an' yer opponent catches it but fails to return it. What happens?</v>
      </c>
      <c r="H219" s="3" t="str">
        <f>IFERROR(__xludf.DUMMYFUNCTION("GOOGLETRANSLATE(C219, ""it"", ""en"")"),"A. Ye win the point B. Ye lose the point C. Ye get a penalty D. Ye get a free throw")</f>
        <v>A. Ye win the point B. Ye lose the point C. Ye get a penalty D. Ye get a free throw</v>
      </c>
      <c r="I219" s="3" t="str">
        <f>IFERROR(__xludf.DUMMYFUNCTION("GOOGLETRANSLATE(D219, ""it"", ""en"")"),"You win the point")</f>
        <v>You win the point</v>
      </c>
      <c r="J219" s="2"/>
      <c r="K219" s="2"/>
      <c r="L219" s="2"/>
      <c r="M219" s="2"/>
      <c r="N219" s="2"/>
      <c r="O219" s="2"/>
      <c r="P219" s="2"/>
      <c r="Q219" s="2"/>
      <c r="R219" s="2"/>
      <c r="S219" s="2"/>
      <c r="T219" s="2"/>
      <c r="U219" s="2"/>
      <c r="V219" s="2"/>
      <c r="W219" s="2"/>
    </row>
    <row r="220" ht="22.5" customHeight="1">
      <c r="A220" s="3">
        <v>224.0</v>
      </c>
      <c r="B220" s="3" t="s">
        <v>2472</v>
      </c>
      <c r="C220" s="3" t="s">
        <v>2251</v>
      </c>
      <c r="D220" s="3" t="s">
        <v>2247</v>
      </c>
      <c r="E220" s="2"/>
      <c r="F220" s="3" t="str">
        <f>IFERROR(__xludf.DUMMYFUNCTION("GOOGLETRANSLATE(A220, ""it"", ""en"")"),"224")</f>
        <v>224</v>
      </c>
      <c r="G220" s="3" t="str">
        <f>IFERROR(__xludf.DUMMYFUNCTION("GOOGLETRANSLATE(B220, ""it"", ""en"")"),"Ye serve the ball an' yer opponent blocks it but doesn't return it in time. What happens?")</f>
        <v>Ye serve the ball an' yer opponent blocks it but doesn't return it in time. What happens?</v>
      </c>
      <c r="H220" s="3" t="str">
        <f>IFERROR(__xludf.DUMMYFUNCTION("GOOGLETRANSLATE(C220, ""it"", ""en"")"),"A. Ye win the point B. Ye lose the point C. Ye get a free throw D. Ye get a penalty")</f>
        <v>A. Ye win the point B. Ye lose the point C. Ye get a free throw D. Ye get a penalty</v>
      </c>
      <c r="I220" s="3" t="str">
        <f>IFERROR(__xludf.DUMMYFUNCTION("GOOGLETRANSLATE(D220, ""it"", ""en"")"),"You win the point")</f>
        <v>You win the point</v>
      </c>
      <c r="J220" s="2"/>
      <c r="K220" s="2"/>
      <c r="L220" s="2"/>
      <c r="M220" s="2"/>
      <c r="N220" s="2"/>
      <c r="O220" s="2"/>
      <c r="P220" s="2"/>
      <c r="Q220" s="2"/>
      <c r="R220" s="2"/>
      <c r="S220" s="2"/>
      <c r="T220" s="2"/>
      <c r="U220" s="2"/>
      <c r="V220" s="2"/>
      <c r="W220" s="2"/>
    </row>
    <row r="221" ht="22.5" customHeight="1">
      <c r="A221" s="3">
        <v>225.0</v>
      </c>
      <c r="B221" s="3" t="s">
        <v>2473</v>
      </c>
      <c r="C221" s="3" t="s">
        <v>2270</v>
      </c>
      <c r="D221" s="3" t="s">
        <v>2247</v>
      </c>
      <c r="E221" s="2"/>
      <c r="F221" s="3" t="str">
        <f>IFERROR(__xludf.DUMMYFUNCTION("GOOGLETRANSLATE(A221, ""it"", ""en"")"),"225")</f>
        <v>225</v>
      </c>
      <c r="G221" s="3" t="str">
        <f>IFERROR(__xludf.DUMMYFUNCTION("GOOGLETRANSLATE(B221, ""it"", ""en"")"),"Ye strike the ball an' yer opponent blocks it but doesn't return it. What happens?")</f>
        <v>Ye strike the ball an' yer opponent blocks it but doesn't return it. What happens?</v>
      </c>
      <c r="H221" s="3" t="str">
        <f>IFERROR(__xludf.DUMMYFUNCTION("GOOGLETRANSLATE(C221, ""it"", ""en"")"),"A. Ye win the point B. Ye lose the point C. Ye get a penalty D. Ye get a free throw")</f>
        <v>A. Ye win the point B. Ye lose the point C. Ye get a penalty D. Ye get a free throw</v>
      </c>
      <c r="I221" s="3" t="str">
        <f>IFERROR(__xludf.DUMMYFUNCTION("GOOGLETRANSLATE(D221, ""it"", ""en"")"),"You win the point")</f>
        <v>You win the point</v>
      </c>
      <c r="J221" s="2"/>
      <c r="K221" s="2"/>
      <c r="L221" s="2"/>
      <c r="M221" s="2"/>
      <c r="N221" s="2"/>
      <c r="O221" s="2"/>
      <c r="P221" s="2"/>
      <c r="Q221" s="2"/>
      <c r="R221" s="2"/>
      <c r="S221" s="2"/>
      <c r="T221" s="2"/>
      <c r="U221" s="2"/>
      <c r="V221" s="2"/>
      <c r="W221" s="2"/>
    </row>
    <row r="222" ht="22.5" customHeight="1">
      <c r="A222" s="3">
        <v>226.0</v>
      </c>
      <c r="B222" s="3" t="s">
        <v>2474</v>
      </c>
      <c r="C222" s="3" t="s">
        <v>2270</v>
      </c>
      <c r="D222" s="3" t="s">
        <v>2247</v>
      </c>
      <c r="E222" s="2"/>
      <c r="F222" s="3" t="str">
        <f>IFERROR(__xludf.DUMMYFUNCTION("GOOGLETRANSLATE(A222, ""it"", ""en"")"),"226")</f>
        <v>226</v>
      </c>
      <c r="G222" s="3" t="str">
        <f>IFERROR(__xludf.DUMMYFUNCTION("GOOGLETRANSLATE(B222, ""it"", ""en"")"),"Ye serve the ball an' yer opponent returns it but the ball lands outside the court. What happens?")</f>
        <v>Ye serve the ball an' yer opponent returns it but the ball lands outside the court. What happens?</v>
      </c>
      <c r="H222" s="3" t="str">
        <f>IFERROR(__xludf.DUMMYFUNCTION("GOOGLETRANSLATE(C222, ""it"", ""en"")"),"A. Ye win the point B. Ye lose the point C. Ye get a penalty D. Ye get a free throw")</f>
        <v>A. Ye win the point B. Ye lose the point C. Ye get a penalty D. Ye get a free throw</v>
      </c>
      <c r="I222" s="3" t="str">
        <f>IFERROR(__xludf.DUMMYFUNCTION("GOOGLETRANSLATE(D222, ""it"", ""en"")"),"You win the point")</f>
        <v>You win the point</v>
      </c>
      <c r="J222" s="2"/>
      <c r="K222" s="2"/>
      <c r="L222" s="2"/>
      <c r="M222" s="2"/>
      <c r="N222" s="2"/>
      <c r="O222" s="2"/>
      <c r="P222" s="2"/>
      <c r="Q222" s="2"/>
      <c r="R222" s="2"/>
      <c r="S222" s="2"/>
      <c r="T222" s="2"/>
      <c r="U222" s="2"/>
      <c r="V222" s="2"/>
      <c r="W222" s="2"/>
    </row>
    <row r="223" ht="22.5" customHeight="1">
      <c r="A223" s="3">
        <v>227.0</v>
      </c>
      <c r="B223" s="3" t="s">
        <v>2442</v>
      </c>
      <c r="C223" s="3" t="s">
        <v>2270</v>
      </c>
      <c r="D223" s="3" t="s">
        <v>2247</v>
      </c>
      <c r="E223" s="2"/>
      <c r="F223" s="3" t="str">
        <f>IFERROR(__xludf.DUMMYFUNCTION("GOOGLETRANSLATE(A223, ""it"", ""en"")"),"227")</f>
        <v>227</v>
      </c>
      <c r="G223" s="3" t="str">
        <f>IFERROR(__xludf.DUMMYFUNCTION("GOOGLETRANSLATE(B223, ""it"", ""en"")"),"Ye hit the ball an' yer opponent blocks it but doesn't strike it back. What happens?")</f>
        <v>Ye hit the ball an' yer opponent blocks it but doesn't strike it back. What happens?</v>
      </c>
      <c r="H223" s="3" t="str">
        <f>IFERROR(__xludf.DUMMYFUNCTION("GOOGLETRANSLATE(C223, ""it"", ""en"")"),"A. Ye win the point B. Ye lose the point C. Ye get a penalty D. Ye get a free throw")</f>
        <v>A. Ye win the point B. Ye lose the point C. Ye get a penalty D. Ye get a free throw</v>
      </c>
      <c r="I223" s="3" t="str">
        <f>IFERROR(__xludf.DUMMYFUNCTION("GOOGLETRANSLATE(D223, ""it"", ""en"")"),"You win the point")</f>
        <v>You win the point</v>
      </c>
      <c r="J223" s="2"/>
      <c r="K223" s="2"/>
      <c r="L223" s="2"/>
      <c r="M223" s="2"/>
      <c r="N223" s="2"/>
      <c r="O223" s="2"/>
      <c r="P223" s="2"/>
      <c r="Q223" s="2"/>
      <c r="R223" s="2"/>
      <c r="S223" s="2"/>
      <c r="T223" s="2"/>
      <c r="U223" s="2"/>
      <c r="V223" s="2"/>
      <c r="W223" s="2"/>
    </row>
    <row r="224" ht="22.5" customHeight="1">
      <c r="A224" s="3">
        <v>228.0</v>
      </c>
      <c r="B224" s="3" t="s">
        <v>2475</v>
      </c>
      <c r="C224" s="3" t="s">
        <v>2249</v>
      </c>
      <c r="D224" s="3" t="s">
        <v>2247</v>
      </c>
      <c r="E224" s="2"/>
      <c r="F224" s="3" t="str">
        <f>IFERROR(__xludf.DUMMYFUNCTION("GOOGLETRANSLATE(A224, ""it"", ""en"")"),"228")</f>
        <v>228</v>
      </c>
      <c r="G224" s="3" t="str">
        <f>IFERROR(__xludf.DUMMYFUNCTION("GOOGLETRANSLATE(B224, ""it"", ""en"")"),"Ye serve the ball an' yer opponent misses it but the ball lands out of bounds. What happens?")</f>
        <v>Ye serve the ball an' yer opponent misses it but the ball lands out of bounds. What happens?</v>
      </c>
      <c r="H224" s="3" t="str">
        <f>IFERROR(__xludf.DUMMYFUNCTION("GOOGLETRANSLATE(C224, ""it"", ""en"")"),"A. Ye lose the point B. Ye win the point C. Ye get a penalty D. Ye get a free throw")</f>
        <v>A. Ye lose the point B. Ye win the point C. Ye get a penalty D. Ye get a free throw</v>
      </c>
      <c r="I224" s="3" t="str">
        <f>IFERROR(__xludf.DUMMYFUNCTION("GOOGLETRANSLATE(D224, ""it"", ""en"")"),"You win the point")</f>
        <v>You win the point</v>
      </c>
      <c r="J224" s="2"/>
      <c r="K224" s="2"/>
      <c r="L224" s="2"/>
      <c r="M224" s="2"/>
      <c r="N224" s="2"/>
      <c r="O224" s="2"/>
      <c r="P224" s="2"/>
      <c r="Q224" s="2"/>
      <c r="R224" s="2"/>
      <c r="S224" s="2"/>
      <c r="T224" s="2"/>
      <c r="U224" s="2"/>
      <c r="V224" s="2"/>
      <c r="W224" s="2"/>
    </row>
    <row r="225" ht="22.5" customHeight="1">
      <c r="A225" s="3">
        <v>229.0</v>
      </c>
      <c r="B225" s="3" t="s">
        <v>2476</v>
      </c>
      <c r="C225" s="3" t="s">
        <v>2270</v>
      </c>
      <c r="D225" s="3" t="s">
        <v>2247</v>
      </c>
      <c r="E225" s="2"/>
      <c r="F225" s="3" t="str">
        <f>IFERROR(__xludf.DUMMYFUNCTION("GOOGLETRANSLATE(A225, ""it"", ""en"")"),"229")</f>
        <v>229</v>
      </c>
      <c r="G225" s="3" t="str">
        <f>IFERROR(__xludf.DUMMYFUNCTION("GOOGLETRANSLATE(B225, ""it"", ""en"")"),"Ye strike the ball an' yer opponent misses it but it lands in their court. What happens?")</f>
        <v>Ye strike the ball an' yer opponent misses it but it lands in their court. What happens?</v>
      </c>
      <c r="H225" s="3" t="str">
        <f>IFERROR(__xludf.DUMMYFUNCTION("GOOGLETRANSLATE(C225, ""it"", ""en"")"),"A. Ye win the point B. Ye lose the point C. Ye get a penalty D. Ye get a free throw")</f>
        <v>A. Ye win the point B. Ye lose the point C. Ye get a penalty D. Ye get a free throw</v>
      </c>
      <c r="I225" s="3" t="str">
        <f>IFERROR(__xludf.DUMMYFUNCTION("GOOGLETRANSLATE(D225, ""it"", ""en"")"),"You win the point")</f>
        <v>You win the point</v>
      </c>
      <c r="J225" s="2"/>
      <c r="K225" s="2"/>
      <c r="L225" s="2"/>
      <c r="M225" s="2"/>
      <c r="N225" s="2"/>
      <c r="O225" s="2"/>
      <c r="P225" s="2"/>
      <c r="Q225" s="2"/>
      <c r="R225" s="2"/>
      <c r="S225" s="2"/>
      <c r="T225" s="2"/>
      <c r="U225" s="2"/>
      <c r="V225" s="2"/>
      <c r="W225" s="2"/>
    </row>
    <row r="226" ht="22.5" customHeight="1">
      <c r="A226" s="3">
        <v>230.0</v>
      </c>
      <c r="B226" s="3" t="s">
        <v>2477</v>
      </c>
      <c r="C226" s="3" t="s">
        <v>2270</v>
      </c>
      <c r="D226" s="3" t="s">
        <v>2247</v>
      </c>
      <c r="E226" s="2"/>
      <c r="F226" s="3" t="str">
        <f>IFERROR(__xludf.DUMMYFUNCTION("GOOGLETRANSLATE(A226, ""it"", ""en"")"),"230")</f>
        <v>230</v>
      </c>
      <c r="G226" s="3" t="str">
        <f>IFERROR(__xludf.DUMMYFUNCTION("GOOGLETRANSLATE(B226, ""it"", ""en"")"),"Ye serve the ball an' yer opponent returns it but lands behind the line. What happens?")</f>
        <v>Ye serve the ball an' yer opponent returns it but lands behind the line. What happens?</v>
      </c>
      <c r="H226" s="3" t="str">
        <f>IFERROR(__xludf.DUMMYFUNCTION("GOOGLETRANSLATE(C226, ""it"", ""en"")"),"A. Ye win the point B. Ye lose the point C. Ye get a penalty D. Ye get a free throw")</f>
        <v>A. Ye win the point B. Ye lose the point C. Ye get a penalty D. Ye get a free throw</v>
      </c>
      <c r="I226" s="3" t="str">
        <f>IFERROR(__xludf.DUMMYFUNCTION("GOOGLETRANSLATE(D226, ""it"", ""en"")"),"You win the point")</f>
        <v>You win the point</v>
      </c>
      <c r="J226" s="2"/>
      <c r="K226" s="2"/>
      <c r="L226" s="2"/>
      <c r="M226" s="2"/>
      <c r="N226" s="2"/>
      <c r="O226" s="2"/>
      <c r="P226" s="2"/>
      <c r="Q226" s="2"/>
      <c r="R226" s="2"/>
      <c r="S226" s="2"/>
      <c r="T226" s="2"/>
      <c r="U226" s="2"/>
      <c r="V226" s="2"/>
      <c r="W226" s="2"/>
    </row>
    <row r="227" ht="22.5" customHeight="1">
      <c r="A227" s="3">
        <v>231.0</v>
      </c>
      <c r="B227" s="3" t="s">
        <v>2478</v>
      </c>
      <c r="C227" s="3" t="s">
        <v>2270</v>
      </c>
      <c r="D227" s="3" t="s">
        <v>2247</v>
      </c>
      <c r="E227" s="2"/>
      <c r="F227" s="3" t="str">
        <f>IFERROR(__xludf.DUMMYFUNCTION("GOOGLETRANSLATE(A227, ""it"", ""en"")"),"231")</f>
        <v>231</v>
      </c>
      <c r="G227" s="3" t="str">
        <f>IFERROR(__xludf.DUMMYFUNCTION("GOOGLETRANSLATE(B227, ""it"", ""en"")"),"Ye serve the ball an' yer opponent blocks it but doesn't return it. What happens?")</f>
        <v>Ye serve the ball an' yer opponent blocks it but doesn't return it. What happens?</v>
      </c>
      <c r="H227" s="3" t="str">
        <f>IFERROR(__xludf.DUMMYFUNCTION("GOOGLETRANSLATE(C227, ""it"", ""en"")"),"A. Ye win the point B. Ye lose the point C. Ye get a penalty D. Ye get a free throw")</f>
        <v>A. Ye win the point B. Ye lose the point C. Ye get a penalty D. Ye get a free throw</v>
      </c>
      <c r="I227" s="3" t="str">
        <f>IFERROR(__xludf.DUMMYFUNCTION("GOOGLETRANSLATE(D227, ""it"", ""en"")"),"You win the point")</f>
        <v>You win the point</v>
      </c>
      <c r="J227" s="2"/>
      <c r="K227" s="2"/>
      <c r="L227" s="2"/>
      <c r="M227" s="2"/>
      <c r="N227" s="2"/>
      <c r="O227" s="2"/>
      <c r="P227" s="2"/>
      <c r="Q227" s="2"/>
      <c r="R227" s="2"/>
      <c r="S227" s="2"/>
      <c r="T227" s="2"/>
      <c r="U227" s="2"/>
      <c r="V227" s="2"/>
      <c r="W227" s="2"/>
    </row>
    <row r="228" ht="22.5" customHeight="1">
      <c r="A228" s="3">
        <v>232.0</v>
      </c>
      <c r="B228" s="3" t="s">
        <v>2479</v>
      </c>
      <c r="C228" s="3" t="s">
        <v>2270</v>
      </c>
      <c r="D228" s="3" t="s">
        <v>2247</v>
      </c>
      <c r="E228" s="2"/>
      <c r="F228" s="3" t="str">
        <f>IFERROR(__xludf.DUMMYFUNCTION("GOOGLETRANSLATE(A228, ""it"", ""en"")"),"232")</f>
        <v>232</v>
      </c>
      <c r="G228" s="3" t="str">
        <f>IFERROR(__xludf.DUMMYFUNCTION("GOOGLETRANSLATE(B228, ""it"", ""en"")"),"Ye hit the ball an' yer opponent returns it but it lands behind the line. What happens?")</f>
        <v>Ye hit the ball an' yer opponent returns it but it lands behind the line. What happens?</v>
      </c>
      <c r="H228" s="3" t="str">
        <f>IFERROR(__xludf.DUMMYFUNCTION("GOOGLETRANSLATE(C228, ""it"", ""en"")"),"A. Ye win the point B. Ye lose the point C. Ye get a penalty D. Ye get a free throw")</f>
        <v>A. Ye win the point B. Ye lose the point C. Ye get a penalty D. Ye get a free throw</v>
      </c>
      <c r="I228" s="3" t="str">
        <f>IFERROR(__xludf.DUMMYFUNCTION("GOOGLETRANSLATE(D228, ""it"", ""en"")"),"You win the point")</f>
        <v>You win the point</v>
      </c>
      <c r="J228" s="2"/>
      <c r="K228" s="2"/>
      <c r="L228" s="2"/>
      <c r="M228" s="2"/>
      <c r="N228" s="2"/>
      <c r="O228" s="2"/>
      <c r="P228" s="2"/>
      <c r="Q228" s="2"/>
      <c r="R228" s="2"/>
      <c r="S228" s="2"/>
      <c r="T228" s="2"/>
      <c r="U228" s="2"/>
      <c r="V228" s="2"/>
      <c r="W228" s="2"/>
    </row>
    <row r="229" ht="22.5" customHeight="1">
      <c r="A229" s="3">
        <v>233.0</v>
      </c>
      <c r="B229" s="3" t="s">
        <v>2480</v>
      </c>
      <c r="C229" s="3" t="s">
        <v>2270</v>
      </c>
      <c r="D229" s="3" t="s">
        <v>2247</v>
      </c>
      <c r="E229" s="2"/>
      <c r="F229" s="3" t="str">
        <f>IFERROR(__xludf.DUMMYFUNCTION("GOOGLETRANSLATE(A229, ""it"", ""en"")"),"233")</f>
        <v>233</v>
      </c>
      <c r="G229" s="3" t="str">
        <f>IFERROR(__xludf.DUMMYFUNCTION("GOOGLETRANSLATE(B229, ""it"", ""en"")"),"Ye serve the ball an' yer opponent catches it but fails to strike it back in time. What happens?")</f>
        <v>Ye serve the ball an' yer opponent catches it but fails to strike it back in time. What happens?</v>
      </c>
      <c r="H229" s="3" t="str">
        <f>IFERROR(__xludf.DUMMYFUNCTION("GOOGLETRANSLATE(C229, ""it"", ""en"")"),"A. Ye win the point B. Ye lose the point C. Ye get a penalty D. Ye get a free throw")</f>
        <v>A. Ye win the point B. Ye lose the point C. Ye get a penalty D. Ye get a free throw</v>
      </c>
      <c r="I229" s="3" t="str">
        <f>IFERROR(__xludf.DUMMYFUNCTION("GOOGLETRANSLATE(D229, ""it"", ""en"")"),"You win the point")</f>
        <v>You win the point</v>
      </c>
      <c r="J229" s="2"/>
      <c r="K229" s="2"/>
      <c r="L229" s="2"/>
      <c r="M229" s="2"/>
      <c r="N229" s="2"/>
      <c r="O229" s="2"/>
      <c r="P229" s="2"/>
      <c r="Q229" s="2"/>
      <c r="R229" s="2"/>
      <c r="S229" s="2"/>
      <c r="T229" s="2"/>
      <c r="U229" s="2"/>
      <c r="V229" s="2"/>
      <c r="W229" s="2"/>
    </row>
    <row r="230" ht="22.5" customHeight="1">
      <c r="A230" s="3">
        <v>234.0</v>
      </c>
      <c r="B230" s="3" t="s">
        <v>2469</v>
      </c>
      <c r="C230" s="3" t="s">
        <v>2270</v>
      </c>
      <c r="D230" s="3" t="s">
        <v>2247</v>
      </c>
      <c r="E230" s="2"/>
      <c r="F230" s="3" t="str">
        <f>IFERROR(__xludf.DUMMYFUNCTION("GOOGLETRANSLATE(A230, ""it"", ""en"")"),"234")</f>
        <v>234</v>
      </c>
      <c r="G230" s="3" t="str">
        <f>IFERROR(__xludf.DUMMYFUNCTION("GOOGLETRANSLATE(B230, ""it"", ""en"")"),"Ye strike the ball an' yer opponent misses it and the ball lands in their court. What happens?")</f>
        <v>Ye strike the ball an' yer opponent misses it and the ball lands in their court. What happens?</v>
      </c>
      <c r="H230" s="3" t="str">
        <f>IFERROR(__xludf.DUMMYFUNCTION("GOOGLETRANSLATE(C230, ""it"", ""en"")"),"A. Ye win the point B. Ye lose the point C. Ye get a penalty D. Ye get a free throw")</f>
        <v>A. Ye win the point B. Ye lose the point C. Ye get a penalty D. Ye get a free throw</v>
      </c>
      <c r="I230" s="3" t="str">
        <f>IFERROR(__xludf.DUMMYFUNCTION("GOOGLETRANSLATE(D230, ""it"", ""en"")"),"You win the point")</f>
        <v>You win the point</v>
      </c>
      <c r="J230" s="2"/>
      <c r="K230" s="2"/>
      <c r="L230" s="2"/>
      <c r="M230" s="2"/>
      <c r="N230" s="2"/>
      <c r="O230" s="2"/>
      <c r="P230" s="2"/>
      <c r="Q230" s="2"/>
      <c r="R230" s="2"/>
      <c r="S230" s="2"/>
      <c r="T230" s="2"/>
      <c r="U230" s="2"/>
      <c r="V230" s="2"/>
      <c r="W230" s="2"/>
    </row>
    <row r="231" ht="22.5" customHeight="1">
      <c r="A231" s="3">
        <v>235.0</v>
      </c>
      <c r="B231" s="3" t="s">
        <v>2481</v>
      </c>
      <c r="C231" s="3" t="s">
        <v>2249</v>
      </c>
      <c r="D231" s="3" t="s">
        <v>2247</v>
      </c>
      <c r="E231" s="2"/>
      <c r="F231" s="3" t="str">
        <f>IFERROR(__xludf.DUMMYFUNCTION("GOOGLETRANSLATE(A231, ""it"", ""en"")"),"235")</f>
        <v>235</v>
      </c>
      <c r="G231" s="3" t="str">
        <f>IFERROR(__xludf.DUMMYFUNCTION("GOOGLETRANSLATE(B231, ""it"", ""en"")"),"Ye serve the ball an' yer opponent misses it and the ball lands out of bounds. What happens?")</f>
        <v>Ye serve the ball an' yer opponent misses it and the ball lands out of bounds. What happens?</v>
      </c>
      <c r="H231" s="3" t="str">
        <f>IFERROR(__xludf.DUMMYFUNCTION("GOOGLETRANSLATE(C231, ""it"", ""en"")"),"A. Ye lose the point B. Ye win the point C. Ye get a penalty D. Ye get a free throw")</f>
        <v>A. Ye lose the point B. Ye win the point C. Ye get a penalty D. Ye get a free throw</v>
      </c>
      <c r="I231" s="3" t="str">
        <f>IFERROR(__xludf.DUMMYFUNCTION("GOOGLETRANSLATE(D231, ""it"", ""en"")"),"You win the point")</f>
        <v>You win the point</v>
      </c>
      <c r="J231" s="2"/>
      <c r="K231" s="2"/>
      <c r="L231" s="2"/>
      <c r="M231" s="2"/>
      <c r="N231" s="2"/>
      <c r="O231" s="2"/>
      <c r="P231" s="2"/>
      <c r="Q231" s="2"/>
      <c r="R231" s="2"/>
      <c r="S231" s="2"/>
      <c r="T231" s="2"/>
      <c r="U231" s="2"/>
      <c r="V231" s="2"/>
      <c r="W231" s="2"/>
    </row>
    <row r="232" ht="22.5" customHeight="1">
      <c r="A232" s="3">
        <v>236.0</v>
      </c>
      <c r="B232" s="3" t="s">
        <v>2482</v>
      </c>
      <c r="C232" s="3" t="s">
        <v>2270</v>
      </c>
      <c r="D232" s="3" t="s">
        <v>2247</v>
      </c>
      <c r="E232" s="2"/>
      <c r="F232" s="3" t="str">
        <f>IFERROR(__xludf.DUMMYFUNCTION("GOOGLETRANSLATE(A232, ""it"", ""en"")"),"236")</f>
        <v>236</v>
      </c>
      <c r="G232" s="3" t="str">
        <f>IFERROR(__xludf.DUMMYFUNCTION("GOOGLETRANSLATE(B232, ""it"", ""en"")"),"Ye hit the ball an' yer opponent blocks it but doesn't return it in time. What happens?")</f>
        <v>Ye hit the ball an' yer opponent blocks it but doesn't return it in time. What happens?</v>
      </c>
      <c r="H232" s="3" t="str">
        <f>IFERROR(__xludf.DUMMYFUNCTION("GOOGLETRANSLATE(C232, ""it"", ""en"")"),"A. Ye win the point B. Ye lose the point C. Ye get a penalty D. Ye get a free throw")</f>
        <v>A. Ye win the point B. Ye lose the point C. Ye get a penalty D. Ye get a free throw</v>
      </c>
      <c r="I232" s="3" t="str">
        <f>IFERROR(__xludf.DUMMYFUNCTION("GOOGLETRANSLATE(D232, ""it"", ""en"")"),"You win the point")</f>
        <v>You win the point</v>
      </c>
      <c r="J232" s="2"/>
      <c r="K232" s="2"/>
      <c r="L232" s="2"/>
      <c r="M232" s="2"/>
      <c r="N232" s="2"/>
      <c r="O232" s="2"/>
      <c r="P232" s="2"/>
      <c r="Q232" s="2"/>
      <c r="R232" s="2"/>
      <c r="S232" s="2"/>
      <c r="T232" s="2"/>
      <c r="U232" s="2"/>
      <c r="V232" s="2"/>
      <c r="W232" s="2"/>
    </row>
    <row r="233" ht="22.5" customHeight="1">
      <c r="A233" s="3">
        <v>237.0</v>
      </c>
      <c r="B233" s="3" t="s">
        <v>2483</v>
      </c>
      <c r="C233" s="3" t="s">
        <v>2270</v>
      </c>
      <c r="D233" s="3" t="s">
        <v>2247</v>
      </c>
      <c r="E233" s="2"/>
      <c r="F233" s="3" t="str">
        <f>IFERROR(__xludf.DUMMYFUNCTION("GOOGLETRANSLATE(A233, ""it"", ""en"")"),"237")</f>
        <v>237</v>
      </c>
      <c r="G233" s="3" t="str">
        <f>IFERROR(__xludf.DUMMYFUNCTION("GOOGLETRANSLATE(B233, ""it"", ""en"")"),"Ye serve the ball an' yer opponent blocks it and it lands outside the court. What happens?")</f>
        <v>Ye serve the ball an' yer opponent blocks it and it lands outside the court. What happens?</v>
      </c>
      <c r="H233" s="3" t="str">
        <f>IFERROR(__xludf.DUMMYFUNCTION("GOOGLETRANSLATE(C233, ""it"", ""en"")"),"A. Ye win the point B. Ye lose the point C. Ye get a penalty D. Ye get a free throw")</f>
        <v>A. Ye win the point B. Ye lose the point C. Ye get a penalty D. Ye get a free throw</v>
      </c>
      <c r="I233" s="3" t="str">
        <f>IFERROR(__xludf.DUMMYFUNCTION("GOOGLETRANSLATE(D233, ""it"", ""en"")"),"You win the point")</f>
        <v>You win the point</v>
      </c>
      <c r="J233" s="2"/>
      <c r="K233" s="2"/>
      <c r="L233" s="2"/>
      <c r="M233" s="2"/>
      <c r="N233" s="2"/>
      <c r="O233" s="2"/>
      <c r="P233" s="2"/>
      <c r="Q233" s="2"/>
      <c r="R233" s="2"/>
      <c r="S233" s="2"/>
      <c r="T233" s="2"/>
      <c r="U233" s="2"/>
      <c r="V233" s="2"/>
      <c r="W233" s="2"/>
    </row>
    <row r="234" ht="22.5" customHeight="1">
      <c r="A234" s="3">
        <v>238.0</v>
      </c>
      <c r="B234" s="3" t="s">
        <v>2484</v>
      </c>
      <c r="C234" s="3" t="s">
        <v>2270</v>
      </c>
      <c r="D234" s="3" t="s">
        <v>2247</v>
      </c>
      <c r="E234" s="2"/>
      <c r="F234" s="3" t="str">
        <f>IFERROR(__xludf.DUMMYFUNCTION("GOOGLETRANSLATE(A234, ""it"", ""en"")"),"238")</f>
        <v>238</v>
      </c>
      <c r="G234" s="3" t="str">
        <f>IFERROR(__xludf.DUMMYFUNCTION("GOOGLETRANSLATE(B234, ""it"", ""en"")"),"Ye strike the ball an' yer opponent catches it but doesn't strike it back. What happens?")</f>
        <v>Ye strike the ball an' yer opponent catches it but doesn't strike it back. What happens?</v>
      </c>
      <c r="H234" s="3" t="str">
        <f>IFERROR(__xludf.DUMMYFUNCTION("GOOGLETRANSLATE(C234, ""it"", ""en"")"),"A. Ye win the point B. Ye lose the point C. Ye get a penalty D. Ye get a free throw")</f>
        <v>A. Ye win the point B. Ye lose the point C. Ye get a penalty D. Ye get a free throw</v>
      </c>
      <c r="I234" s="3" t="str">
        <f>IFERROR(__xludf.DUMMYFUNCTION("GOOGLETRANSLATE(D234, ""it"", ""en"")"),"You win the point")</f>
        <v>You win the point</v>
      </c>
      <c r="J234" s="2"/>
      <c r="K234" s="2"/>
      <c r="L234" s="2"/>
      <c r="M234" s="2"/>
      <c r="N234" s="2"/>
      <c r="O234" s="2"/>
      <c r="P234" s="2"/>
      <c r="Q234" s="2"/>
      <c r="R234" s="2"/>
      <c r="S234" s="2"/>
      <c r="T234" s="2"/>
      <c r="U234" s="2"/>
      <c r="V234" s="2"/>
      <c r="W234" s="2"/>
    </row>
    <row r="235" ht="22.5" customHeight="1">
      <c r="A235" s="3">
        <v>239.0</v>
      </c>
      <c r="B235" s="3" t="s">
        <v>2464</v>
      </c>
      <c r="C235" s="3" t="s">
        <v>2270</v>
      </c>
      <c r="D235" s="3" t="s">
        <v>2247</v>
      </c>
      <c r="E235" s="2"/>
      <c r="F235" s="3" t="str">
        <f>IFERROR(__xludf.DUMMYFUNCTION("GOOGLETRANSLATE(A235, ""it"", ""en"")"),"239")</f>
        <v>239</v>
      </c>
      <c r="G235" s="3" t="str">
        <f>IFERROR(__xludf.DUMMYFUNCTION("GOOGLETRANSLATE(B235, ""it"", ""en"")"),"Ye serve the ball an' yer opponent misses but the ball lands in their court. What happens?")</f>
        <v>Ye serve the ball an' yer opponent misses but the ball lands in their court. What happens?</v>
      </c>
      <c r="H235" s="3" t="str">
        <f>IFERROR(__xludf.DUMMYFUNCTION("GOOGLETRANSLATE(C235, ""it"", ""en"")"),"A. Ye win the point B. Ye lose the point C. Ye get a penalty D. Ye get a free throw")</f>
        <v>A. Ye win the point B. Ye lose the point C. Ye get a penalty D. Ye get a free throw</v>
      </c>
      <c r="I235" s="3" t="str">
        <f>IFERROR(__xludf.DUMMYFUNCTION("GOOGLETRANSLATE(D235, ""it"", ""en"")"),"You win the point")</f>
        <v>You win the point</v>
      </c>
      <c r="J235" s="2"/>
      <c r="K235" s="2"/>
      <c r="L235" s="2"/>
      <c r="M235" s="2"/>
      <c r="N235" s="2"/>
      <c r="O235" s="2"/>
      <c r="P235" s="2"/>
      <c r="Q235" s="2"/>
      <c r="R235" s="2"/>
      <c r="S235" s="2"/>
      <c r="T235" s="2"/>
      <c r="U235" s="2"/>
      <c r="V235" s="2"/>
      <c r="W235" s="2"/>
    </row>
    <row r="236" ht="22.5" customHeight="1">
      <c r="A236" s="3">
        <v>240.0</v>
      </c>
      <c r="B236" s="3" t="s">
        <v>2485</v>
      </c>
      <c r="C236" s="3" t="s">
        <v>2270</v>
      </c>
      <c r="D236" s="3" t="s">
        <v>2247</v>
      </c>
      <c r="E236" s="2"/>
      <c r="F236" s="3" t="str">
        <f>IFERROR(__xludf.DUMMYFUNCTION("GOOGLETRANSLATE(A236, ""it"", ""en"")"),"240")</f>
        <v>240</v>
      </c>
      <c r="G236" s="3" t="str">
        <f>IFERROR(__xludf.DUMMYFUNCTION("GOOGLETRANSLATE(B236, ""it"", ""en"")"),"Ye hit the ball an' yer opponent strikes it back but it lands outside the court. What happens?")</f>
        <v>Ye hit the ball an' yer opponent strikes it back but it lands outside the court. What happens?</v>
      </c>
      <c r="H236" s="3" t="str">
        <f>IFERROR(__xludf.DUMMYFUNCTION("GOOGLETRANSLATE(C236, ""it"", ""en"")"),"A. Ye win the point B. Ye lose the point C. Ye get a penalty D. Ye get a free throw")</f>
        <v>A. Ye win the point B. Ye lose the point C. Ye get a penalty D. Ye get a free throw</v>
      </c>
      <c r="I236" s="3" t="str">
        <f>IFERROR(__xludf.DUMMYFUNCTION("GOOGLETRANSLATE(D236, ""it"", ""en"")"),"You win the point")</f>
        <v>You win the point</v>
      </c>
      <c r="J236" s="2"/>
      <c r="K236" s="2"/>
      <c r="L236" s="2"/>
      <c r="M236" s="2"/>
      <c r="N236" s="2"/>
      <c r="O236" s="2"/>
      <c r="P236" s="2"/>
      <c r="Q236" s="2"/>
      <c r="R236" s="2"/>
      <c r="S236" s="2"/>
      <c r="T236" s="2"/>
      <c r="U236" s="2"/>
      <c r="V236" s="2"/>
      <c r="W236" s="2"/>
    </row>
    <row r="237" ht="22.5" customHeight="1">
      <c r="A237" s="3">
        <v>241.0</v>
      </c>
      <c r="B237" s="3" t="s">
        <v>2486</v>
      </c>
      <c r="C237" s="3" t="s">
        <v>2270</v>
      </c>
      <c r="D237" s="3" t="s">
        <v>2247</v>
      </c>
      <c r="E237" s="2"/>
      <c r="F237" s="3" t="str">
        <f>IFERROR(__xludf.DUMMYFUNCTION("GOOGLETRANSLATE(A237, ""it"", ""en"")"),"241")</f>
        <v>241</v>
      </c>
      <c r="G237" s="3" t="str">
        <f>IFERROR(__xludf.DUMMYFUNCTION("GOOGLETRANSLATE(B237, ""it"", ""en"")"),"Ye serve the ball an' yer opponent catches it but doesn't return it. What happens?")</f>
        <v>Ye serve the ball an' yer opponent catches it but doesn't return it. What happens?</v>
      </c>
      <c r="H237" s="3" t="str">
        <f>IFERROR(__xludf.DUMMYFUNCTION("GOOGLETRANSLATE(C237, ""it"", ""en"")"),"A. Ye win the point B. Ye lose the point C. Ye get a penalty D. Ye get a free throw")</f>
        <v>A. Ye win the point B. Ye lose the point C. Ye get a penalty D. Ye get a free throw</v>
      </c>
      <c r="I237" s="3" t="str">
        <f>IFERROR(__xludf.DUMMYFUNCTION("GOOGLETRANSLATE(D237, ""it"", ""en"")"),"You win the point")</f>
        <v>You win the point</v>
      </c>
      <c r="J237" s="2"/>
      <c r="K237" s="2"/>
      <c r="L237" s="2"/>
      <c r="M237" s="2"/>
      <c r="N237" s="2"/>
      <c r="O237" s="2"/>
      <c r="P237" s="2"/>
      <c r="Q237" s="2"/>
      <c r="R237" s="2"/>
      <c r="S237" s="2"/>
      <c r="T237" s="2"/>
      <c r="U237" s="2"/>
      <c r="V237" s="2"/>
      <c r="W237" s="2"/>
    </row>
    <row r="238" ht="22.5" customHeight="1">
      <c r="A238" s="3">
        <v>242.0</v>
      </c>
      <c r="B238" s="3" t="s">
        <v>2487</v>
      </c>
      <c r="C238" s="3" t="s">
        <v>2270</v>
      </c>
      <c r="D238" s="3" t="s">
        <v>2247</v>
      </c>
      <c r="E238" s="2"/>
      <c r="F238" s="3" t="str">
        <f>IFERROR(__xludf.DUMMYFUNCTION("GOOGLETRANSLATE(A238, ""it"", ""en"")"),"242")</f>
        <v>242</v>
      </c>
      <c r="G238" s="3" t="str">
        <f>IFERROR(__xludf.DUMMYFUNCTION("GOOGLETRANSLATE(B238, ""it"", ""en"")"),"Ye strike the ball an' yer opponent returns it but lands behind the line. What happens?")</f>
        <v>Ye strike the ball an' yer opponent returns it but lands behind the line. What happens?</v>
      </c>
      <c r="H238" s="3" t="str">
        <f>IFERROR(__xludf.DUMMYFUNCTION("GOOGLETRANSLATE(C238, ""it"", ""en"")"),"A. Ye win the point B. Ye lose the point C. Ye get a penalty D. Ye get a free throw")</f>
        <v>A. Ye win the point B. Ye lose the point C. Ye get a penalty D. Ye get a free throw</v>
      </c>
      <c r="I238" s="3" t="str">
        <f>IFERROR(__xludf.DUMMYFUNCTION("GOOGLETRANSLATE(D238, ""it"", ""en"")"),"You win the point")</f>
        <v>You win the point</v>
      </c>
      <c r="J238" s="2"/>
      <c r="K238" s="2"/>
      <c r="L238" s="2"/>
      <c r="M238" s="2"/>
      <c r="N238" s="2"/>
      <c r="O238" s="2"/>
      <c r="P238" s="2"/>
      <c r="Q238" s="2"/>
      <c r="R238" s="2"/>
      <c r="S238" s="2"/>
      <c r="T238" s="2"/>
      <c r="U238" s="2"/>
      <c r="V238" s="2"/>
      <c r="W238" s="2"/>
    </row>
    <row r="239" ht="22.5" customHeight="1">
      <c r="A239" s="3">
        <v>243.0</v>
      </c>
      <c r="B239" s="3" t="s">
        <v>2488</v>
      </c>
      <c r="C239" s="3" t="s">
        <v>2270</v>
      </c>
      <c r="D239" s="3" t="s">
        <v>2247</v>
      </c>
      <c r="E239" s="2"/>
      <c r="F239" s="3" t="str">
        <f>IFERROR(__xludf.DUMMYFUNCTION("GOOGLETRANSLATE(A239, ""it"", ""en"")"),"243")</f>
        <v>243</v>
      </c>
      <c r="G239" s="3" t="str">
        <f>IFERROR(__xludf.DUMMYFUNCTION("GOOGLETRANSLATE(B239, ""it"", ""en"")"),"Ye serve the ball an' yer opponent blocks it but doesn't strike it back. What happens?")</f>
        <v>Ye serve the ball an' yer opponent blocks it but doesn't strike it back. What happens?</v>
      </c>
      <c r="H239" s="3" t="str">
        <f>IFERROR(__xludf.DUMMYFUNCTION("GOOGLETRANSLATE(C239, ""it"", ""en"")"),"A. Ye win the point B. Ye lose the point C. Ye get a penalty D. Ye get a free throw")</f>
        <v>A. Ye win the point B. Ye lose the point C. Ye get a penalty D. Ye get a free throw</v>
      </c>
      <c r="I239" s="3" t="str">
        <f>IFERROR(__xludf.DUMMYFUNCTION("GOOGLETRANSLATE(D239, ""it"", ""en"")"),"You win the point")</f>
        <v>You win the point</v>
      </c>
      <c r="J239" s="2"/>
      <c r="K239" s="2"/>
      <c r="L239" s="2"/>
      <c r="M239" s="2"/>
      <c r="N239" s="2"/>
      <c r="O239" s="2"/>
      <c r="P239" s="2"/>
      <c r="Q239" s="2"/>
      <c r="R239" s="2"/>
      <c r="S239" s="2"/>
      <c r="T239" s="2"/>
      <c r="U239" s="2"/>
      <c r="V239" s="2"/>
      <c r="W239" s="2"/>
    </row>
    <row r="240" ht="22.5" customHeight="1">
      <c r="A240" s="3">
        <v>244.0</v>
      </c>
      <c r="B240" s="3" t="s">
        <v>2489</v>
      </c>
      <c r="C240" s="3" t="s">
        <v>2270</v>
      </c>
      <c r="D240" s="3" t="s">
        <v>2247</v>
      </c>
      <c r="E240" s="2"/>
      <c r="F240" s="3" t="str">
        <f>IFERROR(__xludf.DUMMYFUNCTION("GOOGLETRANSLATE(A240, ""it"", ""en"")"),"244")</f>
        <v>244</v>
      </c>
      <c r="G240" s="3" t="str">
        <f>IFERROR(__xludf.DUMMYFUNCTION("GOOGLETRANSLATE(B240, ""it"", ""en"")"),"Ye hit the ball an' yer opponent strikes it but it lands outside the court. What happens?")</f>
        <v>Ye hit the ball an' yer opponent strikes it but it lands outside the court. What happens?</v>
      </c>
      <c r="H240" s="3" t="str">
        <f>IFERROR(__xludf.DUMMYFUNCTION("GOOGLETRANSLATE(C240, ""it"", ""en"")"),"A. Ye win the point B. Ye lose the point C. Ye get a penalty D. Ye get a free throw")</f>
        <v>A. Ye win the point B. Ye lose the point C. Ye get a penalty D. Ye get a free throw</v>
      </c>
      <c r="I240" s="3" t="str">
        <f>IFERROR(__xludf.DUMMYFUNCTION("GOOGLETRANSLATE(D240, ""it"", ""en"")"),"You win the point")</f>
        <v>You win the point</v>
      </c>
      <c r="J240" s="2"/>
      <c r="K240" s="2"/>
      <c r="L240" s="2"/>
      <c r="M240" s="2"/>
      <c r="N240" s="2"/>
      <c r="O240" s="2"/>
      <c r="P240" s="2"/>
      <c r="Q240" s="2"/>
      <c r="R240" s="2"/>
      <c r="S240" s="2"/>
      <c r="T240" s="2"/>
      <c r="U240" s="2"/>
      <c r="V240" s="2"/>
      <c r="W240" s="2"/>
    </row>
    <row r="241" ht="22.5" customHeight="1">
      <c r="A241" s="3">
        <v>245.0</v>
      </c>
      <c r="B241" s="3" t="s">
        <v>2490</v>
      </c>
      <c r="C241" s="3" t="s">
        <v>2270</v>
      </c>
      <c r="D241" s="3" t="s">
        <v>2247</v>
      </c>
      <c r="E241" s="2"/>
      <c r="F241" s="3" t="str">
        <f>IFERROR(__xludf.DUMMYFUNCTION("GOOGLETRANSLATE(A241, ""it"", ""en"")"),"245")</f>
        <v>245</v>
      </c>
      <c r="G241" s="3" t="str">
        <f>IFERROR(__xludf.DUMMYFUNCTION("GOOGLETRANSLATE(B241, ""it"", ""en"")"),"Ye serve the ball an' yer opponent returns it but it lands in yer half. What happens?")</f>
        <v>Ye serve the ball an' yer opponent returns it but it lands in yer half. What happens?</v>
      </c>
      <c r="H241" s="3" t="str">
        <f>IFERROR(__xludf.DUMMYFUNCTION("GOOGLETRANSLATE(C241, ""it"", ""en"")"),"A. Ye win the point B. Ye lose the point C. Ye get a penalty D. Ye get a free throw")</f>
        <v>A. Ye win the point B. Ye lose the point C. Ye get a penalty D. Ye get a free throw</v>
      </c>
      <c r="I241" s="3" t="str">
        <f>IFERROR(__xludf.DUMMYFUNCTION("GOOGLETRANSLATE(D241, ""it"", ""en"")"),"You win the point")</f>
        <v>You win the point</v>
      </c>
      <c r="J241" s="2"/>
      <c r="K241" s="2"/>
      <c r="L241" s="2"/>
      <c r="M241" s="2"/>
      <c r="N241" s="2"/>
      <c r="O241" s="2"/>
      <c r="P241" s="2"/>
      <c r="Q241" s="2"/>
      <c r="R241" s="2"/>
      <c r="S241" s="2"/>
      <c r="T241" s="2"/>
      <c r="U241" s="2"/>
      <c r="V241" s="2"/>
      <c r="W241" s="2"/>
    </row>
    <row r="242" ht="22.5" customHeight="1">
      <c r="A242" s="3">
        <v>246.0</v>
      </c>
      <c r="B242" s="3" t="s">
        <v>2487</v>
      </c>
      <c r="C242" s="3" t="s">
        <v>2270</v>
      </c>
      <c r="D242" s="3" t="s">
        <v>2247</v>
      </c>
      <c r="E242" s="2"/>
      <c r="F242" s="3" t="str">
        <f>IFERROR(__xludf.DUMMYFUNCTION("GOOGLETRANSLATE(A242, ""it"", ""en"")"),"246")</f>
        <v>246</v>
      </c>
      <c r="G242" s="3" t="str">
        <f>IFERROR(__xludf.DUMMYFUNCTION("GOOGLETRANSLATE(B242, ""it"", ""en"")"),"Ye strike the ball an' yer opponent returns it but lands behind the line. What happens?")</f>
        <v>Ye strike the ball an' yer opponent returns it but lands behind the line. What happens?</v>
      </c>
      <c r="H242" s="3" t="str">
        <f>IFERROR(__xludf.DUMMYFUNCTION("GOOGLETRANSLATE(C242, ""it"", ""en"")"),"A. Ye win the point B. Ye lose the point C. Ye get a penalty D. Ye get a free throw")</f>
        <v>A. Ye win the point B. Ye lose the point C. Ye get a penalty D. Ye get a free throw</v>
      </c>
      <c r="I242" s="3" t="str">
        <f>IFERROR(__xludf.DUMMYFUNCTION("GOOGLETRANSLATE(D242, ""it"", ""en"")"),"You win the point")</f>
        <v>You win the point</v>
      </c>
      <c r="J242" s="2"/>
      <c r="K242" s="2"/>
      <c r="L242" s="2"/>
      <c r="M242" s="2"/>
      <c r="N242" s="2"/>
      <c r="O242" s="2"/>
      <c r="P242" s="2"/>
      <c r="Q242" s="2"/>
      <c r="R242" s="2"/>
      <c r="S242" s="2"/>
      <c r="T242" s="2"/>
      <c r="U242" s="2"/>
      <c r="V242" s="2"/>
      <c r="W242" s="2"/>
    </row>
    <row r="243" ht="22.5" customHeight="1">
      <c r="A243" s="3">
        <v>247.0</v>
      </c>
      <c r="B243" s="3" t="s">
        <v>2491</v>
      </c>
      <c r="C243" s="3" t="s">
        <v>2270</v>
      </c>
      <c r="D243" s="3" t="s">
        <v>2247</v>
      </c>
      <c r="E243" s="2"/>
      <c r="F243" s="3" t="str">
        <f>IFERROR(__xludf.DUMMYFUNCTION("GOOGLETRANSLATE(A243, ""it"", ""en"")"),"247")</f>
        <v>247</v>
      </c>
      <c r="G243" s="3" t="str">
        <f>IFERROR(__xludf.DUMMYFUNCTION("GOOGLETRANSLATE(B243, ""it"", ""en"")"),"Ye serve the ball an' yer opponent catches it but doesn't strike it back. What happens?")</f>
        <v>Ye serve the ball an' yer opponent catches it but doesn't strike it back. What happens?</v>
      </c>
      <c r="H243" s="3" t="str">
        <f>IFERROR(__xludf.DUMMYFUNCTION("GOOGLETRANSLATE(C243, ""it"", ""en"")"),"A. Ye win the point B. Ye lose the point C. Ye get a penalty D. Ye get a free throw")</f>
        <v>A. Ye win the point B. Ye lose the point C. Ye get a penalty D. Ye get a free throw</v>
      </c>
      <c r="I243" s="3" t="str">
        <f>IFERROR(__xludf.DUMMYFUNCTION("GOOGLETRANSLATE(D243, ""it"", ""en"")"),"You win the point")</f>
        <v>You win the point</v>
      </c>
      <c r="J243" s="2"/>
      <c r="K243" s="2"/>
      <c r="L243" s="2"/>
      <c r="M243" s="2"/>
      <c r="N243" s="2"/>
      <c r="O243" s="2"/>
      <c r="P243" s="2"/>
      <c r="Q243" s="2"/>
      <c r="R243" s="2"/>
      <c r="S243" s="2"/>
      <c r="T243" s="2"/>
      <c r="U243" s="2"/>
      <c r="V243" s="2"/>
      <c r="W243" s="2"/>
    </row>
    <row r="244" ht="22.5" customHeight="1">
      <c r="A244" s="3">
        <v>248.0</v>
      </c>
      <c r="B244" s="3" t="s">
        <v>2492</v>
      </c>
      <c r="C244" s="3" t="s">
        <v>2270</v>
      </c>
      <c r="D244" s="3" t="s">
        <v>2247</v>
      </c>
      <c r="E244" s="2"/>
      <c r="F244" s="3" t="str">
        <f>IFERROR(__xludf.DUMMYFUNCTION("GOOGLETRANSLATE(A244, ""it"", ""en"")"),"248")</f>
        <v>248</v>
      </c>
      <c r="G244" s="3" t="str">
        <f>IFERROR(__xludf.DUMMYFUNCTION("GOOGLETRANSLATE(B244, ""it"", ""en"")"),"Ye hit the ball an' yer opponent strikes it but it lands out of bounds. What happens?")</f>
        <v>Ye hit the ball an' yer opponent strikes it but it lands out of bounds. What happens?</v>
      </c>
      <c r="H244" s="3" t="str">
        <f>IFERROR(__xludf.DUMMYFUNCTION("GOOGLETRANSLATE(C244, ""it"", ""en"")"),"A. Ye win the point B. Ye lose the point C. Ye get a penalty D. Ye get a free throw")</f>
        <v>A. Ye win the point B. Ye lose the point C. Ye get a penalty D. Ye get a free throw</v>
      </c>
      <c r="I244" s="3" t="str">
        <f>IFERROR(__xludf.DUMMYFUNCTION("GOOGLETRANSLATE(D244, ""it"", ""en"")"),"You win the point")</f>
        <v>You win the point</v>
      </c>
      <c r="J244" s="2"/>
      <c r="K244" s="2"/>
      <c r="L244" s="2"/>
      <c r="M244" s="2"/>
      <c r="N244" s="2"/>
      <c r="O244" s="2"/>
      <c r="P244" s="2"/>
      <c r="Q244" s="2"/>
      <c r="R244" s="2"/>
      <c r="S244" s="2"/>
      <c r="T244" s="2"/>
      <c r="U244" s="2"/>
      <c r="V244" s="2"/>
      <c r="W244" s="2"/>
    </row>
    <row r="245" ht="22.5" customHeight="1">
      <c r="A245" s="3">
        <v>249.0</v>
      </c>
      <c r="B245" s="3" t="s">
        <v>2468</v>
      </c>
      <c r="C245" s="3" t="s">
        <v>2251</v>
      </c>
      <c r="D245" s="3" t="s">
        <v>2247</v>
      </c>
      <c r="E245" s="2"/>
      <c r="F245" s="3" t="str">
        <f>IFERROR(__xludf.DUMMYFUNCTION("GOOGLETRANSLATE(A245, ""it"", ""en"")"),"249")</f>
        <v>249</v>
      </c>
      <c r="G245" s="3" t="str">
        <f>IFERROR(__xludf.DUMMYFUNCTION("GOOGLETRANSLATE(B245, ""it"", ""en"")"),"Ye serve the ball an' yer opponent blocks it but doesn't return it. What happens?")</f>
        <v>Ye serve the ball an' yer opponent blocks it but doesn't return it. What happens?</v>
      </c>
      <c r="H245" s="3" t="str">
        <f>IFERROR(__xludf.DUMMYFUNCTION("GOOGLETRANSLATE(C245, ""it"", ""en"")"),"A. Ye win the point B. Ye lose the point C. Ye get a free throw D. Ye get a penalty")</f>
        <v>A. Ye win the point B. Ye lose the point C. Ye get a free throw D. Ye get a penalty</v>
      </c>
      <c r="I245" s="3" t="str">
        <f>IFERROR(__xludf.DUMMYFUNCTION("GOOGLETRANSLATE(D245, ""it"", ""en"")"),"You win the point")</f>
        <v>You win the point</v>
      </c>
      <c r="J245" s="2"/>
      <c r="K245" s="2"/>
      <c r="L245" s="2"/>
      <c r="M245" s="2"/>
      <c r="N245" s="2"/>
      <c r="O245" s="2"/>
      <c r="P245" s="2"/>
      <c r="Q245" s="2"/>
      <c r="R245" s="2"/>
      <c r="S245" s="2"/>
      <c r="T245" s="2"/>
      <c r="U245" s="2"/>
      <c r="V245" s="2"/>
      <c r="W245" s="2"/>
    </row>
    <row r="246" ht="22.5" customHeight="1">
      <c r="A246" s="3">
        <v>250.0</v>
      </c>
      <c r="B246" s="3" t="s">
        <v>2476</v>
      </c>
      <c r="C246" s="3" t="s">
        <v>2270</v>
      </c>
      <c r="D246" s="3" t="s">
        <v>2247</v>
      </c>
      <c r="E246" s="2"/>
      <c r="F246" s="3" t="str">
        <f>IFERROR(__xludf.DUMMYFUNCTION("GOOGLETRANSLATE(A246, ""it"", ""en"")"),"250")</f>
        <v>250</v>
      </c>
      <c r="G246" s="3" t="str">
        <f>IFERROR(__xludf.DUMMYFUNCTION("GOOGLETRANSLATE(B246, ""it"", ""en"")"),"Ye strike the ball an' yer opponent misses it but it lands in their court. What happens?")</f>
        <v>Ye strike the ball an' yer opponent misses it but it lands in their court. What happens?</v>
      </c>
      <c r="H246" s="3" t="str">
        <f>IFERROR(__xludf.DUMMYFUNCTION("GOOGLETRANSLATE(C246, ""it"", ""en"")"),"A. Ye win the point B. Ye lose the point C. Ye get a penalty D. Ye get a free throw")</f>
        <v>A. Ye win the point B. Ye lose the point C. Ye get a penalty D. Ye get a free throw</v>
      </c>
      <c r="I246" s="3" t="str">
        <f>IFERROR(__xludf.DUMMYFUNCTION("GOOGLETRANSLATE(D246, ""it"", ""en"")"),"You win the point")</f>
        <v>You win the point</v>
      </c>
      <c r="J246" s="2"/>
      <c r="K246" s="2"/>
      <c r="L246" s="2"/>
      <c r="M246" s="2"/>
      <c r="N246" s="2"/>
      <c r="O246" s="2"/>
      <c r="P246" s="2"/>
      <c r="Q246" s="2"/>
      <c r="R246" s="2"/>
      <c r="S246" s="2"/>
      <c r="T246" s="2"/>
      <c r="U246" s="2"/>
      <c r="V246" s="2"/>
      <c r="W246" s="2"/>
    </row>
    <row r="247" ht="22.5" customHeight="1">
      <c r="A247" s="3">
        <v>251.0</v>
      </c>
      <c r="B247" s="3" t="s">
        <v>2460</v>
      </c>
      <c r="C247" s="3" t="s">
        <v>2270</v>
      </c>
      <c r="D247" s="3" t="s">
        <v>2247</v>
      </c>
      <c r="E247" s="2"/>
      <c r="F247" s="3" t="str">
        <f>IFERROR(__xludf.DUMMYFUNCTION("GOOGLETRANSLATE(A247, ""it"", ""en"")"),"251")</f>
        <v>251</v>
      </c>
      <c r="G247" s="3" t="str">
        <f>IFERROR(__xludf.DUMMYFUNCTION("GOOGLETRANSLATE(B247, ""it"", ""en"")"),"Ye serve the ball an' yer opponent strikes it back but lands behind the line. What happens?")</f>
        <v>Ye serve the ball an' yer opponent strikes it back but lands behind the line. What happens?</v>
      </c>
      <c r="H247" s="3" t="str">
        <f>IFERROR(__xludf.DUMMYFUNCTION("GOOGLETRANSLATE(C247, ""it"", ""en"")"),"A. Ye win the point B. Ye lose the point C. Ye get a penalty D. Ye get a free throw")</f>
        <v>A. Ye win the point B. Ye lose the point C. Ye get a penalty D. Ye get a free throw</v>
      </c>
      <c r="I247" s="3" t="str">
        <f>IFERROR(__xludf.DUMMYFUNCTION("GOOGLETRANSLATE(D247, ""it"", ""en"")"),"You win the point")</f>
        <v>You win the point</v>
      </c>
      <c r="J247" s="2"/>
      <c r="K247" s="2"/>
      <c r="L247" s="2"/>
      <c r="M247" s="2"/>
      <c r="N247" s="2"/>
      <c r="O247" s="2"/>
      <c r="P247" s="2"/>
      <c r="Q247" s="2"/>
      <c r="R247" s="2"/>
      <c r="S247" s="2"/>
      <c r="T247" s="2"/>
      <c r="U247" s="2"/>
      <c r="V247" s="2"/>
      <c r="W247" s="2"/>
    </row>
    <row r="248" ht="22.5" customHeight="1">
      <c r="A248" s="3">
        <v>252.0</v>
      </c>
      <c r="B248" s="3" t="s">
        <v>2482</v>
      </c>
      <c r="C248" s="3" t="s">
        <v>2270</v>
      </c>
      <c r="D248" s="3" t="s">
        <v>2247</v>
      </c>
      <c r="E248" s="2"/>
      <c r="F248" s="3" t="str">
        <f>IFERROR(__xludf.DUMMYFUNCTION("GOOGLETRANSLATE(A248, ""it"", ""en"")"),"252")</f>
        <v>252</v>
      </c>
      <c r="G248" s="3" t="str">
        <f>IFERROR(__xludf.DUMMYFUNCTION("GOOGLETRANSLATE(B248, ""it"", ""en"")"),"Ye hit the ball an' yer opponent blocks it but doesn't return it in time. What happens?")</f>
        <v>Ye hit the ball an' yer opponent blocks it but doesn't return it in time. What happens?</v>
      </c>
      <c r="H248" s="3" t="str">
        <f>IFERROR(__xludf.DUMMYFUNCTION("GOOGLETRANSLATE(C248, ""it"", ""en"")"),"A. Ye win the point B. Ye lose the point C. Ye get a penalty D. Ye get a free throw")</f>
        <v>A. Ye win the point B. Ye lose the point C. Ye get a penalty D. Ye get a free throw</v>
      </c>
      <c r="I248" s="3" t="str">
        <f>IFERROR(__xludf.DUMMYFUNCTION("GOOGLETRANSLATE(D248, ""it"", ""en"")"),"You win the point")</f>
        <v>You win the point</v>
      </c>
      <c r="J248" s="2"/>
      <c r="K248" s="2"/>
      <c r="L248" s="2"/>
      <c r="M248" s="2"/>
      <c r="N248" s="2"/>
      <c r="O248" s="2"/>
      <c r="P248" s="2"/>
      <c r="Q248" s="2"/>
      <c r="R248" s="2"/>
      <c r="S248" s="2"/>
      <c r="T248" s="2"/>
      <c r="U248" s="2"/>
      <c r="V248" s="2"/>
      <c r="W248" s="2"/>
    </row>
    <row r="249" ht="22.5" customHeight="1">
      <c r="A249" s="3">
        <v>253.0</v>
      </c>
      <c r="B249" s="3" t="s">
        <v>2493</v>
      </c>
      <c r="C249" s="3" t="s">
        <v>2270</v>
      </c>
      <c r="D249" s="3" t="s">
        <v>2247</v>
      </c>
      <c r="E249" s="2"/>
      <c r="F249" s="3" t="str">
        <f>IFERROR(__xludf.DUMMYFUNCTION("GOOGLETRANSLATE(A249, ""it"", ""en"")"),"253")</f>
        <v>253</v>
      </c>
      <c r="G249" s="3" t="str">
        <f>IFERROR(__xludf.DUMMYFUNCTION("GOOGLETRANSLATE(B249, ""it"", ""en"")"),"Ye serve the ball an' yer opponent strikes it back but lands outside the court. What happens?")</f>
        <v>Ye serve the ball an' yer opponent strikes it back but lands outside the court. What happens?</v>
      </c>
      <c r="H249" s="3" t="str">
        <f>IFERROR(__xludf.DUMMYFUNCTION("GOOGLETRANSLATE(C249, ""it"", ""en"")"),"A. Ye win the point B. Ye lose the point C. Ye get a penalty D. Ye get a free throw")</f>
        <v>A. Ye win the point B. Ye lose the point C. Ye get a penalty D. Ye get a free throw</v>
      </c>
      <c r="I249" s="3" t="str">
        <f>IFERROR(__xludf.DUMMYFUNCTION("GOOGLETRANSLATE(D249, ""it"", ""en"")"),"You win the point")</f>
        <v>You win the point</v>
      </c>
      <c r="J249" s="2"/>
      <c r="K249" s="2"/>
      <c r="L249" s="2"/>
      <c r="M249" s="2"/>
      <c r="N249" s="2"/>
      <c r="O249" s="2"/>
      <c r="P249" s="2"/>
      <c r="Q249" s="2"/>
      <c r="R249" s="2"/>
      <c r="S249" s="2"/>
      <c r="T249" s="2"/>
      <c r="U249" s="2"/>
      <c r="V249" s="2"/>
      <c r="W249" s="2"/>
    </row>
    <row r="250" ht="22.5" customHeight="1">
      <c r="A250" s="3">
        <v>254.0</v>
      </c>
      <c r="B250" s="3" t="s">
        <v>2473</v>
      </c>
      <c r="C250" s="3" t="s">
        <v>2270</v>
      </c>
      <c r="D250" s="3" t="s">
        <v>2247</v>
      </c>
      <c r="E250" s="2"/>
      <c r="F250" s="3" t="str">
        <f>IFERROR(__xludf.DUMMYFUNCTION("GOOGLETRANSLATE(A250, ""it"", ""en"")"),"254")</f>
        <v>254</v>
      </c>
      <c r="G250" s="3" t="str">
        <f>IFERROR(__xludf.DUMMYFUNCTION("GOOGLETRANSLATE(B250, ""it"", ""en"")"),"Ye strike the ball an' yer opponent blocks it but doesn't return it. What happens?")</f>
        <v>Ye strike the ball an' yer opponent blocks it but doesn't return it. What happens?</v>
      </c>
      <c r="H250" s="3" t="str">
        <f>IFERROR(__xludf.DUMMYFUNCTION("GOOGLETRANSLATE(C250, ""it"", ""en"")"),"A. Ye win the point B. Ye lose the point C. Ye get a penalty D. Ye get a free throw")</f>
        <v>A. Ye win the point B. Ye lose the point C. Ye get a penalty D. Ye get a free throw</v>
      </c>
      <c r="I250" s="3" t="str">
        <f>IFERROR(__xludf.DUMMYFUNCTION("GOOGLETRANSLATE(D250, ""it"", ""en"")"),"You win the point")</f>
        <v>You win the point</v>
      </c>
      <c r="J250" s="2"/>
      <c r="K250" s="2"/>
      <c r="L250" s="2"/>
      <c r="M250" s="2"/>
      <c r="N250" s="2"/>
      <c r="O250" s="2"/>
      <c r="P250" s="2"/>
      <c r="Q250" s="2"/>
      <c r="R250" s="2"/>
      <c r="S250" s="2"/>
      <c r="T250" s="2"/>
      <c r="U250" s="2"/>
      <c r="V250" s="2"/>
      <c r="W250" s="2"/>
    </row>
    <row r="251" ht="22.5" customHeight="1">
      <c r="A251" s="3">
        <v>255.0</v>
      </c>
      <c r="B251" s="3" t="s">
        <v>2464</v>
      </c>
      <c r="C251" s="3" t="s">
        <v>2270</v>
      </c>
      <c r="D251" s="3" t="s">
        <v>2247</v>
      </c>
      <c r="E251" s="2"/>
      <c r="F251" s="3" t="str">
        <f>IFERROR(__xludf.DUMMYFUNCTION("GOOGLETRANSLATE(A251, ""it"", ""en"")"),"255")</f>
        <v>255</v>
      </c>
      <c r="G251" s="3" t="str">
        <f>IFERROR(__xludf.DUMMYFUNCTION("GOOGLETRANSLATE(B251, ""it"", ""en"")"),"Ye serve the ball an' yer opponent misses but the ball lands in their court. What happens?")</f>
        <v>Ye serve the ball an' yer opponent misses but the ball lands in their court. What happens?</v>
      </c>
      <c r="H251" s="3" t="str">
        <f>IFERROR(__xludf.DUMMYFUNCTION("GOOGLETRANSLATE(C251, ""it"", ""en"")"),"A. Ye win the point B. Ye lose the point C. Ye get a penalty D. Ye get a free throw")</f>
        <v>A. Ye win the point B. Ye lose the point C. Ye get a penalty D. Ye get a free throw</v>
      </c>
      <c r="I251" s="3" t="str">
        <f>IFERROR(__xludf.DUMMYFUNCTION("GOOGLETRANSLATE(D251, ""it"", ""en"")"),"You win the point")</f>
        <v>You win the point</v>
      </c>
      <c r="J251" s="2"/>
      <c r="K251" s="2"/>
      <c r="L251" s="2"/>
      <c r="M251" s="2"/>
      <c r="N251" s="2"/>
      <c r="O251" s="2"/>
      <c r="P251" s="2"/>
      <c r="Q251" s="2"/>
      <c r="R251" s="2"/>
      <c r="S251" s="2"/>
      <c r="T251" s="2"/>
      <c r="U251" s="2"/>
      <c r="V251" s="2"/>
      <c r="W251" s="2"/>
    </row>
    <row r="252" ht="22.5" customHeight="1">
      <c r="A252" s="3">
        <v>256.0</v>
      </c>
      <c r="B252" s="3" t="s">
        <v>2479</v>
      </c>
      <c r="C252" s="3" t="s">
        <v>2270</v>
      </c>
      <c r="D252" s="3" t="s">
        <v>2247</v>
      </c>
      <c r="E252" s="2"/>
      <c r="F252" s="3" t="str">
        <f>IFERROR(__xludf.DUMMYFUNCTION("GOOGLETRANSLATE(A252, ""it"", ""en"")"),"256")</f>
        <v>256</v>
      </c>
      <c r="G252" s="3" t="str">
        <f>IFERROR(__xludf.DUMMYFUNCTION("GOOGLETRANSLATE(B252, ""it"", ""en"")"),"Ye hit the ball an' yer opponent returns it but it lands behind the line. What happens?")</f>
        <v>Ye hit the ball an' yer opponent returns it but it lands behind the line. What happens?</v>
      </c>
      <c r="H252" s="3" t="str">
        <f>IFERROR(__xludf.DUMMYFUNCTION("GOOGLETRANSLATE(C252, ""it"", ""en"")"),"A. Ye win the point B. Ye lose the point C. Ye get a penalty D. Ye get a free throw")</f>
        <v>A. Ye win the point B. Ye lose the point C. Ye get a penalty D. Ye get a free throw</v>
      </c>
      <c r="I252" s="3" t="str">
        <f>IFERROR(__xludf.DUMMYFUNCTION("GOOGLETRANSLATE(D252, ""it"", ""en"")"),"You win the point")</f>
        <v>You win the point</v>
      </c>
      <c r="J252" s="2"/>
      <c r="K252" s="2"/>
      <c r="L252" s="2"/>
      <c r="M252" s="2"/>
      <c r="N252" s="2"/>
      <c r="O252" s="2"/>
      <c r="P252" s="2"/>
      <c r="Q252" s="2"/>
      <c r="R252" s="2"/>
      <c r="S252" s="2"/>
      <c r="T252" s="2"/>
      <c r="U252" s="2"/>
      <c r="V252" s="2"/>
      <c r="W252" s="2"/>
    </row>
    <row r="253" ht="22.5" customHeight="1">
      <c r="A253" s="3">
        <v>257.0</v>
      </c>
      <c r="B253" s="3" t="s">
        <v>2494</v>
      </c>
      <c r="C253" s="3" t="s">
        <v>2270</v>
      </c>
      <c r="D253" s="3" t="s">
        <v>2247</v>
      </c>
      <c r="E253" s="2"/>
      <c r="F253" s="3" t="str">
        <f>IFERROR(__xludf.DUMMYFUNCTION("GOOGLETRANSLATE(A253, ""it"", ""en"")"),"257")</f>
        <v>257</v>
      </c>
      <c r="G253" s="3" t="str">
        <f>IFERROR(__xludf.DUMMYFUNCTION("GOOGLETRANSLATE(B253, ""it"", ""en"")"),"Ye serve the ball an' yer opponent strikes it but lands outside the court. What happens?")</f>
        <v>Ye serve the ball an' yer opponent strikes it but lands outside the court. What happens?</v>
      </c>
      <c r="H253" s="3" t="str">
        <f>IFERROR(__xludf.DUMMYFUNCTION("GOOGLETRANSLATE(C253, ""it"", ""en"")"),"A. Ye win the point B. Ye lose the point C. Ye get a penalty D. Ye get a free throw")</f>
        <v>A. Ye win the point B. Ye lose the point C. Ye get a penalty D. Ye get a free throw</v>
      </c>
      <c r="I253" s="3" t="str">
        <f>IFERROR(__xludf.DUMMYFUNCTION("GOOGLETRANSLATE(D253, ""it"", ""en"")"),"You win the point")</f>
        <v>You win the point</v>
      </c>
      <c r="J253" s="2"/>
      <c r="K253" s="2"/>
      <c r="L253" s="2"/>
      <c r="M253" s="2"/>
      <c r="N253" s="2"/>
      <c r="O253" s="2"/>
      <c r="P253" s="2"/>
      <c r="Q253" s="2"/>
      <c r="R253" s="2"/>
      <c r="S253" s="2"/>
      <c r="T253" s="2"/>
      <c r="U253" s="2"/>
      <c r="V253" s="2"/>
      <c r="W253" s="2"/>
    </row>
    <row r="254" ht="22.5" customHeight="1">
      <c r="A254" s="3">
        <v>258.0</v>
      </c>
      <c r="B254" s="3" t="s">
        <v>2447</v>
      </c>
      <c r="C254" s="3" t="s">
        <v>2270</v>
      </c>
      <c r="D254" s="3" t="s">
        <v>2247</v>
      </c>
      <c r="E254" s="2"/>
      <c r="F254" s="3" t="str">
        <f>IFERROR(__xludf.DUMMYFUNCTION("GOOGLETRANSLATE(A254, ""it"", ""en"")"),"258")</f>
        <v>258</v>
      </c>
      <c r="G254" s="3" t="str">
        <f>IFERROR(__xludf.DUMMYFUNCTION("GOOGLETRANSLATE(B254, ""it"", ""en"")"),"Ye strike the ball an' yer opponent catches it but doesn't strike it back. What happens?")</f>
        <v>Ye strike the ball an' yer opponent catches it but doesn't strike it back. What happens?</v>
      </c>
      <c r="H254" s="3" t="str">
        <f>IFERROR(__xludf.DUMMYFUNCTION("GOOGLETRANSLATE(C254, ""it"", ""en"")"),"A. Ye win the point B. Ye lose the point C. Ye get a penalty D. Ye get a free throw")</f>
        <v>A. Ye win the point B. Ye lose the point C. Ye get a penalty D. Ye get a free throw</v>
      </c>
      <c r="I254" s="3" t="str">
        <f>IFERROR(__xludf.DUMMYFUNCTION("GOOGLETRANSLATE(D254, ""it"", ""en"")"),"You win the point")</f>
        <v>You win the point</v>
      </c>
      <c r="J254" s="2"/>
      <c r="K254" s="2"/>
      <c r="L254" s="2"/>
      <c r="M254" s="2"/>
      <c r="N254" s="2"/>
      <c r="O254" s="2"/>
      <c r="P254" s="2"/>
      <c r="Q254" s="2"/>
      <c r="R254" s="2"/>
      <c r="S254" s="2"/>
      <c r="T254" s="2"/>
      <c r="U254" s="2"/>
      <c r="V254" s="2"/>
      <c r="W254" s="2"/>
    </row>
    <row r="255" ht="22.5" customHeight="1">
      <c r="A255" s="3">
        <v>259.0</v>
      </c>
      <c r="B255" s="3" t="s">
        <v>2478</v>
      </c>
      <c r="C255" s="3" t="s">
        <v>2270</v>
      </c>
      <c r="D255" s="3" t="s">
        <v>2247</v>
      </c>
      <c r="E255" s="2"/>
      <c r="F255" s="3" t="str">
        <f>IFERROR(__xludf.DUMMYFUNCTION("GOOGLETRANSLATE(A255, ""it"", ""en"")"),"259")</f>
        <v>259</v>
      </c>
      <c r="G255" s="3" t="str">
        <f>IFERROR(__xludf.DUMMYFUNCTION("GOOGLETRANSLATE(B255, ""it"", ""en"")"),"Ye serve the ball an' yer opponent blocks it but doesn't return it. What happens?")</f>
        <v>Ye serve the ball an' yer opponent blocks it but doesn't return it. What happens?</v>
      </c>
      <c r="H255" s="3" t="str">
        <f>IFERROR(__xludf.DUMMYFUNCTION("GOOGLETRANSLATE(C255, ""it"", ""en"")"),"A. Ye win the point B. Ye lose the point C. Ye get a penalty D. Ye get a free throw")</f>
        <v>A. Ye win the point B. Ye lose the point C. Ye get a penalty D. Ye get a free throw</v>
      </c>
      <c r="I255" s="3" t="str">
        <f>IFERROR(__xludf.DUMMYFUNCTION("GOOGLETRANSLATE(D255, ""it"", ""en"")"),"You win the point")</f>
        <v>You win the point</v>
      </c>
      <c r="J255" s="2"/>
      <c r="K255" s="2"/>
      <c r="L255" s="2"/>
      <c r="M255" s="2"/>
      <c r="N255" s="2"/>
      <c r="O255" s="2"/>
      <c r="P255" s="2"/>
      <c r="Q255" s="2"/>
      <c r="R255" s="2"/>
      <c r="S255" s="2"/>
      <c r="T255" s="2"/>
      <c r="U255" s="2"/>
      <c r="V255" s="2"/>
      <c r="W255" s="2"/>
    </row>
    <row r="256" ht="22.5" customHeight="1">
      <c r="A256" s="3">
        <v>260.0</v>
      </c>
      <c r="B256" s="3" t="s">
        <v>2495</v>
      </c>
      <c r="C256" s="3" t="s">
        <v>2270</v>
      </c>
      <c r="D256" s="3" t="s">
        <v>2247</v>
      </c>
      <c r="E256" s="2"/>
      <c r="F256" s="3" t="str">
        <f>IFERROR(__xludf.DUMMYFUNCTION("GOOGLETRANSLATE(A256, ""it"", ""en"")"),"260")</f>
        <v>260</v>
      </c>
      <c r="G256" s="3" t="str">
        <f>IFERROR(__xludf.DUMMYFUNCTION("GOOGLETRANSLATE(B256, ""it"", ""en"")"),"Ye hit the ball an' yer opponent returns it but lands out of bounds. What happens?")</f>
        <v>Ye hit the ball an' yer opponent returns it but lands out of bounds. What happens?</v>
      </c>
      <c r="H256" s="3" t="str">
        <f>IFERROR(__xludf.DUMMYFUNCTION("GOOGLETRANSLATE(C256, ""it"", ""en"")"),"A. Ye win the point B. Ye lose the point C. Ye get a penalty D. Ye get a free throw")</f>
        <v>A. Ye win the point B. Ye lose the point C. Ye get a penalty D. Ye get a free throw</v>
      </c>
      <c r="I256" s="3" t="str">
        <f>IFERROR(__xludf.DUMMYFUNCTION("GOOGLETRANSLATE(D256, ""it"", ""en"")"),"You win the point")</f>
        <v>You win the point</v>
      </c>
      <c r="J256" s="2"/>
      <c r="K256" s="2"/>
      <c r="L256" s="2"/>
      <c r="M256" s="2"/>
      <c r="N256" s="2"/>
      <c r="O256" s="2"/>
      <c r="P256" s="2"/>
      <c r="Q256" s="2"/>
      <c r="R256" s="2"/>
      <c r="S256" s="2"/>
      <c r="T256" s="2"/>
      <c r="U256" s="2"/>
      <c r="V256" s="2"/>
      <c r="W256" s="2"/>
    </row>
    <row r="257" ht="22.5" customHeight="1">
      <c r="A257" s="3">
        <v>261.0</v>
      </c>
      <c r="B257" s="3" t="s">
        <v>2493</v>
      </c>
      <c r="C257" s="3" t="s">
        <v>2270</v>
      </c>
      <c r="D257" s="3" t="s">
        <v>2247</v>
      </c>
      <c r="E257" s="2"/>
      <c r="F257" s="3" t="str">
        <f>IFERROR(__xludf.DUMMYFUNCTION("GOOGLETRANSLATE(A257, ""it"", ""en"")"),"261")</f>
        <v>261</v>
      </c>
      <c r="G257" s="3" t="str">
        <f>IFERROR(__xludf.DUMMYFUNCTION("GOOGLETRANSLATE(B257, ""it"", ""en"")"),"Ye serve the ball an' yer opponent strikes it back but lands outside the court. What happens?")</f>
        <v>Ye serve the ball an' yer opponent strikes it back but lands outside the court. What happens?</v>
      </c>
      <c r="H257" s="3" t="str">
        <f>IFERROR(__xludf.DUMMYFUNCTION("GOOGLETRANSLATE(C257, ""it"", ""en"")"),"A. Ye win the point B. Ye lose the point C. Ye get a penalty D. Ye get a free throw")</f>
        <v>A. Ye win the point B. Ye lose the point C. Ye get a penalty D. Ye get a free throw</v>
      </c>
      <c r="I257" s="3" t="str">
        <f>IFERROR(__xludf.DUMMYFUNCTION("GOOGLETRANSLATE(D257, ""it"", ""en"")"),"You win the point")</f>
        <v>You win the point</v>
      </c>
      <c r="J257" s="2"/>
      <c r="K257" s="2"/>
      <c r="L257" s="2"/>
      <c r="M257" s="2"/>
      <c r="N257" s="2"/>
      <c r="O257" s="2"/>
      <c r="P257" s="2"/>
      <c r="Q257" s="2"/>
      <c r="R257" s="2"/>
      <c r="S257" s="2"/>
      <c r="T257" s="2"/>
      <c r="U257" s="2"/>
      <c r="V257" s="2"/>
      <c r="W257" s="2"/>
    </row>
    <row r="258" ht="22.5" customHeight="1">
      <c r="A258" s="3">
        <v>262.0</v>
      </c>
      <c r="B258" s="3" t="s">
        <v>2496</v>
      </c>
      <c r="C258" s="3" t="s">
        <v>2270</v>
      </c>
      <c r="D258" s="3" t="s">
        <v>2247</v>
      </c>
      <c r="E258" s="2"/>
      <c r="F258" s="3" t="str">
        <f>IFERROR(__xludf.DUMMYFUNCTION("GOOGLETRANSLATE(A258, ""it"", ""en"")"),"262")</f>
        <v>262</v>
      </c>
      <c r="G258" s="3" t="str">
        <f>IFERROR(__xludf.DUMMYFUNCTION("GOOGLETRANSLATE(B258, ""it"", ""en"")"),"Ye strike the ball an' yer opponent misses but it lands in their court. What happens?")</f>
        <v>Ye strike the ball an' yer opponent misses but it lands in their court. What happens?</v>
      </c>
      <c r="H258" s="3" t="str">
        <f>IFERROR(__xludf.DUMMYFUNCTION("GOOGLETRANSLATE(C258, ""it"", ""en"")"),"A. Ye win the point B. Ye lose the point C. Ye get a penalty D. Ye get a free throw")</f>
        <v>A. Ye win the point B. Ye lose the point C. Ye get a penalty D. Ye get a free throw</v>
      </c>
      <c r="I258" s="3" t="str">
        <f>IFERROR(__xludf.DUMMYFUNCTION("GOOGLETRANSLATE(D258, ""it"", ""en"")"),"You win the point")</f>
        <v>You win the point</v>
      </c>
      <c r="J258" s="2"/>
      <c r="K258" s="2"/>
      <c r="L258" s="2"/>
      <c r="M258" s="2"/>
      <c r="N258" s="2"/>
      <c r="O258" s="2"/>
      <c r="P258" s="2"/>
      <c r="Q258" s="2"/>
      <c r="R258" s="2"/>
      <c r="S258" s="2"/>
      <c r="T258" s="2"/>
      <c r="U258" s="2"/>
      <c r="V258" s="2"/>
      <c r="W258" s="2"/>
    </row>
    <row r="259" ht="22.5" customHeight="1">
      <c r="A259" s="3">
        <v>263.0</v>
      </c>
      <c r="B259" s="3" t="s">
        <v>2472</v>
      </c>
      <c r="C259" s="3" t="s">
        <v>2270</v>
      </c>
      <c r="D259" s="3" t="s">
        <v>2247</v>
      </c>
      <c r="E259" s="2"/>
      <c r="F259" s="3" t="str">
        <f>IFERROR(__xludf.DUMMYFUNCTION("GOOGLETRANSLATE(A259, ""it"", ""en"")"),"263")</f>
        <v>263</v>
      </c>
      <c r="G259" s="3" t="str">
        <f>IFERROR(__xludf.DUMMYFUNCTION("GOOGLETRANSLATE(B259, ""it"", ""en"")"),"Ye serve the ball an' yer opponent blocks it but doesn't return it in time. What happens?")</f>
        <v>Ye serve the ball an' yer opponent blocks it but doesn't return it in time. What happens?</v>
      </c>
      <c r="H259" s="3" t="str">
        <f>IFERROR(__xludf.DUMMYFUNCTION("GOOGLETRANSLATE(C259, ""it"", ""en"")"),"A. Ye win the point B. Ye lose the point C. Ye get a penalty D. Ye get a free throw")</f>
        <v>A. Ye win the point B. Ye lose the point C. Ye get a penalty D. Ye get a free throw</v>
      </c>
      <c r="I259" s="3" t="str">
        <f>IFERROR(__xludf.DUMMYFUNCTION("GOOGLETRANSLATE(D259, ""it"", ""en"")"),"You win the point")</f>
        <v>You win the point</v>
      </c>
      <c r="J259" s="2"/>
      <c r="K259" s="2"/>
      <c r="L259" s="2"/>
      <c r="M259" s="2"/>
      <c r="N259" s="2"/>
      <c r="O259" s="2"/>
      <c r="P259" s="2"/>
      <c r="Q259" s="2"/>
      <c r="R259" s="2"/>
      <c r="S259" s="2"/>
      <c r="T259" s="2"/>
      <c r="U259" s="2"/>
      <c r="V259" s="2"/>
      <c r="W259" s="2"/>
    </row>
    <row r="260" ht="22.5" customHeight="1">
      <c r="A260" s="3">
        <v>264.0</v>
      </c>
      <c r="B260" s="3" t="s">
        <v>2497</v>
      </c>
      <c r="C260" s="3" t="s">
        <v>2270</v>
      </c>
      <c r="D260" s="3" t="s">
        <v>2247</v>
      </c>
      <c r="E260" s="2"/>
      <c r="F260" s="3" t="str">
        <f>IFERROR(__xludf.DUMMYFUNCTION("GOOGLETRANSLATE(A260, ""it"", ""en"")"),"264")</f>
        <v>264</v>
      </c>
      <c r="G260" s="3" t="str">
        <f>IFERROR(__xludf.DUMMYFUNCTION("GOOGLETRANSLATE(B260, ""it"", ""en"")"),"Ye hit the ball an' yer opponent strikes it back but lands behind the line. What happens?")</f>
        <v>Ye hit the ball an' yer opponent strikes it back but lands behind the line. What happens?</v>
      </c>
      <c r="H260" s="3" t="str">
        <f>IFERROR(__xludf.DUMMYFUNCTION("GOOGLETRANSLATE(C260, ""it"", ""en"")"),"A. Ye win the point B. Ye lose the point C. Ye get a penalty D. Ye get a free throw")</f>
        <v>A. Ye win the point B. Ye lose the point C. Ye get a penalty D. Ye get a free throw</v>
      </c>
      <c r="I260" s="3" t="str">
        <f>IFERROR(__xludf.DUMMYFUNCTION("GOOGLETRANSLATE(D260, ""it"", ""en"")"),"You win the point")</f>
        <v>You win the point</v>
      </c>
      <c r="J260" s="2"/>
      <c r="K260" s="2"/>
      <c r="L260" s="2"/>
      <c r="M260" s="2"/>
      <c r="N260" s="2"/>
      <c r="O260" s="2"/>
      <c r="P260" s="2"/>
      <c r="Q260" s="2"/>
      <c r="R260" s="2"/>
      <c r="S260" s="2"/>
      <c r="T260" s="2"/>
      <c r="U260" s="2"/>
      <c r="V260" s="2"/>
      <c r="W260" s="2"/>
    </row>
    <row r="261" ht="22.5" customHeight="1">
      <c r="A261" s="3">
        <v>265.0</v>
      </c>
      <c r="B261" s="3" t="s">
        <v>2498</v>
      </c>
      <c r="C261" s="3" t="s">
        <v>2270</v>
      </c>
      <c r="D261" s="3" t="s">
        <v>2247</v>
      </c>
      <c r="E261" s="2"/>
      <c r="F261" s="3" t="str">
        <f>IFERROR(__xludf.DUMMYFUNCTION("GOOGLETRANSLATE(A261, ""it"", ""en"")"),"265")</f>
        <v>265</v>
      </c>
      <c r="G261" s="3" t="str">
        <f>IFERROR(__xludf.DUMMYFUNCTION("GOOGLETRANSLATE(B261, ""it"", ""en"")"),"Ye serve the ball an' yer opponent misses it and the ball lands in their court. What happens?")</f>
        <v>Ye serve the ball an' yer opponent misses it and the ball lands in their court. What happens?</v>
      </c>
      <c r="H261" s="3" t="str">
        <f>IFERROR(__xludf.DUMMYFUNCTION("GOOGLETRANSLATE(C261, ""it"", ""en"")"),"A. Ye win the point B. Ye lose the point C. Ye get a penalty D. Ye get a free throw")</f>
        <v>A. Ye win the point B. Ye lose the point C. Ye get a penalty D. Ye get a free throw</v>
      </c>
      <c r="I261" s="3" t="str">
        <f>IFERROR(__xludf.DUMMYFUNCTION("GOOGLETRANSLATE(D261, ""it"", ""en"")"),"You win the point")</f>
        <v>You win the point</v>
      </c>
      <c r="J261" s="2"/>
      <c r="K261" s="2"/>
      <c r="L261" s="2"/>
      <c r="M261" s="2"/>
      <c r="N261" s="2"/>
      <c r="O261" s="2"/>
      <c r="P261" s="2"/>
      <c r="Q261" s="2"/>
      <c r="R261" s="2"/>
      <c r="S261" s="2"/>
      <c r="T261" s="2"/>
      <c r="U261" s="2"/>
      <c r="V261" s="2"/>
      <c r="W261" s="2"/>
    </row>
    <row r="262" ht="22.5" customHeight="1">
      <c r="A262" s="3">
        <v>266.0</v>
      </c>
      <c r="B262" s="3" t="s">
        <v>2473</v>
      </c>
      <c r="C262" s="3" t="s">
        <v>2270</v>
      </c>
      <c r="D262" s="3" t="s">
        <v>2247</v>
      </c>
      <c r="E262" s="2"/>
      <c r="F262" s="3" t="str">
        <f>IFERROR(__xludf.DUMMYFUNCTION("GOOGLETRANSLATE(A262, ""it"", ""en"")"),"266")</f>
        <v>266</v>
      </c>
      <c r="G262" s="3" t="str">
        <f>IFERROR(__xludf.DUMMYFUNCTION("GOOGLETRANSLATE(B262, ""it"", ""en"")"),"Ye strike the ball an' yer opponent blocks it but doesn't return it. What happens?")</f>
        <v>Ye strike the ball an' yer opponent blocks it but doesn't return it. What happens?</v>
      </c>
      <c r="H262" s="3" t="str">
        <f>IFERROR(__xludf.DUMMYFUNCTION("GOOGLETRANSLATE(C262, ""it"", ""en"")"),"A. Ye win the point B. Ye lose the point C. Ye get a penalty D. Ye get a free throw")</f>
        <v>A. Ye win the point B. Ye lose the point C. Ye get a penalty D. Ye get a free throw</v>
      </c>
      <c r="I262" s="3" t="str">
        <f>IFERROR(__xludf.DUMMYFUNCTION("GOOGLETRANSLATE(D262, ""it"", ""en"")"),"You win the point")</f>
        <v>You win the point</v>
      </c>
      <c r="J262" s="2"/>
      <c r="K262" s="2"/>
      <c r="L262" s="2"/>
      <c r="M262" s="2"/>
      <c r="N262" s="2"/>
      <c r="O262" s="2"/>
      <c r="P262" s="2"/>
      <c r="Q262" s="2"/>
      <c r="R262" s="2"/>
      <c r="S262" s="2"/>
      <c r="T262" s="2"/>
      <c r="U262" s="2"/>
      <c r="V262" s="2"/>
      <c r="W262" s="2"/>
    </row>
    <row r="263" ht="22.5" customHeight="1">
      <c r="A263" s="3">
        <v>267.0</v>
      </c>
      <c r="B263" s="3" t="s">
        <v>2499</v>
      </c>
      <c r="C263" s="3" t="s">
        <v>2270</v>
      </c>
      <c r="D263" s="3" t="s">
        <v>2247</v>
      </c>
      <c r="E263" s="2"/>
      <c r="F263" s="3" t="str">
        <f>IFERROR(__xludf.DUMMYFUNCTION("GOOGLETRANSLATE(A263, ""it"", ""en"")"),"267")</f>
        <v>267</v>
      </c>
      <c r="G263" s="3" t="str">
        <f>IFERROR(__xludf.DUMMYFUNCTION("GOOGLETRANSLATE(B263, ""it"", ""en"")"),"Ye serve the ball an' yer opponent strikes it back but it lands outside the court. What happens?")</f>
        <v>Ye serve the ball an' yer opponent strikes it back but it lands outside the court. What happens?</v>
      </c>
      <c r="H263" s="3" t="str">
        <f>IFERROR(__xludf.DUMMYFUNCTION("GOOGLETRANSLATE(C263, ""it"", ""en"")"),"A. Ye win the point B. Ye lose the point C. Ye get a penalty D. Ye get a free throw")</f>
        <v>A. Ye win the point B. Ye lose the point C. Ye get a penalty D. Ye get a free throw</v>
      </c>
      <c r="I263" s="3" t="str">
        <f>IFERROR(__xludf.DUMMYFUNCTION("GOOGLETRANSLATE(D263, ""it"", ""en"")"),"You win the point")</f>
        <v>You win the point</v>
      </c>
      <c r="J263" s="2"/>
      <c r="K263" s="2"/>
      <c r="L263" s="2"/>
      <c r="M263" s="2"/>
      <c r="N263" s="2"/>
      <c r="O263" s="2"/>
      <c r="P263" s="2"/>
      <c r="Q263" s="2"/>
      <c r="R263" s="2"/>
      <c r="S263" s="2"/>
      <c r="T263" s="2"/>
      <c r="U263" s="2"/>
      <c r="V263" s="2"/>
      <c r="W263" s="2"/>
    </row>
    <row r="264" ht="22.5" customHeight="1">
      <c r="A264" s="3">
        <v>268.0</v>
      </c>
      <c r="B264" s="3" t="s">
        <v>2500</v>
      </c>
      <c r="C264" s="3" t="s">
        <v>2270</v>
      </c>
      <c r="D264" s="3" t="s">
        <v>2247</v>
      </c>
      <c r="E264" s="2"/>
      <c r="F264" s="3" t="str">
        <f>IFERROR(__xludf.DUMMYFUNCTION("GOOGLETRANSLATE(A264, ""it"", ""en"")"),"268")</f>
        <v>268</v>
      </c>
      <c r="G264" s="3" t="str">
        <f>IFERROR(__xludf.DUMMYFUNCTION("GOOGLETRANSLATE(B264, ""it"", ""en"")"),"Ye hit the ball an' yer opponent catches it but doesn't strike it back. What happens?")</f>
        <v>Ye hit the ball an' yer opponent catches it but doesn't strike it back. What happens?</v>
      </c>
      <c r="H264" s="3" t="str">
        <f>IFERROR(__xludf.DUMMYFUNCTION("GOOGLETRANSLATE(C264, ""it"", ""en"")"),"A. Ye win the point B. Ye lose the point C. Ye get a penalty D. Ye get a free throw")</f>
        <v>A. Ye win the point B. Ye lose the point C. Ye get a penalty D. Ye get a free throw</v>
      </c>
      <c r="I264" s="3" t="str">
        <f>IFERROR(__xludf.DUMMYFUNCTION("GOOGLETRANSLATE(D264, ""it"", ""en"")"),"You win the point")</f>
        <v>You win the point</v>
      </c>
      <c r="J264" s="2"/>
      <c r="K264" s="2"/>
      <c r="L264" s="2"/>
      <c r="M264" s="2"/>
      <c r="N264" s="2"/>
      <c r="O264" s="2"/>
      <c r="P264" s="2"/>
      <c r="Q264" s="2"/>
      <c r="R264" s="2"/>
      <c r="S264" s="2"/>
      <c r="T264" s="2"/>
      <c r="U264" s="2"/>
      <c r="V264" s="2"/>
      <c r="W264" s="2"/>
    </row>
    <row r="265" ht="22.5" customHeight="1">
      <c r="A265" s="3">
        <v>269.0</v>
      </c>
      <c r="B265" s="3" t="s">
        <v>2468</v>
      </c>
      <c r="C265" s="3" t="s">
        <v>2270</v>
      </c>
      <c r="D265" s="3" t="s">
        <v>2247</v>
      </c>
      <c r="E265" s="2"/>
      <c r="F265" s="3" t="str">
        <f>IFERROR(__xludf.DUMMYFUNCTION("GOOGLETRANSLATE(A265, ""it"", ""en"")"),"269")</f>
        <v>269</v>
      </c>
      <c r="G265" s="3" t="str">
        <f>IFERROR(__xludf.DUMMYFUNCTION("GOOGLETRANSLATE(B265, ""it"", ""en"")"),"Ye serve the ball an' yer opponent blocks it but doesn't return it. What happens?")</f>
        <v>Ye serve the ball an' yer opponent blocks it but doesn't return it. What happens?</v>
      </c>
      <c r="H265" s="3" t="str">
        <f>IFERROR(__xludf.DUMMYFUNCTION("GOOGLETRANSLATE(C265, ""it"", ""en"")"),"A. Ye win the point B. Ye lose the point C. Ye get a penalty D. Ye get a free throw")</f>
        <v>A. Ye win the point B. Ye lose the point C. Ye get a penalty D. Ye get a free throw</v>
      </c>
      <c r="I265" s="3" t="str">
        <f>IFERROR(__xludf.DUMMYFUNCTION("GOOGLETRANSLATE(D265, ""it"", ""en"")"),"You win the point")</f>
        <v>You win the point</v>
      </c>
      <c r="J265" s="2"/>
      <c r="K265" s="2"/>
      <c r="L265" s="2"/>
      <c r="M265" s="2"/>
      <c r="N265" s="2"/>
      <c r="O265" s="2"/>
      <c r="P265" s="2"/>
      <c r="Q265" s="2"/>
      <c r="R265" s="2"/>
      <c r="S265" s="2"/>
      <c r="T265" s="2"/>
      <c r="U265" s="2"/>
      <c r="V265" s="2"/>
      <c r="W265" s="2"/>
    </row>
    <row r="266" ht="22.5" customHeight="1">
      <c r="A266" s="3">
        <v>270.0</v>
      </c>
      <c r="B266" s="3" t="s">
        <v>2469</v>
      </c>
      <c r="C266" s="3" t="s">
        <v>2270</v>
      </c>
      <c r="D266" s="3" t="s">
        <v>2247</v>
      </c>
      <c r="E266" s="2"/>
      <c r="F266" s="3" t="str">
        <f>IFERROR(__xludf.DUMMYFUNCTION("GOOGLETRANSLATE(A266, ""it"", ""en"")"),"270")</f>
        <v>270</v>
      </c>
      <c r="G266" s="3" t="str">
        <f>IFERROR(__xludf.DUMMYFUNCTION("GOOGLETRANSLATE(B266, ""it"", ""en"")"),"Ye strike the ball an' yer opponent misses it and the ball lands in their court. What happens?")</f>
        <v>Ye strike the ball an' yer opponent misses it and the ball lands in their court. What happens?</v>
      </c>
      <c r="H266" s="3" t="str">
        <f>IFERROR(__xludf.DUMMYFUNCTION("GOOGLETRANSLATE(C266, ""it"", ""en"")"),"A. Ye win the point B. Ye lose the point C. Ye get a penalty D. Ye get a free throw")</f>
        <v>A. Ye win the point B. Ye lose the point C. Ye get a penalty D. Ye get a free throw</v>
      </c>
      <c r="I266" s="3" t="str">
        <f>IFERROR(__xludf.DUMMYFUNCTION("GOOGLETRANSLATE(D266, ""it"", ""en"")"),"You win the point")</f>
        <v>You win the point</v>
      </c>
      <c r="J266" s="2"/>
      <c r="K266" s="2"/>
      <c r="L266" s="2"/>
      <c r="M266" s="2"/>
      <c r="N266" s="2"/>
      <c r="O266" s="2"/>
      <c r="P266" s="2"/>
      <c r="Q266" s="2"/>
      <c r="R266" s="2"/>
      <c r="S266" s="2"/>
      <c r="T266" s="2"/>
      <c r="U266" s="2"/>
      <c r="V266" s="2"/>
      <c r="W266" s="2"/>
    </row>
    <row r="267" ht="22.5" customHeight="1">
      <c r="A267" s="3">
        <v>271.0</v>
      </c>
      <c r="B267" s="3" t="s">
        <v>2477</v>
      </c>
      <c r="C267" s="3" t="s">
        <v>2270</v>
      </c>
      <c r="D267" s="3" t="s">
        <v>2247</v>
      </c>
      <c r="E267" s="2"/>
      <c r="F267" s="3" t="str">
        <f>IFERROR(__xludf.DUMMYFUNCTION("GOOGLETRANSLATE(A267, ""it"", ""en"")"),"271")</f>
        <v>271</v>
      </c>
      <c r="G267" s="3" t="str">
        <f>IFERROR(__xludf.DUMMYFUNCTION("GOOGLETRANSLATE(B267, ""it"", ""en"")"),"Ye serve the ball an' yer opponent returns it but lands behind the line. What happens?")</f>
        <v>Ye serve the ball an' yer opponent returns it but lands behind the line. What happens?</v>
      </c>
      <c r="H267" s="3" t="str">
        <f>IFERROR(__xludf.DUMMYFUNCTION("GOOGLETRANSLATE(C267, ""it"", ""en"")"),"A. Ye win the point B. Ye lose the point C. Ye get a penalty D. Ye get a free throw")</f>
        <v>A. Ye win the point B. Ye lose the point C. Ye get a penalty D. Ye get a free throw</v>
      </c>
      <c r="I267" s="3" t="str">
        <f>IFERROR(__xludf.DUMMYFUNCTION("GOOGLETRANSLATE(D267, ""it"", ""en"")"),"You win the point")</f>
        <v>You win the point</v>
      </c>
      <c r="J267" s="2"/>
      <c r="K267" s="2"/>
      <c r="L267" s="2"/>
      <c r="M267" s="2"/>
      <c r="N267" s="2"/>
      <c r="O267" s="2"/>
      <c r="P267" s="2"/>
      <c r="Q267" s="2"/>
      <c r="R267" s="2"/>
      <c r="S267" s="2"/>
      <c r="T267" s="2"/>
      <c r="U267" s="2"/>
      <c r="V267" s="2"/>
      <c r="W267" s="2"/>
    </row>
    <row r="268" ht="22.5" customHeight="1">
      <c r="A268" s="3">
        <v>272.0</v>
      </c>
      <c r="B268" s="3" t="s">
        <v>2463</v>
      </c>
      <c r="C268" s="3" t="s">
        <v>2270</v>
      </c>
      <c r="D268" s="3" t="s">
        <v>2247</v>
      </c>
      <c r="E268" s="2"/>
      <c r="F268" s="3" t="str">
        <f>IFERROR(__xludf.DUMMYFUNCTION("GOOGLETRANSLATE(A268, ""it"", ""en"")"),"272")</f>
        <v>272</v>
      </c>
      <c r="G268" s="3" t="str">
        <f>IFERROR(__xludf.DUMMYFUNCTION("GOOGLETRANSLATE(B268, ""it"", ""en"")"),"Ye hit the ball an' yer opponent blocks it but doesn't return it. What happens?")</f>
        <v>Ye hit the ball an' yer opponent blocks it but doesn't return it. What happens?</v>
      </c>
      <c r="H268" s="3" t="str">
        <f>IFERROR(__xludf.DUMMYFUNCTION("GOOGLETRANSLATE(C268, ""it"", ""en"")"),"A. Ye win the point B. Ye lose the point C. Ye get a penalty D. Ye get a free throw")</f>
        <v>A. Ye win the point B. Ye lose the point C. Ye get a penalty D. Ye get a free throw</v>
      </c>
      <c r="I268" s="3" t="str">
        <f>IFERROR(__xludf.DUMMYFUNCTION("GOOGLETRANSLATE(D268, ""it"", ""en"")"),"You win the point")</f>
        <v>You win the point</v>
      </c>
      <c r="J268" s="2"/>
      <c r="K268" s="2"/>
      <c r="L268" s="2"/>
      <c r="M268" s="2"/>
      <c r="N268" s="2"/>
      <c r="O268" s="2"/>
      <c r="P268" s="2"/>
      <c r="Q268" s="2"/>
      <c r="R268" s="2"/>
      <c r="S268" s="2"/>
      <c r="T268" s="2"/>
      <c r="U268" s="2"/>
      <c r="V268" s="2"/>
      <c r="W268" s="2"/>
    </row>
    <row r="269" ht="22.5" customHeight="1">
      <c r="A269" s="3">
        <v>273.0</v>
      </c>
      <c r="B269" s="3" t="s">
        <v>2486</v>
      </c>
      <c r="C269" s="3" t="s">
        <v>2270</v>
      </c>
      <c r="D269" s="3" t="s">
        <v>2247</v>
      </c>
      <c r="E269" s="2"/>
      <c r="F269" s="3" t="str">
        <f>IFERROR(__xludf.DUMMYFUNCTION("GOOGLETRANSLATE(A269, ""it"", ""en"")"),"273")</f>
        <v>273</v>
      </c>
      <c r="G269" s="3" t="str">
        <f>IFERROR(__xludf.DUMMYFUNCTION("GOOGLETRANSLATE(B269, ""it"", ""en"")"),"Ye serve the ball an' yer opponent catches it but doesn't return it. What happens?")</f>
        <v>Ye serve the ball an' yer opponent catches it but doesn't return it. What happens?</v>
      </c>
      <c r="H269" s="3" t="str">
        <f>IFERROR(__xludf.DUMMYFUNCTION("GOOGLETRANSLATE(C269, ""it"", ""en"")"),"A. Ye win the point B. Ye lose the point C. Ye get a penalty D. Ye get a free throw")</f>
        <v>A. Ye win the point B. Ye lose the point C. Ye get a penalty D. Ye get a free throw</v>
      </c>
      <c r="I269" s="3" t="str">
        <f>IFERROR(__xludf.DUMMYFUNCTION("GOOGLETRANSLATE(D269, ""it"", ""en"")"),"You win the point")</f>
        <v>You win the point</v>
      </c>
      <c r="J269" s="2"/>
      <c r="K269" s="2"/>
      <c r="L269" s="2"/>
      <c r="M269" s="2"/>
      <c r="N269" s="2"/>
      <c r="O269" s="2"/>
      <c r="P269" s="2"/>
      <c r="Q269" s="2"/>
      <c r="R269" s="2"/>
      <c r="S269" s="2"/>
      <c r="T269" s="2"/>
      <c r="U269" s="2"/>
      <c r="V269" s="2"/>
      <c r="W269" s="2"/>
    </row>
    <row r="270" ht="22.5" customHeight="1">
      <c r="A270" s="3">
        <v>274.0</v>
      </c>
      <c r="B270" s="3" t="s">
        <v>2501</v>
      </c>
      <c r="C270" s="3" t="s">
        <v>2270</v>
      </c>
      <c r="D270" s="3" t="s">
        <v>2247</v>
      </c>
      <c r="E270" s="2"/>
      <c r="F270" s="3" t="str">
        <f>IFERROR(__xludf.DUMMYFUNCTION("GOOGLETRANSLATE(A270, ""it"", ""en"")"),"274")</f>
        <v>274</v>
      </c>
      <c r="G270" s="3" t="str">
        <f>IFERROR(__xludf.DUMMYFUNCTION("GOOGLETRANSLATE(B270, ""it"", ""en"")"),"Ye strike the ball an' yer opponent blocks it but doesn't return it in time. What happens?")</f>
        <v>Ye strike the ball an' yer opponent blocks it but doesn't return it in time. What happens?</v>
      </c>
      <c r="H270" s="3" t="str">
        <f>IFERROR(__xludf.DUMMYFUNCTION("GOOGLETRANSLATE(C270, ""it"", ""en"")"),"A. Ye win the point B. Ye lose the point C. Ye get a penalty D. Ye get a free throw")</f>
        <v>A. Ye win the point B. Ye lose the point C. Ye get a penalty D. Ye get a free throw</v>
      </c>
      <c r="I270" s="3" t="str">
        <f>IFERROR(__xludf.DUMMYFUNCTION("GOOGLETRANSLATE(D270, ""it"", ""en"")"),"You win the point")</f>
        <v>You win the point</v>
      </c>
      <c r="J270" s="2"/>
      <c r="K270" s="2"/>
      <c r="L270" s="2"/>
      <c r="M270" s="2"/>
      <c r="N270" s="2"/>
      <c r="O270" s="2"/>
      <c r="P270" s="2"/>
      <c r="Q270" s="2"/>
      <c r="R270" s="2"/>
      <c r="S270" s="2"/>
      <c r="T270" s="2"/>
      <c r="U270" s="2"/>
      <c r="V270" s="2"/>
      <c r="W270" s="2"/>
    </row>
    <row r="271" ht="22.5" customHeight="1">
      <c r="A271" s="3">
        <v>275.0</v>
      </c>
      <c r="B271" s="3" t="s">
        <v>2446</v>
      </c>
      <c r="C271" s="3" t="s">
        <v>2249</v>
      </c>
      <c r="D271" s="3" t="s">
        <v>2247</v>
      </c>
      <c r="E271" s="2"/>
      <c r="F271" s="3" t="str">
        <f>IFERROR(__xludf.DUMMYFUNCTION("GOOGLETRANSLATE(A271, ""it"", ""en"")"),"275")</f>
        <v>275</v>
      </c>
      <c r="G271" s="3" t="str">
        <f>IFERROR(__xludf.DUMMYFUNCTION("GOOGLETRANSLATE(B271, ""it"", ""en"")"),"Ye serve the ball an' yer opponent misses but the ball lands out of bounds. What happens?")</f>
        <v>Ye serve the ball an' yer opponent misses but the ball lands out of bounds. What happens?</v>
      </c>
      <c r="H271" s="3" t="str">
        <f>IFERROR(__xludf.DUMMYFUNCTION("GOOGLETRANSLATE(C271, ""it"", ""en"")"),"A. Ye lose the point B. Ye win the point C. Ye get a penalty D. Ye get a free throw")</f>
        <v>A. Ye lose the point B. Ye win the point C. Ye get a penalty D. Ye get a free throw</v>
      </c>
      <c r="I271" s="3" t="str">
        <f>IFERROR(__xludf.DUMMYFUNCTION("GOOGLETRANSLATE(D271, ""it"", ""en"")"),"You win the point")</f>
        <v>You win the point</v>
      </c>
      <c r="J271" s="2"/>
      <c r="K271" s="2"/>
      <c r="L271" s="2"/>
      <c r="M271" s="2"/>
      <c r="N271" s="2"/>
      <c r="O271" s="2"/>
      <c r="P271" s="2"/>
      <c r="Q271" s="2"/>
      <c r="R271" s="2"/>
      <c r="S271" s="2"/>
      <c r="T271" s="2"/>
      <c r="U271" s="2"/>
      <c r="V271" s="2"/>
      <c r="W271" s="2"/>
    </row>
    <row r="272" ht="22.5" customHeight="1">
      <c r="A272" s="3">
        <v>276.0</v>
      </c>
      <c r="B272" s="3" t="s">
        <v>2502</v>
      </c>
      <c r="C272" s="3" t="s">
        <v>2270</v>
      </c>
      <c r="D272" s="3" t="s">
        <v>2247</v>
      </c>
      <c r="E272" s="2"/>
      <c r="F272" s="3" t="str">
        <f>IFERROR(__xludf.DUMMYFUNCTION("GOOGLETRANSLATE(A272, ""it"", ""en"")"),"276")</f>
        <v>276</v>
      </c>
      <c r="G272" s="3" t="str">
        <f>IFERROR(__xludf.DUMMYFUNCTION("GOOGLETRANSLATE(B272, ""it"", ""en"")"),"Ye hit the ball an' yer opponent returns it but lands outside the court. What happens?")</f>
        <v>Ye hit the ball an' yer opponent returns it but lands outside the court. What happens?</v>
      </c>
      <c r="H272" s="3" t="str">
        <f>IFERROR(__xludf.DUMMYFUNCTION("GOOGLETRANSLATE(C272, ""it"", ""en"")"),"A. Ye win the point B. Ye lose the point C. Ye get a penalty D. Ye get a free throw")</f>
        <v>A. Ye win the point B. Ye lose the point C. Ye get a penalty D. Ye get a free throw</v>
      </c>
      <c r="I272" s="3" t="str">
        <f>IFERROR(__xludf.DUMMYFUNCTION("GOOGLETRANSLATE(D272, ""it"", ""en"")"),"You win the point")</f>
        <v>You win the point</v>
      </c>
      <c r="J272" s="2"/>
      <c r="K272" s="2"/>
      <c r="L272" s="2"/>
      <c r="M272" s="2"/>
      <c r="N272" s="2"/>
      <c r="O272" s="2"/>
      <c r="P272" s="2"/>
      <c r="Q272" s="2"/>
      <c r="R272" s="2"/>
      <c r="S272" s="2"/>
      <c r="T272" s="2"/>
      <c r="U272" s="2"/>
      <c r="V272" s="2"/>
      <c r="W272" s="2"/>
    </row>
    <row r="273" ht="22.5" customHeight="1">
      <c r="A273" s="3">
        <v>277.0</v>
      </c>
      <c r="B273" s="3" t="s">
        <v>2477</v>
      </c>
      <c r="C273" s="3" t="s">
        <v>2270</v>
      </c>
      <c r="D273" s="3" t="s">
        <v>2247</v>
      </c>
      <c r="E273" s="2"/>
      <c r="F273" s="3" t="str">
        <f>IFERROR(__xludf.DUMMYFUNCTION("GOOGLETRANSLATE(A273, ""it"", ""en"")"),"277")</f>
        <v>277</v>
      </c>
      <c r="G273" s="3" t="str">
        <f>IFERROR(__xludf.DUMMYFUNCTION("GOOGLETRANSLATE(B273, ""it"", ""en"")"),"Ye serve the ball an' yer opponent returns it but lands behind the line. What happens?")</f>
        <v>Ye serve the ball an' yer opponent returns it but lands behind the line. What happens?</v>
      </c>
      <c r="H273" s="3" t="str">
        <f>IFERROR(__xludf.DUMMYFUNCTION("GOOGLETRANSLATE(C273, ""it"", ""en"")"),"A. Ye win the point B. Ye lose the point C. Ye get a penalty D. Ye get a free throw")</f>
        <v>A. Ye win the point B. Ye lose the point C. Ye get a penalty D. Ye get a free throw</v>
      </c>
      <c r="I273" s="3" t="str">
        <f>IFERROR(__xludf.DUMMYFUNCTION("GOOGLETRANSLATE(D273, ""it"", ""en"")"),"You win the point")</f>
        <v>You win the point</v>
      </c>
      <c r="J273" s="2"/>
      <c r="K273" s="2"/>
      <c r="L273" s="2"/>
      <c r="M273" s="2"/>
      <c r="N273" s="2"/>
      <c r="O273" s="2"/>
      <c r="P273" s="2"/>
      <c r="Q273" s="2"/>
      <c r="R273" s="2"/>
      <c r="S273" s="2"/>
      <c r="T273" s="2"/>
      <c r="U273" s="2"/>
      <c r="V273" s="2"/>
      <c r="W273" s="2"/>
    </row>
    <row r="274" ht="22.5" customHeight="1">
      <c r="A274" s="3">
        <v>278.0</v>
      </c>
      <c r="B274" s="3" t="s">
        <v>2469</v>
      </c>
      <c r="C274" s="3" t="s">
        <v>2270</v>
      </c>
      <c r="D274" s="3" t="s">
        <v>2247</v>
      </c>
      <c r="E274" s="2"/>
      <c r="F274" s="3" t="str">
        <f>IFERROR(__xludf.DUMMYFUNCTION("GOOGLETRANSLATE(A274, ""it"", ""en"")"),"278")</f>
        <v>278</v>
      </c>
      <c r="G274" s="3" t="str">
        <f>IFERROR(__xludf.DUMMYFUNCTION("GOOGLETRANSLATE(B274, ""it"", ""en"")"),"Ye strike the ball an' yer opponent misses it and the ball lands in their court. What happens?")</f>
        <v>Ye strike the ball an' yer opponent misses it and the ball lands in their court. What happens?</v>
      </c>
      <c r="H274" s="3" t="str">
        <f>IFERROR(__xludf.DUMMYFUNCTION("GOOGLETRANSLATE(C274, ""it"", ""en"")"),"A. Ye win the point B. Ye lose the point C. Ye get a penalty D. Ye get a free throw")</f>
        <v>A. Ye win the point B. Ye lose the point C. Ye get a penalty D. Ye get a free throw</v>
      </c>
      <c r="I274" s="3" t="str">
        <f>IFERROR(__xludf.DUMMYFUNCTION("GOOGLETRANSLATE(D274, ""it"", ""en"")"),"You win the point")</f>
        <v>You win the point</v>
      </c>
      <c r="J274" s="2"/>
      <c r="K274" s="2"/>
      <c r="L274" s="2"/>
      <c r="M274" s="2"/>
      <c r="N274" s="2"/>
      <c r="O274" s="2"/>
      <c r="P274" s="2"/>
      <c r="Q274" s="2"/>
      <c r="R274" s="2"/>
      <c r="S274" s="2"/>
      <c r="T274" s="2"/>
      <c r="U274" s="2"/>
      <c r="V274" s="2"/>
      <c r="W274" s="2"/>
    </row>
    <row r="275" ht="22.5" customHeight="1">
      <c r="A275" s="3">
        <v>279.0</v>
      </c>
      <c r="B275" s="3" t="s">
        <v>2494</v>
      </c>
      <c r="C275" s="3" t="s">
        <v>2270</v>
      </c>
      <c r="D275" s="3" t="s">
        <v>2247</v>
      </c>
      <c r="E275" s="2"/>
      <c r="F275" s="3" t="str">
        <f>IFERROR(__xludf.DUMMYFUNCTION("GOOGLETRANSLATE(A275, ""it"", ""en"")"),"279")</f>
        <v>279</v>
      </c>
      <c r="G275" s="3" t="str">
        <f>IFERROR(__xludf.DUMMYFUNCTION("GOOGLETRANSLATE(B275, ""it"", ""en"")"),"Ye serve the ball an' yer opponent strikes it but lands outside the court. What happens?")</f>
        <v>Ye serve the ball an' yer opponent strikes it but lands outside the court. What happens?</v>
      </c>
      <c r="H275" s="3" t="str">
        <f>IFERROR(__xludf.DUMMYFUNCTION("GOOGLETRANSLATE(C275, ""it"", ""en"")"),"A. Ye win the point B. Ye lose the point C. Ye get a penalty D. Ye get a free throw")</f>
        <v>A. Ye win the point B. Ye lose the point C. Ye get a penalty D. Ye get a free throw</v>
      </c>
      <c r="I275" s="3" t="str">
        <f>IFERROR(__xludf.DUMMYFUNCTION("GOOGLETRANSLATE(D275, ""it"", ""en"")"),"You win the point")</f>
        <v>You win the point</v>
      </c>
      <c r="J275" s="2"/>
      <c r="K275" s="2"/>
      <c r="L275" s="2"/>
      <c r="M275" s="2"/>
      <c r="N275" s="2"/>
      <c r="O275" s="2"/>
      <c r="P275" s="2"/>
      <c r="Q275" s="2"/>
      <c r="R275" s="2"/>
      <c r="S275" s="2"/>
      <c r="T275" s="2"/>
      <c r="U275" s="2"/>
      <c r="V275" s="2"/>
      <c r="W275" s="2"/>
    </row>
    <row r="276" ht="22.5" customHeight="1">
      <c r="A276" s="3">
        <v>280.0</v>
      </c>
      <c r="B276" s="3" t="s">
        <v>2482</v>
      </c>
      <c r="C276" s="3" t="s">
        <v>2270</v>
      </c>
      <c r="D276" s="3" t="s">
        <v>2247</v>
      </c>
      <c r="E276" s="2"/>
      <c r="F276" s="3" t="str">
        <f>IFERROR(__xludf.DUMMYFUNCTION("GOOGLETRANSLATE(A276, ""it"", ""en"")"),"280")</f>
        <v>280</v>
      </c>
      <c r="G276" s="3" t="str">
        <f>IFERROR(__xludf.DUMMYFUNCTION("GOOGLETRANSLATE(B276, ""it"", ""en"")"),"Ye hit the ball an' yer opponent blocks it but doesn't return it in time. What happens?")</f>
        <v>Ye hit the ball an' yer opponent blocks it but doesn't return it in time. What happens?</v>
      </c>
      <c r="H276" s="3" t="str">
        <f>IFERROR(__xludf.DUMMYFUNCTION("GOOGLETRANSLATE(C276, ""it"", ""en"")"),"A. Ye win the point B. Ye lose the point C. Ye get a penalty D. Ye get a free throw")</f>
        <v>A. Ye win the point B. Ye lose the point C. Ye get a penalty D. Ye get a free throw</v>
      </c>
      <c r="I276" s="3" t="str">
        <f>IFERROR(__xludf.DUMMYFUNCTION("GOOGLETRANSLATE(D276, ""it"", ""en"")"),"You win the point")</f>
        <v>You win the point</v>
      </c>
      <c r="J276" s="2"/>
      <c r="K276" s="2"/>
      <c r="L276" s="2"/>
      <c r="M276" s="2"/>
      <c r="N276" s="2"/>
      <c r="O276" s="2"/>
      <c r="P276" s="2"/>
      <c r="Q276" s="2"/>
      <c r="R276" s="2"/>
      <c r="S276" s="2"/>
      <c r="T276" s="2"/>
      <c r="U276" s="2"/>
      <c r="V276" s="2"/>
      <c r="W276" s="2"/>
    </row>
    <row r="277" ht="22.5" customHeight="1">
      <c r="A277" s="3">
        <v>281.0</v>
      </c>
      <c r="B277" s="3" t="s">
        <v>2503</v>
      </c>
      <c r="C277" s="3" t="s">
        <v>2270</v>
      </c>
      <c r="D277" s="3" t="s">
        <v>2247</v>
      </c>
      <c r="E277" s="2"/>
      <c r="F277" s="3" t="str">
        <f>IFERROR(__xludf.DUMMYFUNCTION("GOOGLETRANSLATE(A277, ""it"", ""en"")"),"281")</f>
        <v>281</v>
      </c>
      <c r="G277" s="3" t="str">
        <f>IFERROR(__xludf.DUMMYFUNCTION("GOOGLETRANSLATE(B277, ""it"", ""en"")"),"Ye serve the ball an' yer opponent blocks it but doesn't strike it back. What happens?")</f>
        <v>Ye serve the ball an' yer opponent blocks it but doesn't strike it back. What happens?</v>
      </c>
      <c r="H277" s="3" t="str">
        <f>IFERROR(__xludf.DUMMYFUNCTION("GOOGLETRANSLATE(C277, ""it"", ""en"")"),"A. Ye win the point B. Ye lose the point C. Ye get a penalty D. Ye get a free throw")</f>
        <v>A. Ye win the point B. Ye lose the point C. Ye get a penalty D. Ye get a free throw</v>
      </c>
      <c r="I277" s="3" t="str">
        <f>IFERROR(__xludf.DUMMYFUNCTION("GOOGLETRANSLATE(D277, ""it"", ""en"")"),"You win the point")</f>
        <v>You win the point</v>
      </c>
      <c r="J277" s="2"/>
      <c r="K277" s="2"/>
      <c r="L277" s="2"/>
      <c r="M277" s="2"/>
      <c r="N277" s="2"/>
      <c r="O277" s="2"/>
      <c r="P277" s="2"/>
      <c r="Q277" s="2"/>
      <c r="R277" s="2"/>
      <c r="S277" s="2"/>
      <c r="T277" s="2"/>
      <c r="U277" s="2"/>
      <c r="V277" s="2"/>
      <c r="W277" s="2"/>
    </row>
    <row r="278" ht="22.5" customHeight="1">
      <c r="A278" s="3">
        <v>282.0</v>
      </c>
      <c r="B278" s="3" t="s">
        <v>2487</v>
      </c>
      <c r="C278" s="3" t="s">
        <v>2270</v>
      </c>
      <c r="D278" s="3" t="s">
        <v>2247</v>
      </c>
      <c r="E278" s="2"/>
      <c r="F278" s="3" t="str">
        <f>IFERROR(__xludf.DUMMYFUNCTION("GOOGLETRANSLATE(A278, ""it"", ""en"")"),"282")</f>
        <v>282</v>
      </c>
      <c r="G278" s="3" t="str">
        <f>IFERROR(__xludf.DUMMYFUNCTION("GOOGLETRANSLATE(B278, ""it"", ""en"")"),"Ye strike the ball an' yer opponent returns it but lands behind the line. What happens?")</f>
        <v>Ye strike the ball an' yer opponent returns it but lands behind the line. What happens?</v>
      </c>
      <c r="H278" s="3" t="str">
        <f>IFERROR(__xludf.DUMMYFUNCTION("GOOGLETRANSLATE(C278, ""it"", ""en"")"),"A. Ye win the point B. Ye lose the point C. Ye get a penalty D. Ye get a free throw")</f>
        <v>A. Ye win the point B. Ye lose the point C. Ye get a penalty D. Ye get a free throw</v>
      </c>
      <c r="I278" s="3" t="str">
        <f>IFERROR(__xludf.DUMMYFUNCTION("GOOGLETRANSLATE(D278, ""it"", ""en"")"),"You win the point")</f>
        <v>You win the point</v>
      </c>
      <c r="J278" s="2"/>
      <c r="K278" s="2"/>
      <c r="L278" s="2"/>
      <c r="M278" s="2"/>
      <c r="N278" s="2"/>
      <c r="O278" s="2"/>
      <c r="P278" s="2"/>
      <c r="Q278" s="2"/>
      <c r="R278" s="2"/>
      <c r="S278" s="2"/>
      <c r="T278" s="2"/>
      <c r="U278" s="2"/>
      <c r="V278" s="2"/>
      <c r="W278" s="2"/>
    </row>
    <row r="279" ht="22.5" customHeight="1">
      <c r="A279" s="3">
        <v>283.0</v>
      </c>
      <c r="B279" s="3" t="s">
        <v>2503</v>
      </c>
      <c r="C279" s="3" t="s">
        <v>2270</v>
      </c>
      <c r="D279" s="3" t="s">
        <v>2247</v>
      </c>
      <c r="E279" s="2"/>
      <c r="F279" s="3" t="str">
        <f>IFERROR(__xludf.DUMMYFUNCTION("GOOGLETRANSLATE(A279, ""it"", ""en"")"),"283")</f>
        <v>283</v>
      </c>
      <c r="G279" s="3" t="str">
        <f>IFERROR(__xludf.DUMMYFUNCTION("GOOGLETRANSLATE(B279, ""it"", ""en"")"),"Ye serve the ball an' yer opponent blocks it but doesn't strike it back. What happens?")</f>
        <v>Ye serve the ball an' yer opponent blocks it but doesn't strike it back. What happens?</v>
      </c>
      <c r="H279" s="3" t="str">
        <f>IFERROR(__xludf.DUMMYFUNCTION("GOOGLETRANSLATE(C279, ""it"", ""en"")"),"A. Ye win the point B. Ye lose the point C. Ye get a penalty D. Ye get a free throw")</f>
        <v>A. Ye win the point B. Ye lose the point C. Ye get a penalty D. Ye get a free throw</v>
      </c>
      <c r="I279" s="3" t="str">
        <f>IFERROR(__xludf.DUMMYFUNCTION("GOOGLETRANSLATE(D279, ""it"", ""en"")"),"You win the point")</f>
        <v>You win the point</v>
      </c>
      <c r="J279" s="2"/>
      <c r="K279" s="2"/>
      <c r="L279" s="2"/>
      <c r="M279" s="2"/>
      <c r="N279" s="2"/>
      <c r="O279" s="2"/>
      <c r="P279" s="2"/>
      <c r="Q279" s="2"/>
      <c r="R279" s="2"/>
      <c r="S279" s="2"/>
      <c r="T279" s="2"/>
      <c r="U279" s="2"/>
      <c r="V279" s="2"/>
      <c r="W279" s="2"/>
    </row>
    <row r="280" ht="22.5" customHeight="1">
      <c r="A280" s="3">
        <v>284.0</v>
      </c>
      <c r="B280" s="3" t="s">
        <v>2482</v>
      </c>
      <c r="C280" s="3" t="s">
        <v>2270</v>
      </c>
      <c r="D280" s="3" t="s">
        <v>2247</v>
      </c>
      <c r="E280" s="2"/>
      <c r="F280" s="3" t="str">
        <f>IFERROR(__xludf.DUMMYFUNCTION("GOOGLETRANSLATE(A280, ""it"", ""en"")"),"284")</f>
        <v>284</v>
      </c>
      <c r="G280" s="3" t="str">
        <f>IFERROR(__xludf.DUMMYFUNCTION("GOOGLETRANSLATE(B280, ""it"", ""en"")"),"Ye hit the ball an' yer opponent blocks it but doesn't return it in time. What happens?")</f>
        <v>Ye hit the ball an' yer opponent blocks it but doesn't return it in time. What happens?</v>
      </c>
      <c r="H280" s="3" t="str">
        <f>IFERROR(__xludf.DUMMYFUNCTION("GOOGLETRANSLATE(C280, ""it"", ""en"")"),"A. Ye win the point B. Ye lose the point C. Ye get a penalty D. Ye get a free throw")</f>
        <v>A. Ye win the point B. Ye lose the point C. Ye get a penalty D. Ye get a free throw</v>
      </c>
      <c r="I280" s="3" t="str">
        <f>IFERROR(__xludf.DUMMYFUNCTION("GOOGLETRANSLATE(D280, ""it"", ""en"")"),"You win the point")</f>
        <v>You win the point</v>
      </c>
      <c r="J280" s="2"/>
      <c r="K280" s="2"/>
      <c r="L280" s="2"/>
      <c r="M280" s="2"/>
      <c r="N280" s="2"/>
      <c r="O280" s="2"/>
      <c r="P280" s="2"/>
      <c r="Q280" s="2"/>
      <c r="R280" s="2"/>
      <c r="S280" s="2"/>
      <c r="T280" s="2"/>
      <c r="U280" s="2"/>
      <c r="V280" s="2"/>
      <c r="W280" s="2"/>
    </row>
    <row r="281" ht="22.5" customHeight="1">
      <c r="A281" s="3">
        <v>285.0</v>
      </c>
      <c r="B281" s="3" t="s">
        <v>2467</v>
      </c>
      <c r="C281" s="3" t="s">
        <v>2270</v>
      </c>
      <c r="D281" s="3" t="s">
        <v>2247</v>
      </c>
      <c r="E281" s="2"/>
      <c r="F281" s="3" t="str">
        <f>IFERROR(__xludf.DUMMYFUNCTION("GOOGLETRANSLATE(A281, ""it"", ""en"")"),"285")</f>
        <v>285</v>
      </c>
      <c r="G281" s="3" t="str">
        <f>IFERROR(__xludf.DUMMYFUNCTION("GOOGLETRANSLATE(B281, ""it"", ""en"")"),"Ye serve the ball an' yer opponent misses it but the ball lands in their court. What happens?")</f>
        <v>Ye serve the ball an' yer opponent misses it but the ball lands in their court. What happens?</v>
      </c>
      <c r="H281" s="3" t="str">
        <f>IFERROR(__xludf.DUMMYFUNCTION("GOOGLETRANSLATE(C281, ""it"", ""en"")"),"A. Ye win the point B. Ye lose the point C. Ye get a penalty D. Ye get a free throw")</f>
        <v>A. Ye win the point B. Ye lose the point C. Ye get a penalty D. Ye get a free throw</v>
      </c>
      <c r="I281" s="3" t="str">
        <f>IFERROR(__xludf.DUMMYFUNCTION("GOOGLETRANSLATE(D281, ""it"", ""en"")"),"You win the point")</f>
        <v>You win the point</v>
      </c>
      <c r="J281" s="2"/>
      <c r="K281" s="2"/>
      <c r="L281" s="2"/>
      <c r="M281" s="2"/>
      <c r="N281" s="2"/>
      <c r="O281" s="2"/>
      <c r="P281" s="2"/>
      <c r="Q281" s="2"/>
      <c r="R281" s="2"/>
      <c r="S281" s="2"/>
      <c r="T281" s="2"/>
      <c r="U281" s="2"/>
      <c r="V281" s="2"/>
      <c r="W281" s="2"/>
    </row>
    <row r="282" ht="22.5" customHeight="1">
      <c r="A282" s="3">
        <v>286.0</v>
      </c>
      <c r="B282" s="3" t="s">
        <v>2504</v>
      </c>
      <c r="C282" s="3" t="s">
        <v>2270</v>
      </c>
      <c r="D282" s="3" t="s">
        <v>2247</v>
      </c>
      <c r="E282" s="2"/>
      <c r="F282" s="3" t="str">
        <f>IFERROR(__xludf.DUMMYFUNCTION("GOOGLETRANSLATE(A282, ""it"", ""en"")"),"286")</f>
        <v>286</v>
      </c>
      <c r="G282" s="3" t="str">
        <f>IFERROR(__xludf.DUMMYFUNCTION("GOOGLETRANSLATE(B282, ""it"", ""en"")"),"Ye strike the ball an' yer opponent returns it but lands out of bounds. What happens?")</f>
        <v>Ye strike the ball an' yer opponent returns it but lands out of bounds. What happens?</v>
      </c>
      <c r="H282" s="3" t="str">
        <f>IFERROR(__xludf.DUMMYFUNCTION("GOOGLETRANSLATE(C282, ""it"", ""en"")"),"A. Ye win the point B. Ye lose the point C. Ye get a penalty D. Ye get a free throw")</f>
        <v>A. Ye win the point B. Ye lose the point C. Ye get a penalty D. Ye get a free throw</v>
      </c>
      <c r="I282" s="3" t="str">
        <f>IFERROR(__xludf.DUMMYFUNCTION("GOOGLETRANSLATE(D282, ""it"", ""en"")"),"You win the point")</f>
        <v>You win the point</v>
      </c>
      <c r="J282" s="2"/>
      <c r="K282" s="2"/>
      <c r="L282" s="2"/>
      <c r="M282" s="2"/>
      <c r="N282" s="2"/>
      <c r="O282" s="2"/>
      <c r="P282" s="2"/>
      <c r="Q282" s="2"/>
      <c r="R282" s="2"/>
      <c r="S282" s="2"/>
      <c r="T282" s="2"/>
      <c r="U282" s="2"/>
      <c r="V282" s="2"/>
      <c r="W282" s="2"/>
    </row>
    <row r="283" ht="22.5" customHeight="1">
      <c r="A283" s="3">
        <v>287.0</v>
      </c>
      <c r="B283" s="3" t="s">
        <v>2467</v>
      </c>
      <c r="C283" s="3" t="s">
        <v>2270</v>
      </c>
      <c r="D283" s="3" t="s">
        <v>2247</v>
      </c>
      <c r="E283" s="2"/>
      <c r="F283" s="3" t="str">
        <f>IFERROR(__xludf.DUMMYFUNCTION("GOOGLETRANSLATE(A283, ""it"", ""en"")"),"287")</f>
        <v>287</v>
      </c>
      <c r="G283" s="3" t="str">
        <f>IFERROR(__xludf.DUMMYFUNCTION("GOOGLETRANSLATE(B283, ""it"", ""en"")"),"Ye serve the ball an' yer opponent misses it but the ball lands in their court. What happens?")</f>
        <v>Ye serve the ball an' yer opponent misses it but the ball lands in their court. What happens?</v>
      </c>
      <c r="H283" s="3" t="str">
        <f>IFERROR(__xludf.DUMMYFUNCTION("GOOGLETRANSLATE(C283, ""it"", ""en"")"),"A. Ye win the point B. Ye lose the point C. Ye get a penalty D. Ye get a free throw")</f>
        <v>A. Ye win the point B. Ye lose the point C. Ye get a penalty D. Ye get a free throw</v>
      </c>
      <c r="I283" s="3" t="str">
        <f>IFERROR(__xludf.DUMMYFUNCTION("GOOGLETRANSLATE(D283, ""it"", ""en"")"),"You win the point")</f>
        <v>You win the point</v>
      </c>
      <c r="J283" s="2"/>
      <c r="K283" s="2"/>
      <c r="L283" s="2"/>
      <c r="M283" s="2"/>
      <c r="N283" s="2"/>
      <c r="O283" s="2"/>
      <c r="P283" s="2"/>
      <c r="Q283" s="2"/>
      <c r="R283" s="2"/>
      <c r="S283" s="2"/>
      <c r="T283" s="2"/>
      <c r="U283" s="2"/>
      <c r="V283" s="2"/>
      <c r="W283" s="2"/>
    </row>
    <row r="284" ht="22.5" customHeight="1">
      <c r="A284" s="3">
        <v>288.0</v>
      </c>
      <c r="B284" s="3" t="s">
        <v>2502</v>
      </c>
      <c r="C284" s="3" t="s">
        <v>2270</v>
      </c>
      <c r="D284" s="3" t="s">
        <v>2247</v>
      </c>
      <c r="E284" s="2"/>
      <c r="F284" s="3" t="str">
        <f>IFERROR(__xludf.DUMMYFUNCTION("GOOGLETRANSLATE(A284, ""it"", ""en"")"),"288")</f>
        <v>288</v>
      </c>
      <c r="G284" s="3" t="str">
        <f>IFERROR(__xludf.DUMMYFUNCTION("GOOGLETRANSLATE(B284, ""it"", ""en"")"),"Ye hit the ball an' yer opponent returns it but lands outside the court. What happens?")</f>
        <v>Ye hit the ball an' yer opponent returns it but lands outside the court. What happens?</v>
      </c>
      <c r="H284" s="3" t="str">
        <f>IFERROR(__xludf.DUMMYFUNCTION("GOOGLETRANSLATE(C284, ""it"", ""en"")"),"A. Ye win the point B. Ye lose the point C. Ye get a penalty D. Ye get a free throw")</f>
        <v>A. Ye win the point B. Ye lose the point C. Ye get a penalty D. Ye get a free throw</v>
      </c>
      <c r="I284" s="3" t="str">
        <f>IFERROR(__xludf.DUMMYFUNCTION("GOOGLETRANSLATE(D284, ""it"", ""en"")"),"You win the point")</f>
        <v>You win the point</v>
      </c>
      <c r="J284" s="2"/>
      <c r="K284" s="2"/>
      <c r="L284" s="2"/>
      <c r="M284" s="2"/>
      <c r="N284" s="2"/>
      <c r="O284" s="2"/>
      <c r="P284" s="2"/>
      <c r="Q284" s="2"/>
      <c r="R284" s="2"/>
      <c r="S284" s="2"/>
      <c r="T284" s="2"/>
      <c r="U284" s="2"/>
      <c r="V284" s="2"/>
      <c r="W284" s="2"/>
    </row>
    <row r="285" ht="22.5" customHeight="1">
      <c r="A285" s="3">
        <v>289.0</v>
      </c>
      <c r="B285" s="3" t="s">
        <v>2505</v>
      </c>
      <c r="C285" s="3" t="s">
        <v>2270</v>
      </c>
      <c r="D285" s="3" t="s">
        <v>2247</v>
      </c>
      <c r="E285" s="2"/>
      <c r="F285" s="3" t="str">
        <f>IFERROR(__xludf.DUMMYFUNCTION("GOOGLETRANSLATE(A285, ""it"", ""en"")"),"289")</f>
        <v>289</v>
      </c>
      <c r="G285" s="3" t="str">
        <f>IFERROR(__xludf.DUMMYFUNCTION("GOOGLETRANSLATE(B285, ""it"", ""en"")"),"Ye serve the ball an' yer opponent strikes it but lands behind the line. What happens?")</f>
        <v>Ye serve the ball an' yer opponent strikes it but lands behind the line. What happens?</v>
      </c>
      <c r="H285" s="3" t="str">
        <f>IFERROR(__xludf.DUMMYFUNCTION("GOOGLETRANSLATE(C285, ""it"", ""en"")"),"A. Ye win the point B. Ye lose the point C. Ye get a penalty D. Ye get a free throw")</f>
        <v>A. Ye win the point B. Ye lose the point C. Ye get a penalty D. Ye get a free throw</v>
      </c>
      <c r="I285" s="3" t="str">
        <f>IFERROR(__xludf.DUMMYFUNCTION("GOOGLETRANSLATE(D285, ""it"", ""en"")"),"You win the point")</f>
        <v>You win the point</v>
      </c>
      <c r="J285" s="2"/>
      <c r="K285" s="2"/>
      <c r="L285" s="2"/>
      <c r="M285" s="2"/>
      <c r="N285" s="2"/>
      <c r="O285" s="2"/>
      <c r="P285" s="2"/>
      <c r="Q285" s="2"/>
      <c r="R285" s="2"/>
      <c r="S285" s="2"/>
      <c r="T285" s="2"/>
      <c r="U285" s="2"/>
      <c r="V285" s="2"/>
      <c r="W285" s="2"/>
    </row>
    <row r="286" ht="22.5" customHeight="1">
      <c r="A286" s="3">
        <v>290.0</v>
      </c>
      <c r="B286" s="3" t="s">
        <v>2465</v>
      </c>
      <c r="C286" s="3" t="s">
        <v>2270</v>
      </c>
      <c r="D286" s="3" t="s">
        <v>2247</v>
      </c>
      <c r="E286" s="2"/>
      <c r="F286" s="3" t="str">
        <f>IFERROR(__xludf.DUMMYFUNCTION("GOOGLETRANSLATE(A286, ""it"", ""en"")"),"290")</f>
        <v>290</v>
      </c>
      <c r="G286" s="3" t="str">
        <f>IFERROR(__xludf.DUMMYFUNCTION("GOOGLETRANSLATE(B286, ""it"", ""en"")"),"Ye strike the ball an' yer opponent catches it but fails to return it. What happens?")</f>
        <v>Ye strike the ball an' yer opponent catches it but fails to return it. What happens?</v>
      </c>
      <c r="H286" s="3" t="str">
        <f>IFERROR(__xludf.DUMMYFUNCTION("GOOGLETRANSLATE(C286, ""it"", ""en"")"),"A. Ye win the point B. Ye lose the point C. Ye get a penalty D. Ye get a free throw")</f>
        <v>A. Ye win the point B. Ye lose the point C. Ye get a penalty D. Ye get a free throw</v>
      </c>
      <c r="I286" s="3" t="str">
        <f>IFERROR(__xludf.DUMMYFUNCTION("GOOGLETRANSLATE(D286, ""it"", ""en"")"),"You win the point")</f>
        <v>You win the point</v>
      </c>
      <c r="J286" s="2"/>
      <c r="K286" s="2"/>
      <c r="L286" s="2"/>
      <c r="M286" s="2"/>
      <c r="N286" s="2"/>
      <c r="O286" s="2"/>
      <c r="P286" s="2"/>
      <c r="Q286" s="2"/>
      <c r="R286" s="2"/>
      <c r="S286" s="2"/>
      <c r="T286" s="2"/>
      <c r="U286" s="2"/>
      <c r="V286" s="2"/>
      <c r="W286" s="2"/>
    </row>
    <row r="287" ht="22.5" customHeight="1">
      <c r="A287" s="3">
        <v>291.0</v>
      </c>
      <c r="B287" s="3" t="s">
        <v>2506</v>
      </c>
      <c r="C287" s="3" t="s">
        <v>2270</v>
      </c>
      <c r="D287" s="3" t="s">
        <v>2247</v>
      </c>
      <c r="E287" s="2"/>
      <c r="F287" s="3" t="str">
        <f>IFERROR(__xludf.DUMMYFUNCTION("GOOGLETRANSLATE(A287, ""it"", ""en"")"),"291")</f>
        <v>291</v>
      </c>
      <c r="G287" s="3" t="str">
        <f>IFERROR(__xludf.DUMMYFUNCTION("GOOGLETRANSLATE(B287, ""it"", ""en"")"),"Ye serve the ball an' yer opponent misses it an' the ball lands in their court. What happens?")</f>
        <v>Ye serve the ball an' yer opponent misses it an' the ball lands in their court. What happens?</v>
      </c>
      <c r="H287" s="3" t="str">
        <f>IFERROR(__xludf.DUMMYFUNCTION("GOOGLETRANSLATE(C287, ""it"", ""en"")"),"A. Ye win the point B. Ye lose the point C. Ye get a penalty D. Ye get a free throw")</f>
        <v>A. Ye win the point B. Ye lose the point C. Ye get a penalty D. Ye get a free throw</v>
      </c>
      <c r="I287" s="3" t="str">
        <f>IFERROR(__xludf.DUMMYFUNCTION("GOOGLETRANSLATE(D287, ""it"", ""en"")"),"You win the point")</f>
        <v>You win the point</v>
      </c>
      <c r="J287" s="2"/>
      <c r="K287" s="2"/>
      <c r="L287" s="2"/>
      <c r="M287" s="2"/>
      <c r="N287" s="2"/>
      <c r="O287" s="2"/>
      <c r="P287" s="2"/>
      <c r="Q287" s="2"/>
      <c r="R287" s="2"/>
      <c r="S287" s="2"/>
      <c r="T287" s="2"/>
      <c r="U287" s="2"/>
      <c r="V287" s="2"/>
      <c r="W287" s="2"/>
    </row>
    <row r="288" ht="22.5" customHeight="1">
      <c r="A288" s="3">
        <v>292.0</v>
      </c>
      <c r="B288" s="3" t="s">
        <v>2495</v>
      </c>
      <c r="C288" s="3" t="s">
        <v>2270</v>
      </c>
      <c r="D288" s="3" t="s">
        <v>2247</v>
      </c>
      <c r="E288" s="2"/>
      <c r="F288" s="3" t="str">
        <f>IFERROR(__xludf.DUMMYFUNCTION("GOOGLETRANSLATE(A288, ""it"", ""en"")"),"292")</f>
        <v>292</v>
      </c>
      <c r="G288" s="3" t="str">
        <f>IFERROR(__xludf.DUMMYFUNCTION("GOOGLETRANSLATE(B288, ""it"", ""en"")"),"Ye hit the ball an' yer opponent returns it but lands out of bounds. What happens?")</f>
        <v>Ye hit the ball an' yer opponent returns it but lands out of bounds. What happens?</v>
      </c>
      <c r="H288" s="3" t="str">
        <f>IFERROR(__xludf.DUMMYFUNCTION("GOOGLETRANSLATE(C288, ""it"", ""en"")"),"A. Ye win the point B. Ye lose the point C. Ye get a penalty D. Ye get a free throw")</f>
        <v>A. Ye win the point B. Ye lose the point C. Ye get a penalty D. Ye get a free throw</v>
      </c>
      <c r="I288" s="3" t="str">
        <f>IFERROR(__xludf.DUMMYFUNCTION("GOOGLETRANSLATE(D288, ""it"", ""en"")"),"You win the point")</f>
        <v>You win the point</v>
      </c>
      <c r="J288" s="2"/>
      <c r="K288" s="2"/>
      <c r="L288" s="2"/>
      <c r="M288" s="2"/>
      <c r="N288" s="2"/>
      <c r="O288" s="2"/>
      <c r="P288" s="2"/>
      <c r="Q288" s="2"/>
      <c r="R288" s="2"/>
      <c r="S288" s="2"/>
      <c r="T288" s="2"/>
      <c r="U288" s="2"/>
      <c r="V288" s="2"/>
      <c r="W288" s="2"/>
    </row>
    <row r="289" ht="22.5" customHeight="1">
      <c r="A289" s="3">
        <v>293.0</v>
      </c>
      <c r="B289" s="3" t="s">
        <v>2507</v>
      </c>
      <c r="C289" s="3" t="s">
        <v>2270</v>
      </c>
      <c r="D289" s="3" t="s">
        <v>2247</v>
      </c>
      <c r="E289" s="2"/>
      <c r="F289" s="3" t="str">
        <f>IFERROR(__xludf.DUMMYFUNCTION("GOOGLETRANSLATE(A289, ""it"", ""en"")"),"293")</f>
        <v>293</v>
      </c>
      <c r="G289" s="3" t="str">
        <f>IFERROR(__xludf.DUMMYFUNCTION("GOOGLETRANSLATE(B289, ""it"", ""en"")"),"Ye strike the ball an' yer opponent blocks it but doesn't return it in time. What happens?")</f>
        <v>Ye strike the ball an' yer opponent blocks it but doesn't return it in time. What happens?</v>
      </c>
      <c r="H289" s="3" t="str">
        <f>IFERROR(__xludf.DUMMYFUNCTION("GOOGLETRANSLATE(C289, ""it"", ""en"")"),"A. Ye win the point B. Ye lose the point C. Ye get a penalty D. Ye get a free throw")</f>
        <v>A. Ye win the point B. Ye lose the point C. Ye get a penalty D. Ye get a free throw</v>
      </c>
      <c r="I289" s="3" t="str">
        <f>IFERROR(__xludf.DUMMYFUNCTION("GOOGLETRANSLATE(D289, ""it"", ""en"")"),"You win the point")</f>
        <v>You win the point</v>
      </c>
      <c r="J289" s="2"/>
      <c r="K289" s="2"/>
      <c r="L289" s="2"/>
      <c r="M289" s="2"/>
      <c r="N289" s="2"/>
      <c r="O289" s="2"/>
      <c r="P289" s="2"/>
      <c r="Q289" s="2"/>
      <c r="R289" s="2"/>
      <c r="S289" s="2"/>
      <c r="T289" s="2"/>
      <c r="U289" s="2"/>
      <c r="V289" s="2"/>
      <c r="W289" s="2"/>
    </row>
    <row r="290" ht="22.5" customHeight="1">
      <c r="A290" s="3">
        <v>294.0</v>
      </c>
      <c r="B290" s="3" t="s">
        <v>2508</v>
      </c>
      <c r="C290" s="3" t="s">
        <v>2270</v>
      </c>
      <c r="D290" s="3" t="s">
        <v>2247</v>
      </c>
      <c r="E290" s="2"/>
      <c r="F290" s="3" t="str">
        <f>IFERROR(__xludf.DUMMYFUNCTION("GOOGLETRANSLATE(A290, ""it"", ""en"")"),"294")</f>
        <v>294</v>
      </c>
      <c r="G290" s="3" t="str">
        <f>IFERROR(__xludf.DUMMYFUNCTION("GOOGLETRANSLATE(B290, ""it"", ""en"")"),"Ye serve the ball an' yer opponent strikes it but it lands behind the line. What happens?")</f>
        <v>Ye serve the ball an' yer opponent strikes it but it lands behind the line. What happens?</v>
      </c>
      <c r="H290" s="3" t="str">
        <f>IFERROR(__xludf.DUMMYFUNCTION("GOOGLETRANSLATE(C290, ""it"", ""en"")"),"A. Ye win the point B. Ye lose the point C. Ye get a penalty D. Ye get a free throw")</f>
        <v>A. Ye win the point B. Ye lose the point C. Ye get a penalty D. Ye get a free throw</v>
      </c>
      <c r="I290" s="3" t="str">
        <f>IFERROR(__xludf.DUMMYFUNCTION("GOOGLETRANSLATE(D290, ""it"", ""en"")"),"You win the point")</f>
        <v>You win the point</v>
      </c>
      <c r="J290" s="2"/>
      <c r="K290" s="2"/>
      <c r="L290" s="2"/>
      <c r="M290" s="2"/>
      <c r="N290" s="2"/>
      <c r="O290" s="2"/>
      <c r="P290" s="2"/>
      <c r="Q290" s="2"/>
      <c r="R290" s="2"/>
      <c r="S290" s="2"/>
      <c r="T290" s="2"/>
      <c r="U290" s="2"/>
      <c r="V290" s="2"/>
      <c r="W290" s="2"/>
    </row>
    <row r="291" ht="22.5" customHeight="1">
      <c r="A291" s="3">
        <v>295.0</v>
      </c>
      <c r="B291" s="3" t="s">
        <v>2509</v>
      </c>
      <c r="C291" s="3" t="s">
        <v>2270</v>
      </c>
      <c r="D291" s="3" t="s">
        <v>2247</v>
      </c>
      <c r="E291" s="2"/>
      <c r="F291" s="3" t="str">
        <f>IFERROR(__xludf.DUMMYFUNCTION("GOOGLETRANSLATE(A291, ""it"", ""en"")"),"295")</f>
        <v>295</v>
      </c>
      <c r="G291" s="3" t="str">
        <f>IFERROR(__xludf.DUMMYFUNCTION("GOOGLETRANSLATE(B291, ""it"", ""en"")"),"Ye hit the ball an' yer opponent blocks it but doesn't return it back. What happens?")</f>
        <v>Ye hit the ball an' yer opponent blocks it but doesn't return it back. What happens?</v>
      </c>
      <c r="H291" s="3" t="str">
        <f>IFERROR(__xludf.DUMMYFUNCTION("GOOGLETRANSLATE(C291, ""it"", ""en"")"),"A. Ye win the point B. Ye lose the point C. Ye get a penalty D. Ye get a free throw")</f>
        <v>A. Ye win the point B. Ye lose the point C. Ye get a penalty D. Ye get a free throw</v>
      </c>
      <c r="I291" s="3" t="str">
        <f>IFERROR(__xludf.DUMMYFUNCTION("GOOGLETRANSLATE(D291, ""it"", ""en"")"),"You win the point")</f>
        <v>You win the point</v>
      </c>
      <c r="J291" s="2"/>
      <c r="K291" s="2"/>
      <c r="L291" s="2"/>
      <c r="M291" s="2"/>
      <c r="N291" s="2"/>
      <c r="O291" s="2"/>
      <c r="P291" s="2"/>
      <c r="Q291" s="2"/>
      <c r="R291" s="2"/>
      <c r="S291" s="2"/>
      <c r="T291" s="2"/>
      <c r="U291" s="2"/>
      <c r="V291" s="2"/>
      <c r="W291" s="2"/>
    </row>
    <row r="292" ht="22.5" customHeight="1">
      <c r="A292" s="3">
        <v>296.0</v>
      </c>
      <c r="B292" s="3" t="s">
        <v>2510</v>
      </c>
      <c r="C292" s="3" t="s">
        <v>2270</v>
      </c>
      <c r="D292" s="3" t="s">
        <v>2247</v>
      </c>
      <c r="E292" s="2"/>
      <c r="F292" s="3" t="str">
        <f>IFERROR(__xludf.DUMMYFUNCTION("GOOGLETRANSLATE(A292, ""it"", ""en"")"),"296")</f>
        <v>296</v>
      </c>
      <c r="G292" s="3" t="str">
        <f>IFERROR(__xludf.DUMMYFUNCTION("GOOGLETRANSLATE(B292, ""it"", ""en"")"),"Ye serve the ball an' yer opponent hits it back but the ball goes over the line. What happens?")</f>
        <v>Ye serve the ball an' yer opponent hits it back but the ball goes over the line. What happens?</v>
      </c>
      <c r="H292" s="3" t="str">
        <f>IFERROR(__xludf.DUMMYFUNCTION("GOOGLETRANSLATE(C292, ""it"", ""en"")"),"A. Ye win the point B. Ye lose the point C. Ye get a penalty D. Ye get a free throw")</f>
        <v>A. Ye win the point B. Ye lose the point C. Ye get a penalty D. Ye get a free throw</v>
      </c>
      <c r="I292" s="3" t="str">
        <f>IFERROR(__xludf.DUMMYFUNCTION("GOOGLETRANSLATE(D292, ""it"", ""en"")"),"You win the point")</f>
        <v>You win the point</v>
      </c>
      <c r="J292" s="2"/>
      <c r="K292" s="2"/>
      <c r="L292" s="2"/>
      <c r="M292" s="2"/>
      <c r="N292" s="2"/>
      <c r="O292" s="2"/>
      <c r="P292" s="2"/>
      <c r="Q292" s="2"/>
      <c r="R292" s="2"/>
      <c r="S292" s="2"/>
      <c r="T292" s="2"/>
      <c r="U292" s="2"/>
      <c r="V292" s="2"/>
      <c r="W292" s="2"/>
    </row>
    <row r="293" ht="22.5" customHeight="1">
      <c r="A293" s="3">
        <v>297.0</v>
      </c>
      <c r="B293" s="3" t="s">
        <v>2511</v>
      </c>
      <c r="C293" s="3" t="s">
        <v>2270</v>
      </c>
      <c r="D293" s="3" t="s">
        <v>2247</v>
      </c>
      <c r="E293" s="2"/>
      <c r="F293" s="3" t="str">
        <f>IFERROR(__xludf.DUMMYFUNCTION("GOOGLETRANSLATE(A293, ""it"", ""en"")"),"297")</f>
        <v>297</v>
      </c>
      <c r="G293" s="3" t="str">
        <f>IFERROR(__xludf.DUMMYFUNCTION("GOOGLETRANSLATE(B293, ""it"", ""en"")"),"Ye strike the ball an' yer opponent misses it an' the ball lands in their court. What happens?")</f>
        <v>Ye strike the ball an' yer opponent misses it an' the ball lands in their court. What happens?</v>
      </c>
      <c r="H293" s="3" t="str">
        <f>IFERROR(__xludf.DUMMYFUNCTION("GOOGLETRANSLATE(C293, ""it"", ""en"")"),"A. Ye win the point B. Ye lose the point C. Ye get a penalty D. Ye get a free throw")</f>
        <v>A. Ye win the point B. Ye lose the point C. Ye get a penalty D. Ye get a free throw</v>
      </c>
      <c r="I293" s="3" t="str">
        <f>IFERROR(__xludf.DUMMYFUNCTION("GOOGLETRANSLATE(D293, ""it"", ""en"")"),"You win the point")</f>
        <v>You win the point</v>
      </c>
      <c r="J293" s="2"/>
      <c r="K293" s="2"/>
      <c r="L293" s="2"/>
      <c r="M293" s="2"/>
      <c r="N293" s="2"/>
      <c r="O293" s="2"/>
      <c r="P293" s="2"/>
      <c r="Q293" s="2"/>
      <c r="R293" s="2"/>
      <c r="S293" s="2"/>
      <c r="T293" s="2"/>
      <c r="U293" s="2"/>
      <c r="V293" s="2"/>
      <c r="W293" s="2"/>
    </row>
    <row r="294" ht="22.5" customHeight="1">
      <c r="A294" s="3">
        <v>298.0</v>
      </c>
      <c r="B294" s="3" t="s">
        <v>2486</v>
      </c>
      <c r="C294" s="3" t="s">
        <v>2270</v>
      </c>
      <c r="D294" s="3" t="s">
        <v>2247</v>
      </c>
      <c r="E294" s="2"/>
      <c r="F294" s="3" t="str">
        <f>IFERROR(__xludf.DUMMYFUNCTION("GOOGLETRANSLATE(A294, ""it"", ""en"")"),"298")</f>
        <v>298</v>
      </c>
      <c r="G294" s="3" t="str">
        <f>IFERROR(__xludf.DUMMYFUNCTION("GOOGLETRANSLATE(B294, ""it"", ""en"")"),"Ye serve the ball an' yer opponent catches it but doesn't return it. What happens?")</f>
        <v>Ye serve the ball an' yer opponent catches it but doesn't return it. What happens?</v>
      </c>
      <c r="H294" s="3" t="str">
        <f>IFERROR(__xludf.DUMMYFUNCTION("GOOGLETRANSLATE(C294, ""it"", ""en"")"),"A. Ye win the point B. Ye lose the point C. Ye get a penalty D. Ye get a free throw")</f>
        <v>A. Ye win the point B. Ye lose the point C. Ye get a penalty D. Ye get a free throw</v>
      </c>
      <c r="I294" s="3" t="str">
        <f>IFERROR(__xludf.DUMMYFUNCTION("GOOGLETRANSLATE(D294, ""it"", ""en"")"),"You win the point")</f>
        <v>You win the point</v>
      </c>
      <c r="J294" s="2"/>
      <c r="K294" s="2"/>
      <c r="L294" s="2"/>
      <c r="M294" s="2"/>
      <c r="N294" s="2"/>
      <c r="O294" s="2"/>
      <c r="P294" s="2"/>
      <c r="Q294" s="2"/>
      <c r="R294" s="2"/>
      <c r="S294" s="2"/>
      <c r="T294" s="2"/>
      <c r="U294" s="2"/>
      <c r="V294" s="2"/>
      <c r="W294" s="2"/>
    </row>
    <row r="295" ht="22.5" customHeight="1">
      <c r="A295" s="3">
        <v>299.0</v>
      </c>
      <c r="B295" s="3" t="s">
        <v>2512</v>
      </c>
      <c r="C295" s="3" t="s">
        <v>2270</v>
      </c>
      <c r="D295" s="3" t="s">
        <v>2247</v>
      </c>
      <c r="E295" s="2"/>
      <c r="F295" s="3" t="str">
        <f>IFERROR(__xludf.DUMMYFUNCTION("GOOGLETRANSLATE(A295, ""it"", ""en"")"),"299")</f>
        <v>299</v>
      </c>
      <c r="G295" s="3" t="str">
        <f>IFERROR(__xludf.DUMMYFUNCTION("GOOGLETRANSLATE(B295, ""it"", ""en"")"),"Ye hit the ball an' yer opponent blocks it but doesn't return it on time. What happens?")</f>
        <v>Ye hit the ball an' yer opponent blocks it but doesn't return it on time. What happens?</v>
      </c>
      <c r="H295" s="3" t="str">
        <f>IFERROR(__xludf.DUMMYFUNCTION("GOOGLETRANSLATE(C295, ""it"", ""en"")"),"A. Ye win the point B. Ye lose the point C. Ye get a penalty D. Ye get a free throw")</f>
        <v>A. Ye win the point B. Ye lose the point C. Ye get a penalty D. Ye get a free throw</v>
      </c>
      <c r="I295" s="3" t="str">
        <f>IFERROR(__xludf.DUMMYFUNCTION("GOOGLETRANSLATE(D295, ""it"", ""en"")"),"You win the point")</f>
        <v>You win the point</v>
      </c>
      <c r="J295" s="2"/>
      <c r="K295" s="2"/>
      <c r="L295" s="2"/>
      <c r="M295" s="2"/>
      <c r="N295" s="2"/>
      <c r="O295" s="2"/>
      <c r="P295" s="2"/>
      <c r="Q295" s="2"/>
      <c r="R295" s="2"/>
      <c r="S295" s="2"/>
      <c r="T295" s="2"/>
      <c r="U295" s="2"/>
      <c r="V295" s="2"/>
      <c r="W295" s="2"/>
    </row>
    <row r="296" ht="22.5" customHeight="1">
      <c r="A296" s="3">
        <v>300.0</v>
      </c>
      <c r="B296" s="3" t="s">
        <v>2513</v>
      </c>
      <c r="C296" s="3" t="s">
        <v>2270</v>
      </c>
      <c r="D296" s="3" t="s">
        <v>2247</v>
      </c>
      <c r="E296" s="2"/>
      <c r="F296" s="3" t="str">
        <f>IFERROR(__xludf.DUMMYFUNCTION("GOOGLETRANSLATE(A296, ""it"", ""en"")"),"300")</f>
        <v>300</v>
      </c>
      <c r="G296" s="3" t="str">
        <f>IFERROR(__xludf.DUMMYFUNCTION("GOOGLETRANSLATE(B296, ""it"", ""en"")"),"Ye serve the ball an' yer opponent strikes it but the ball lands in their own court. What happens?")</f>
        <v>Ye serve the ball an' yer opponent strikes it but the ball lands in their own court. What happens?</v>
      </c>
      <c r="H296" s="3" t="str">
        <f>IFERROR(__xludf.DUMMYFUNCTION("GOOGLETRANSLATE(C296, ""it"", ""en"")"),"A. Ye win the point B. Ye lose the point C. Ye get a penalty D. Ye get a free throw")</f>
        <v>A. Ye win the point B. Ye lose the point C. Ye get a penalty D. Ye get a free throw</v>
      </c>
      <c r="I296" s="3" t="str">
        <f>IFERROR(__xludf.DUMMYFUNCTION("GOOGLETRANSLATE(D296, ""it"", ""en"")"),"You win the point")</f>
        <v>You win the point</v>
      </c>
      <c r="J296" s="2"/>
      <c r="K296" s="2"/>
      <c r="L296" s="2"/>
      <c r="M296" s="2"/>
      <c r="N296" s="2"/>
      <c r="O296" s="2"/>
      <c r="P296" s="2"/>
      <c r="Q296" s="2"/>
      <c r="R296" s="2"/>
      <c r="S296" s="2"/>
      <c r="T296" s="2"/>
      <c r="U296" s="2"/>
      <c r="V296" s="2"/>
      <c r="W296" s="2"/>
    </row>
    <row r="297" ht="22.5" customHeight="1">
      <c r="A297" s="3">
        <v>301.0</v>
      </c>
      <c r="B297" s="3" t="s">
        <v>2487</v>
      </c>
      <c r="C297" s="3" t="s">
        <v>2270</v>
      </c>
      <c r="D297" s="3" t="s">
        <v>2247</v>
      </c>
      <c r="E297" s="2"/>
      <c r="F297" s="3" t="str">
        <f>IFERROR(__xludf.DUMMYFUNCTION("GOOGLETRANSLATE(A297, ""it"", ""en"")"),"301")</f>
        <v>301</v>
      </c>
      <c r="G297" s="3" t="str">
        <f>IFERROR(__xludf.DUMMYFUNCTION("GOOGLETRANSLATE(B297, ""it"", ""en"")"),"Ye strike the ball an' yer opponent returns it but lands behind the line. What happens?")</f>
        <v>Ye strike the ball an' yer opponent returns it but lands behind the line. What happens?</v>
      </c>
      <c r="H297" s="3" t="str">
        <f>IFERROR(__xludf.DUMMYFUNCTION("GOOGLETRANSLATE(C297, ""it"", ""en"")"),"A. Ye win the point B. Ye lose the point C. Ye get a penalty D. Ye get a free throw")</f>
        <v>A. Ye win the point B. Ye lose the point C. Ye get a penalty D. Ye get a free throw</v>
      </c>
      <c r="I297" s="3" t="str">
        <f>IFERROR(__xludf.DUMMYFUNCTION("GOOGLETRANSLATE(D297, ""it"", ""en"")"),"You win the point")</f>
        <v>You win the point</v>
      </c>
      <c r="J297" s="2"/>
      <c r="K297" s="2"/>
      <c r="L297" s="2"/>
      <c r="M297" s="2"/>
      <c r="N297" s="2"/>
      <c r="O297" s="2"/>
      <c r="P297" s="2"/>
      <c r="Q297" s="2"/>
      <c r="R297" s="2"/>
      <c r="S297" s="2"/>
      <c r="T297" s="2"/>
      <c r="U297" s="2"/>
      <c r="V297" s="2"/>
      <c r="W297" s="2"/>
    </row>
    <row r="298" ht="22.5" customHeight="1">
      <c r="A298" s="3">
        <v>302.0</v>
      </c>
      <c r="B298" s="3" t="s">
        <v>2494</v>
      </c>
      <c r="C298" s="3" t="s">
        <v>2270</v>
      </c>
      <c r="D298" s="3" t="s">
        <v>2247</v>
      </c>
      <c r="E298" s="2"/>
      <c r="F298" s="3" t="str">
        <f>IFERROR(__xludf.DUMMYFUNCTION("GOOGLETRANSLATE(A298, ""it"", ""en"")"),"302")</f>
        <v>302</v>
      </c>
      <c r="G298" s="3" t="str">
        <f>IFERROR(__xludf.DUMMYFUNCTION("GOOGLETRANSLATE(B298, ""it"", ""en"")"),"Ye serve the ball an' yer opponent strikes it but lands outside the court. What happens?")</f>
        <v>Ye serve the ball an' yer opponent strikes it but lands outside the court. What happens?</v>
      </c>
      <c r="H298" s="3" t="str">
        <f>IFERROR(__xludf.DUMMYFUNCTION("GOOGLETRANSLATE(C298, ""it"", ""en"")"),"A. Ye win the point B. Ye lose the point C. Ye get a penalty D. Ye get a free throw")</f>
        <v>A. Ye win the point B. Ye lose the point C. Ye get a penalty D. Ye get a free throw</v>
      </c>
      <c r="I298" s="3" t="str">
        <f>IFERROR(__xludf.DUMMYFUNCTION("GOOGLETRANSLATE(D298, ""it"", ""en"")"),"You win the point")</f>
        <v>You win the point</v>
      </c>
      <c r="J298" s="2"/>
      <c r="K298" s="2"/>
      <c r="L298" s="2"/>
      <c r="M298" s="2"/>
      <c r="N298" s="2"/>
      <c r="O298" s="2"/>
      <c r="P298" s="2"/>
      <c r="Q298" s="2"/>
      <c r="R298" s="2"/>
      <c r="S298" s="2"/>
      <c r="T298" s="2"/>
      <c r="U298" s="2"/>
      <c r="V298" s="2"/>
      <c r="W298" s="2"/>
    </row>
    <row r="299" ht="22.5" customHeight="1">
      <c r="A299" s="3">
        <v>303.0</v>
      </c>
      <c r="B299" s="3" t="s">
        <v>2514</v>
      </c>
      <c r="C299" s="3" t="s">
        <v>2270</v>
      </c>
      <c r="D299" s="3" t="s">
        <v>2247</v>
      </c>
      <c r="E299" s="2"/>
      <c r="F299" s="3" t="str">
        <f>IFERROR(__xludf.DUMMYFUNCTION("GOOGLETRANSLATE(A299, ""it"", ""en"")"),"303")</f>
        <v>303</v>
      </c>
      <c r="G299" s="3" t="str">
        <f>IFERROR(__xludf.DUMMYFUNCTION("GOOGLETRANSLATE(B299, ""it"", ""en"")"),"Ye hit the ball an' yer opponent misses but the ball lands outside the court. What happens?")</f>
        <v>Ye hit the ball an' yer opponent misses but the ball lands outside the court. What happens?</v>
      </c>
      <c r="H299" s="3" t="str">
        <f>IFERROR(__xludf.DUMMYFUNCTION("GOOGLETRANSLATE(C299, ""it"", ""en"")"),"A. Ye win the point B. Ye lose the point C. Ye get a penalty D. Ye get a free throw")</f>
        <v>A. Ye win the point B. Ye lose the point C. Ye get a penalty D. Ye get a free throw</v>
      </c>
      <c r="I299" s="3" t="str">
        <f>IFERROR(__xludf.DUMMYFUNCTION("GOOGLETRANSLATE(D299, ""it"", ""en"")"),"You win the point")</f>
        <v>You win the point</v>
      </c>
      <c r="J299" s="2"/>
      <c r="K299" s="2"/>
      <c r="L299" s="2"/>
      <c r="M299" s="2"/>
      <c r="N299" s="2"/>
      <c r="O299" s="2"/>
      <c r="P299" s="2"/>
      <c r="Q299" s="2"/>
      <c r="R299" s="2"/>
      <c r="S299" s="2"/>
      <c r="T299" s="2"/>
      <c r="U299" s="2"/>
      <c r="V299" s="2"/>
      <c r="W299" s="2"/>
    </row>
    <row r="300" ht="22.5" customHeight="1">
      <c r="A300" s="3">
        <v>304.0</v>
      </c>
      <c r="B300" s="3" t="s">
        <v>2515</v>
      </c>
      <c r="C300" s="3" t="s">
        <v>2270</v>
      </c>
      <c r="D300" s="3" t="s">
        <v>2247</v>
      </c>
      <c r="E300" s="2"/>
      <c r="F300" s="3" t="str">
        <f>IFERROR(__xludf.DUMMYFUNCTION("GOOGLETRANSLATE(A300, ""it"", ""en"")"),"304")</f>
        <v>304</v>
      </c>
      <c r="G300" s="3" t="str">
        <f>IFERROR(__xludf.DUMMYFUNCTION("GOOGLETRANSLATE(B300, ""it"", ""en"")"),"Ye serve the ball an' yer opponent strikes it but lands out of bounds. What happens?")</f>
        <v>Ye serve the ball an' yer opponent strikes it but lands out of bounds. What happens?</v>
      </c>
      <c r="H300" s="3" t="str">
        <f>IFERROR(__xludf.DUMMYFUNCTION("GOOGLETRANSLATE(C300, ""it"", ""en"")"),"A. Ye win the point B. Ye lose the point C. Ye get a penalty D. Ye get a free throw")</f>
        <v>A. Ye win the point B. Ye lose the point C. Ye get a penalty D. Ye get a free throw</v>
      </c>
      <c r="I300" s="3" t="str">
        <f>IFERROR(__xludf.DUMMYFUNCTION("GOOGLETRANSLATE(D300, ""it"", ""en"")"),"You win the point")</f>
        <v>You win the point</v>
      </c>
      <c r="J300" s="2"/>
      <c r="K300" s="2"/>
      <c r="L300" s="2"/>
      <c r="M300" s="2"/>
      <c r="N300" s="2"/>
      <c r="O300" s="2"/>
      <c r="P300" s="2"/>
      <c r="Q300" s="2"/>
      <c r="R300" s="2"/>
      <c r="S300" s="2"/>
      <c r="T300" s="2"/>
      <c r="U300" s="2"/>
      <c r="V300" s="2"/>
      <c r="W300" s="2"/>
    </row>
    <row r="301" ht="22.5" customHeight="1">
      <c r="A301" s="3">
        <v>305.0</v>
      </c>
      <c r="B301" s="3" t="s">
        <v>2447</v>
      </c>
      <c r="C301" s="3" t="s">
        <v>2270</v>
      </c>
      <c r="D301" s="3" t="s">
        <v>2247</v>
      </c>
      <c r="E301" s="2"/>
      <c r="F301" s="3" t="str">
        <f>IFERROR(__xludf.DUMMYFUNCTION("GOOGLETRANSLATE(A301, ""it"", ""en"")"),"305")</f>
        <v>305</v>
      </c>
      <c r="G301" s="3" t="str">
        <f>IFERROR(__xludf.DUMMYFUNCTION("GOOGLETRANSLATE(B301, ""it"", ""en"")"),"Ye strike the ball an' yer opponent catches it but doesn't strike it back. What happens?")</f>
        <v>Ye strike the ball an' yer opponent catches it but doesn't strike it back. What happens?</v>
      </c>
      <c r="H301" s="3" t="str">
        <f>IFERROR(__xludf.DUMMYFUNCTION("GOOGLETRANSLATE(C301, ""it"", ""en"")"),"A. Ye win the point B. Ye lose the point C. Ye get a penalty D. Ye get a free throw")</f>
        <v>A. Ye win the point B. Ye lose the point C. Ye get a penalty D. Ye get a free throw</v>
      </c>
      <c r="I301" s="3" t="str">
        <f>IFERROR(__xludf.DUMMYFUNCTION("GOOGLETRANSLATE(D301, ""it"", ""en"")"),"You win the point")</f>
        <v>You win the point</v>
      </c>
      <c r="J301" s="2"/>
      <c r="K301" s="2"/>
      <c r="L301" s="2"/>
      <c r="M301" s="2"/>
      <c r="N301" s="2"/>
      <c r="O301" s="2"/>
      <c r="P301" s="2"/>
      <c r="Q301" s="2"/>
      <c r="R301" s="2"/>
      <c r="S301" s="2"/>
      <c r="T301" s="2"/>
      <c r="U301" s="2"/>
      <c r="V301" s="2"/>
      <c r="W301" s="2"/>
    </row>
    <row r="302" ht="22.5" customHeight="1">
      <c r="A302" s="3">
        <v>306.0</v>
      </c>
      <c r="B302" s="3" t="s">
        <v>2516</v>
      </c>
      <c r="C302" s="3" t="s">
        <v>2270</v>
      </c>
      <c r="D302" s="3" t="s">
        <v>2247</v>
      </c>
      <c r="E302" s="2"/>
      <c r="F302" s="3" t="str">
        <f>IFERROR(__xludf.DUMMYFUNCTION("GOOGLETRANSLATE(A302, ""it"", ""en"")"),"306")</f>
        <v>306</v>
      </c>
      <c r="G302" s="3" t="str">
        <f>IFERROR(__xludf.DUMMYFUNCTION("GOOGLETRANSLATE(B302, ""it"", ""en"")"),"Ye serve the ball an' yer opponent strikes it back but lands in their court. What happens?")</f>
        <v>Ye serve the ball an' yer opponent strikes it back but lands in their court. What happens?</v>
      </c>
      <c r="H302" s="3" t="str">
        <f>IFERROR(__xludf.DUMMYFUNCTION("GOOGLETRANSLATE(C302, ""it"", ""en"")"),"A. Ye win the point B. Ye lose the point C. Ye get a penalty D. Ye get a free throw")</f>
        <v>A. Ye win the point B. Ye lose the point C. Ye get a penalty D. Ye get a free throw</v>
      </c>
      <c r="I302" s="3" t="str">
        <f>IFERROR(__xludf.DUMMYFUNCTION("GOOGLETRANSLATE(D302, ""it"", ""en"")"),"You win the point")</f>
        <v>You win the point</v>
      </c>
      <c r="J302" s="2"/>
      <c r="K302" s="2"/>
      <c r="L302" s="2"/>
      <c r="M302" s="2"/>
      <c r="N302" s="2"/>
      <c r="O302" s="2"/>
      <c r="P302" s="2"/>
      <c r="Q302" s="2"/>
      <c r="R302" s="2"/>
      <c r="S302" s="2"/>
      <c r="T302" s="2"/>
      <c r="U302" s="2"/>
      <c r="V302" s="2"/>
      <c r="W302" s="2"/>
    </row>
    <row r="303" ht="22.5" customHeight="1">
      <c r="A303" s="3">
        <v>307.0</v>
      </c>
      <c r="B303" s="3" t="s">
        <v>2485</v>
      </c>
      <c r="C303" s="3" t="s">
        <v>2270</v>
      </c>
      <c r="D303" s="3" t="s">
        <v>2247</v>
      </c>
      <c r="E303" s="2"/>
      <c r="F303" s="3" t="str">
        <f>IFERROR(__xludf.DUMMYFUNCTION("GOOGLETRANSLATE(A303, ""it"", ""en"")"),"307")</f>
        <v>307</v>
      </c>
      <c r="G303" s="3" t="str">
        <f>IFERROR(__xludf.DUMMYFUNCTION("GOOGLETRANSLATE(B303, ""it"", ""en"")"),"Ye hit the ball an' yer opponent strikes it back but it lands outside the court. What happens?")</f>
        <v>Ye hit the ball an' yer opponent strikes it back but it lands outside the court. What happens?</v>
      </c>
      <c r="H303" s="3" t="str">
        <f>IFERROR(__xludf.DUMMYFUNCTION("GOOGLETRANSLATE(C303, ""it"", ""en"")"),"A. Ye win the point B. Ye lose the point C. Ye get a penalty D. Ye get a free throw")</f>
        <v>A. Ye win the point B. Ye lose the point C. Ye get a penalty D. Ye get a free throw</v>
      </c>
      <c r="I303" s="3" t="str">
        <f>IFERROR(__xludf.DUMMYFUNCTION("GOOGLETRANSLATE(D303, ""it"", ""en"")"),"You win the point")</f>
        <v>You win the point</v>
      </c>
      <c r="J303" s="2"/>
      <c r="K303" s="2"/>
      <c r="L303" s="2"/>
      <c r="M303" s="2"/>
      <c r="N303" s="2"/>
      <c r="O303" s="2"/>
      <c r="P303" s="2"/>
      <c r="Q303" s="2"/>
      <c r="R303" s="2"/>
      <c r="S303" s="2"/>
      <c r="T303" s="2"/>
      <c r="U303" s="2"/>
      <c r="V303" s="2"/>
      <c r="W303" s="2"/>
    </row>
    <row r="304" ht="22.5" customHeight="1">
      <c r="A304" s="3">
        <v>308.0</v>
      </c>
      <c r="B304" s="3" t="s">
        <v>2503</v>
      </c>
      <c r="C304" s="3" t="s">
        <v>2270</v>
      </c>
      <c r="D304" s="3" t="s">
        <v>2247</v>
      </c>
      <c r="E304" s="2"/>
      <c r="F304" s="3" t="str">
        <f>IFERROR(__xludf.DUMMYFUNCTION("GOOGLETRANSLATE(A304, ""it"", ""en"")"),"308")</f>
        <v>308</v>
      </c>
      <c r="G304" s="3" t="str">
        <f>IFERROR(__xludf.DUMMYFUNCTION("GOOGLETRANSLATE(B304, ""it"", ""en"")"),"Ye serve the ball an' yer opponent blocks it but doesn't strike it back. What happens?")</f>
        <v>Ye serve the ball an' yer opponent blocks it but doesn't strike it back. What happens?</v>
      </c>
      <c r="H304" s="3" t="str">
        <f>IFERROR(__xludf.DUMMYFUNCTION("GOOGLETRANSLATE(C304, ""it"", ""en"")"),"A. Ye win the point B. Ye lose the point C. Ye get a penalty D. Ye get a free throw")</f>
        <v>A. Ye win the point B. Ye lose the point C. Ye get a penalty D. Ye get a free throw</v>
      </c>
      <c r="I304" s="3" t="str">
        <f>IFERROR(__xludf.DUMMYFUNCTION("GOOGLETRANSLATE(D304, ""it"", ""en"")"),"You win the point")</f>
        <v>You win the point</v>
      </c>
      <c r="J304" s="2"/>
      <c r="K304" s="2"/>
      <c r="L304" s="2"/>
      <c r="M304" s="2"/>
      <c r="N304" s="2"/>
      <c r="O304" s="2"/>
      <c r="P304" s="2"/>
      <c r="Q304" s="2"/>
      <c r="R304" s="2"/>
      <c r="S304" s="2"/>
      <c r="T304" s="2"/>
      <c r="U304" s="2"/>
      <c r="V304" s="2"/>
      <c r="W304" s="2"/>
    </row>
    <row r="305" ht="22.5" customHeight="1">
      <c r="A305" s="3">
        <v>309.0</v>
      </c>
      <c r="B305" s="3" t="s">
        <v>2517</v>
      </c>
      <c r="C305" s="3" t="s">
        <v>2270</v>
      </c>
      <c r="D305" s="3" t="s">
        <v>2247</v>
      </c>
      <c r="E305" s="2"/>
      <c r="F305" s="3" t="str">
        <f>IFERROR(__xludf.DUMMYFUNCTION("GOOGLETRANSLATE(A305, ""it"", ""en"")"),"309")</f>
        <v>309</v>
      </c>
      <c r="G305" s="3" t="str">
        <f>IFERROR(__xludf.DUMMYFUNCTION("GOOGLETRANSLATE(B305, ""it"", ""en"")"),"Ye strike the ball an' yer opponent returns it but lands outside the court. What happens?")</f>
        <v>Ye strike the ball an' yer opponent returns it but lands outside the court. What happens?</v>
      </c>
      <c r="H305" s="3" t="str">
        <f>IFERROR(__xludf.DUMMYFUNCTION("GOOGLETRANSLATE(C305, ""it"", ""en"")"),"A. Ye win the point B. Ye lose the point C. Ye get a penalty D. Ye get a free throw")</f>
        <v>A. Ye win the point B. Ye lose the point C. Ye get a penalty D. Ye get a free throw</v>
      </c>
      <c r="I305" s="3" t="str">
        <f>IFERROR(__xludf.DUMMYFUNCTION("GOOGLETRANSLATE(D305, ""it"", ""en"")"),"You win the point")</f>
        <v>You win the point</v>
      </c>
      <c r="J305" s="2"/>
      <c r="K305" s="2"/>
      <c r="L305" s="2"/>
      <c r="M305" s="2"/>
      <c r="N305" s="2"/>
      <c r="O305" s="2"/>
      <c r="P305" s="2"/>
      <c r="Q305" s="2"/>
      <c r="R305" s="2"/>
      <c r="S305" s="2"/>
      <c r="T305" s="2"/>
      <c r="U305" s="2"/>
      <c r="V305" s="2"/>
      <c r="W305" s="2"/>
    </row>
    <row r="306" ht="22.5" customHeight="1">
      <c r="A306" s="3">
        <v>310.0</v>
      </c>
      <c r="B306" s="3" t="s">
        <v>2468</v>
      </c>
      <c r="C306" s="3" t="s">
        <v>2270</v>
      </c>
      <c r="D306" s="3" t="s">
        <v>2247</v>
      </c>
      <c r="E306" s="2"/>
      <c r="F306" s="3" t="str">
        <f>IFERROR(__xludf.DUMMYFUNCTION("GOOGLETRANSLATE(A306, ""it"", ""en"")"),"310")</f>
        <v>310</v>
      </c>
      <c r="G306" s="3" t="str">
        <f>IFERROR(__xludf.DUMMYFUNCTION("GOOGLETRANSLATE(B306, ""it"", ""en"")"),"Ye serve the ball an' yer opponent blocks it but doesn't return it. What happens?")</f>
        <v>Ye serve the ball an' yer opponent blocks it but doesn't return it. What happens?</v>
      </c>
      <c r="H306" s="3" t="str">
        <f>IFERROR(__xludf.DUMMYFUNCTION("GOOGLETRANSLATE(C306, ""it"", ""en"")"),"A. Ye win the point B. Ye lose the point C. Ye get a penalty D. Ye get a free throw")</f>
        <v>A. Ye win the point B. Ye lose the point C. Ye get a penalty D. Ye get a free throw</v>
      </c>
      <c r="I306" s="3" t="str">
        <f>IFERROR(__xludf.DUMMYFUNCTION("GOOGLETRANSLATE(D306, ""it"", ""en"")"),"You win the point")</f>
        <v>You win the point</v>
      </c>
      <c r="J306" s="2"/>
      <c r="K306" s="2"/>
      <c r="L306" s="2"/>
      <c r="M306" s="2"/>
      <c r="N306" s="2"/>
      <c r="O306" s="2"/>
      <c r="P306" s="2"/>
      <c r="Q306" s="2"/>
      <c r="R306" s="2"/>
      <c r="S306" s="2"/>
      <c r="T306" s="2"/>
      <c r="U306" s="2"/>
      <c r="V306" s="2"/>
      <c r="W306" s="2"/>
    </row>
    <row r="307" ht="22.5" customHeight="1">
      <c r="A307" s="3">
        <v>311.0</v>
      </c>
      <c r="B307" s="3" t="s">
        <v>2518</v>
      </c>
      <c r="C307" s="3" t="s">
        <v>2270</v>
      </c>
      <c r="D307" s="3" t="s">
        <v>2247</v>
      </c>
      <c r="E307" s="2"/>
      <c r="F307" s="3" t="str">
        <f>IFERROR(__xludf.DUMMYFUNCTION("GOOGLETRANSLATE(A307, ""it"", ""en"")"),"311")</f>
        <v>311</v>
      </c>
      <c r="G307" s="3" t="str">
        <f>IFERROR(__xludf.DUMMYFUNCTION("GOOGLETRANSLATE(B307, ""it"", ""en"")"),"Ye hit the ball an' yer opponent misses but the ball lands outside their court. What happens?")</f>
        <v>Ye hit the ball an' yer opponent misses but the ball lands outside their court. What happens?</v>
      </c>
      <c r="H307" s="3" t="str">
        <f>IFERROR(__xludf.DUMMYFUNCTION("GOOGLETRANSLATE(C307, ""it"", ""en"")"),"A. Ye win the point B. Ye lose the point C. Ye get a penalty D. Ye get a free throw")</f>
        <v>A. Ye win the point B. Ye lose the point C. Ye get a penalty D. Ye get a free throw</v>
      </c>
      <c r="I307" s="3" t="str">
        <f>IFERROR(__xludf.DUMMYFUNCTION("GOOGLETRANSLATE(D307, ""it"", ""en"")"),"You win the point")</f>
        <v>You win the point</v>
      </c>
      <c r="J307" s="2"/>
      <c r="K307" s="2"/>
      <c r="L307" s="2"/>
      <c r="M307" s="2"/>
      <c r="N307" s="2"/>
      <c r="O307" s="2"/>
      <c r="P307" s="2"/>
      <c r="Q307" s="2"/>
      <c r="R307" s="2"/>
      <c r="S307" s="2"/>
      <c r="T307" s="2"/>
      <c r="U307" s="2"/>
      <c r="V307" s="2"/>
      <c r="W307" s="2"/>
    </row>
    <row r="308" ht="22.5" customHeight="1">
      <c r="A308" s="3">
        <v>312.0</v>
      </c>
      <c r="B308" s="3" t="s">
        <v>2472</v>
      </c>
      <c r="C308" s="3" t="s">
        <v>2270</v>
      </c>
      <c r="D308" s="3" t="s">
        <v>2247</v>
      </c>
      <c r="E308" s="2"/>
      <c r="F308" s="3" t="str">
        <f>IFERROR(__xludf.DUMMYFUNCTION("GOOGLETRANSLATE(A308, ""it"", ""en"")"),"312")</f>
        <v>312</v>
      </c>
      <c r="G308" s="3" t="str">
        <f>IFERROR(__xludf.DUMMYFUNCTION("GOOGLETRANSLATE(B308, ""it"", ""en"")"),"Ye serve the ball an' yer opponent blocks it but doesn't return it in time. What happens?")</f>
        <v>Ye serve the ball an' yer opponent blocks it but doesn't return it in time. What happens?</v>
      </c>
      <c r="H308" s="3" t="str">
        <f>IFERROR(__xludf.DUMMYFUNCTION("GOOGLETRANSLATE(C308, ""it"", ""en"")"),"A. Ye win the point B. Ye lose the point C. Ye get a penalty D. Ye get a free throw")</f>
        <v>A. Ye win the point B. Ye lose the point C. Ye get a penalty D. Ye get a free throw</v>
      </c>
      <c r="I308" s="3" t="str">
        <f>IFERROR(__xludf.DUMMYFUNCTION("GOOGLETRANSLATE(D308, ""it"", ""en"")"),"You win the point")</f>
        <v>You win the point</v>
      </c>
      <c r="J308" s="2"/>
      <c r="K308" s="2"/>
      <c r="L308" s="2"/>
      <c r="M308" s="2"/>
      <c r="N308" s="2"/>
      <c r="O308" s="2"/>
      <c r="P308" s="2"/>
      <c r="Q308" s="2"/>
      <c r="R308" s="2"/>
      <c r="S308" s="2"/>
      <c r="T308" s="2"/>
      <c r="U308" s="2"/>
      <c r="V308" s="2"/>
      <c r="W308" s="2"/>
    </row>
    <row r="309" ht="22.5" customHeight="1">
      <c r="A309" s="3">
        <v>313.0</v>
      </c>
      <c r="B309" s="3" t="s">
        <v>2473</v>
      </c>
      <c r="C309" s="3" t="s">
        <v>2270</v>
      </c>
      <c r="D309" s="3" t="s">
        <v>2247</v>
      </c>
      <c r="E309" s="2"/>
      <c r="F309" s="3" t="str">
        <f>IFERROR(__xludf.DUMMYFUNCTION("GOOGLETRANSLATE(A309, ""it"", ""en"")"),"313")</f>
        <v>313</v>
      </c>
      <c r="G309" s="3" t="str">
        <f>IFERROR(__xludf.DUMMYFUNCTION("GOOGLETRANSLATE(B309, ""it"", ""en"")"),"Ye strike the ball an' yer opponent blocks it but doesn't return it. What happens?")</f>
        <v>Ye strike the ball an' yer opponent blocks it but doesn't return it. What happens?</v>
      </c>
      <c r="H309" s="3" t="str">
        <f>IFERROR(__xludf.DUMMYFUNCTION("GOOGLETRANSLATE(C309, ""it"", ""en"")"),"A. Ye win the point B. Ye lose the point C. Ye get a penalty D. Ye get a free throw")</f>
        <v>A. Ye win the point B. Ye lose the point C. Ye get a penalty D. Ye get a free throw</v>
      </c>
      <c r="I309" s="3" t="str">
        <f>IFERROR(__xludf.DUMMYFUNCTION("GOOGLETRANSLATE(D309, ""it"", ""en"")"),"You win the point")</f>
        <v>You win the point</v>
      </c>
      <c r="J309" s="2"/>
      <c r="K309" s="2"/>
      <c r="L309" s="2"/>
      <c r="M309" s="2"/>
      <c r="N309" s="2"/>
      <c r="O309" s="2"/>
      <c r="P309" s="2"/>
      <c r="Q309" s="2"/>
      <c r="R309" s="2"/>
      <c r="S309" s="2"/>
      <c r="T309" s="2"/>
      <c r="U309" s="2"/>
      <c r="V309" s="2"/>
      <c r="W309" s="2"/>
    </row>
    <row r="310" ht="22.5" customHeight="1">
      <c r="A310" s="3">
        <v>314.0</v>
      </c>
      <c r="B310" s="3" t="s">
        <v>2446</v>
      </c>
      <c r="C310" s="3" t="s">
        <v>2249</v>
      </c>
      <c r="D310" s="3" t="s">
        <v>2247</v>
      </c>
      <c r="E310" s="2"/>
      <c r="F310" s="3" t="str">
        <f>IFERROR(__xludf.DUMMYFUNCTION("GOOGLETRANSLATE(A310, ""it"", ""en"")"),"314")</f>
        <v>314</v>
      </c>
      <c r="G310" s="3" t="str">
        <f>IFERROR(__xludf.DUMMYFUNCTION("GOOGLETRANSLATE(B310, ""it"", ""en"")"),"Ye serve the ball an' yer opponent misses but the ball lands out of bounds. What happens?")</f>
        <v>Ye serve the ball an' yer opponent misses but the ball lands out of bounds. What happens?</v>
      </c>
      <c r="H310" s="3" t="str">
        <f>IFERROR(__xludf.DUMMYFUNCTION("GOOGLETRANSLATE(C310, ""it"", ""en"")"),"A. Ye lose the point B. Ye win the point C. Ye get a penalty D. Ye get a free throw")</f>
        <v>A. Ye lose the point B. Ye win the point C. Ye get a penalty D. Ye get a free throw</v>
      </c>
      <c r="I310" s="3" t="str">
        <f>IFERROR(__xludf.DUMMYFUNCTION("GOOGLETRANSLATE(D310, ""it"", ""en"")"),"You win the point")</f>
        <v>You win the point</v>
      </c>
      <c r="J310" s="2"/>
      <c r="K310" s="2"/>
      <c r="L310" s="2"/>
      <c r="M310" s="2"/>
      <c r="N310" s="2"/>
      <c r="O310" s="2"/>
      <c r="P310" s="2"/>
      <c r="Q310" s="2"/>
      <c r="R310" s="2"/>
      <c r="S310" s="2"/>
      <c r="T310" s="2"/>
      <c r="U310" s="2"/>
      <c r="V310" s="2"/>
      <c r="W310" s="2"/>
    </row>
    <row r="311" ht="22.5" customHeight="1">
      <c r="A311" s="3">
        <v>315.0</v>
      </c>
      <c r="B311" s="3" t="s">
        <v>2519</v>
      </c>
      <c r="C311" s="3" t="s">
        <v>2270</v>
      </c>
      <c r="D311" s="3" t="s">
        <v>2247</v>
      </c>
      <c r="E311" s="2"/>
      <c r="F311" s="3" t="str">
        <f>IFERROR(__xludf.DUMMYFUNCTION("GOOGLETRANSLATE(A311, ""it"", ""en"")"),"315")</f>
        <v>315</v>
      </c>
      <c r="G311" s="3" t="str">
        <f>IFERROR(__xludf.DUMMYFUNCTION("GOOGLETRANSLATE(B311, ""it"", ""en"")"),"Ye hit the ball an' yer opponent blocks it but doesn't return it back. What happens?")</f>
        <v>Ye hit the ball an' yer opponent blocks it but doesn't return it back. What happens?</v>
      </c>
      <c r="H311" s="3" t="str">
        <f>IFERROR(__xludf.DUMMYFUNCTION("GOOGLETRANSLATE(C311, ""it"", ""en"")"),"A. Ye win the point B. Ye lose the point C. Ye get a penalty D. Ye get a free throw")</f>
        <v>A. Ye win the point B. Ye lose the point C. Ye get a penalty D. Ye get a free throw</v>
      </c>
      <c r="I311" s="3" t="str">
        <f>IFERROR(__xludf.DUMMYFUNCTION("GOOGLETRANSLATE(D311, ""it"", ""en"")"),"You win the point")</f>
        <v>You win the point</v>
      </c>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2"/>
      <c r="F1" s="1" t="s">
        <v>0</v>
      </c>
      <c r="G1" s="1" t="s">
        <v>4</v>
      </c>
      <c r="H1" s="1" t="s">
        <v>5</v>
      </c>
      <c r="I1" s="1" t="s">
        <v>1752</v>
      </c>
      <c r="J1" s="2"/>
      <c r="K1" s="2"/>
      <c r="L1" s="2"/>
      <c r="M1" s="2"/>
      <c r="N1" s="2"/>
      <c r="O1" s="2"/>
      <c r="P1" s="2"/>
      <c r="Q1" s="2"/>
      <c r="R1" s="2"/>
      <c r="S1" s="2"/>
      <c r="T1" s="2"/>
      <c r="U1" s="2"/>
      <c r="V1" s="2"/>
    </row>
    <row r="2" ht="22.5" customHeight="1">
      <c r="A2" s="3">
        <v>1.0</v>
      </c>
      <c r="B2" s="3" t="s">
        <v>2520</v>
      </c>
      <c r="C2" s="3" t="s">
        <v>2521</v>
      </c>
      <c r="D2" s="3" t="s">
        <v>2522</v>
      </c>
      <c r="E2" s="2"/>
      <c r="F2" s="3" t="str">
        <f>IFERROR(__xludf.DUMMYFUNCTION("GOOGLETRANSLATE(A2, ""it"", ""en"")"),"1")</f>
        <v>1</v>
      </c>
      <c r="G2" s="3" t="str">
        <f>IFERROR(__xludf.DUMMYFUNCTION("GOOGLETRANSLATE(B2, ""it"", ""en"")"),"What happens if a horse starts late in the Palio race?")</f>
        <v>What happens if a horse starts late in the Palio race?</v>
      </c>
      <c r="H2" s="3" t="str">
        <f>IFERROR(__xludf.DUMMYFUNCTION("GOOGLETRANSLATE(C2, ""it"", ""en"")"),"A. The horse is disqualified B. The race is cancelled C. The race continues normally D. The horse is penalised")</f>
        <v>A. The horse is disqualified B. The race is cancelled C. The race continues normally D. The horse is penalised</v>
      </c>
      <c r="I2" s="3" t="str">
        <f>IFERROR(__xludf.DUMMYFUNCTION("GOOGLETRANSLATE(D2, ""it"", ""en"")"),"The horse is disqualified")</f>
        <v>The horse is disqualified</v>
      </c>
      <c r="J2" s="2"/>
      <c r="K2" s="2"/>
      <c r="L2" s="2"/>
      <c r="M2" s="2"/>
      <c r="N2" s="2"/>
      <c r="O2" s="2"/>
      <c r="P2" s="2"/>
      <c r="Q2" s="2"/>
      <c r="R2" s="2"/>
      <c r="S2" s="2"/>
      <c r="T2" s="2"/>
      <c r="U2" s="2"/>
      <c r="V2" s="2"/>
    </row>
    <row r="3" ht="22.5" customHeight="1">
      <c r="A3" s="3">
        <v>2.0</v>
      </c>
      <c r="B3" s="3" t="s">
        <v>2523</v>
      </c>
      <c r="C3" s="3" t="s">
        <v>2524</v>
      </c>
      <c r="D3" s="3" t="s">
        <v>2525</v>
      </c>
      <c r="E3" s="2"/>
      <c r="F3" s="3" t="str">
        <f>IFERROR(__xludf.DUMMYFUNCTION("GOOGLETRANSLATE(A3, ""it"", ""en"")"),"2")</f>
        <v>2</v>
      </c>
      <c r="G3" s="3" t="str">
        <f>IFERROR(__xludf.DUMMYFUNCTION("GOOGLETRANSLATE(B3, ""it"", ""en"")"),"What happens if a horse falls during the race?")</f>
        <v>What happens if a horse falls during the race?</v>
      </c>
      <c r="H3" s="3" t="str">
        <f>IFERROR(__xludf.DUMMYFUNCTION("GOOGLETRANSLATE(C3, ""it"", ""en"")"),"A. The race is stopped B. The horse must restart C. The horse is disqualified D. The horse continues to run")</f>
        <v>A. The race is stopped B. The horse must restart C. The horse is disqualified D. The horse continues to run</v>
      </c>
      <c r="I3" s="3" t="str">
        <f>IFERROR(__xludf.DUMMYFUNCTION("GOOGLETRANSLATE(D3, ""it"", ""en"")"),"The race is stopped")</f>
        <v>The race is stopped</v>
      </c>
      <c r="J3" s="2"/>
      <c r="K3" s="2"/>
      <c r="L3" s="2"/>
      <c r="M3" s="2"/>
      <c r="N3" s="2"/>
      <c r="O3" s="2"/>
      <c r="P3" s="2"/>
      <c r="Q3" s="2"/>
      <c r="R3" s="2"/>
      <c r="S3" s="2"/>
      <c r="T3" s="2"/>
      <c r="U3" s="2"/>
      <c r="V3" s="2"/>
    </row>
    <row r="4" ht="22.5" customHeight="1">
      <c r="A4" s="3">
        <v>3.0</v>
      </c>
      <c r="B4" s="3" t="s">
        <v>2526</v>
      </c>
      <c r="C4" s="3" t="s">
        <v>2527</v>
      </c>
      <c r="D4" s="3" t="s">
        <v>2528</v>
      </c>
      <c r="E4" s="2"/>
      <c r="F4" s="3" t="str">
        <f>IFERROR(__xludf.DUMMYFUNCTION("GOOGLETRANSLATE(A4, ""it"", ""en"")"),"3")</f>
        <v>3</v>
      </c>
      <c r="G4" s="3" t="str">
        <f>IFERROR(__xludf.DUMMYFUNCTION("GOOGLETRANSLATE(B4, ""it"", ""en"")"),"What happens if a horse cuts across the path?")</f>
        <v>What happens if a horse cuts across the path?</v>
      </c>
      <c r="H4" s="3" t="str">
        <f>IFERROR(__xludf.DUMMYFUNCTION("GOOGLETRANSLATE(C4, ""it"", ""en"")"),"A. He is penalized B. The race is cancelled C. The race continues normally D. The horse is disqualified")</f>
        <v>A. He is penalized B. The race is cancelled C. The race continues normally D. The horse is disqualified</v>
      </c>
      <c r="I4" s="3" t="str">
        <f>IFERROR(__xludf.DUMMYFUNCTION("GOOGLETRANSLATE(D4, ""it"", ""en"")"),"He is penalized")</f>
        <v>He is penalized</v>
      </c>
      <c r="J4" s="2"/>
      <c r="K4" s="2"/>
      <c r="L4" s="2"/>
      <c r="M4" s="2"/>
      <c r="N4" s="2"/>
      <c r="O4" s="2"/>
      <c r="P4" s="2"/>
      <c r="Q4" s="2"/>
      <c r="R4" s="2"/>
      <c r="S4" s="2"/>
      <c r="T4" s="2"/>
      <c r="U4" s="2"/>
      <c r="V4" s="2"/>
    </row>
    <row r="5" ht="22.5" customHeight="1">
      <c r="A5" s="3">
        <v>4.0</v>
      </c>
      <c r="B5" s="3" t="s">
        <v>2529</v>
      </c>
      <c r="C5" s="3" t="s">
        <v>2530</v>
      </c>
      <c r="D5" s="3" t="s">
        <v>2531</v>
      </c>
      <c r="E5" s="2"/>
      <c r="F5" s="3" t="str">
        <f>IFERROR(__xludf.DUMMYFUNCTION("GOOGLETRANSLATE(A5, ""it"", ""en"")"),"4")</f>
        <v>4</v>
      </c>
      <c r="G5" s="3" t="str">
        <f>IFERROR(__xludf.DUMMYFUNCTION("GOOGLETRANSLATE(B5, ""it"", ""en"")"),"What happens if a horse reaches the finish line but the jockey loses control?")</f>
        <v>What happens if a horse reaches the finish line but the jockey loses control?</v>
      </c>
      <c r="H5" s="3" t="str">
        <f>IFERROR(__xludf.DUMMYFUNCTION("GOOGLETRANSLATE(C5, ""it"", ""en"")"),"A. The horse wins anyway B. The victory is cancelled C. The horse is penalised D. The horse must restart")</f>
        <v>A. The horse wins anyway B. The victory is cancelled C. The horse is penalised D. The horse must restart</v>
      </c>
      <c r="I5" s="3" t="str">
        <f>IFERROR(__xludf.DUMMYFUNCTION("GOOGLETRANSLATE(D5, ""it"", ""en"")"),"The horse wins anyway")</f>
        <v>The horse wins anyway</v>
      </c>
      <c r="J5" s="2"/>
      <c r="K5" s="2"/>
      <c r="L5" s="2"/>
      <c r="M5" s="2"/>
      <c r="N5" s="2"/>
      <c r="O5" s="2"/>
      <c r="P5" s="2"/>
      <c r="Q5" s="2"/>
      <c r="R5" s="2"/>
      <c r="S5" s="2"/>
      <c r="T5" s="2"/>
      <c r="U5" s="2"/>
      <c r="V5" s="2"/>
    </row>
    <row r="6" ht="22.5" customHeight="1">
      <c r="A6" s="3">
        <v>5.0</v>
      </c>
      <c r="B6" s="3" t="s">
        <v>2532</v>
      </c>
      <c r="C6" s="3" t="s">
        <v>2533</v>
      </c>
      <c r="D6" s="3" t="s">
        <v>2534</v>
      </c>
      <c r="E6" s="2"/>
      <c r="F6" s="3" t="str">
        <f>IFERROR(__xludf.DUMMYFUNCTION("GOOGLETRANSLATE(A6, ""it"", ""en"")"),"5")</f>
        <v>5</v>
      </c>
      <c r="G6" s="3" t="str">
        <f>IFERROR(__xludf.DUMMYFUNCTION("GOOGLETRANSLATE(B6, ""it"", ""en"")"),"What happens if two horses cross the finish line at the same time?")</f>
        <v>What happens if two horses cross the finish line at the same time?</v>
      </c>
      <c r="H6" s="3" t="str">
        <f>IFERROR(__xludf.DUMMYFUNCTION("GOOGLETRANSLATE(C6, ""it"", ""en"")"),"A. The race ends in a draw B. The horse that arrives on the right is the winner C. The race is re-run D. The horse that arrives on the left is the winner")</f>
        <v>A. The race ends in a draw B. The horse that arrives on the right is the winner C. The race is re-run D. The horse that arrives on the left is the winner</v>
      </c>
      <c r="I6" s="3" t="str">
        <f>IFERROR(__xludf.DUMMYFUNCTION("GOOGLETRANSLATE(D6, ""it"", ""en"")"),"The match ends in a draw")</f>
        <v>The match ends in a draw</v>
      </c>
      <c r="J6" s="2"/>
      <c r="K6" s="2"/>
      <c r="L6" s="2"/>
      <c r="M6" s="2"/>
      <c r="N6" s="2"/>
      <c r="O6" s="2"/>
      <c r="P6" s="2"/>
      <c r="Q6" s="2"/>
      <c r="R6" s="2"/>
      <c r="S6" s="2"/>
      <c r="T6" s="2"/>
      <c r="U6" s="2"/>
      <c r="V6" s="2"/>
    </row>
    <row r="7" ht="22.5" customHeight="1">
      <c r="A7" s="3">
        <v>6.0</v>
      </c>
      <c r="B7" s="3" t="s">
        <v>2535</v>
      </c>
      <c r="C7" s="3" t="s">
        <v>2536</v>
      </c>
      <c r="D7" s="3" t="s">
        <v>2537</v>
      </c>
      <c r="E7" s="2"/>
      <c r="F7" s="3" t="str">
        <f>IFERROR(__xludf.DUMMYFUNCTION("GOOGLETRANSLATE(A7, ""it"", ""en"")"),"6")</f>
        <v>6</v>
      </c>
      <c r="G7" s="3" t="str">
        <f>IFERROR(__xludf.DUMMYFUNCTION("GOOGLETRANSLATE(B7, ""it"", ""en"")"),"What happens if a jockey is thrown during a race?")</f>
        <v>What happens if a jockey is thrown during a race?</v>
      </c>
      <c r="H7" s="3" t="str">
        <f>IFERROR(__xludf.DUMMYFUNCTION("GOOGLETRANSLATE(C7, ""it"", ""en"")"),"A. The horse is disqualified B. The jockey is out of the race C. The race continues without the jockey D. The horse continues without the jockey")</f>
        <v>A. The horse is disqualified B. The jockey is out of the race C. The race continues without the jockey D. The horse continues without the jockey</v>
      </c>
      <c r="I7" s="3" t="str">
        <f>IFERROR(__xludf.DUMMYFUNCTION("GOOGLETRANSLATE(D7, ""it"", ""en"")"),"The jockey is out of the race")</f>
        <v>The jockey is out of the race</v>
      </c>
      <c r="J7" s="2"/>
      <c r="K7" s="2"/>
      <c r="L7" s="2"/>
      <c r="M7" s="2"/>
      <c r="N7" s="2"/>
      <c r="O7" s="2"/>
      <c r="P7" s="2"/>
      <c r="Q7" s="2"/>
      <c r="R7" s="2"/>
      <c r="S7" s="2"/>
      <c r="T7" s="2"/>
      <c r="U7" s="2"/>
      <c r="V7" s="2"/>
    </row>
    <row r="8" ht="22.5" customHeight="1">
      <c r="A8" s="3">
        <v>7.0</v>
      </c>
      <c r="B8" s="3" t="s">
        <v>2538</v>
      </c>
      <c r="C8" s="3" t="s">
        <v>2539</v>
      </c>
      <c r="D8" s="3" t="s">
        <v>2540</v>
      </c>
      <c r="E8" s="2"/>
      <c r="F8" s="3" t="str">
        <f>IFERROR(__xludf.DUMMYFUNCTION("GOOGLETRANSLATE(A8, ""it"", ""en"")"),"7")</f>
        <v>7</v>
      </c>
      <c r="G8" s="3" t="str">
        <f>IFERROR(__xludf.DUMMYFUNCTION("GOOGLETRANSLATE(B8, ""it"", ""en"")"),"What happens if a horse refuses to start?")</f>
        <v>What happens if a horse refuses to start?</v>
      </c>
      <c r="H8" s="3" t="str">
        <f>IFERROR(__xludf.DUMMYFUNCTION("GOOGLETRANSLATE(C8, ""it"", ""en"")"),"A. The horse is penalized B. The race is cancelled C. The horse is disqualified D. The horse must restart")</f>
        <v>A. The horse is penalized B. The race is cancelled C. The horse is disqualified D. The horse must restart</v>
      </c>
      <c r="I8" s="3" t="str">
        <f>IFERROR(__xludf.DUMMYFUNCTION("GOOGLETRANSLATE(D8, ""it"", ""en"")"),"The horse is disqualified")</f>
        <v>The horse is disqualified</v>
      </c>
      <c r="J8" s="2"/>
      <c r="K8" s="2"/>
      <c r="L8" s="2"/>
      <c r="M8" s="2"/>
      <c r="N8" s="2"/>
      <c r="O8" s="2"/>
      <c r="P8" s="2"/>
      <c r="Q8" s="2"/>
      <c r="R8" s="2"/>
      <c r="S8" s="2"/>
      <c r="T8" s="2"/>
      <c r="U8" s="2"/>
      <c r="V8" s="2"/>
    </row>
    <row r="9" ht="22.5" customHeight="1">
      <c r="A9" s="3">
        <v>8.0</v>
      </c>
      <c r="B9" s="3" t="s">
        <v>2541</v>
      </c>
      <c r="C9" s="3" t="s">
        <v>2542</v>
      </c>
      <c r="D9" s="3" t="s">
        <v>2543</v>
      </c>
      <c r="E9" s="2"/>
      <c r="F9" s="3" t="str">
        <f>IFERROR(__xludf.DUMMYFUNCTION("GOOGLETRANSLATE(A9, ""it"", ""en"")"),"8")</f>
        <v>8</v>
      </c>
      <c r="G9" s="3" t="str">
        <f>IFERROR(__xludf.DUMMYFUNCTION("GOOGLETRANSLATE(B9, ""it"", ""en"")"),"What happens if the horse goes the wrong way during the race?")</f>
        <v>What happens if the horse goes the wrong way during the race?</v>
      </c>
      <c r="H9" s="3" t="str">
        <f>IFERROR(__xludf.DUMMYFUNCTION("GOOGLETRANSLATE(C9, ""it"", ""en"")"),"A. The horse is penalized B. The horse must return to the course C. The horse is disqualified D. The race is cancelled")</f>
        <v>A. The horse is penalized B. The horse must return to the course C. The horse is disqualified D. The race is cancelled</v>
      </c>
      <c r="I9" s="3" t="str">
        <f>IFERROR(__xludf.DUMMYFUNCTION("GOOGLETRANSLATE(D9, ""it"", ""en"")"),"The horse must resume the path")</f>
        <v>The horse must resume the path</v>
      </c>
      <c r="J9" s="2"/>
      <c r="K9" s="2"/>
      <c r="L9" s="2"/>
      <c r="M9" s="2"/>
      <c r="N9" s="2"/>
      <c r="O9" s="2"/>
      <c r="P9" s="2"/>
      <c r="Q9" s="2"/>
      <c r="R9" s="2"/>
      <c r="S9" s="2"/>
      <c r="T9" s="2"/>
      <c r="U9" s="2"/>
      <c r="V9" s="2"/>
    </row>
    <row r="10" ht="22.5" customHeight="1">
      <c r="A10" s="3">
        <v>10.0</v>
      </c>
      <c r="B10" s="3" t="s">
        <v>2544</v>
      </c>
      <c r="C10" s="3" t="s">
        <v>2545</v>
      </c>
      <c r="D10" s="3" t="s">
        <v>2546</v>
      </c>
      <c r="E10" s="2"/>
      <c r="F10" s="3" t="str">
        <f>IFERROR(__xludf.DUMMYFUNCTION("GOOGLETRANSLATE(A10, ""it"", ""en"")"),"10")</f>
        <v>10</v>
      </c>
      <c r="G10" s="3" t="str">
        <f>IFERROR(__xludf.DUMMYFUNCTION("GOOGLETRANSLATE(B10, ""it"", ""en"")"),"A. What happens if a horse enters the Palio late?")</f>
        <v>A. What happens if a horse enters the Palio late?</v>
      </c>
      <c r="H10" s="3" t="str">
        <f>IFERROR(__xludf.DUMMYFUNCTION("GOOGLETRANSLATE(C10, ""it"", ""en"")"),"A. He is disqualified B. The race continues normally C. The horse receives a penalty D. The horse is excluded from the race")</f>
        <v>A. He is disqualified B. The race continues normally C. The horse receives a penalty D. The horse is excluded from the race</v>
      </c>
      <c r="I10" s="3" t="str">
        <f>IFERROR(__xludf.DUMMYFUNCTION("GOOGLETRANSLATE(D10, ""it"", ""en"")"),"He is disqualified")</f>
        <v>He is disqualified</v>
      </c>
      <c r="J10" s="2"/>
      <c r="K10" s="2"/>
      <c r="L10" s="2"/>
      <c r="M10" s="2"/>
      <c r="N10" s="2"/>
      <c r="O10" s="2"/>
      <c r="P10" s="2"/>
      <c r="Q10" s="2"/>
      <c r="R10" s="2"/>
      <c r="S10" s="2"/>
      <c r="T10" s="2"/>
      <c r="U10" s="2"/>
      <c r="V10" s="2"/>
    </row>
    <row r="11" ht="22.5" customHeight="1">
      <c r="A11" s="3">
        <v>11.0</v>
      </c>
      <c r="B11" s="3" t="s">
        <v>2547</v>
      </c>
      <c r="C11" s="3" t="s">
        <v>2548</v>
      </c>
      <c r="D11" s="3" t="s">
        <v>2549</v>
      </c>
      <c r="E11" s="2"/>
      <c r="F11" s="3" t="str">
        <f>IFERROR(__xludf.DUMMYFUNCTION("GOOGLETRANSLATE(A11, ""it"", ""en"")"),"11")</f>
        <v>11</v>
      </c>
      <c r="G11" s="3" t="str">
        <f>IFERROR(__xludf.DUMMYFUNCTION("GOOGLETRANSLATE(B11, ""it"", ""en"")"),"A. If a horse is the only one to finish the race, what happens?")</f>
        <v>A. If a horse is the only one to finish the race, what happens?</v>
      </c>
      <c r="H11" s="3" t="str">
        <f>IFERROR(__xludf.DUMMYFUNCTION("GOOGLETRANSLATE(C11, ""it"", ""en"")"),"A. He wins the Palio B. The race is repeated C. The horse receives a special prize D. The horse is disqualified")</f>
        <v>A. He wins the Palio B. The race is repeated C. The horse receives a special prize D. The horse is disqualified</v>
      </c>
      <c r="I11" s="3" t="str">
        <f>IFERROR(__xludf.DUMMYFUNCTION("GOOGLETRANSLATE(D11, ""it"", ""en"")"),"He wins the Palio")</f>
        <v>He wins the Palio</v>
      </c>
      <c r="J11" s="2"/>
      <c r="K11" s="2"/>
      <c r="L11" s="2"/>
      <c r="M11" s="2"/>
      <c r="N11" s="2"/>
      <c r="O11" s="2"/>
      <c r="P11" s="2"/>
      <c r="Q11" s="2"/>
      <c r="R11" s="2"/>
      <c r="S11" s="2"/>
      <c r="T11" s="2"/>
      <c r="U11" s="2"/>
      <c r="V11" s="2"/>
    </row>
    <row r="12" ht="22.5" customHeight="1">
      <c r="A12" s="3">
        <v>12.0</v>
      </c>
      <c r="B12" s="3" t="s">
        <v>2550</v>
      </c>
      <c r="C12" s="3" t="s">
        <v>2551</v>
      </c>
      <c r="D12" s="3" t="s">
        <v>2540</v>
      </c>
      <c r="E12" s="2"/>
      <c r="F12" s="3" t="str">
        <f>IFERROR(__xludf.DUMMYFUNCTION("GOOGLETRANSLATE(A12, ""it"", ""en"")"),"12")</f>
        <v>12</v>
      </c>
      <c r="G12" s="3" t="str">
        <f>IFERROR(__xludf.DUMMYFUNCTION("GOOGLETRANSLATE(B12, ""it"", ""en"")"),"A. What happens if a horse doesn't complete the course?")</f>
        <v>A. What happens if a horse doesn't complete the course?</v>
      </c>
      <c r="H12" s="3" t="str">
        <f>IFERROR(__xludf.DUMMYFUNCTION("GOOGLETRANSLATE(C12, ""it"", ""en"")"),"A. The horse is disqualified B. The horse receives a penalty C. The horse receives no points D. The race continues without the horse")</f>
        <v>A. The horse is disqualified B. The horse receives a penalty C. The horse receives no points D. The race continues without the horse</v>
      </c>
      <c r="I12" s="3" t="str">
        <f>IFERROR(__xludf.DUMMYFUNCTION("GOOGLETRANSLATE(D12, ""it"", ""en"")"),"The horse is disqualified")</f>
        <v>The horse is disqualified</v>
      </c>
      <c r="J12" s="2"/>
      <c r="K12" s="2"/>
      <c r="L12" s="2"/>
      <c r="M12" s="2"/>
      <c r="N12" s="2"/>
      <c r="O12" s="2"/>
      <c r="P12" s="2"/>
      <c r="Q12" s="2"/>
      <c r="R12" s="2"/>
      <c r="S12" s="2"/>
      <c r="T12" s="2"/>
      <c r="U12" s="2"/>
      <c r="V12" s="2"/>
    </row>
    <row r="13" ht="22.5" customHeight="1">
      <c r="A13" s="3">
        <v>13.0</v>
      </c>
      <c r="B13" s="3" t="s">
        <v>2552</v>
      </c>
      <c r="C13" s="3" t="s">
        <v>2553</v>
      </c>
      <c r="D13" s="3" t="s">
        <v>2554</v>
      </c>
      <c r="E13" s="2"/>
      <c r="F13" s="3" t="str">
        <f>IFERROR(__xludf.DUMMYFUNCTION("GOOGLETRANSLATE(A13, ""it"", ""en"")"),"13")</f>
        <v>13</v>
      </c>
      <c r="G13" s="3" t="str">
        <f>IFERROR(__xludf.DUMMYFUNCTION("GOOGLETRANSLATE(B13, ""it"", ""en"")"),"A. What happens if a jockey refuses to participate in the race?")</f>
        <v>A. What happens if a jockey refuses to participate in the race?</v>
      </c>
      <c r="H13" s="3" t="str">
        <f>IFERROR(__xludf.DUMMYFUNCTION("GOOGLETRANSLATE(C13, ""it"", ""en"")"),"A. The horse is excluded B. The race is cancelled C. The horse runs without a jockey D. The horse is penalised")</f>
        <v>A. The horse is excluded B. The race is cancelled C. The horse runs without a jockey D. The horse is penalised</v>
      </c>
      <c r="I13" s="3" t="str">
        <f>IFERROR(__xludf.DUMMYFUNCTION("GOOGLETRANSLATE(D13, ""it"", ""en"")"),"The race is cancelled")</f>
        <v>The race is cancelled</v>
      </c>
      <c r="J13" s="2"/>
      <c r="K13" s="2"/>
      <c r="L13" s="2"/>
      <c r="M13" s="2"/>
      <c r="N13" s="2"/>
      <c r="O13" s="2"/>
      <c r="P13" s="2"/>
      <c r="Q13" s="2"/>
      <c r="R13" s="2"/>
      <c r="S13" s="2"/>
      <c r="T13" s="2"/>
      <c r="U13" s="2"/>
      <c r="V13" s="2"/>
    </row>
    <row r="14" ht="22.5" customHeight="1">
      <c r="A14" s="3">
        <v>14.0</v>
      </c>
      <c r="B14" s="3" t="s">
        <v>2555</v>
      </c>
      <c r="C14" s="3" t="s">
        <v>2556</v>
      </c>
      <c r="D14" s="3" t="s">
        <v>2528</v>
      </c>
      <c r="E14" s="2"/>
      <c r="F14" s="3" t="str">
        <f>IFERROR(__xludf.DUMMYFUNCTION("GOOGLETRANSLATE(A14, ""it"", ""en"")"),"14")</f>
        <v>14</v>
      </c>
      <c r="G14" s="3" t="str">
        <f>IFERROR(__xludf.DUMMYFUNCTION("GOOGLETRANSLATE(B14, ""it"", ""en"")"),"A. What happens if a horse runs irregularly?")</f>
        <v>A. What happens if a horse runs irregularly?</v>
      </c>
      <c r="H14" s="3" t="str">
        <f>IFERROR(__xludf.DUMMYFUNCTION("GOOGLETRANSLATE(C14, ""it"", ""en"")"),"A. He is penalized B. The horse is excluded C. The horse receives a penalty D. The race continues normally")</f>
        <v>A. He is penalized B. The horse is excluded C. The horse receives a penalty D. The race continues normally</v>
      </c>
      <c r="I14" s="3" t="str">
        <f>IFERROR(__xludf.DUMMYFUNCTION("GOOGLETRANSLATE(D14, ""it"", ""en"")"),"He is penalized")</f>
        <v>He is penalized</v>
      </c>
      <c r="J14" s="2"/>
      <c r="K14" s="2"/>
      <c r="L14" s="2"/>
      <c r="M14" s="2"/>
      <c r="N14" s="2"/>
      <c r="O14" s="2"/>
      <c r="P14" s="2"/>
      <c r="Q14" s="2"/>
      <c r="R14" s="2"/>
      <c r="S14" s="2"/>
      <c r="T14" s="2"/>
      <c r="U14" s="2"/>
      <c r="V14" s="2"/>
    </row>
    <row r="15" ht="22.5" customHeight="1">
      <c r="A15" s="3">
        <v>16.0</v>
      </c>
      <c r="B15" s="3" t="s">
        <v>2557</v>
      </c>
      <c r="C15" s="3" t="s">
        <v>2558</v>
      </c>
      <c r="D15" s="3" t="s">
        <v>2559</v>
      </c>
      <c r="E15" s="2"/>
      <c r="F15" s="3" t="str">
        <f>IFERROR(__xludf.DUMMYFUNCTION("GOOGLETRANSLATE(A15, ""it"", ""en"")"),"16")</f>
        <v>16</v>
      </c>
      <c r="G15" s="3" t="str">
        <f>IFERROR(__xludf.DUMMYFUNCTION("GOOGLETRANSLATE(B15, ""it"", ""en"")"),"A. What happens if a horse crosses the starting line before the signal?")</f>
        <v>A. What happens if a horse crosses the starting line before the signal?</v>
      </c>
      <c r="H15" s="3" t="str">
        <f>IFERROR(__xludf.DUMMYFUNCTION("GOOGLETRANSLATE(C15, ""it"", ""en"")"),"A. The horse is penalized B. The race is cancelled C. The horse is disqualified D. The race continues normally")</f>
        <v>A. The horse is penalized B. The race is cancelled C. The horse is disqualified D. The race continues normally</v>
      </c>
      <c r="I15" s="3" t="str">
        <f>IFERROR(__xludf.DUMMYFUNCTION("GOOGLETRANSLATE(D15, ""it"", ""en"")"),"The horse is penalized")</f>
        <v>The horse is penalized</v>
      </c>
      <c r="J15" s="2"/>
      <c r="K15" s="2"/>
      <c r="L15" s="2"/>
      <c r="M15" s="2"/>
      <c r="N15" s="2"/>
      <c r="O15" s="2"/>
      <c r="P15" s="2"/>
      <c r="Q15" s="2"/>
      <c r="R15" s="2"/>
      <c r="S15" s="2"/>
      <c r="T15" s="2"/>
      <c r="U15" s="2"/>
      <c r="V15" s="2"/>
    </row>
    <row r="16" ht="22.5" customHeight="1">
      <c r="A16" s="3">
        <v>17.0</v>
      </c>
      <c r="B16" s="3" t="s">
        <v>2560</v>
      </c>
      <c r="C16" s="3" t="s">
        <v>2561</v>
      </c>
      <c r="D16" s="3" t="s">
        <v>2531</v>
      </c>
      <c r="E16" s="2"/>
      <c r="F16" s="3" t="str">
        <f>IFERROR(__xludf.DUMMYFUNCTION("GOOGLETRANSLATE(A16, ""it"", ""en"")"),"17")</f>
        <v>17</v>
      </c>
      <c r="G16" s="3" t="str">
        <f>IFERROR(__xludf.DUMMYFUNCTION("GOOGLETRANSLATE(B16, ""it"", ""en"")"),"A. What happens if a horse makes a mistake on the course but finishes the race?")</f>
        <v>A. What happens if a horse makes a mistake on the course but finishes the race?</v>
      </c>
      <c r="H16" s="3" t="str">
        <f>IFERROR(__xludf.DUMMYFUNCTION("GOOGLETRANSLATE(C16, ""it"", ""en"")"),"A. The victory is annulled B. The horse wins anyway C. The horse receives a penalty D. The race is re-run")</f>
        <v>A. The victory is annulled B. The horse wins anyway C. The horse receives a penalty D. The race is re-run</v>
      </c>
      <c r="I16" s="3" t="str">
        <f>IFERROR(__xludf.DUMMYFUNCTION("GOOGLETRANSLATE(D16, ""it"", ""en"")"),"The horse wins anyway")</f>
        <v>The horse wins anyway</v>
      </c>
      <c r="J16" s="2"/>
      <c r="K16" s="2"/>
      <c r="L16" s="2"/>
      <c r="M16" s="2"/>
      <c r="N16" s="2"/>
      <c r="O16" s="2"/>
      <c r="P16" s="2"/>
      <c r="Q16" s="2"/>
      <c r="R16" s="2"/>
      <c r="S16" s="2"/>
      <c r="T16" s="2"/>
      <c r="U16" s="2"/>
      <c r="V16" s="2"/>
    </row>
    <row r="17" ht="22.5" customHeight="1">
      <c r="A17" s="3">
        <v>18.0</v>
      </c>
      <c r="B17" s="3" t="s">
        <v>2562</v>
      </c>
      <c r="C17" s="3" t="s">
        <v>2563</v>
      </c>
      <c r="D17" s="3" t="s">
        <v>2564</v>
      </c>
      <c r="E17" s="2"/>
      <c r="F17" s="3" t="str">
        <f>IFERROR(__xludf.DUMMYFUNCTION("GOOGLETRANSLATE(A17, ""it"", ""en"")"),"18")</f>
        <v>18</v>
      </c>
      <c r="G17" s="3" t="str">
        <f>IFERROR(__xludf.DUMMYFUNCTION("GOOGLETRANSLATE(B17, ""it"", ""en"")"),"A. What happens if a horse stops before reaching the finish line?")</f>
        <v>A. What happens if a horse stops before reaching the finish line?</v>
      </c>
      <c r="H17" s="3" t="str">
        <f>IFERROR(__xludf.DUMMYFUNCTION("GOOGLETRANSLATE(C17, ""it"", ""en"")"),"A. The horse is disqualified B. The horse receives a penalty point C. The horse must restart D. The horse still wins")</f>
        <v>A. The horse is disqualified B. The horse receives a penalty point C. The horse must restart D. The horse still wins</v>
      </c>
      <c r="I17" s="3" t="str">
        <f>IFERROR(__xludf.DUMMYFUNCTION("GOOGLETRANSLATE(D17, ""it"", ""en"")"),"The horse is disqualified")</f>
        <v>The horse is disqualified</v>
      </c>
      <c r="J17" s="2"/>
      <c r="K17" s="2"/>
      <c r="L17" s="2"/>
      <c r="M17" s="2"/>
      <c r="N17" s="2"/>
      <c r="O17" s="2"/>
      <c r="P17" s="2"/>
      <c r="Q17" s="2"/>
      <c r="R17" s="2"/>
      <c r="S17" s="2"/>
      <c r="T17" s="2"/>
      <c r="U17" s="2"/>
      <c r="V17" s="2"/>
    </row>
    <row r="18" ht="22.5" customHeight="1">
      <c r="A18" s="3">
        <v>19.0</v>
      </c>
      <c r="B18" s="3" t="s">
        <v>2565</v>
      </c>
      <c r="C18" s="3" t="s">
        <v>2566</v>
      </c>
      <c r="D18" s="3" t="s">
        <v>2559</v>
      </c>
      <c r="E18" s="2"/>
      <c r="F18" s="3" t="str">
        <f>IFERROR(__xludf.DUMMYFUNCTION("GOOGLETRANSLATE(A18, ""it"", ""en"")"),"19")</f>
        <v>19</v>
      </c>
      <c r="G18" s="3" t="str">
        <f>IFERROR(__xludf.DUMMYFUNCTION("GOOGLETRANSLATE(B18, ""it"", ""en"")"),"A. What happens if the horse cuts the curve irregularly?")</f>
        <v>A. What happens if the horse cuts the curve irregularly?</v>
      </c>
      <c r="H18" s="3" t="str">
        <f>IFERROR(__xludf.DUMMYFUNCTION("GOOGLETRANSLATE(C18, ""it"", ""en"")"),"A. The horse is penalized B. The horse is disqualified C. The race is cancelled D. The horse receives a score")</f>
        <v>A. The horse is penalized B. The horse is disqualified C. The race is cancelled D. The horse receives a score</v>
      </c>
      <c r="I18" s="3" t="str">
        <f>IFERROR(__xludf.DUMMYFUNCTION("GOOGLETRANSLATE(D18, ""it"", ""en"")"),"The horse is penalized")</f>
        <v>The horse is penalized</v>
      </c>
      <c r="J18" s="2"/>
      <c r="K18" s="2"/>
      <c r="L18" s="2"/>
      <c r="M18" s="2"/>
      <c r="N18" s="2"/>
      <c r="O18" s="2"/>
      <c r="P18" s="2"/>
      <c r="Q18" s="2"/>
      <c r="R18" s="2"/>
      <c r="S18" s="2"/>
      <c r="T18" s="2"/>
      <c r="U18" s="2"/>
      <c r="V18" s="2"/>
    </row>
    <row r="19" ht="22.5" customHeight="1">
      <c r="A19" s="3">
        <v>20.0</v>
      </c>
      <c r="B19" s="3" t="s">
        <v>2567</v>
      </c>
      <c r="C19" s="3" t="s">
        <v>2568</v>
      </c>
      <c r="D19" s="3" t="s">
        <v>2569</v>
      </c>
      <c r="E19" s="2"/>
      <c r="F19" s="3" t="str">
        <f>IFERROR(__xludf.DUMMYFUNCTION("GOOGLETRANSLATE(A19, ""it"", ""en"")"),"20")</f>
        <v>20</v>
      </c>
      <c r="G19" s="3" t="str">
        <f>IFERROR(__xludf.DUMMYFUNCTION("GOOGLETRANSLATE(B19, ""it"", ""en"")"),"A. What happens if a horse finishes the race without its jockey?")</f>
        <v>A. What happens if a horse finishes the race without its jockey?</v>
      </c>
      <c r="H19" s="3" t="str">
        <f>IFERROR(__xludf.DUMMYFUNCTION("GOOGLETRANSLATE(C19, ""it"", ""en"")"),"A. The race is won by the horse B. The horse is penalized C. The race is cancelled D. The horse is disqualified")</f>
        <v>A. The race is won by the horse B. The horse is penalized C. The race is cancelled D. The horse is disqualified</v>
      </c>
      <c r="I19" s="3" t="str">
        <f>IFERROR(__xludf.DUMMYFUNCTION("GOOGLETRANSLATE(D19, ""it"", ""en"")"),"The race is won by the horse")</f>
        <v>The race is won by the horse</v>
      </c>
      <c r="J19" s="2"/>
      <c r="K19" s="2"/>
      <c r="L19" s="2"/>
      <c r="M19" s="2"/>
      <c r="N19" s="2"/>
      <c r="O19" s="2"/>
      <c r="P19" s="2"/>
      <c r="Q19" s="2"/>
      <c r="R19" s="2"/>
      <c r="S19" s="2"/>
      <c r="T19" s="2"/>
      <c r="U19" s="2"/>
      <c r="V19" s="2"/>
    </row>
    <row r="20" ht="22.5" customHeight="1">
      <c r="A20" s="3">
        <v>21.0</v>
      </c>
      <c r="B20" s="3" t="s">
        <v>2570</v>
      </c>
      <c r="C20" s="3" t="s">
        <v>2571</v>
      </c>
      <c r="D20" s="3" t="s">
        <v>2572</v>
      </c>
      <c r="E20" s="2"/>
      <c r="F20" s="3" t="str">
        <f>IFERROR(__xludf.DUMMYFUNCTION("GOOGLETRANSLATE(A20, ""it"", ""en"")"),"21")</f>
        <v>21</v>
      </c>
      <c r="G20" s="3" t="str">
        <f>IFERROR(__xludf.DUMMYFUNCTION("GOOGLETRANSLATE(B20, ""it"", ""en"")"),"A. What happens if two horses collide during the race?")</f>
        <v>A. What happens if two horses collide during the race?</v>
      </c>
      <c r="H20" s="3" t="str">
        <f>IFERROR(__xludf.DUMMYFUNCTION("GOOGLETRANSLATE(C20, ""it"", ""en"")"),"A. Both horses are penalized B. The race is stopped C. The horse that finishes first wins D. The race is re-run")</f>
        <v>A. Both horses are penalized B. The race is stopped C. The horse that finishes first wins D. The race is re-run</v>
      </c>
      <c r="I20" s="3" t="str">
        <f>IFERROR(__xludf.DUMMYFUNCTION("GOOGLETRANSLATE(D20, ""it"", ""en"")"),"Both horses are penalized")</f>
        <v>Both horses are penalized</v>
      </c>
      <c r="J20" s="2"/>
      <c r="K20" s="2"/>
      <c r="L20" s="2"/>
      <c r="M20" s="2"/>
      <c r="N20" s="2"/>
      <c r="O20" s="2"/>
      <c r="P20" s="2"/>
      <c r="Q20" s="2"/>
      <c r="R20" s="2"/>
      <c r="S20" s="2"/>
      <c r="T20" s="2"/>
      <c r="U20" s="2"/>
      <c r="V20" s="2"/>
    </row>
    <row r="21" ht="22.5" customHeight="1">
      <c r="A21" s="3">
        <v>22.0</v>
      </c>
      <c r="B21" s="3" t="s">
        <v>2573</v>
      </c>
      <c r="C21" s="3" t="s">
        <v>2574</v>
      </c>
      <c r="D21" s="3" t="s">
        <v>2575</v>
      </c>
      <c r="E21" s="2"/>
      <c r="F21" s="3" t="str">
        <f>IFERROR(__xludf.DUMMYFUNCTION("GOOGLETRANSLATE(A21, ""it"", ""en"")"),"22")</f>
        <v>22</v>
      </c>
      <c r="G21" s="3" t="str">
        <f>IFERROR(__xludf.DUMMYFUNCTION("GOOGLETRANSLATE(B21, ""it"", ""en"")"),"A. What happens if a horse loses control but gets back up right away?")</f>
        <v>A. What happens if a horse loses control but gets back up right away?</v>
      </c>
      <c r="H21" s="3" t="str">
        <f>IFERROR(__xludf.DUMMYFUNCTION("GOOGLETRANSLATE(C21, ""it"", ""en"")"),"A. The race continues normally B. The horse is disqualified C. The horse receives a penalty D. The race is cancelled")</f>
        <v>A. The race continues normally B. The horse is disqualified C. The horse receives a penalty D. The race is cancelled</v>
      </c>
      <c r="I21" s="3" t="str">
        <f>IFERROR(__xludf.DUMMYFUNCTION("GOOGLETRANSLATE(D21, ""it"", ""en"")"),"The race continues normally")</f>
        <v>The race continues normally</v>
      </c>
      <c r="J21" s="2"/>
      <c r="K21" s="2"/>
      <c r="L21" s="2"/>
      <c r="M21" s="2"/>
      <c r="N21" s="2"/>
      <c r="O21" s="2"/>
      <c r="P21" s="2"/>
      <c r="Q21" s="2"/>
      <c r="R21" s="2"/>
      <c r="S21" s="2"/>
      <c r="T21" s="2"/>
      <c r="U21" s="2"/>
      <c r="V21" s="2"/>
    </row>
    <row r="22" ht="22.5" customHeight="1">
      <c r="A22" s="3">
        <v>23.0</v>
      </c>
      <c r="B22" s="3" t="s">
        <v>2576</v>
      </c>
      <c r="C22" s="3" t="s">
        <v>2577</v>
      </c>
      <c r="D22" s="3" t="s">
        <v>2578</v>
      </c>
      <c r="E22" s="2"/>
      <c r="F22" s="3" t="str">
        <f>IFERROR(__xludf.DUMMYFUNCTION("GOOGLETRANSLATE(A22, ""it"", ""en"")"),"23")</f>
        <v>23</v>
      </c>
      <c r="G22" s="3" t="str">
        <f>IFERROR(__xludf.DUMMYFUNCTION("GOOGLETRANSLATE(B22, ""it"", ""en"")"),"A. What happens if a horse cuts off another during the race?")</f>
        <v>A. What happens if a horse cuts off another during the race?</v>
      </c>
      <c r="H22" s="3" t="str">
        <f>IFERROR(__xludf.DUMMYFUNCTION("GOOGLETRANSLATE(C22, ""it"", ""en"")"),"A. The horse receives a penalty B. The horse is disqualified C. The race is cancelled D. The horse is penalised")</f>
        <v>A. The horse receives a penalty B. The horse is disqualified C. The race is cancelled D. The horse is penalised</v>
      </c>
      <c r="I22" s="3" t="str">
        <f>IFERROR(__xludf.DUMMYFUNCTION("GOOGLETRANSLATE(D22, ""it"", ""en"")"),"The horse receives a penalty")</f>
        <v>The horse receives a penalty</v>
      </c>
      <c r="J22" s="2"/>
      <c r="K22" s="2"/>
      <c r="L22" s="2"/>
      <c r="M22" s="2"/>
      <c r="N22" s="2"/>
      <c r="O22" s="2"/>
      <c r="P22" s="2"/>
      <c r="Q22" s="2"/>
      <c r="R22" s="2"/>
      <c r="S22" s="2"/>
      <c r="T22" s="2"/>
      <c r="U22" s="2"/>
      <c r="V22" s="2"/>
    </row>
    <row r="23" ht="22.5" customHeight="1">
      <c r="A23" s="3">
        <v>25.0</v>
      </c>
      <c r="B23" s="3" t="s">
        <v>2579</v>
      </c>
      <c r="C23" s="3" t="s">
        <v>2580</v>
      </c>
      <c r="D23" s="3" t="s">
        <v>2581</v>
      </c>
      <c r="E23" s="2"/>
      <c r="F23" s="3" t="str">
        <f>IFERROR(__xludf.DUMMYFUNCTION("GOOGLETRANSLATE(A23, ""it"", ""en"")"),"25")</f>
        <v>25</v>
      </c>
      <c r="G23" s="3" t="str">
        <f>IFERROR(__xludf.DUMMYFUNCTION("GOOGLETRANSLATE(B23, ""it"", ""en"")"),"A. What happens if the horse is stopped for a health check?")</f>
        <v>A. What happens if the horse is stopped for a health check?</v>
      </c>
      <c r="H23" s="3" t="str">
        <f>IFERROR(__xludf.DUMMYFUNCTION("GOOGLETRANSLATE(C23, ""it"", ""en"")"),"A. The race is suspended B. The horse receives a penalty C. The horse continues to run D. The race is re-run")</f>
        <v>A. The race is suspended B. The horse receives a penalty C. The horse continues to run D. The race is re-run</v>
      </c>
      <c r="I23" s="3" t="str">
        <f>IFERROR(__xludf.DUMMYFUNCTION("GOOGLETRANSLATE(D23, ""it"", ""en"")"),"The race is suspended")</f>
        <v>The race is suspended</v>
      </c>
      <c r="J23" s="2"/>
      <c r="K23" s="2"/>
      <c r="L23" s="2"/>
      <c r="M23" s="2"/>
      <c r="N23" s="2"/>
      <c r="O23" s="2"/>
      <c r="P23" s="2"/>
      <c r="Q23" s="2"/>
      <c r="R23" s="2"/>
      <c r="S23" s="2"/>
      <c r="T23" s="2"/>
      <c r="U23" s="2"/>
      <c r="V23" s="2"/>
    </row>
    <row r="24" ht="22.5" customHeight="1">
      <c r="A24" s="3">
        <v>26.0</v>
      </c>
      <c r="B24" s="3" t="s">
        <v>2582</v>
      </c>
      <c r="C24" s="3" t="s">
        <v>2583</v>
      </c>
      <c r="D24" s="3" t="s">
        <v>2564</v>
      </c>
      <c r="E24" s="2"/>
      <c r="F24" s="3" t="str">
        <f>IFERROR(__xludf.DUMMYFUNCTION("GOOGLETRANSLATE(A24, ""it"", ""en"")"),"26")</f>
        <v>26</v>
      </c>
      <c r="G24" s="3" t="str">
        <f>IFERROR(__xludf.DUMMYFUNCTION("GOOGLETRANSLATE(B24, ""it"", ""en"")"),"A. What happens if a horse overtakes another at an illegal pace?")</f>
        <v>A. What happens if a horse overtakes another at an illegal pace?</v>
      </c>
      <c r="H24" s="3" t="str">
        <f>IFERROR(__xludf.DUMMYFUNCTION("GOOGLETRANSLATE(C24, ""it"", ""en"")"),"A. The horse is penalized B. The horse is disqualified C. The horse continues to run normally D. The horse receives a penalty")</f>
        <v>A. The horse is penalized B. The horse is disqualified C. The horse continues to run normally D. The horse receives a penalty</v>
      </c>
      <c r="I24" s="3" t="str">
        <f>IFERROR(__xludf.DUMMYFUNCTION("GOOGLETRANSLATE(D24, ""it"", ""en"")"),"The horse is disqualified")</f>
        <v>The horse is disqualified</v>
      </c>
      <c r="J24" s="2"/>
      <c r="K24" s="2"/>
      <c r="L24" s="2"/>
      <c r="M24" s="2"/>
      <c r="N24" s="2"/>
      <c r="O24" s="2"/>
      <c r="P24" s="2"/>
      <c r="Q24" s="2"/>
      <c r="R24" s="2"/>
      <c r="S24" s="2"/>
      <c r="T24" s="2"/>
      <c r="U24" s="2"/>
      <c r="V24" s="2"/>
    </row>
    <row r="25" ht="22.5" customHeight="1">
      <c r="A25" s="3">
        <v>27.0</v>
      </c>
      <c r="B25" s="3" t="s">
        <v>2584</v>
      </c>
      <c r="C25" s="3" t="s">
        <v>2585</v>
      </c>
      <c r="D25" s="3" t="s">
        <v>2586</v>
      </c>
      <c r="E25" s="2"/>
      <c r="F25" s="3" t="str">
        <f>IFERROR(__xludf.DUMMYFUNCTION("GOOGLETRANSLATE(A25, ""it"", ""en"")"),"27")</f>
        <v>27</v>
      </c>
      <c r="G25" s="3" t="str">
        <f>IFERROR(__xludf.DUMMYFUNCTION("GOOGLETRANSLATE(B25, ""it"", ""en"")"),"A. What happens if a horse loses its lead during the race?")</f>
        <v>A. What happens if a horse loses its lead during the race?</v>
      </c>
      <c r="H25" s="3" t="str">
        <f>IFERROR(__xludf.DUMMYFUNCTION("GOOGLETRANSLATE(C25, ""it"", ""en"")"),"A. The race is stopped B. The horse is penalized C. The race continues without the horse D. The horse must restart")</f>
        <v>A. The race is stopped B. The horse is penalized C. The race continues without the horse D. The horse must restart</v>
      </c>
      <c r="I25" s="3" t="str">
        <f>IFERROR(__xludf.DUMMYFUNCTION("GOOGLETRANSLATE(D25, ""it"", ""en"")"),"The horse is penalized")</f>
        <v>The horse is penalized</v>
      </c>
      <c r="J25" s="2"/>
      <c r="K25" s="2"/>
      <c r="L25" s="2"/>
      <c r="M25" s="2"/>
      <c r="N25" s="2"/>
      <c r="O25" s="2"/>
      <c r="P25" s="2"/>
      <c r="Q25" s="2"/>
      <c r="R25" s="2"/>
      <c r="S25" s="2"/>
      <c r="T25" s="2"/>
      <c r="U25" s="2"/>
      <c r="V25" s="2"/>
    </row>
    <row r="26" ht="22.5" customHeight="1">
      <c r="A26" s="3">
        <v>28.0</v>
      </c>
      <c r="B26" s="3" t="s">
        <v>2587</v>
      </c>
      <c r="C26" s="3" t="s">
        <v>2588</v>
      </c>
      <c r="D26" s="3" t="s">
        <v>2575</v>
      </c>
      <c r="E26" s="2"/>
      <c r="F26" s="3" t="str">
        <f>IFERROR(__xludf.DUMMYFUNCTION("GOOGLETRANSLATE(A26, ""it"", ""en"")"),"28")</f>
        <v>28</v>
      </c>
      <c r="G26" s="3" t="str">
        <f>IFERROR(__xludf.DUMMYFUNCTION("GOOGLETRANSLATE(B26, ""it"", ""en"")"),"A. What happens if a horse stumbles and loses ground?")</f>
        <v>A. What happens if a horse stumbles and loses ground?</v>
      </c>
      <c r="H26" s="3" t="str">
        <f>IFERROR(__xludf.DUMMYFUNCTION("GOOGLETRANSLATE(C26, ""it"", ""en"")"),"A. The horse is penalized B. The race continues normally C. The horse is disqualified D. The horse must restart")</f>
        <v>A. The horse is penalized B. The race continues normally C. The horse is disqualified D. The horse must restart</v>
      </c>
      <c r="I26" s="3" t="str">
        <f>IFERROR(__xludf.DUMMYFUNCTION("GOOGLETRANSLATE(D26, ""it"", ""en"")"),"The race continues normally")</f>
        <v>The race continues normally</v>
      </c>
      <c r="J26" s="2"/>
      <c r="K26" s="2"/>
      <c r="L26" s="2"/>
      <c r="M26" s="2"/>
      <c r="N26" s="2"/>
      <c r="O26" s="2"/>
      <c r="P26" s="2"/>
      <c r="Q26" s="2"/>
      <c r="R26" s="2"/>
      <c r="S26" s="2"/>
      <c r="T26" s="2"/>
      <c r="U26" s="2"/>
      <c r="V26" s="2"/>
    </row>
    <row r="27" ht="22.5" customHeight="1">
      <c r="A27" s="3">
        <v>29.0</v>
      </c>
      <c r="B27" s="3" t="s">
        <v>2589</v>
      </c>
      <c r="C27" s="3" t="s">
        <v>2590</v>
      </c>
      <c r="D27" s="3" t="s">
        <v>2591</v>
      </c>
      <c r="E27" s="2"/>
      <c r="F27" s="3" t="str">
        <f>IFERROR(__xludf.DUMMYFUNCTION("GOOGLETRANSLATE(A27, ""it"", ""en"")"),"29")</f>
        <v>29</v>
      </c>
      <c r="G27" s="3" t="str">
        <f>IFERROR(__xludf.DUMMYFUNCTION("GOOGLETRANSLATE(B27, ""it"", ""en"")"),"A. What happens if a horse is disqualified for misbehavior?")</f>
        <v>A. What happens if a horse is disqualified for misbehavior?</v>
      </c>
      <c r="H27" s="3" t="str">
        <f>IFERROR(__xludf.DUMMYFUNCTION("GOOGLETRANSLATE(C27, ""it"", ""en"")"),"A. The horse receives no prizes B. The horse receives a penalty C. The horse is excluded D. The race continues")</f>
        <v>A. The horse receives no prizes B. The horse receives a penalty C. The horse is excluded D. The race continues</v>
      </c>
      <c r="I27" s="3" t="str">
        <f>IFERROR(__xludf.DUMMYFUNCTION("GOOGLETRANSLATE(D27, ""it"", ""en"")"),"The horse is excluded")</f>
        <v>The horse is excluded</v>
      </c>
      <c r="J27" s="2"/>
      <c r="K27" s="2"/>
      <c r="L27" s="2"/>
      <c r="M27" s="2"/>
      <c r="N27" s="2"/>
      <c r="O27" s="2"/>
      <c r="P27" s="2"/>
      <c r="Q27" s="2"/>
      <c r="R27" s="2"/>
      <c r="S27" s="2"/>
      <c r="T27" s="2"/>
      <c r="U27" s="2"/>
      <c r="V27" s="2"/>
    </row>
    <row r="28" ht="22.5" customHeight="1">
      <c r="A28" s="3">
        <v>30.0</v>
      </c>
      <c r="B28" s="3" t="s">
        <v>2592</v>
      </c>
      <c r="C28" s="3" t="s">
        <v>2593</v>
      </c>
      <c r="D28" s="3" t="s">
        <v>2594</v>
      </c>
      <c r="E28" s="2"/>
      <c r="F28" s="3" t="str">
        <f>IFERROR(__xludf.DUMMYFUNCTION("GOOGLETRANSLATE(A28, ""it"", ""en"")"),"30")</f>
        <v>30</v>
      </c>
      <c r="G28" s="3" t="str">
        <f>IFERROR(__xludf.DUMMYFUNCTION("GOOGLETRANSLATE(B28, ""it"", ""en"")"),"A. If a horse wins by a big margin, what happens?")</f>
        <v>A. If a horse wins by a big margin, what happens?</v>
      </c>
      <c r="H28" s="3" t="str">
        <f>IFERROR(__xludf.DUMMYFUNCTION("GOOGLETRANSLATE(C28, ""it"", ""en"")"),"A. The horse receives a special prize B. The race is cancelled C. The horse is disqualified D. The race continues")</f>
        <v>A. The horse receives a special prize B. The race is cancelled C. The horse is disqualified D. The race continues</v>
      </c>
      <c r="I28" s="3" t="str">
        <f>IFERROR(__xludf.DUMMYFUNCTION("GOOGLETRANSLATE(D28, ""it"", ""en"")"),"The horse receives a special prize")</f>
        <v>The horse receives a special prize</v>
      </c>
      <c r="J28" s="2"/>
      <c r="K28" s="2"/>
      <c r="L28" s="2"/>
      <c r="M28" s="2"/>
      <c r="N28" s="2"/>
      <c r="O28" s="2"/>
      <c r="P28" s="2"/>
      <c r="Q28" s="2"/>
      <c r="R28" s="2"/>
      <c r="S28" s="2"/>
      <c r="T28" s="2"/>
      <c r="U28" s="2"/>
      <c r="V28" s="2"/>
    </row>
    <row r="29" ht="22.5" customHeight="1">
      <c r="A29" s="3">
        <v>31.0</v>
      </c>
      <c r="B29" s="3" t="s">
        <v>2595</v>
      </c>
      <c r="C29" s="3" t="s">
        <v>2596</v>
      </c>
      <c r="D29" s="3" t="s">
        <v>2522</v>
      </c>
      <c r="E29" s="2"/>
      <c r="F29" s="3" t="str">
        <f>IFERROR(__xludf.DUMMYFUNCTION("GOOGLETRANSLATE(A29, ""it"", ""en"")"),"31")</f>
        <v>31</v>
      </c>
      <c r="G29" s="3" t="str">
        <f>IFERROR(__xludf.DUMMYFUNCTION("GOOGLETRANSLATE(B29, ""it"", ""en"")"),"A. If the horse is off the course but continues running, what happens?")</f>
        <v>A. If the horse is off the course but continues running, what happens?</v>
      </c>
      <c r="H29" s="3" t="str">
        <f>IFERROR(__xludf.DUMMYFUNCTION("GOOGLETRANSLATE(C29, ""it"", ""en"")"),"A. The horse is disqualified B. The horse is penalized C. The race is cancelled D. The horse receives a warning")</f>
        <v>A. The horse is disqualified B. The horse is penalized C. The race is cancelled D. The horse receives a warning</v>
      </c>
      <c r="I29" s="3" t="str">
        <f>IFERROR(__xludf.DUMMYFUNCTION("GOOGLETRANSLATE(D29, ""it"", ""en"")"),"The horse is disqualified")</f>
        <v>The horse is disqualified</v>
      </c>
      <c r="J29" s="2"/>
      <c r="K29" s="2"/>
      <c r="L29" s="2"/>
      <c r="M29" s="2"/>
      <c r="N29" s="2"/>
      <c r="O29" s="2"/>
      <c r="P29" s="2"/>
      <c r="Q29" s="2"/>
      <c r="R29" s="2"/>
      <c r="S29" s="2"/>
      <c r="T29" s="2"/>
      <c r="U29" s="2"/>
      <c r="V29" s="2"/>
    </row>
    <row r="30" ht="22.5" customHeight="1">
      <c r="A30" s="3">
        <v>32.0</v>
      </c>
      <c r="B30" s="3" t="s">
        <v>2597</v>
      </c>
      <c r="C30" s="3" t="s">
        <v>2598</v>
      </c>
      <c r="D30" s="3" t="s">
        <v>2586</v>
      </c>
      <c r="E30" s="2"/>
      <c r="F30" s="3" t="str">
        <f>IFERROR(__xludf.DUMMYFUNCTION("GOOGLETRANSLATE(A30, ""it"", ""en"")"),"32")</f>
        <v>32</v>
      </c>
      <c r="G30" s="3" t="str">
        <f>IFERROR(__xludf.DUMMYFUNCTION("GOOGLETRANSLATE(B30, ""it"", ""en"")"),"A. What happens if the horse slows down and loses control?")</f>
        <v>A. What happens if the horse slows down and loses control?</v>
      </c>
      <c r="H30" s="3" t="str">
        <f>IFERROR(__xludf.DUMMYFUNCTION("GOOGLETRANSLATE(C30, ""it"", ""en"")"),"A. The horse is penalized B. The race continues normally C. The horse is disqualified D. The race is cancelled")</f>
        <v>A. The horse is penalized B. The race continues normally C. The horse is disqualified D. The race is cancelled</v>
      </c>
      <c r="I30" s="3" t="str">
        <f>IFERROR(__xludf.DUMMYFUNCTION("GOOGLETRANSLATE(D30, ""it"", ""en"")"),"The horse is penalized")</f>
        <v>The horse is penalized</v>
      </c>
      <c r="J30" s="2"/>
      <c r="K30" s="2"/>
      <c r="L30" s="2"/>
      <c r="M30" s="2"/>
      <c r="N30" s="2"/>
      <c r="O30" s="2"/>
      <c r="P30" s="2"/>
      <c r="Q30" s="2"/>
      <c r="R30" s="2"/>
      <c r="S30" s="2"/>
      <c r="T30" s="2"/>
      <c r="U30" s="2"/>
      <c r="V30" s="2"/>
    </row>
    <row r="31" ht="22.5" customHeight="1">
      <c r="A31" s="3">
        <v>33.0</v>
      </c>
      <c r="B31" s="3" t="s">
        <v>2599</v>
      </c>
      <c r="C31" s="3" t="s">
        <v>2600</v>
      </c>
      <c r="D31" s="3" t="s">
        <v>2559</v>
      </c>
      <c r="E31" s="2"/>
      <c r="F31" s="3" t="str">
        <f>IFERROR(__xludf.DUMMYFUNCTION("GOOGLETRANSLATE(A31, ""it"", ""en"")"),"33")</f>
        <v>33</v>
      </c>
      <c r="G31" s="3" t="str">
        <f>IFERROR(__xludf.DUMMYFUNCTION("GOOGLETRANSLATE(B31, ""it"", ""en"")"),"A. What happens if the horse cuts a bend illegally?")</f>
        <v>A. What happens if the horse cuts a bend illegally?</v>
      </c>
      <c r="H31" s="3" t="str">
        <f>IFERROR(__xludf.DUMMYFUNCTION("GOOGLETRANSLATE(C31, ""it"", ""en"")"),"A. The horse is penalized B. The race continues normally C. The horse is disqualified D. The horse receives a warning")</f>
        <v>A. The horse is penalized B. The race continues normally C. The horse is disqualified D. The horse receives a warning</v>
      </c>
      <c r="I31" s="3" t="str">
        <f>IFERROR(__xludf.DUMMYFUNCTION("GOOGLETRANSLATE(D31, ""it"", ""en"")"),"The horse is penalized")</f>
        <v>The horse is penalized</v>
      </c>
      <c r="J31" s="2"/>
      <c r="K31" s="2"/>
      <c r="L31" s="2"/>
      <c r="M31" s="2"/>
      <c r="N31" s="2"/>
      <c r="O31" s="2"/>
      <c r="P31" s="2"/>
      <c r="Q31" s="2"/>
      <c r="R31" s="2"/>
      <c r="S31" s="2"/>
      <c r="T31" s="2"/>
      <c r="U31" s="2"/>
      <c r="V31" s="2"/>
    </row>
    <row r="32" ht="22.5" customHeight="1">
      <c r="A32" s="3">
        <v>34.0</v>
      </c>
      <c r="B32" s="3" t="s">
        <v>2601</v>
      </c>
      <c r="C32" s="3" t="s">
        <v>2602</v>
      </c>
      <c r="D32" s="3" t="s">
        <v>2559</v>
      </c>
      <c r="E32" s="2"/>
      <c r="F32" s="3" t="str">
        <f>IFERROR(__xludf.DUMMYFUNCTION("GOOGLETRANSLATE(A32, ""it"", ""en"")"),"34")</f>
        <v>34</v>
      </c>
      <c r="G32" s="3" t="str">
        <f>IFERROR(__xludf.DUMMYFUNCTION("GOOGLETRANSLATE(B32, ""it"", ""en"")"),"A. What happens if the horse takes a shortcut during the race?")</f>
        <v>A. What happens if the horse takes a shortcut during the race?</v>
      </c>
      <c r="H32" s="3" t="str">
        <f>IFERROR(__xludf.DUMMYFUNCTION("GOOGLETRANSLATE(C32, ""it"", ""en"")"),"A. The horse is penalized B. The race is cancelled C. The horse is disqualified D. The horse receives a warning")</f>
        <v>A. The horse is penalized B. The race is cancelled C. The horse is disqualified D. The horse receives a warning</v>
      </c>
      <c r="I32" s="3" t="str">
        <f>IFERROR(__xludf.DUMMYFUNCTION("GOOGLETRANSLATE(D32, ""it"", ""en"")"),"The horse is penalized")</f>
        <v>The horse is penalized</v>
      </c>
      <c r="J32" s="2"/>
      <c r="K32" s="2"/>
      <c r="L32" s="2"/>
      <c r="M32" s="2"/>
      <c r="N32" s="2"/>
      <c r="O32" s="2"/>
      <c r="P32" s="2"/>
      <c r="Q32" s="2"/>
      <c r="R32" s="2"/>
      <c r="S32" s="2"/>
      <c r="T32" s="2"/>
      <c r="U32" s="2"/>
      <c r="V32" s="2"/>
    </row>
    <row r="33" ht="22.5" customHeight="1">
      <c r="A33" s="3">
        <v>35.0</v>
      </c>
      <c r="B33" s="3" t="s">
        <v>2603</v>
      </c>
      <c r="C33" s="3" t="s">
        <v>2604</v>
      </c>
      <c r="D33" s="3" t="s">
        <v>2522</v>
      </c>
      <c r="E33" s="2"/>
      <c r="F33" s="3" t="str">
        <f>IFERROR(__xludf.DUMMYFUNCTION("GOOGLETRANSLATE(A33, ""it"", ""en"")"),"35")</f>
        <v>35</v>
      </c>
      <c r="G33" s="3" t="str">
        <f>IFERROR(__xludf.DUMMYFUNCTION("GOOGLETRANSLATE(B33, ""it"", ""en"")"),"A. What happens if a horse wins but is found to have used an illegal technique?")</f>
        <v>A. What happens if a horse wins but is found to have used an illegal technique?</v>
      </c>
      <c r="H33" s="3" t="str">
        <f>IFERROR(__xludf.DUMMYFUNCTION("GOOGLETRANSLATE(C33, ""it"", ""en"")"),"A. The horse is disqualified B. The victory is annulled C. The horse receives a penalty D. The horse is penalized")</f>
        <v>A. The horse is disqualified B. The victory is annulled C. The horse receives a penalty D. The horse is penalized</v>
      </c>
      <c r="I33" s="3" t="str">
        <f>IFERROR(__xludf.DUMMYFUNCTION("GOOGLETRANSLATE(D33, ""it"", ""en"")"),"The horse is disqualified")</f>
        <v>The horse is disqualified</v>
      </c>
      <c r="J33" s="2"/>
      <c r="K33" s="2"/>
      <c r="L33" s="2"/>
      <c r="M33" s="2"/>
      <c r="N33" s="2"/>
      <c r="O33" s="2"/>
      <c r="P33" s="2"/>
      <c r="Q33" s="2"/>
      <c r="R33" s="2"/>
      <c r="S33" s="2"/>
      <c r="T33" s="2"/>
      <c r="U33" s="2"/>
      <c r="V33" s="2"/>
    </row>
    <row r="34" ht="22.5" customHeight="1">
      <c r="A34" s="3">
        <v>36.0</v>
      </c>
      <c r="B34" s="3" t="s">
        <v>2605</v>
      </c>
      <c r="C34" s="3" t="s">
        <v>2574</v>
      </c>
      <c r="D34" s="3" t="s">
        <v>2522</v>
      </c>
      <c r="E34" s="2"/>
      <c r="F34" s="3" t="str">
        <f>IFERROR(__xludf.DUMMYFUNCTION("GOOGLETRANSLATE(A34, ""it"", ""en"")"),"36")</f>
        <v>36</v>
      </c>
      <c r="G34" s="3" t="str">
        <f>IFERROR(__xludf.DUMMYFUNCTION("GOOGLETRANSLATE(B34, ""it"", ""en"")"),"A. What happens if a horse is too slow?")</f>
        <v>A. What happens if a horse is too slow?</v>
      </c>
      <c r="H34" s="3" t="str">
        <f>IFERROR(__xludf.DUMMYFUNCTION("GOOGLETRANSLATE(C34, ""it"", ""en"")"),"A. The race continues normally B. The horse is disqualified C. The horse receives a penalty D. The race is cancelled")</f>
        <v>A. The race continues normally B. The horse is disqualified C. The horse receives a penalty D. The race is cancelled</v>
      </c>
      <c r="I34" s="3" t="str">
        <f>IFERROR(__xludf.DUMMYFUNCTION("GOOGLETRANSLATE(D34, ""it"", ""en"")"),"The horse is disqualified")</f>
        <v>The horse is disqualified</v>
      </c>
      <c r="J34" s="2"/>
      <c r="K34" s="2"/>
      <c r="L34" s="2"/>
      <c r="M34" s="2"/>
      <c r="N34" s="2"/>
      <c r="O34" s="2"/>
      <c r="P34" s="2"/>
      <c r="Q34" s="2"/>
      <c r="R34" s="2"/>
      <c r="S34" s="2"/>
      <c r="T34" s="2"/>
      <c r="U34" s="2"/>
      <c r="V34" s="2"/>
    </row>
    <row r="35" ht="22.5" customHeight="1">
      <c r="A35" s="3">
        <v>37.0</v>
      </c>
      <c r="B35" s="3" t="s">
        <v>2606</v>
      </c>
      <c r="C35" s="3" t="s">
        <v>2607</v>
      </c>
      <c r="D35" s="3" t="s">
        <v>2572</v>
      </c>
      <c r="E35" s="2"/>
      <c r="F35" s="3" t="str">
        <f>IFERROR(__xludf.DUMMYFUNCTION("GOOGLETRANSLATE(A35, ""it"", ""en"")"),"37")</f>
        <v>37</v>
      </c>
      <c r="G35" s="3" t="str">
        <f>IFERROR(__xludf.DUMMYFUNCTION("GOOGLETRANSLATE(B35, ""it"", ""en"")"),"A. If two horses collide as they enter the home straight, what happens?")</f>
        <v>A. If two horses collide as they enter the home straight, what happens?</v>
      </c>
      <c r="H35" s="3" t="str">
        <f>IFERROR(__xludf.DUMMYFUNCTION("GOOGLETRANSLATE(C35, ""it"", ""en"")"),"A. Both horses are penalized B. The race continues normally C. The horse that arrives first wins D. The horse that enters second is penalized")</f>
        <v>A. Both horses are penalized B. The race continues normally C. The horse that arrives first wins D. The horse that enters second is penalized</v>
      </c>
      <c r="I35" s="3" t="str">
        <f>IFERROR(__xludf.DUMMYFUNCTION("GOOGLETRANSLATE(D35, ""it"", ""en"")"),"Both horses are penalized")</f>
        <v>Both horses are penalized</v>
      </c>
      <c r="J35" s="2"/>
      <c r="K35" s="2"/>
      <c r="L35" s="2"/>
      <c r="M35" s="2"/>
      <c r="N35" s="2"/>
      <c r="O35" s="2"/>
      <c r="P35" s="2"/>
      <c r="Q35" s="2"/>
      <c r="R35" s="2"/>
      <c r="S35" s="2"/>
      <c r="T35" s="2"/>
      <c r="U35" s="2"/>
      <c r="V35" s="2"/>
    </row>
    <row r="36" ht="22.5" customHeight="1">
      <c r="A36" s="3">
        <v>38.0</v>
      </c>
      <c r="B36" s="3" t="s">
        <v>2608</v>
      </c>
      <c r="C36" s="3" t="s">
        <v>2609</v>
      </c>
      <c r="D36" s="3" t="s">
        <v>2559</v>
      </c>
      <c r="E36" s="2"/>
      <c r="F36" s="3" t="str">
        <f>IFERROR(__xludf.DUMMYFUNCTION("GOOGLETRANSLATE(A36, ""it"", ""en"")"),"38")</f>
        <v>38</v>
      </c>
      <c r="G36" s="3" t="str">
        <f>IFERROR(__xludf.DUMMYFUNCTION("GOOGLETRANSLATE(B36, ""it"", ""en"")"),"A. What happens if the horse crosses the starting line before the signal?")</f>
        <v>A. What happens if the horse crosses the starting line before the signal?</v>
      </c>
      <c r="H36" s="3" t="str">
        <f>IFERROR(__xludf.DUMMYFUNCTION("GOOGLETRANSLATE(C36, ""it"", ""en"")"),"A. The horse is penalized B. The horse is disqualified C. The race continues normally D. The horse must restart")</f>
        <v>A. The horse is penalized B. The horse is disqualified C. The race continues normally D. The horse must restart</v>
      </c>
      <c r="I36" s="3" t="str">
        <f>IFERROR(__xludf.DUMMYFUNCTION("GOOGLETRANSLATE(D36, ""it"", ""en"")"),"The horse is penalized")</f>
        <v>The horse is penalized</v>
      </c>
      <c r="J36" s="2"/>
      <c r="K36" s="2"/>
      <c r="L36" s="2"/>
      <c r="M36" s="2"/>
      <c r="N36" s="2"/>
      <c r="O36" s="2"/>
      <c r="P36" s="2"/>
      <c r="Q36" s="2"/>
      <c r="R36" s="2"/>
      <c r="S36" s="2"/>
      <c r="T36" s="2"/>
      <c r="U36" s="2"/>
      <c r="V36" s="2"/>
    </row>
    <row r="37" ht="22.5" customHeight="1">
      <c r="A37" s="3">
        <v>39.0</v>
      </c>
      <c r="B37" s="3" t="s">
        <v>2610</v>
      </c>
      <c r="C37" s="3" t="s">
        <v>2611</v>
      </c>
      <c r="D37" s="3" t="s">
        <v>2586</v>
      </c>
      <c r="E37" s="2"/>
      <c r="F37" s="3" t="str">
        <f>IFERROR(__xludf.DUMMYFUNCTION("GOOGLETRANSLATE(A37, ""it"", ""en"")"),"39")</f>
        <v>39</v>
      </c>
      <c r="G37" s="3" t="str">
        <f>IFERROR(__xludf.DUMMYFUNCTION("GOOGLETRANSLATE(B37, ""it"", ""en"")"),"A. What happens if a horse loses its jockey but continues the race?")</f>
        <v>A. What happens if a horse loses its jockey but continues the race?</v>
      </c>
      <c r="H37" s="3" t="str">
        <f>IFERROR(__xludf.DUMMYFUNCTION("GOOGLETRANSLATE(C37, ""it"", ""en"")"),"A. The horse is penalized B. The horse must stop C. The horse is disqualified D. The race continues without the jockey")</f>
        <v>A. The horse is penalized B. The horse must stop C. The horse is disqualified D. The race continues without the jockey</v>
      </c>
      <c r="I37" s="3" t="str">
        <f>IFERROR(__xludf.DUMMYFUNCTION("GOOGLETRANSLATE(D37, ""it"", ""en"")"),"The horse is penalized")</f>
        <v>The horse is penalized</v>
      </c>
      <c r="J37" s="2"/>
      <c r="K37" s="2"/>
      <c r="L37" s="2"/>
      <c r="M37" s="2"/>
      <c r="N37" s="2"/>
      <c r="O37" s="2"/>
      <c r="P37" s="2"/>
      <c r="Q37" s="2"/>
      <c r="R37" s="2"/>
      <c r="S37" s="2"/>
      <c r="T37" s="2"/>
      <c r="U37" s="2"/>
      <c r="V37" s="2"/>
    </row>
    <row r="38" ht="22.5" customHeight="1">
      <c r="A38" s="3">
        <v>40.0</v>
      </c>
      <c r="B38" s="3" t="s">
        <v>2612</v>
      </c>
      <c r="C38" s="3" t="s">
        <v>2613</v>
      </c>
      <c r="D38" s="3" t="s">
        <v>2522</v>
      </c>
      <c r="E38" s="2"/>
      <c r="F38" s="3" t="str">
        <f>IFERROR(__xludf.DUMMYFUNCTION("GOOGLETRANSLATE(A38, ""it"", ""en"")"),"40")</f>
        <v>40</v>
      </c>
      <c r="G38" s="3" t="str">
        <f>IFERROR(__xludf.DUMMYFUNCTION("GOOGLETRANSLATE(B38, ""it"", ""en"")"),"A. What happens if a horse finishes the race but didn't follow the correct course?")</f>
        <v>A. What happens if a horse finishes the race but didn't follow the correct course?</v>
      </c>
      <c r="H38" s="3" t="str">
        <f>IFERROR(__xludf.DUMMYFUNCTION("GOOGLETRANSLATE(C38, ""it"", ""en"")"),"A. The horse is disqualified B. The race is cancelled C. The horse receives a penalty D. The horse is penalised")</f>
        <v>A. The horse is disqualified B. The race is cancelled C. The horse receives a penalty D. The horse is penalised</v>
      </c>
      <c r="I38" s="3" t="str">
        <f>IFERROR(__xludf.DUMMYFUNCTION("GOOGLETRANSLATE(D38, ""it"", ""en"")"),"The horse is disqualified")</f>
        <v>The horse is disqualified</v>
      </c>
      <c r="J38" s="2"/>
      <c r="K38" s="2"/>
      <c r="L38" s="2"/>
      <c r="M38" s="2"/>
      <c r="N38" s="2"/>
      <c r="O38" s="2"/>
      <c r="P38" s="2"/>
      <c r="Q38" s="2"/>
      <c r="R38" s="2"/>
      <c r="S38" s="2"/>
      <c r="T38" s="2"/>
      <c r="U38" s="2"/>
      <c r="V38" s="2"/>
    </row>
    <row r="39" ht="22.5" customHeight="1">
      <c r="A39" s="3">
        <v>41.0</v>
      </c>
      <c r="B39" s="3" t="s">
        <v>2614</v>
      </c>
      <c r="C39" s="3" t="s">
        <v>2615</v>
      </c>
      <c r="D39" s="3" t="s">
        <v>2616</v>
      </c>
      <c r="E39" s="2"/>
      <c r="F39" s="3" t="str">
        <f>IFERROR(__xludf.DUMMYFUNCTION("GOOGLETRANSLATE(A39, ""it"", ""en"")"),"41")</f>
        <v>41</v>
      </c>
      <c r="G39" s="3" t="str">
        <f>IFERROR(__xludf.DUMMYFUNCTION("GOOGLETRANSLATE(B39, ""it"", ""en"")"),"A. What happens if the horse is disqualified for misbehavior?")</f>
        <v>A. What happens if the horse is disqualified for misbehavior?</v>
      </c>
      <c r="H39" s="3" t="str">
        <f>IFERROR(__xludf.DUMMYFUNCTION("GOOGLETRANSLATE(C39, ""it"", ""en"")"),"A. The horse receives no prize B. The horse receives a penalty C. The horse is excluded from the race D. The race continues normally")</f>
        <v>A. The horse receives no prize B. The horse receives a penalty C. The horse is excluded from the race D. The race continues normally</v>
      </c>
      <c r="I39" s="3" t="str">
        <f>IFERROR(__xludf.DUMMYFUNCTION("GOOGLETRANSLATE(D39, ""it"", ""en"")"),"The horse is excluded from the race")</f>
        <v>The horse is excluded from the race</v>
      </c>
      <c r="J39" s="2"/>
      <c r="K39" s="2"/>
      <c r="L39" s="2"/>
      <c r="M39" s="2"/>
      <c r="N39" s="2"/>
      <c r="O39" s="2"/>
      <c r="P39" s="2"/>
      <c r="Q39" s="2"/>
      <c r="R39" s="2"/>
      <c r="S39" s="2"/>
      <c r="T39" s="2"/>
      <c r="U39" s="2"/>
      <c r="V39" s="2"/>
    </row>
    <row r="40" ht="22.5" customHeight="1">
      <c r="A40" s="3">
        <v>42.0</v>
      </c>
      <c r="B40" s="3" t="s">
        <v>2617</v>
      </c>
      <c r="C40" s="3" t="s">
        <v>2618</v>
      </c>
      <c r="D40" s="3" t="s">
        <v>2591</v>
      </c>
      <c r="E40" s="2"/>
      <c r="F40" s="3" t="str">
        <f>IFERROR(__xludf.DUMMYFUNCTION("GOOGLETRANSLATE(A40, ""it"", ""en"")"),"42")</f>
        <v>42</v>
      </c>
      <c r="G40" s="3" t="str">
        <f>IFERROR(__xludf.DUMMYFUNCTION("GOOGLETRANSLATE(B40, ""it"", ""en"")"),"A. What happens if a horse enters late?")</f>
        <v>A. What happens if a horse enters late?</v>
      </c>
      <c r="H40" s="3" t="str">
        <f>IFERROR(__xludf.DUMMYFUNCTION("GOOGLETRANSLATE(C40, ""it"", ""en"")"),"A. The horse is excluded B. The race continues normally C. The horse is penalized D. The horse restarts")</f>
        <v>A. The horse is excluded B. The race continues normally C. The horse is penalized D. The horse restarts</v>
      </c>
      <c r="I40" s="3" t="str">
        <f>IFERROR(__xludf.DUMMYFUNCTION("GOOGLETRANSLATE(D40, ""it"", ""en"")"),"The horse is excluded")</f>
        <v>The horse is excluded</v>
      </c>
      <c r="J40" s="2"/>
      <c r="K40" s="2"/>
      <c r="L40" s="2"/>
      <c r="M40" s="2"/>
      <c r="N40" s="2"/>
      <c r="O40" s="2"/>
      <c r="P40" s="2"/>
      <c r="Q40" s="2"/>
      <c r="R40" s="2"/>
      <c r="S40" s="2"/>
      <c r="T40" s="2"/>
      <c r="U40" s="2"/>
      <c r="V40" s="2"/>
    </row>
    <row r="41" ht="22.5" customHeight="1">
      <c r="A41" s="3">
        <v>43.0</v>
      </c>
      <c r="B41" s="3" t="s">
        <v>2619</v>
      </c>
      <c r="C41" s="3" t="s">
        <v>2620</v>
      </c>
      <c r="D41" s="3" t="s">
        <v>2559</v>
      </c>
      <c r="E41" s="2"/>
      <c r="F41" s="3" t="str">
        <f>IFERROR(__xludf.DUMMYFUNCTION("GOOGLETRANSLATE(A41, ""it"", ""en"")"),"43")</f>
        <v>43</v>
      </c>
      <c r="G41" s="3" t="str">
        <f>IFERROR(__xludf.DUMMYFUNCTION("GOOGLETRANSLATE(B41, ""it"", ""en"")"),"A. What happens if a horse cuts off another horse during the race?")</f>
        <v>A. What happens if a horse cuts off another horse during the race?</v>
      </c>
      <c r="H41" s="3" t="str">
        <f>IFERROR(__xludf.DUMMYFUNCTION("GOOGLETRANSLATE(C41, ""it"", ""en"")"),"A. The horse is penalized B. The horse is disqualified C. The race continues normally D. The horse receives a warning")</f>
        <v>A. The horse is penalized B. The horse is disqualified C. The race continues normally D. The horse receives a warning</v>
      </c>
      <c r="I41" s="3" t="str">
        <f>IFERROR(__xludf.DUMMYFUNCTION("GOOGLETRANSLATE(D41, ""it"", ""en"")"),"The horse is penalized")</f>
        <v>The horse is penalized</v>
      </c>
      <c r="J41" s="2"/>
      <c r="K41" s="2"/>
      <c r="L41" s="2"/>
      <c r="M41" s="2"/>
      <c r="N41" s="2"/>
      <c r="O41" s="2"/>
      <c r="P41" s="2"/>
      <c r="Q41" s="2"/>
      <c r="R41" s="2"/>
      <c r="S41" s="2"/>
      <c r="T41" s="2"/>
      <c r="U41" s="2"/>
      <c r="V41" s="2"/>
    </row>
    <row r="42" ht="22.5" customHeight="1">
      <c r="A42" s="3">
        <v>44.0</v>
      </c>
      <c r="B42" s="3" t="s">
        <v>2621</v>
      </c>
      <c r="C42" s="3" t="s">
        <v>2600</v>
      </c>
      <c r="D42" s="3" t="s">
        <v>2559</v>
      </c>
      <c r="E42" s="2"/>
      <c r="F42" s="3" t="str">
        <f>IFERROR(__xludf.DUMMYFUNCTION("GOOGLETRANSLATE(A42, ""it"", ""en"")"),"44")</f>
        <v>44</v>
      </c>
      <c r="G42" s="3" t="str">
        <f>IFERROR(__xludf.DUMMYFUNCTION("GOOGLETRANSLATE(B42, ""it"", ""en"")"),"A. What happens if the horse misses a turn and loses time?")</f>
        <v>A. What happens if the horse misses a turn and loses time?</v>
      </c>
      <c r="H42" s="3" t="str">
        <f>IFERROR(__xludf.DUMMYFUNCTION("GOOGLETRANSLATE(C42, ""it"", ""en"")"),"A. The horse is penalized B. The race continues normally C. The horse is disqualified D. The horse receives a warning")</f>
        <v>A. The horse is penalized B. The race continues normally C. The horse is disqualified D. The horse receives a warning</v>
      </c>
      <c r="I42" s="3" t="str">
        <f>IFERROR(__xludf.DUMMYFUNCTION("GOOGLETRANSLATE(D42, ""it"", ""en"")"),"The horse is penalized")</f>
        <v>The horse is penalized</v>
      </c>
      <c r="J42" s="2"/>
      <c r="K42" s="2"/>
      <c r="L42" s="2"/>
      <c r="M42" s="2"/>
      <c r="N42" s="2"/>
      <c r="O42" s="2"/>
      <c r="P42" s="2"/>
      <c r="Q42" s="2"/>
      <c r="R42" s="2"/>
      <c r="S42" s="2"/>
      <c r="T42" s="2"/>
      <c r="U42" s="2"/>
      <c r="V42" s="2"/>
    </row>
    <row r="43" ht="22.5" customHeight="1">
      <c r="A43" s="3">
        <v>45.0</v>
      </c>
      <c r="B43" s="3" t="s">
        <v>2622</v>
      </c>
      <c r="C43" s="3" t="s">
        <v>2623</v>
      </c>
      <c r="D43" s="3" t="s">
        <v>2624</v>
      </c>
      <c r="E43" s="2"/>
      <c r="F43" s="3" t="str">
        <f>IFERROR(__xludf.DUMMYFUNCTION("GOOGLETRANSLATE(A43, ""it"", ""en"")"),"45")</f>
        <v>45</v>
      </c>
      <c r="G43" s="3" t="str">
        <f>IFERROR(__xludf.DUMMYFUNCTION("GOOGLETRANSLATE(B43, ""it"", ""en"")"),"A. What happens if a horse stops during the race due to an emergency?")</f>
        <v>A. What happens if a horse stops during the race due to an emergency?</v>
      </c>
      <c r="H43" s="3" t="str">
        <f>IFERROR(__xludf.DUMMYFUNCTION("GOOGLETRANSLATE(C43, ""it"", ""en"")"),"A. The race continues without the horse B. The horse is excluded C. The horse is penalized D. The horse restarts")</f>
        <v>A. The race continues without the horse B. The horse is excluded C. The horse is penalized D. The horse restarts</v>
      </c>
      <c r="I43" s="3" t="str">
        <f>IFERROR(__xludf.DUMMYFUNCTION("GOOGLETRANSLATE(D43, ""it"", ""en"")"),"The race continues without the horse")</f>
        <v>The race continues without the horse</v>
      </c>
      <c r="J43" s="2"/>
      <c r="K43" s="2"/>
      <c r="L43" s="2"/>
      <c r="M43" s="2"/>
      <c r="N43" s="2"/>
      <c r="O43" s="2"/>
      <c r="P43" s="2"/>
      <c r="Q43" s="2"/>
      <c r="R43" s="2"/>
      <c r="S43" s="2"/>
      <c r="T43" s="2"/>
      <c r="U43" s="2"/>
      <c r="V43" s="2"/>
    </row>
    <row r="44" ht="22.5" customHeight="1">
      <c r="A44" s="3">
        <v>46.0</v>
      </c>
      <c r="B44" s="3" t="s">
        <v>2625</v>
      </c>
      <c r="C44" s="3" t="s">
        <v>2626</v>
      </c>
      <c r="D44" s="3" t="s">
        <v>2627</v>
      </c>
      <c r="E44" s="2"/>
      <c r="F44" s="3" t="str">
        <f>IFERROR(__xludf.DUMMYFUNCTION("GOOGLETRANSLATE(A44, ""it"", ""en"")"),"46")</f>
        <v>46</v>
      </c>
      <c r="G44" s="3" t="str">
        <f>IFERROR(__xludf.DUMMYFUNCTION("GOOGLETRANSLATE(B44, ""it"", ""en"")"),"A. What happens if a horse wins the Palio but doesn't respect the rules?")</f>
        <v>A. What happens if a horse wins the Palio but doesn't respect the rules?</v>
      </c>
      <c r="H44" s="3" t="str">
        <f>IFERROR(__xludf.DUMMYFUNCTION("GOOGLETRANSLATE(C44, ""it"", ""en"")"),"A. The victory is annulled B. The horse is penalized C. The race is re-run D. The horse receives a penalty")</f>
        <v>A. The victory is annulled B. The horse is penalized C. The race is re-run D. The horse receives a penalty</v>
      </c>
      <c r="I44" s="3" t="str">
        <f>IFERROR(__xludf.DUMMYFUNCTION("GOOGLETRANSLATE(D44, ""it"", ""en"")"),"The victory is cancelled")</f>
        <v>The victory is cancelled</v>
      </c>
      <c r="J44" s="2"/>
      <c r="K44" s="2"/>
      <c r="L44" s="2"/>
      <c r="M44" s="2"/>
      <c r="N44" s="2"/>
      <c r="O44" s="2"/>
      <c r="P44" s="2"/>
      <c r="Q44" s="2"/>
      <c r="R44" s="2"/>
      <c r="S44" s="2"/>
      <c r="T44" s="2"/>
      <c r="U44" s="2"/>
      <c r="V44" s="2"/>
    </row>
    <row r="45" ht="22.5" customHeight="1">
      <c r="A45" s="3">
        <v>47.0</v>
      </c>
      <c r="B45" s="3" t="s">
        <v>2628</v>
      </c>
      <c r="C45" s="3" t="s">
        <v>2629</v>
      </c>
      <c r="D45" s="3" t="s">
        <v>2586</v>
      </c>
      <c r="E45" s="2"/>
      <c r="F45" s="3" t="str">
        <f>IFERROR(__xludf.DUMMYFUNCTION("GOOGLETRANSLATE(A45, ""it"", ""en"")"),"47")</f>
        <v>47</v>
      </c>
      <c r="G45" s="3" t="str">
        <f>IFERROR(__xludf.DUMMYFUNCTION("GOOGLETRANSLATE(B45, ""it"", ""en"")"),"A. What happens if a horse loses control?")</f>
        <v>A. What happens if a horse loses control?</v>
      </c>
      <c r="H45" s="3" t="str">
        <f>IFERROR(__xludf.DUMMYFUNCTION("GOOGLETRANSLATE(C45, ""it"", ""en"")"),"A. The horse is penalized B. The race is cancelled C. The horse restarts D. The horse is disqualified")</f>
        <v>A. The horse is penalized B. The race is cancelled C. The horse restarts D. The horse is disqualified</v>
      </c>
      <c r="I45" s="3" t="str">
        <f>IFERROR(__xludf.DUMMYFUNCTION("GOOGLETRANSLATE(D45, ""it"", ""en"")"),"The horse is penalized")</f>
        <v>The horse is penalized</v>
      </c>
      <c r="J45" s="2"/>
      <c r="K45" s="2"/>
      <c r="L45" s="2"/>
      <c r="M45" s="2"/>
      <c r="N45" s="2"/>
      <c r="O45" s="2"/>
      <c r="P45" s="2"/>
      <c r="Q45" s="2"/>
      <c r="R45" s="2"/>
      <c r="S45" s="2"/>
      <c r="T45" s="2"/>
      <c r="U45" s="2"/>
      <c r="V45" s="2"/>
    </row>
    <row r="46" ht="22.5" customHeight="1">
      <c r="A46" s="3">
        <v>48.0</v>
      </c>
      <c r="B46" s="3" t="s">
        <v>2630</v>
      </c>
      <c r="C46" s="3" t="s">
        <v>2631</v>
      </c>
      <c r="D46" s="3" t="s">
        <v>2559</v>
      </c>
      <c r="E46" s="2"/>
      <c r="F46" s="3" t="str">
        <f>IFERROR(__xludf.DUMMYFUNCTION("GOOGLETRANSLATE(A46, ""it"", ""en"")"),"48")</f>
        <v>48</v>
      </c>
      <c r="G46" s="3" t="str">
        <f>IFERROR(__xludf.DUMMYFUNCTION("GOOGLETRANSLATE(B46, ""it"", ""en"")"),"A. What happens if a horse changes course for no reason?")</f>
        <v>A. What happens if a horse changes course for no reason?</v>
      </c>
      <c r="H46" s="3" t="str">
        <f>IFERROR(__xludf.DUMMYFUNCTION("GOOGLETRANSLATE(C46, ""it"", ""en"")"),"A. The horse is penalized B. The horse is disqualified C. The race continues normally D. The horse receives a warning")</f>
        <v>A. The horse is penalized B. The horse is disqualified C. The race continues normally D. The horse receives a warning</v>
      </c>
      <c r="I46" s="3" t="str">
        <f>IFERROR(__xludf.DUMMYFUNCTION("GOOGLETRANSLATE(D46, ""it"", ""en"")"),"The horse is penalized")</f>
        <v>The horse is penalized</v>
      </c>
      <c r="J46" s="2"/>
      <c r="K46" s="2"/>
      <c r="L46" s="2"/>
      <c r="M46" s="2"/>
      <c r="N46" s="2"/>
      <c r="O46" s="2"/>
      <c r="P46" s="2"/>
      <c r="Q46" s="2"/>
      <c r="R46" s="2"/>
      <c r="S46" s="2"/>
      <c r="T46" s="2"/>
      <c r="U46" s="2"/>
      <c r="V46" s="2"/>
    </row>
    <row r="47" ht="22.5" customHeight="1">
      <c r="A47" s="3">
        <v>49.0</v>
      </c>
      <c r="B47" s="3" t="s">
        <v>2632</v>
      </c>
      <c r="C47" s="3" t="s">
        <v>2633</v>
      </c>
      <c r="D47" s="3" t="s">
        <v>2575</v>
      </c>
      <c r="E47" s="2"/>
      <c r="F47" s="3" t="str">
        <f>IFERROR(__xludf.DUMMYFUNCTION("GOOGLETRANSLATE(A47, ""it"", ""en"")"),"49")</f>
        <v>49</v>
      </c>
      <c r="G47" s="3" t="str">
        <f>IFERROR(__xludf.DUMMYFUNCTION("GOOGLETRANSLATE(B47, ""it"", ""en"")"),"A. If a horse is thrown but doesn't stop, what happens?")</f>
        <v>A. If a horse is thrown but doesn't stop, what happens?</v>
      </c>
      <c r="H47" s="3" t="str">
        <f>IFERROR(__xludf.DUMMYFUNCTION("GOOGLETRANSLATE(C47, ""it"", ""en"")"),"A. The race continues normally B. The horse is disqualified C. The horse is penalized D. The horse must restart")</f>
        <v>A. The race continues normally B. The horse is disqualified C. The horse is penalized D. The horse must restart</v>
      </c>
      <c r="I47" s="3" t="str">
        <f>IFERROR(__xludf.DUMMYFUNCTION("GOOGLETRANSLATE(D47, ""it"", ""en"")"),"The race continues normally")</f>
        <v>The race continues normally</v>
      </c>
      <c r="J47" s="2"/>
      <c r="K47" s="2"/>
      <c r="L47" s="2"/>
      <c r="M47" s="2"/>
      <c r="N47" s="2"/>
      <c r="O47" s="2"/>
      <c r="P47" s="2"/>
      <c r="Q47" s="2"/>
      <c r="R47" s="2"/>
      <c r="S47" s="2"/>
      <c r="T47" s="2"/>
      <c r="U47" s="2"/>
      <c r="V47" s="2"/>
    </row>
    <row r="48" ht="22.5" customHeight="1">
      <c r="A48" s="3">
        <v>50.0</v>
      </c>
      <c r="B48" s="3" t="s">
        <v>2634</v>
      </c>
      <c r="C48" s="3" t="s">
        <v>2635</v>
      </c>
      <c r="D48" s="3" t="s">
        <v>2636</v>
      </c>
      <c r="E48" s="2"/>
      <c r="F48" s="3" t="str">
        <f>IFERROR(__xludf.DUMMYFUNCTION("GOOGLETRANSLATE(A48, ""it"", ""en"")"),"50")</f>
        <v>50</v>
      </c>
      <c r="G48" s="3" t="str">
        <f>IFERROR(__xludf.DUMMYFUNCTION("GOOGLETRANSLATE(B48, ""it"", ""en"")"),"A. What happens if the horse can't start due to technical problems?")</f>
        <v>A. What happens if the horse can't start due to technical problems?</v>
      </c>
      <c r="H48" s="3" t="str">
        <f>IFERROR(__xludf.DUMMYFUNCTION("GOOGLETRANSLATE(C48, ""it"", ""en"")"),"A. The race continues without him B. The horse is penalized C. The race is repeated D. The horse is excluded")</f>
        <v>A. The race continues without him B. The horse is penalized C. The race is repeated D. The horse is excluded</v>
      </c>
      <c r="I48" s="3" t="str">
        <f>IFERROR(__xludf.DUMMYFUNCTION("GOOGLETRANSLATE(D48, ""it"", ""en"")"),"The race continues without him")</f>
        <v>The race continues without him</v>
      </c>
      <c r="J48" s="2"/>
      <c r="K48" s="2"/>
      <c r="L48" s="2"/>
      <c r="M48" s="2"/>
      <c r="N48" s="2"/>
      <c r="O48" s="2"/>
      <c r="P48" s="2"/>
      <c r="Q48" s="2"/>
      <c r="R48" s="2"/>
      <c r="S48" s="2"/>
      <c r="T48" s="2"/>
      <c r="U48" s="2"/>
      <c r="V48" s="2"/>
    </row>
    <row r="49" ht="22.5" customHeight="1">
      <c r="A49" s="3">
        <v>51.0</v>
      </c>
      <c r="B49" s="3" t="s">
        <v>2637</v>
      </c>
      <c r="C49" s="3" t="s">
        <v>2638</v>
      </c>
      <c r="D49" s="3" t="s">
        <v>2586</v>
      </c>
      <c r="E49" s="2"/>
      <c r="F49" s="3" t="str">
        <f>IFERROR(__xludf.DUMMYFUNCTION("GOOGLETRANSLATE(A49, ""it"", ""en"")"),"51")</f>
        <v>51</v>
      </c>
      <c r="G49" s="3" t="str">
        <f>IFERROR(__xludf.DUMMYFUNCTION("GOOGLETRANSLATE(B49, ""it"", ""en"")"),"A. What happens if a horse goes too fast and loses control?")</f>
        <v>A. What happens if a horse goes too fast and loses control?</v>
      </c>
      <c r="H49" s="3" t="str">
        <f>IFERROR(__xludf.DUMMYFUNCTION("GOOGLETRANSLATE(C49, ""it"", ""en"")"),"A. The horse is penalized B. The race continues normally C. The horse is disqualified D. The horse receives a penalty")</f>
        <v>A. The horse is penalized B. The race continues normally C. The horse is disqualified D. The horse receives a penalty</v>
      </c>
      <c r="I49" s="3" t="str">
        <f>IFERROR(__xludf.DUMMYFUNCTION("GOOGLETRANSLATE(D49, ""it"", ""en"")"),"The horse is penalized")</f>
        <v>The horse is penalized</v>
      </c>
      <c r="J49" s="2"/>
      <c r="K49" s="2"/>
      <c r="L49" s="2"/>
      <c r="M49" s="2"/>
      <c r="N49" s="2"/>
      <c r="O49" s="2"/>
      <c r="P49" s="2"/>
      <c r="Q49" s="2"/>
      <c r="R49" s="2"/>
      <c r="S49" s="2"/>
      <c r="T49" s="2"/>
      <c r="U49" s="2"/>
      <c r="V49" s="2"/>
    </row>
    <row r="50" ht="22.5" customHeight="1">
      <c r="A50" s="3">
        <v>52.0</v>
      </c>
      <c r="B50" s="3" t="s">
        <v>2639</v>
      </c>
      <c r="C50" s="3" t="s">
        <v>2640</v>
      </c>
      <c r="D50" s="3" t="s">
        <v>2559</v>
      </c>
      <c r="E50" s="2"/>
      <c r="F50" s="3" t="str">
        <f>IFERROR(__xludf.DUMMYFUNCTION("GOOGLETRANSLATE(A50, ""it"", ""en"")"),"52")</f>
        <v>52</v>
      </c>
      <c r="G50" s="3" t="str">
        <f>IFERROR(__xludf.DUMMYFUNCTION("GOOGLETRANSLATE(B50, ""it"", ""en"")"),"A. What happens if a horse hinders another during the race?")</f>
        <v>A. What happens if a horse hinders another during the race?</v>
      </c>
      <c r="H50" s="3" t="str">
        <f>IFERROR(__xludf.DUMMYFUNCTION("GOOGLETRANSLATE(C50, ""it"", ""en"")"),"A. The horse is penalized B. The race is cancelled C. The horse is disqualified D. The horse receives a warning")</f>
        <v>A. The horse is penalized B. The race is cancelled C. The horse is disqualified D. The horse receives a warning</v>
      </c>
      <c r="I50" s="3" t="str">
        <f>IFERROR(__xludf.DUMMYFUNCTION("GOOGLETRANSLATE(D50, ""it"", ""en"")"),"The horse is penalized")</f>
        <v>The horse is penalized</v>
      </c>
      <c r="J50" s="2"/>
      <c r="K50" s="2"/>
      <c r="L50" s="2"/>
      <c r="M50" s="2"/>
      <c r="N50" s="2"/>
      <c r="O50" s="2"/>
      <c r="P50" s="2"/>
      <c r="Q50" s="2"/>
      <c r="R50" s="2"/>
      <c r="S50" s="2"/>
      <c r="T50" s="2"/>
      <c r="U50" s="2"/>
      <c r="V50" s="2"/>
    </row>
    <row r="51" ht="22.5" customHeight="1">
      <c r="A51" s="3">
        <v>53.0</v>
      </c>
      <c r="B51" s="3" t="s">
        <v>2641</v>
      </c>
      <c r="C51" s="3" t="s">
        <v>2642</v>
      </c>
      <c r="D51" s="3" t="s">
        <v>2522</v>
      </c>
      <c r="E51" s="2"/>
      <c r="F51" s="3" t="str">
        <f>IFERROR(__xludf.DUMMYFUNCTION("GOOGLETRANSLATE(A51, ""it"", ""en"")"),"53")</f>
        <v>53</v>
      </c>
      <c r="G51" s="3" t="str">
        <f>IFERROR(__xludf.DUMMYFUNCTION("GOOGLETRANSLATE(B51, ""it"", ""en"")"),"A. What happens if a horse doesn't follow the starting order?")</f>
        <v>A. What happens if a horse doesn't follow the starting order?</v>
      </c>
      <c r="H51" s="3" t="str">
        <f>IFERROR(__xludf.DUMMYFUNCTION("GOOGLETRANSLATE(C51, ""it"", ""en"")"),"A. The horse is disqualified B. The horse is penalized C. The race continues normally D. The horse receives a warning")</f>
        <v>A. The horse is disqualified B. The horse is penalized C. The race continues normally D. The horse receives a warning</v>
      </c>
      <c r="I51" s="3" t="str">
        <f>IFERROR(__xludf.DUMMYFUNCTION("GOOGLETRANSLATE(D51, ""it"", ""en"")"),"The horse is disqualified")</f>
        <v>The horse is disqualified</v>
      </c>
      <c r="J51" s="2"/>
      <c r="K51" s="2"/>
      <c r="L51" s="2"/>
      <c r="M51" s="2"/>
      <c r="N51" s="2"/>
      <c r="O51" s="2"/>
      <c r="P51" s="2"/>
      <c r="Q51" s="2"/>
      <c r="R51" s="2"/>
      <c r="S51" s="2"/>
      <c r="T51" s="2"/>
      <c r="U51" s="2"/>
      <c r="V51" s="2"/>
    </row>
    <row r="52" ht="22.5" customHeight="1">
      <c r="A52" s="3">
        <v>54.0</v>
      </c>
      <c r="B52" s="3" t="s">
        <v>2643</v>
      </c>
      <c r="C52" s="3" t="s">
        <v>2644</v>
      </c>
      <c r="D52" s="3" t="s">
        <v>2645</v>
      </c>
      <c r="E52" s="2"/>
      <c r="F52" s="3" t="str">
        <f>IFERROR(__xludf.DUMMYFUNCTION("GOOGLETRANSLATE(A52, ""it"", ""en"")"),"54")</f>
        <v>54</v>
      </c>
      <c r="G52" s="3" t="str">
        <f>IFERROR(__xludf.DUMMYFUNCTION("GOOGLETRANSLATE(B52, ""it"", ""en"")"),"A. What happens if the horse is the only one to complete the race?")</f>
        <v>A. What happens if the horse is the only one to complete the race?</v>
      </c>
      <c r="H52" s="3" t="str">
        <f>IFERROR(__xludf.DUMMYFUNCTION("GOOGLETRANSLATE(C52, ""it"", ""en"")"),"A. The horse wins the Palio B. The horse is penalized C. The race is cancelled D. The horse receives a special prize")</f>
        <v>A. The horse wins the Palio B. The horse is penalized C. The race is cancelled D. The horse receives a special prize</v>
      </c>
      <c r="I52" s="3" t="str">
        <f>IFERROR(__xludf.DUMMYFUNCTION("GOOGLETRANSLATE(D52, ""it"", ""en"")"),"The horse wins the Palio")</f>
        <v>The horse wins the Palio</v>
      </c>
      <c r="J52" s="2"/>
      <c r="K52" s="2"/>
      <c r="L52" s="2"/>
      <c r="M52" s="2"/>
      <c r="N52" s="2"/>
      <c r="O52" s="2"/>
      <c r="P52" s="2"/>
      <c r="Q52" s="2"/>
      <c r="R52" s="2"/>
      <c r="S52" s="2"/>
      <c r="T52" s="2"/>
      <c r="U52" s="2"/>
      <c r="V52" s="2"/>
    </row>
    <row r="53" ht="22.5" customHeight="1">
      <c r="A53" s="3">
        <v>55.0</v>
      </c>
      <c r="B53" s="3" t="s">
        <v>2646</v>
      </c>
      <c r="C53" s="3" t="s">
        <v>2638</v>
      </c>
      <c r="D53" s="3" t="s">
        <v>2586</v>
      </c>
      <c r="E53" s="2"/>
      <c r="F53" s="3" t="str">
        <f>IFERROR(__xludf.DUMMYFUNCTION("GOOGLETRANSLATE(A53, ""it"", ""en"")"),"55")</f>
        <v>55</v>
      </c>
      <c r="G53" s="3" t="str">
        <f>IFERROR(__xludf.DUMMYFUNCTION("GOOGLETRANSLATE(B53, ""it"", ""en"")"),"A. What happens if the horse loses time during the race?")</f>
        <v>A. What happens if the horse loses time during the race?</v>
      </c>
      <c r="H53" s="3" t="str">
        <f>IFERROR(__xludf.DUMMYFUNCTION("GOOGLETRANSLATE(C53, ""it"", ""en"")"),"A. The horse is penalized B. The race continues normally C. The horse is disqualified D. The horse receives a penalty")</f>
        <v>A. The horse is penalized B. The race continues normally C. The horse is disqualified D. The horse receives a penalty</v>
      </c>
      <c r="I53" s="3" t="str">
        <f>IFERROR(__xludf.DUMMYFUNCTION("GOOGLETRANSLATE(D53, ""it"", ""en"")"),"The horse is penalized")</f>
        <v>The horse is penalized</v>
      </c>
      <c r="J53" s="2"/>
      <c r="K53" s="2"/>
      <c r="L53" s="2"/>
      <c r="M53" s="2"/>
      <c r="N53" s="2"/>
      <c r="O53" s="2"/>
      <c r="P53" s="2"/>
      <c r="Q53" s="2"/>
      <c r="R53" s="2"/>
      <c r="S53" s="2"/>
      <c r="T53" s="2"/>
      <c r="U53" s="2"/>
      <c r="V53" s="2"/>
    </row>
    <row r="54" ht="22.5" customHeight="1">
      <c r="A54" s="3">
        <v>56.0</v>
      </c>
      <c r="B54" s="3" t="s">
        <v>2647</v>
      </c>
      <c r="C54" s="3" t="s">
        <v>2648</v>
      </c>
      <c r="D54" s="3" t="s">
        <v>2586</v>
      </c>
      <c r="E54" s="2"/>
      <c r="F54" s="3" t="str">
        <f>IFERROR(__xludf.DUMMYFUNCTION("GOOGLETRANSLATE(A54, ""it"", ""en"")"),"56")</f>
        <v>56</v>
      </c>
      <c r="G54" s="3" t="str">
        <f>IFERROR(__xludf.DUMMYFUNCTION("GOOGLETRANSLATE(B54, ""it"", ""en"")"),"A. What happens if a horse doesn't complete the course but reaches the finish line?")</f>
        <v>A. What happens if a horse doesn't complete the course but reaches the finish line?</v>
      </c>
      <c r="H54" s="3" t="str">
        <f>IFERROR(__xludf.DUMMYFUNCTION("GOOGLETRANSLATE(C54, ""it"", ""en"")"),"A. The race is cancelled B. The horse is penalised C. The race continues normally D. The horse wins anyway")</f>
        <v>A. The race is cancelled B. The horse is penalised C. The race continues normally D. The horse wins anyway</v>
      </c>
      <c r="I54" s="3" t="str">
        <f>IFERROR(__xludf.DUMMYFUNCTION("GOOGLETRANSLATE(D54, ""it"", ""en"")"),"The horse is penalized")</f>
        <v>The horse is penalized</v>
      </c>
      <c r="J54" s="2"/>
      <c r="K54" s="2"/>
      <c r="L54" s="2"/>
      <c r="M54" s="2"/>
      <c r="N54" s="2"/>
      <c r="O54" s="2"/>
      <c r="P54" s="2"/>
      <c r="Q54" s="2"/>
      <c r="R54" s="2"/>
      <c r="S54" s="2"/>
      <c r="T54" s="2"/>
      <c r="U54" s="2"/>
      <c r="V54" s="2"/>
    </row>
    <row r="55" ht="22.5" customHeight="1">
      <c r="A55" s="3">
        <v>57.0</v>
      </c>
      <c r="B55" s="3" t="s">
        <v>2649</v>
      </c>
      <c r="C55" s="3" t="s">
        <v>2650</v>
      </c>
      <c r="D55" s="3" t="s">
        <v>2586</v>
      </c>
      <c r="E55" s="2"/>
      <c r="F55" s="3" t="str">
        <f>IFERROR(__xludf.DUMMYFUNCTION("GOOGLETRANSLATE(A55, ""it"", ""en"")"),"57")</f>
        <v>57</v>
      </c>
      <c r="G55" s="3" t="str">
        <f>IFERROR(__xludf.DUMMYFUNCTION("GOOGLETRANSLATE(B55, ""it"", ""en"")"),"A. What happens if a horse doesn't respect the distance during the race?")</f>
        <v>A. What happens if a horse doesn't respect the distance during the race?</v>
      </c>
      <c r="H55" s="3" t="str">
        <f>IFERROR(__xludf.DUMMYFUNCTION("GOOGLETRANSLATE(C55, ""it"", ""en"")"),"A. The horse is penalized B. The horse is disqualified C. The race continues normally D. The horse receives a warning")</f>
        <v>A. The horse is penalized B. The horse is disqualified C. The race continues normally D. The horse receives a warning</v>
      </c>
      <c r="I55" s="3" t="str">
        <f>IFERROR(__xludf.DUMMYFUNCTION("GOOGLETRANSLATE(D55, ""it"", ""en"")"),"The horse is penalized")</f>
        <v>The horse is penalized</v>
      </c>
      <c r="J55" s="2"/>
      <c r="K55" s="2"/>
      <c r="L55" s="2"/>
      <c r="M55" s="2"/>
      <c r="N55" s="2"/>
      <c r="O55" s="2"/>
      <c r="P55" s="2"/>
      <c r="Q55" s="2"/>
      <c r="R55" s="2"/>
      <c r="S55" s="2"/>
      <c r="T55" s="2"/>
      <c r="U55" s="2"/>
      <c r="V55" s="2"/>
    </row>
    <row r="56" ht="22.5" customHeight="1">
      <c r="A56" s="3">
        <v>58.0</v>
      </c>
      <c r="B56" s="3" t="s">
        <v>2651</v>
      </c>
      <c r="C56" s="3" t="s">
        <v>2652</v>
      </c>
      <c r="D56" s="3" t="s">
        <v>2559</v>
      </c>
      <c r="E56" s="2"/>
      <c r="F56" s="3" t="str">
        <f>IFERROR(__xludf.DUMMYFUNCTION("GOOGLETRANSLATE(A56, ""it"", ""en"")"),"58")</f>
        <v>58</v>
      </c>
      <c r="G56" s="3" t="str">
        <f>IFERROR(__xludf.DUMMYFUNCTION("GOOGLETRANSLATE(B56, ""it"", ""en"")"),"A. What happens if a horse cuts the course?")</f>
        <v>A. What happens if a horse cuts the course?</v>
      </c>
      <c r="H56" s="3" t="str">
        <f>IFERROR(__xludf.DUMMYFUNCTION("GOOGLETRANSLATE(C56, ""it"", ""en"")"),"A. The horse is penalized B. The race continues normally C. The horse receives a penalty D. The horse is disqualified")</f>
        <v>A. The horse is penalized B. The race continues normally C. The horse receives a penalty D. The horse is disqualified</v>
      </c>
      <c r="I56" s="3" t="str">
        <f>IFERROR(__xludf.DUMMYFUNCTION("GOOGLETRANSLATE(D56, ""it"", ""en"")"),"The horse is penalized")</f>
        <v>The horse is penalized</v>
      </c>
      <c r="J56" s="2"/>
      <c r="K56" s="2"/>
      <c r="L56" s="2"/>
      <c r="M56" s="2"/>
      <c r="N56" s="2"/>
      <c r="O56" s="2"/>
      <c r="P56" s="2"/>
      <c r="Q56" s="2"/>
      <c r="R56" s="2"/>
      <c r="S56" s="2"/>
      <c r="T56" s="2"/>
      <c r="U56" s="2"/>
      <c r="V56" s="2"/>
    </row>
    <row r="57" ht="22.5" customHeight="1">
      <c r="A57" s="3">
        <v>59.0</v>
      </c>
      <c r="B57" s="3" t="s">
        <v>2653</v>
      </c>
      <c r="C57" s="3" t="s">
        <v>2654</v>
      </c>
      <c r="D57" s="3" t="s">
        <v>2655</v>
      </c>
      <c r="E57" s="2"/>
      <c r="F57" s="3" t="str">
        <f>IFERROR(__xludf.DUMMYFUNCTION("GOOGLETRANSLATE(A57, ""it"", ""en"")"),"59")</f>
        <v>59</v>
      </c>
      <c r="G57" s="3" t="str">
        <f>IFERROR(__xludf.DUMMYFUNCTION("GOOGLETRANSLATE(B57, ""it"", ""en"")"),"A. What happens if the horse wins but the race is disputed?")</f>
        <v>A. What happens if the horse wins but the race is disputed?</v>
      </c>
      <c r="H57" s="3" t="str">
        <f>IFERROR(__xludf.DUMMYFUNCTION("GOOGLETRANSLATE(C57, ""it"", ""en"")"),"A. The race is re-run B. The horse is penalized C. The horse is disqualified D. The victory is confirmed")</f>
        <v>A. The race is re-run B. The horse is penalized C. The horse is disqualified D. The victory is confirmed</v>
      </c>
      <c r="I57" s="3" t="str">
        <f>IFERROR(__xludf.DUMMYFUNCTION("GOOGLETRANSLATE(D57, ""it"", ""en"")"),"The race is repeated")</f>
        <v>The race is repeated</v>
      </c>
      <c r="J57" s="2"/>
      <c r="K57" s="2"/>
      <c r="L57" s="2"/>
      <c r="M57" s="2"/>
      <c r="N57" s="2"/>
      <c r="O57" s="2"/>
      <c r="P57" s="2"/>
      <c r="Q57" s="2"/>
      <c r="R57" s="2"/>
      <c r="S57" s="2"/>
      <c r="T57" s="2"/>
      <c r="U57" s="2"/>
      <c r="V57" s="2"/>
    </row>
    <row r="58" ht="22.5" customHeight="1">
      <c r="A58" s="3">
        <v>60.0</v>
      </c>
      <c r="B58" s="3" t="s">
        <v>2656</v>
      </c>
      <c r="C58" s="3" t="s">
        <v>2657</v>
      </c>
      <c r="D58" s="3" t="s">
        <v>2586</v>
      </c>
      <c r="E58" s="2"/>
      <c r="F58" s="3" t="str">
        <f>IFERROR(__xludf.DUMMYFUNCTION("GOOGLETRANSLATE(A58, ""it"", ""en"")"),"60")</f>
        <v>60</v>
      </c>
      <c r="G58" s="3" t="str">
        <f>IFERROR(__xludf.DUMMYFUNCTION("GOOGLETRANSLATE(B58, ""it"", ""en"")"),"A. What happens if the horse loses control and stops?")</f>
        <v>A. What happens if the horse loses control and stops?</v>
      </c>
      <c r="H58" s="3" t="str">
        <f>IFERROR(__xludf.DUMMYFUNCTION("GOOGLETRANSLATE(C58, ""it"", ""en"")"),"A. The horse is penalized B. The race continues normally C. The horse is disqualified D. The horse restarts")</f>
        <v>A. The horse is penalized B. The race continues normally C. The horse is disqualified D. The horse restarts</v>
      </c>
      <c r="I58" s="3" t="str">
        <f>IFERROR(__xludf.DUMMYFUNCTION("GOOGLETRANSLATE(D58, ""it"", ""en"")"),"The horse is penalized")</f>
        <v>The horse is penalized</v>
      </c>
      <c r="J58" s="2"/>
      <c r="K58" s="2"/>
      <c r="L58" s="2"/>
      <c r="M58" s="2"/>
      <c r="N58" s="2"/>
      <c r="O58" s="2"/>
      <c r="P58" s="2"/>
      <c r="Q58" s="2"/>
      <c r="R58" s="2"/>
      <c r="S58" s="2"/>
      <c r="T58" s="2"/>
      <c r="U58" s="2"/>
      <c r="V58" s="2"/>
    </row>
    <row r="59" ht="22.5" customHeight="1">
      <c r="A59" s="3">
        <v>61.0</v>
      </c>
      <c r="B59" s="3" t="s">
        <v>2658</v>
      </c>
      <c r="C59" s="3" t="s">
        <v>2657</v>
      </c>
      <c r="D59" s="3" t="s">
        <v>2586</v>
      </c>
      <c r="E59" s="2"/>
      <c r="F59" s="3" t="str">
        <f>IFERROR(__xludf.DUMMYFUNCTION("GOOGLETRANSLATE(A59, ""it"", ""en"")"),"61")</f>
        <v>61</v>
      </c>
      <c r="G59" s="3" t="str">
        <f>IFERROR(__xludf.DUMMYFUNCTION("GOOGLETRANSLATE(B59, ""it"", ""en"")"),"A. What happens if a horse is thrown and loses ground?")</f>
        <v>A. What happens if a horse is thrown and loses ground?</v>
      </c>
      <c r="H59" s="3" t="str">
        <f>IFERROR(__xludf.DUMMYFUNCTION("GOOGLETRANSLATE(C59, ""it"", ""en"")"),"A. The horse is penalized B. The race continues normally C. The horse is disqualified D. The horse restarts")</f>
        <v>A. The horse is penalized B. The race continues normally C. The horse is disqualified D. The horse restarts</v>
      </c>
      <c r="I59" s="3" t="str">
        <f>IFERROR(__xludf.DUMMYFUNCTION("GOOGLETRANSLATE(D59, ""it"", ""en"")"),"The horse is penalized")</f>
        <v>The horse is penalized</v>
      </c>
      <c r="J59" s="2"/>
      <c r="K59" s="2"/>
      <c r="L59" s="2"/>
      <c r="M59" s="2"/>
      <c r="N59" s="2"/>
      <c r="O59" s="2"/>
      <c r="P59" s="2"/>
      <c r="Q59" s="2"/>
      <c r="R59" s="2"/>
      <c r="S59" s="2"/>
      <c r="T59" s="2"/>
      <c r="U59" s="2"/>
      <c r="V59" s="2"/>
    </row>
    <row r="60" ht="22.5" customHeight="1">
      <c r="A60" s="3">
        <v>62.0</v>
      </c>
      <c r="B60" s="3" t="s">
        <v>2659</v>
      </c>
      <c r="C60" s="3" t="s">
        <v>2657</v>
      </c>
      <c r="D60" s="3" t="s">
        <v>2586</v>
      </c>
      <c r="E60" s="2"/>
      <c r="F60" s="3" t="str">
        <f>IFERROR(__xludf.DUMMYFUNCTION("GOOGLETRANSLATE(A60, ""it"", ""en"")"),"62")</f>
        <v>62</v>
      </c>
      <c r="G60" s="3" t="str">
        <f>IFERROR(__xludf.DUMMYFUNCTION("GOOGLETRANSLATE(B60, ""it"", ""en"")"),"A. What happens if the horse slips and loses time during the race?")</f>
        <v>A. What happens if the horse slips and loses time during the race?</v>
      </c>
      <c r="H60" s="3" t="str">
        <f>IFERROR(__xludf.DUMMYFUNCTION("GOOGLETRANSLATE(C60, ""it"", ""en"")"),"A. The horse is penalized B. The race continues normally C. The horse is disqualified D. The horse restarts")</f>
        <v>A. The horse is penalized B. The race continues normally C. The horse is disqualified D. The horse restarts</v>
      </c>
      <c r="I60" s="3" t="str">
        <f>IFERROR(__xludf.DUMMYFUNCTION("GOOGLETRANSLATE(D60, ""it"", ""en"")"),"The horse is penalized")</f>
        <v>The horse is penalized</v>
      </c>
      <c r="J60" s="2"/>
      <c r="K60" s="2"/>
      <c r="L60" s="2"/>
      <c r="M60" s="2"/>
      <c r="N60" s="2"/>
      <c r="O60" s="2"/>
      <c r="P60" s="2"/>
      <c r="Q60" s="2"/>
      <c r="R60" s="2"/>
      <c r="S60" s="2"/>
      <c r="T60" s="2"/>
      <c r="U60" s="2"/>
      <c r="V60" s="2"/>
    </row>
    <row r="61" ht="22.5" customHeight="1">
      <c r="A61" s="3">
        <v>63.0</v>
      </c>
      <c r="B61" s="3" t="s">
        <v>2660</v>
      </c>
      <c r="C61" s="3" t="s">
        <v>2600</v>
      </c>
      <c r="D61" s="3" t="s">
        <v>2559</v>
      </c>
      <c r="E61" s="2"/>
      <c r="F61" s="3" t="str">
        <f>IFERROR(__xludf.DUMMYFUNCTION("GOOGLETRANSLATE(A61, ""it"", ""en"")"),"63")</f>
        <v>63</v>
      </c>
      <c r="G61" s="3" t="str">
        <f>IFERROR(__xludf.DUMMYFUNCTION("GOOGLETRANSLATE(B61, ""it"", ""en"")"),"A. What happens if a horse cuts a dangerous bend?")</f>
        <v>A. What happens if a horse cuts a dangerous bend?</v>
      </c>
      <c r="H61" s="3" t="str">
        <f>IFERROR(__xludf.DUMMYFUNCTION("GOOGLETRANSLATE(C61, ""it"", ""en"")"),"A. The horse is penalized B. The race continues normally C. The horse is disqualified D. The horse receives a warning")</f>
        <v>A. The horse is penalized B. The race continues normally C. The horse is disqualified D. The horse receives a warning</v>
      </c>
      <c r="I61" s="3" t="str">
        <f>IFERROR(__xludf.DUMMYFUNCTION("GOOGLETRANSLATE(D61, ""it"", ""en"")"),"The horse is penalized")</f>
        <v>The horse is penalized</v>
      </c>
      <c r="J61" s="2"/>
      <c r="K61" s="2"/>
      <c r="L61" s="2"/>
      <c r="M61" s="2"/>
      <c r="N61" s="2"/>
      <c r="O61" s="2"/>
      <c r="P61" s="2"/>
      <c r="Q61" s="2"/>
      <c r="R61" s="2"/>
      <c r="S61" s="2"/>
      <c r="T61" s="2"/>
      <c r="U61" s="2"/>
      <c r="V61" s="2"/>
    </row>
    <row r="62" ht="22.5" customHeight="1">
      <c r="A62" s="3">
        <v>64.0</v>
      </c>
      <c r="B62" s="3" t="s">
        <v>2661</v>
      </c>
      <c r="C62" s="3" t="s">
        <v>2662</v>
      </c>
      <c r="D62" s="3" t="s">
        <v>2522</v>
      </c>
      <c r="E62" s="2"/>
      <c r="F62" s="3" t="str">
        <f>IFERROR(__xludf.DUMMYFUNCTION("GOOGLETRANSLATE(A62, ""it"", ""en"")"),"64")</f>
        <v>64</v>
      </c>
      <c r="G62" s="3" t="str">
        <f>IFERROR(__xludf.DUMMYFUNCTION("GOOGLETRANSLATE(B62, ""it"", ""en"")"),"A. What happens if a horse fails to complete the course and doesn't reach the finish line?")</f>
        <v>A. What happens if a horse fails to complete the course and doesn't reach the finish line?</v>
      </c>
      <c r="H62" s="3" t="str">
        <f>IFERROR(__xludf.DUMMYFUNCTION("GOOGLETRANSLATE(C62, ""it"", ""en"")"),"A. The horse is disqualified B. The race continues without him C. The horse receives a penalty D. The race is cancelled")</f>
        <v>A. The horse is disqualified B. The race continues without him C. The horse receives a penalty D. The race is cancelled</v>
      </c>
      <c r="I62" s="3" t="str">
        <f>IFERROR(__xludf.DUMMYFUNCTION("GOOGLETRANSLATE(D62, ""it"", ""en"")"),"The horse is disqualified")</f>
        <v>The horse is disqualified</v>
      </c>
      <c r="J62" s="2"/>
      <c r="K62" s="2"/>
      <c r="L62" s="2"/>
      <c r="M62" s="2"/>
      <c r="N62" s="2"/>
      <c r="O62" s="2"/>
      <c r="P62" s="2"/>
      <c r="Q62" s="2"/>
      <c r="R62" s="2"/>
      <c r="S62" s="2"/>
      <c r="T62" s="2"/>
      <c r="U62" s="2"/>
      <c r="V62" s="2"/>
    </row>
    <row r="63" ht="22.5" customHeight="1">
      <c r="A63" s="3">
        <v>65.0</v>
      </c>
      <c r="B63" s="3" t="s">
        <v>2663</v>
      </c>
      <c r="C63" s="3" t="s">
        <v>2664</v>
      </c>
      <c r="D63" s="3" t="s">
        <v>2559</v>
      </c>
      <c r="E63" s="2"/>
      <c r="F63" s="3" t="str">
        <f>IFERROR(__xludf.DUMMYFUNCTION("GOOGLETRANSLATE(A63, ""it"", ""en"")"),"65")</f>
        <v>65</v>
      </c>
      <c r="G63" s="3" t="str">
        <f>IFERROR(__xludf.DUMMYFUNCTION("GOOGLETRANSLATE(B63, ""it"", ""en"")"),"A. What happens if the horse doesn't start correctly on cue?")</f>
        <v>A. What happens if the horse doesn't start correctly on cue?</v>
      </c>
      <c r="H63" s="3" t="str">
        <f>IFERROR(__xludf.DUMMYFUNCTION("GOOGLETRANSLATE(C63, ""it"", ""en"")"),"A. The horse is penalized B. The race is re-run C. The horse is disqualified D. The race continues normally")</f>
        <v>A. The horse is penalized B. The race is re-run C. The horse is disqualified D. The race continues normally</v>
      </c>
      <c r="I63" s="3" t="str">
        <f>IFERROR(__xludf.DUMMYFUNCTION("GOOGLETRANSLATE(D63, ""it"", ""en"")"),"The horse is penalized")</f>
        <v>The horse is penalized</v>
      </c>
      <c r="J63" s="2"/>
      <c r="K63" s="2"/>
      <c r="L63" s="2"/>
      <c r="M63" s="2"/>
      <c r="N63" s="2"/>
      <c r="O63" s="2"/>
      <c r="P63" s="2"/>
      <c r="Q63" s="2"/>
      <c r="R63" s="2"/>
      <c r="S63" s="2"/>
      <c r="T63" s="2"/>
      <c r="U63" s="2"/>
      <c r="V63" s="2"/>
    </row>
    <row r="64" ht="22.5" customHeight="1">
      <c r="A64" s="3">
        <v>66.0</v>
      </c>
      <c r="B64" s="3" t="s">
        <v>2665</v>
      </c>
      <c r="C64" s="3" t="s">
        <v>2666</v>
      </c>
      <c r="D64" s="3" t="s">
        <v>2534</v>
      </c>
      <c r="E64" s="2"/>
      <c r="F64" s="3" t="str">
        <f>IFERROR(__xludf.DUMMYFUNCTION("GOOGLETRANSLATE(A64, ""it"", ""en"")"),"66")</f>
        <v>66</v>
      </c>
      <c r="G64" s="3" t="str">
        <f>IFERROR(__xludf.DUMMYFUNCTION("GOOGLETRANSLATE(B64, ""it"", ""en"")"),"A. What happens if two horses cross the finish line at the same time?")</f>
        <v>A. What happens if two horses cross the finish line at the same time?</v>
      </c>
      <c r="H64" s="3" t="str">
        <f>IFERROR(__xludf.DUMMYFUNCTION("GOOGLETRANSLATE(C64, ""it"", ""en"")"),"A. The race ends in a draw B. The horse that arrives first on the right wins C. The horse that arrives first on the left wins D. The race is re-run")</f>
        <v>A. The race ends in a draw B. The horse that arrives first on the right wins C. The horse that arrives first on the left wins D. The race is re-run</v>
      </c>
      <c r="I64" s="3" t="str">
        <f>IFERROR(__xludf.DUMMYFUNCTION("GOOGLETRANSLATE(D64, ""it"", ""en"")"),"The match ends in a draw")</f>
        <v>The match ends in a draw</v>
      </c>
      <c r="J64" s="2"/>
      <c r="K64" s="2"/>
      <c r="L64" s="2"/>
      <c r="M64" s="2"/>
      <c r="N64" s="2"/>
      <c r="O64" s="2"/>
      <c r="P64" s="2"/>
      <c r="Q64" s="2"/>
      <c r="R64" s="2"/>
      <c r="S64" s="2"/>
      <c r="T64" s="2"/>
      <c r="U64" s="2"/>
      <c r="V64" s="2"/>
    </row>
    <row r="65" ht="22.5" customHeight="1">
      <c r="A65" s="3">
        <v>67.0</v>
      </c>
      <c r="B65" s="3" t="s">
        <v>2667</v>
      </c>
      <c r="C65" s="3" t="s">
        <v>2668</v>
      </c>
      <c r="D65" s="3" t="s">
        <v>2578</v>
      </c>
      <c r="E65" s="2"/>
      <c r="F65" s="3" t="str">
        <f>IFERROR(__xludf.DUMMYFUNCTION("GOOGLETRANSLATE(A65, ""it"", ""en"")"),"67")</f>
        <v>67</v>
      </c>
      <c r="G65" s="3" t="str">
        <f>IFERROR(__xludf.DUMMYFUNCTION("GOOGLETRANSLATE(B65, ""it"", ""en"")"),"A. If a horse makes a mistake during the race but is not disqualified, what happens?")</f>
        <v>A. If a horse makes a mistake during the race but is not disqualified, what happens?</v>
      </c>
      <c r="H65" s="3" t="str">
        <f>IFERROR(__xludf.DUMMYFUNCTION("GOOGLETRANSLATE(C65, ""it"", ""en"")"),"A. The horse receives a penalty B. The horse continues normally C. The horse is penalized D. The race is cancelled")</f>
        <v>A. The horse receives a penalty B. The horse continues normally C. The horse is penalized D. The race is cancelled</v>
      </c>
      <c r="I65" s="3" t="str">
        <f>IFERROR(__xludf.DUMMYFUNCTION("GOOGLETRANSLATE(D65, ""it"", ""en"")"),"The horse receives a penalty")</f>
        <v>The horse receives a penalty</v>
      </c>
      <c r="J65" s="2"/>
      <c r="K65" s="2"/>
      <c r="L65" s="2"/>
      <c r="M65" s="2"/>
      <c r="N65" s="2"/>
      <c r="O65" s="2"/>
      <c r="P65" s="2"/>
      <c r="Q65" s="2"/>
      <c r="R65" s="2"/>
      <c r="S65" s="2"/>
      <c r="T65" s="2"/>
      <c r="U65" s="2"/>
      <c r="V65" s="2"/>
    </row>
    <row r="66" ht="22.5" customHeight="1">
      <c r="A66" s="3">
        <v>68.0</v>
      </c>
      <c r="B66" s="3" t="s">
        <v>2669</v>
      </c>
      <c r="C66" s="3" t="s">
        <v>2631</v>
      </c>
      <c r="D66" s="3" t="s">
        <v>2559</v>
      </c>
      <c r="E66" s="2"/>
      <c r="F66" s="3" t="str">
        <f>IFERROR(__xludf.DUMMYFUNCTION("GOOGLETRANSLATE(A66, ""it"", ""en"")"),"68")</f>
        <v>68</v>
      </c>
      <c r="G66" s="3" t="str">
        <f>IFERROR(__xludf.DUMMYFUNCTION("GOOGLETRANSLATE(B66, ""it"", ""en"")"),"A. If a horse intentionally slows down to hinder the others, what happens?")</f>
        <v>A. If a horse intentionally slows down to hinder the others, what happens?</v>
      </c>
      <c r="H66" s="3" t="str">
        <f>IFERROR(__xludf.DUMMYFUNCTION("GOOGLETRANSLATE(C66, ""it"", ""en"")"),"A. The horse is penalized B. The horse is disqualified C. The race continues normally D. The horse receives a warning")</f>
        <v>A. The horse is penalized B. The horse is disqualified C. The race continues normally D. The horse receives a warning</v>
      </c>
      <c r="I66" s="3" t="str">
        <f>IFERROR(__xludf.DUMMYFUNCTION("GOOGLETRANSLATE(D66, ""it"", ""en"")"),"The horse is penalized")</f>
        <v>The horse is penalized</v>
      </c>
      <c r="J66" s="2"/>
      <c r="K66" s="2"/>
      <c r="L66" s="2"/>
      <c r="M66" s="2"/>
      <c r="N66" s="2"/>
      <c r="O66" s="2"/>
      <c r="P66" s="2"/>
      <c r="Q66" s="2"/>
      <c r="R66" s="2"/>
      <c r="S66" s="2"/>
      <c r="T66" s="2"/>
      <c r="U66" s="2"/>
      <c r="V66" s="2"/>
    </row>
    <row r="67" ht="22.5" customHeight="1">
      <c r="A67" s="3">
        <v>69.0</v>
      </c>
      <c r="B67" s="3" t="s">
        <v>2670</v>
      </c>
      <c r="C67" s="3" t="s">
        <v>2671</v>
      </c>
      <c r="D67" s="3" t="s">
        <v>2627</v>
      </c>
      <c r="E67" s="2"/>
      <c r="F67" s="3" t="str">
        <f>IFERROR(__xludf.DUMMYFUNCTION("GOOGLETRANSLATE(A67, ""it"", ""en"")"),"69")</f>
        <v>69</v>
      </c>
      <c r="G67" s="3" t="str">
        <f>IFERROR(__xludf.DUMMYFUNCTION("GOOGLETRANSLATE(B67, ""it"", ""en"")"),"A. What happens if a horse wins the race but is disqualified for a violation?")</f>
        <v>A. What happens if a horse wins the race but is disqualified for a violation?</v>
      </c>
      <c r="H67" s="3" t="str">
        <f>IFERROR(__xludf.DUMMYFUNCTION("GOOGLETRANSLATE(C67, ""it"", ""en"")"),"A. The victory is annulled B. The horse receives a penalty C. The race is re-run D. The horse is penalized")</f>
        <v>A. The victory is annulled B. The horse receives a penalty C. The race is re-run D. The horse is penalized</v>
      </c>
      <c r="I67" s="3" t="str">
        <f>IFERROR(__xludf.DUMMYFUNCTION("GOOGLETRANSLATE(D67, ""it"", ""en"")"),"The victory is cancelled")</f>
        <v>The victory is cancelled</v>
      </c>
      <c r="J67" s="2"/>
      <c r="K67" s="2"/>
      <c r="L67" s="2"/>
      <c r="M67" s="2"/>
      <c r="N67" s="2"/>
      <c r="O67" s="2"/>
      <c r="P67" s="2"/>
      <c r="Q67" s="2"/>
      <c r="R67" s="2"/>
      <c r="S67" s="2"/>
      <c r="T67" s="2"/>
      <c r="U67" s="2"/>
      <c r="V67" s="2"/>
    </row>
    <row r="68" ht="22.5" customHeight="1">
      <c r="A68" s="3">
        <v>70.0</v>
      </c>
      <c r="B68" s="3" t="s">
        <v>2672</v>
      </c>
      <c r="C68" s="3" t="s">
        <v>2673</v>
      </c>
      <c r="D68" s="3" t="s">
        <v>2543</v>
      </c>
      <c r="E68" s="2"/>
      <c r="F68" s="3" t="str">
        <f>IFERROR(__xludf.DUMMYFUNCTION("GOOGLETRANSLATE(A68, ""it"", ""en"")"),"70")</f>
        <v>70</v>
      </c>
      <c r="G68" s="3" t="str">
        <f>IFERROR(__xludf.DUMMYFUNCTION("GOOGLETRANSLATE(B68, ""it"", ""en"")"),"A. What happens if the horse loses its way during the race?")</f>
        <v>A. What happens if the horse loses its way during the race?</v>
      </c>
      <c r="H68" s="3" t="str">
        <f>IFERROR(__xludf.DUMMYFUNCTION("GOOGLETRANSLATE(C68, ""it"", ""en"")"),"A. The horse is penalized B. The horse must return to the course C. The race continues normally D. The horse is disqualified")</f>
        <v>A. The horse is penalized B. The horse must return to the course C. The race continues normally D. The horse is disqualified</v>
      </c>
      <c r="I68" s="3" t="str">
        <f>IFERROR(__xludf.DUMMYFUNCTION("GOOGLETRANSLATE(D68, ""it"", ""en"")"),"The horse must resume the path")</f>
        <v>The horse must resume the path</v>
      </c>
      <c r="J68" s="2"/>
      <c r="K68" s="2"/>
      <c r="L68" s="2"/>
      <c r="M68" s="2"/>
      <c r="N68" s="2"/>
      <c r="O68" s="2"/>
      <c r="P68" s="2"/>
      <c r="Q68" s="2"/>
      <c r="R68" s="2"/>
      <c r="S68" s="2"/>
      <c r="T68" s="2"/>
      <c r="U68" s="2"/>
      <c r="V68" s="2"/>
    </row>
    <row r="69" ht="22.5" customHeight="1">
      <c r="A69" s="3">
        <v>71.0</v>
      </c>
      <c r="B69" s="3" t="s">
        <v>2674</v>
      </c>
      <c r="C69" s="3" t="s">
        <v>2675</v>
      </c>
      <c r="D69" s="3" t="s">
        <v>2575</v>
      </c>
      <c r="E69" s="2"/>
      <c r="F69" s="3" t="str">
        <f>IFERROR(__xludf.DUMMYFUNCTION("GOOGLETRANSLATE(A69, ""it"", ""en"")"),"71")</f>
        <v>71</v>
      </c>
      <c r="G69" s="3" t="str">
        <f>IFERROR(__xludf.DUMMYFUNCTION("GOOGLETRANSLATE(B69, ""it"", ""en"")"),"A. If the horse is thrown but manages to get up immediately, what happens?")</f>
        <v>A. If the horse is thrown but manages to get up immediately, what happens?</v>
      </c>
      <c r="H69" s="3" t="str">
        <f>IFERROR(__xludf.DUMMYFUNCTION("GOOGLETRANSLATE(C69, ""it"", ""en"")"),"A. The race continues normally B. The horse is penalized C. The horse is disqualified D. The race is cancelled")</f>
        <v>A. The race continues normally B. The horse is penalized C. The horse is disqualified D. The race is cancelled</v>
      </c>
      <c r="I69" s="3" t="str">
        <f>IFERROR(__xludf.DUMMYFUNCTION("GOOGLETRANSLATE(D69, ""it"", ""en"")"),"The race continues normally")</f>
        <v>The race continues normally</v>
      </c>
      <c r="J69" s="2"/>
      <c r="K69" s="2"/>
      <c r="L69" s="2"/>
      <c r="M69" s="2"/>
      <c r="N69" s="2"/>
      <c r="O69" s="2"/>
      <c r="P69" s="2"/>
      <c r="Q69" s="2"/>
      <c r="R69" s="2"/>
      <c r="S69" s="2"/>
      <c r="T69" s="2"/>
      <c r="U69" s="2"/>
      <c r="V69" s="2"/>
    </row>
    <row r="70" ht="22.5" customHeight="1">
      <c r="A70" s="3">
        <v>72.0</v>
      </c>
      <c r="B70" s="3" t="s">
        <v>2676</v>
      </c>
      <c r="C70" s="3" t="s">
        <v>2677</v>
      </c>
      <c r="D70" s="3" t="s">
        <v>2559</v>
      </c>
      <c r="E70" s="2"/>
      <c r="F70" s="3" t="str">
        <f>IFERROR(__xludf.DUMMYFUNCTION("GOOGLETRANSLATE(A70, ""it"", ""en"")"),"72")</f>
        <v>72</v>
      </c>
      <c r="G70" s="3" t="str">
        <f>IFERROR(__xludf.DUMMYFUNCTION("GOOGLETRANSLATE(B70, ""it"", ""en"")"),"A. What happens if a horse cuts across the course in an irregular fashion to save time?")</f>
        <v>A. What happens if a horse cuts across the course in an irregular fashion to save time?</v>
      </c>
      <c r="H70" s="3" t="str">
        <f>IFERROR(__xludf.DUMMYFUNCTION("GOOGLETRANSLATE(C70, ""it"", ""en"")"),"A. The horse is penalized B. The horse is disqualified C. The horse receives a warning D. The race continues normally")</f>
        <v>A. The horse is penalized B. The horse is disqualified C. The horse receives a warning D. The race continues normally</v>
      </c>
      <c r="I70" s="3" t="str">
        <f>IFERROR(__xludf.DUMMYFUNCTION("GOOGLETRANSLATE(D70, ""it"", ""en"")"),"The horse is penalized")</f>
        <v>The horse is penalized</v>
      </c>
      <c r="J70" s="2"/>
      <c r="K70" s="2"/>
      <c r="L70" s="2"/>
      <c r="M70" s="2"/>
      <c r="N70" s="2"/>
      <c r="O70" s="2"/>
      <c r="P70" s="2"/>
      <c r="Q70" s="2"/>
      <c r="R70" s="2"/>
      <c r="S70" s="2"/>
      <c r="T70" s="2"/>
      <c r="U70" s="2"/>
      <c r="V70" s="2"/>
    </row>
    <row r="71" ht="22.5" customHeight="1">
      <c r="A71" s="3">
        <v>73.0</v>
      </c>
      <c r="B71" s="3" t="s">
        <v>2678</v>
      </c>
      <c r="C71" s="3" t="s">
        <v>2631</v>
      </c>
      <c r="D71" s="3" t="s">
        <v>2559</v>
      </c>
      <c r="E71" s="2"/>
      <c r="F71" s="3" t="str">
        <f>IFERROR(__xludf.DUMMYFUNCTION("GOOGLETRANSLATE(A71, ""it"", ""en"")"),"73")</f>
        <v>73</v>
      </c>
      <c r="G71" s="3" t="str">
        <f>IFERROR(__xludf.DUMMYFUNCTION("GOOGLETRANSLATE(B71, ""it"", ""en"")"),"A. What happens if a horse doesn't follow the course during the race?")</f>
        <v>A. What happens if a horse doesn't follow the course during the race?</v>
      </c>
      <c r="H71" s="3" t="str">
        <f>IFERROR(__xludf.DUMMYFUNCTION("GOOGLETRANSLATE(C71, ""it"", ""en"")"),"A. The horse is penalized B. The horse is disqualified C. The race continues normally D. The horse receives a warning")</f>
        <v>A. The horse is penalized B. The horse is disqualified C. The race continues normally D. The horse receives a warning</v>
      </c>
      <c r="I71" s="3" t="str">
        <f>IFERROR(__xludf.DUMMYFUNCTION("GOOGLETRANSLATE(D71, ""it"", ""en"")"),"The horse is penalized")</f>
        <v>The horse is penalized</v>
      </c>
      <c r="J71" s="2"/>
      <c r="K71" s="2"/>
      <c r="L71" s="2"/>
      <c r="M71" s="2"/>
      <c r="N71" s="2"/>
      <c r="O71" s="2"/>
      <c r="P71" s="2"/>
      <c r="Q71" s="2"/>
      <c r="R71" s="2"/>
      <c r="S71" s="2"/>
      <c r="T71" s="2"/>
      <c r="U71" s="2"/>
      <c r="V71" s="2"/>
    </row>
    <row r="72" ht="22.5" customHeight="1">
      <c r="A72" s="3">
        <v>74.0</v>
      </c>
      <c r="B72" s="3" t="s">
        <v>2679</v>
      </c>
      <c r="C72" s="3" t="s">
        <v>2680</v>
      </c>
      <c r="D72" s="3" t="s">
        <v>2559</v>
      </c>
      <c r="E72" s="2"/>
      <c r="F72" s="3" t="str">
        <f>IFERROR(__xludf.DUMMYFUNCTION("GOOGLETRANSLATE(A72, ""it"", ""en"")"),"74")</f>
        <v>74</v>
      </c>
      <c r="G72" s="3" t="str">
        <f>IFERROR(__xludf.DUMMYFUNCTION("GOOGLETRANSLATE(B72, ""it"", ""en"")"),"A. What happens if the horse loses control and stops briefly?")</f>
        <v>A. What happens if the horse loses control and stops briefly?</v>
      </c>
      <c r="H72" s="3" t="str">
        <f>IFERROR(__xludf.DUMMYFUNCTION("GOOGLETRANSLATE(C72, ""it"", ""en"")"),"A. The horse is penalized B. The horse receives a warning C. The race continues normally D. The horse is disqualified")</f>
        <v>A. The horse is penalized B. The horse receives a warning C. The race continues normally D. The horse is disqualified</v>
      </c>
      <c r="I72" s="3" t="str">
        <f>IFERROR(__xludf.DUMMYFUNCTION("GOOGLETRANSLATE(D72, ""it"", ""en"")"),"The horse is penalized")</f>
        <v>The horse is penalized</v>
      </c>
      <c r="J72" s="2"/>
      <c r="K72" s="2"/>
      <c r="L72" s="2"/>
      <c r="M72" s="2"/>
      <c r="N72" s="2"/>
      <c r="O72" s="2"/>
      <c r="P72" s="2"/>
      <c r="Q72" s="2"/>
      <c r="R72" s="2"/>
      <c r="S72" s="2"/>
      <c r="T72" s="2"/>
      <c r="U72" s="2"/>
      <c r="V72" s="2"/>
    </row>
    <row r="73" ht="22.5" customHeight="1">
      <c r="A73" s="3">
        <v>75.0</v>
      </c>
      <c r="B73" s="3" t="s">
        <v>2681</v>
      </c>
      <c r="C73" s="3" t="s">
        <v>2682</v>
      </c>
      <c r="D73" s="3" t="s">
        <v>2627</v>
      </c>
      <c r="E73" s="2"/>
      <c r="F73" s="3" t="str">
        <f>IFERROR(__xludf.DUMMYFUNCTION("GOOGLETRANSLATE(A73, ""it"", ""en"")"),"75")</f>
        <v>75</v>
      </c>
      <c r="G73" s="3" t="str">
        <f>IFERROR(__xludf.DUMMYFUNCTION("GOOGLETRANSLATE(B73, ""it"", ""en"")"),"A. What happens if a horse wins but makes a mistake during the race?")</f>
        <v>A. What happens if a horse wins but makes a mistake during the race?</v>
      </c>
      <c r="H73" s="3" t="str">
        <f>IFERROR(__xludf.DUMMYFUNCTION("GOOGLETRANSLATE(C73, ""it"", ""en"")"),"A. The victory is annulled B. The horse receives a penalty C. The horse is disqualified D. The race is rerun")</f>
        <v>A. The victory is annulled B. The horse receives a penalty C. The horse is disqualified D. The race is rerun</v>
      </c>
      <c r="I73" s="3" t="str">
        <f>IFERROR(__xludf.DUMMYFUNCTION("GOOGLETRANSLATE(D73, ""it"", ""en"")"),"The victory is cancelled")</f>
        <v>The victory is cancelled</v>
      </c>
      <c r="J73" s="2"/>
      <c r="K73" s="2"/>
      <c r="L73" s="2"/>
      <c r="M73" s="2"/>
      <c r="N73" s="2"/>
      <c r="O73" s="2"/>
      <c r="P73" s="2"/>
      <c r="Q73" s="2"/>
      <c r="R73" s="2"/>
      <c r="S73" s="2"/>
      <c r="T73" s="2"/>
      <c r="U73" s="2"/>
      <c r="V73" s="2"/>
    </row>
    <row r="74" ht="22.5" customHeight="1">
      <c r="A74" s="3">
        <v>76.0</v>
      </c>
      <c r="B74" s="3" t="s">
        <v>2683</v>
      </c>
      <c r="C74" s="3" t="s">
        <v>2684</v>
      </c>
      <c r="D74" s="3" t="s">
        <v>2559</v>
      </c>
      <c r="E74" s="2"/>
      <c r="F74" s="3" t="str">
        <f>IFERROR(__xludf.DUMMYFUNCTION("GOOGLETRANSLATE(A74, ""it"", ""en"")"),"76")</f>
        <v>76</v>
      </c>
      <c r="G74" s="3" t="str">
        <f>IFERROR(__xludf.DUMMYFUNCTION("GOOGLETRANSLATE(B74, ""it"", ""en"")"),"A. What happens if a horse goes off the road but is not disqualified?")</f>
        <v>A. What happens if a horse goes off the road but is not disqualified?</v>
      </c>
      <c r="H74" s="3" t="str">
        <f>IFERROR(__xludf.DUMMYFUNCTION("GOOGLETRANSLATE(C74, ""it"", ""en"")"),"A. The horse receives a penalty B. The horse continues normally C. The horse is penalized D. The horse restarts")</f>
        <v>A. The horse receives a penalty B. The horse continues normally C. The horse is penalized D. The horse restarts</v>
      </c>
      <c r="I74" s="3" t="str">
        <f>IFERROR(__xludf.DUMMYFUNCTION("GOOGLETRANSLATE(D74, ""it"", ""en"")"),"The horse is penalized")</f>
        <v>The horse is penalized</v>
      </c>
      <c r="J74" s="2"/>
      <c r="K74" s="2"/>
      <c r="L74" s="2"/>
      <c r="M74" s="2"/>
      <c r="N74" s="2"/>
      <c r="O74" s="2"/>
      <c r="P74" s="2"/>
      <c r="Q74" s="2"/>
      <c r="R74" s="2"/>
      <c r="S74" s="2"/>
      <c r="T74" s="2"/>
      <c r="U74" s="2"/>
      <c r="V74" s="2"/>
    </row>
    <row r="75" ht="22.5" customHeight="1">
      <c r="A75" s="3">
        <v>77.0</v>
      </c>
      <c r="B75" s="3" t="s">
        <v>2685</v>
      </c>
      <c r="C75" s="3" t="s">
        <v>2620</v>
      </c>
      <c r="D75" s="3" t="s">
        <v>2559</v>
      </c>
      <c r="E75" s="2"/>
      <c r="F75" s="3" t="str">
        <f>IFERROR(__xludf.DUMMYFUNCTION("GOOGLETRANSLATE(A75, ""it"", ""en"")"),"77")</f>
        <v>77</v>
      </c>
      <c r="G75" s="3" t="str">
        <f>IFERROR(__xludf.DUMMYFUNCTION("GOOGLETRANSLATE(B75, ""it"", ""en"")"),"A. What happens if the horse misses a checkpoint during the race?")</f>
        <v>A. What happens if the horse misses a checkpoint during the race?</v>
      </c>
      <c r="H75" s="3" t="str">
        <f>IFERROR(__xludf.DUMMYFUNCTION("GOOGLETRANSLATE(C75, ""it"", ""en"")"),"A. The horse is penalized B. The horse is disqualified C. The race continues normally D. The horse receives a warning")</f>
        <v>A. The horse is penalized B. The horse is disqualified C. The race continues normally D. The horse receives a warning</v>
      </c>
      <c r="I75" s="3" t="str">
        <f>IFERROR(__xludf.DUMMYFUNCTION("GOOGLETRANSLATE(D75, ""it"", ""en"")"),"The horse is penalized")</f>
        <v>The horse is penalized</v>
      </c>
      <c r="J75" s="2"/>
      <c r="K75" s="2"/>
      <c r="L75" s="2"/>
      <c r="M75" s="2"/>
      <c r="N75" s="2"/>
      <c r="O75" s="2"/>
      <c r="P75" s="2"/>
      <c r="Q75" s="2"/>
      <c r="R75" s="2"/>
      <c r="S75" s="2"/>
      <c r="T75" s="2"/>
      <c r="U75" s="2"/>
      <c r="V75" s="2"/>
    </row>
    <row r="76" ht="22.5" customHeight="1">
      <c r="A76" s="3">
        <v>78.0</v>
      </c>
      <c r="B76" s="3" t="s">
        <v>2686</v>
      </c>
      <c r="C76" s="3" t="s">
        <v>2620</v>
      </c>
      <c r="D76" s="3" t="s">
        <v>2559</v>
      </c>
      <c r="E76" s="2"/>
      <c r="F76" s="3" t="str">
        <f>IFERROR(__xludf.DUMMYFUNCTION("GOOGLETRANSLATE(A76, ""it"", ""en"")"),"78")</f>
        <v>78</v>
      </c>
      <c r="G76" s="3" t="str">
        <f>IFERROR(__xludf.DUMMYFUNCTION("GOOGLETRANSLATE(B76, ""it"", ""en"")"),"A. What happens if a horse overtakes another horse in an irregular manner?")</f>
        <v>A. What happens if a horse overtakes another horse in an irregular manner?</v>
      </c>
      <c r="H76" s="3" t="str">
        <f>IFERROR(__xludf.DUMMYFUNCTION("GOOGLETRANSLATE(C76, ""it"", ""en"")"),"A. The horse is penalized B. The horse is disqualified C. The race continues normally D. The horse receives a warning")</f>
        <v>A. The horse is penalized B. The horse is disqualified C. The race continues normally D. The horse receives a warning</v>
      </c>
      <c r="I76" s="3" t="str">
        <f>IFERROR(__xludf.DUMMYFUNCTION("GOOGLETRANSLATE(D76, ""it"", ""en"")"),"The horse is penalized")</f>
        <v>The horse is penalized</v>
      </c>
      <c r="J76" s="2"/>
      <c r="K76" s="2"/>
      <c r="L76" s="2"/>
      <c r="M76" s="2"/>
      <c r="N76" s="2"/>
      <c r="O76" s="2"/>
      <c r="P76" s="2"/>
      <c r="Q76" s="2"/>
      <c r="R76" s="2"/>
      <c r="S76" s="2"/>
      <c r="T76" s="2"/>
      <c r="U76" s="2"/>
      <c r="V76" s="2"/>
    </row>
    <row r="77" ht="22.5" customHeight="1">
      <c r="A77" s="3">
        <v>79.0</v>
      </c>
      <c r="B77" s="3" t="s">
        <v>2687</v>
      </c>
      <c r="C77" s="3" t="s">
        <v>2688</v>
      </c>
      <c r="D77" s="3" t="s">
        <v>2627</v>
      </c>
      <c r="E77" s="2"/>
      <c r="F77" s="3" t="str">
        <f>IFERROR(__xludf.DUMMYFUNCTION("GOOGLETRANSLATE(A77, ""it"", ""en"")"),"79")</f>
        <v>79</v>
      </c>
      <c r="G77" s="3" t="str">
        <f>IFERROR(__xludf.DUMMYFUNCTION("GOOGLETRANSLATE(B77, ""it"", ""en"")"),"A. What happens if a horse crosses the finish line but has broken a rule?")</f>
        <v>A. What happens if a horse crosses the finish line but has broken a rule?</v>
      </c>
      <c r="H77" s="3" t="str">
        <f>IFERROR(__xludf.DUMMYFUNCTION("GOOGLETRANSLATE(C77, ""it"", ""en"")"),"A. The horse is penalized B. The victory is annulled C. The horse is disqualified D. The race is re-run")</f>
        <v>A. The horse is penalized B. The victory is annulled C. The horse is disqualified D. The race is re-run</v>
      </c>
      <c r="I77" s="3" t="str">
        <f>IFERROR(__xludf.DUMMYFUNCTION("GOOGLETRANSLATE(D77, ""it"", ""en"")"),"The victory is cancelled")</f>
        <v>The victory is cancelled</v>
      </c>
      <c r="J77" s="2"/>
      <c r="K77" s="2"/>
      <c r="L77" s="2"/>
      <c r="M77" s="2"/>
      <c r="N77" s="2"/>
      <c r="O77" s="2"/>
      <c r="P77" s="2"/>
      <c r="Q77" s="2"/>
      <c r="R77" s="2"/>
      <c r="S77" s="2"/>
      <c r="T77" s="2"/>
      <c r="U77" s="2"/>
      <c r="V77" s="2"/>
    </row>
    <row r="78" ht="22.5" customHeight="1">
      <c r="A78" s="3">
        <v>80.0</v>
      </c>
      <c r="B78" s="3" t="s">
        <v>2689</v>
      </c>
      <c r="C78" s="3" t="s">
        <v>2690</v>
      </c>
      <c r="D78" s="3" t="s">
        <v>2691</v>
      </c>
      <c r="E78" s="2"/>
      <c r="F78" s="3" t="str">
        <f>IFERROR(__xludf.DUMMYFUNCTION("GOOGLETRANSLATE(A78, ""it"", ""en"")"),"80")</f>
        <v>80</v>
      </c>
      <c r="G78" s="3" t="str">
        <f>IFERROR(__xludf.DUMMYFUNCTION("GOOGLETRANSLATE(B78, ""it"", ""en"")"),"A. What happens if a horse is penalized during the race?")</f>
        <v>A. What happens if a horse is penalized during the race?</v>
      </c>
      <c r="H78" s="3" t="str">
        <f>IFERROR(__xludf.DUMMYFUNCTION("GOOGLETRANSLATE(C78, ""it"", ""en"")"),"A. The horse loses time B. The horse is disqualified C. The race continues normally D. The horse receives a warning")</f>
        <v>A. The horse loses time B. The horse is disqualified C. The race continues normally D. The horse receives a warning</v>
      </c>
      <c r="I78" s="3" t="str">
        <f>IFERROR(__xludf.DUMMYFUNCTION("GOOGLETRANSLATE(D78, ""it"", ""en"")"),"The horse is wasting time")</f>
        <v>The horse is wasting time</v>
      </c>
      <c r="J78" s="2"/>
      <c r="K78" s="2"/>
      <c r="L78" s="2"/>
      <c r="M78" s="2"/>
      <c r="N78" s="2"/>
      <c r="O78" s="2"/>
      <c r="P78" s="2"/>
      <c r="Q78" s="2"/>
      <c r="R78" s="2"/>
      <c r="S78" s="2"/>
      <c r="T78" s="2"/>
      <c r="U78" s="2"/>
      <c r="V78" s="2"/>
    </row>
    <row r="79" ht="22.5" customHeight="1">
      <c r="A79" s="3">
        <v>81.0</v>
      </c>
      <c r="B79" s="3" t="s">
        <v>2647</v>
      </c>
      <c r="C79" s="3" t="s">
        <v>2692</v>
      </c>
      <c r="D79" s="3" t="s">
        <v>2522</v>
      </c>
      <c r="E79" s="2"/>
      <c r="F79" s="3" t="str">
        <f>IFERROR(__xludf.DUMMYFUNCTION("GOOGLETRANSLATE(A79, ""it"", ""en"")"),"81")</f>
        <v>81</v>
      </c>
      <c r="G79" s="3" t="str">
        <f>IFERROR(__xludf.DUMMYFUNCTION("GOOGLETRANSLATE(B79, ""it"", ""en"")"),"A. What happens if a horse doesn't complete the course but reaches the finish line?")</f>
        <v>A. What happens if a horse doesn't complete the course but reaches the finish line?</v>
      </c>
      <c r="H79" s="3" t="str">
        <f>IFERROR(__xludf.DUMMYFUNCTION("GOOGLETRANSLATE(C79, ""it"", ""en"")"),"A. The horse is disqualified B. The race continues normally C. The horse is penalized D. The horse receives a penalty")</f>
        <v>A. The horse is disqualified B. The race continues normally C. The horse is penalized D. The horse receives a penalty</v>
      </c>
      <c r="I79" s="3" t="str">
        <f>IFERROR(__xludf.DUMMYFUNCTION("GOOGLETRANSLATE(D79, ""it"", ""en"")"),"The horse is disqualified")</f>
        <v>The horse is disqualified</v>
      </c>
      <c r="J79" s="2"/>
      <c r="K79" s="2"/>
      <c r="L79" s="2"/>
      <c r="M79" s="2"/>
      <c r="N79" s="2"/>
      <c r="O79" s="2"/>
      <c r="P79" s="2"/>
      <c r="Q79" s="2"/>
      <c r="R79" s="2"/>
      <c r="S79" s="2"/>
      <c r="T79" s="2"/>
      <c r="U79" s="2"/>
      <c r="V79" s="2"/>
    </row>
    <row r="80" ht="22.5" customHeight="1">
      <c r="A80" s="3">
        <v>82.0</v>
      </c>
      <c r="B80" s="3" t="s">
        <v>2693</v>
      </c>
      <c r="C80" s="3" t="s">
        <v>2600</v>
      </c>
      <c r="D80" s="3" t="s">
        <v>2559</v>
      </c>
      <c r="E80" s="2"/>
      <c r="F80" s="3" t="str">
        <f>IFERROR(__xludf.DUMMYFUNCTION("GOOGLETRANSLATE(A80, ""it"", ""en"")"),"82")</f>
        <v>82</v>
      </c>
      <c r="G80" s="3" t="str">
        <f>IFERROR(__xludf.DUMMYFUNCTION("GOOGLETRANSLATE(B80, ""it"", ""en"")"),"A. What happens if the horse starts early?")</f>
        <v>A. What happens if the horse starts early?</v>
      </c>
      <c r="H80" s="3" t="str">
        <f>IFERROR(__xludf.DUMMYFUNCTION("GOOGLETRANSLATE(C80, ""it"", ""en"")"),"A. The horse is penalized B. The race continues normally C. The horse is disqualified D. The horse receives a warning")</f>
        <v>A. The horse is penalized B. The race continues normally C. The horse is disqualified D. The horse receives a warning</v>
      </c>
      <c r="I80" s="3" t="str">
        <f>IFERROR(__xludf.DUMMYFUNCTION("GOOGLETRANSLATE(D80, ""it"", ""en"")"),"The horse is penalized")</f>
        <v>The horse is penalized</v>
      </c>
      <c r="J80" s="2"/>
      <c r="K80" s="2"/>
      <c r="L80" s="2"/>
      <c r="M80" s="2"/>
      <c r="N80" s="2"/>
      <c r="O80" s="2"/>
      <c r="P80" s="2"/>
      <c r="Q80" s="2"/>
      <c r="R80" s="2"/>
      <c r="S80" s="2"/>
      <c r="T80" s="2"/>
      <c r="U80" s="2"/>
      <c r="V80" s="2"/>
    </row>
    <row r="81" ht="22.5" customHeight="1">
      <c r="A81" s="3">
        <v>83.0</v>
      </c>
      <c r="B81" s="3" t="s">
        <v>2694</v>
      </c>
      <c r="C81" s="3" t="s">
        <v>2695</v>
      </c>
      <c r="D81" s="3" t="s">
        <v>2696</v>
      </c>
      <c r="E81" s="2"/>
      <c r="F81" s="3" t="str">
        <f>IFERROR(__xludf.DUMMYFUNCTION("GOOGLETRANSLATE(A81, ""it"", ""en"")"),"83")</f>
        <v>83</v>
      </c>
      <c r="G81" s="3" t="str">
        <f>IFERROR(__xludf.DUMMYFUNCTION("GOOGLETRANSLATE(B81, ""it"", ""en"")"),"A. What happens if a horse finishes the race with another horse next to it?")</f>
        <v>A. What happens if a horse finishes the race with another horse next to it?</v>
      </c>
      <c r="H81" s="3" t="str">
        <f>IFERROR(__xludf.DUMMYFUNCTION("GOOGLETRANSLATE(C81, ""it"", ""en"")"),"A. The horse wins if it arrives first B. The horse is penalized C. The race continues normally D. The horse receives a penalty")</f>
        <v>A. The horse wins if it arrives first B. The horse is penalized C. The race continues normally D. The horse receives a penalty</v>
      </c>
      <c r="I81" s="3" t="str">
        <f>IFERROR(__xludf.DUMMYFUNCTION("GOOGLETRANSLATE(D81, ""it"", ""en"")"),"The horse wins if it arrives first")</f>
        <v>The horse wins if it arrives first</v>
      </c>
      <c r="J81" s="2"/>
      <c r="K81" s="2"/>
      <c r="L81" s="2"/>
      <c r="M81" s="2"/>
      <c r="N81" s="2"/>
      <c r="O81" s="2"/>
      <c r="P81" s="2"/>
      <c r="Q81" s="2"/>
      <c r="R81" s="2"/>
      <c r="S81" s="2"/>
      <c r="T81" s="2"/>
      <c r="U81" s="2"/>
      <c r="V81" s="2"/>
    </row>
    <row r="82" ht="22.5" customHeight="1">
      <c r="A82" s="3">
        <v>84.0</v>
      </c>
      <c r="B82" s="3" t="s">
        <v>2697</v>
      </c>
      <c r="C82" s="3" t="s">
        <v>2698</v>
      </c>
      <c r="D82" s="3" t="s">
        <v>2699</v>
      </c>
      <c r="E82" s="2"/>
      <c r="F82" s="3" t="str">
        <f>IFERROR(__xludf.DUMMYFUNCTION("GOOGLETRANSLATE(A82, ""it"", ""en"")"),"84")</f>
        <v>84</v>
      </c>
      <c r="G82" s="3" t="str">
        <f>IFERROR(__xludf.DUMMYFUNCTION("GOOGLETRANSLATE(B82, ""it"", ""en"")"),"A. What happens if a horse is the only one to complete the race?")</f>
        <v>A. What happens if a horse is the only one to complete the race?</v>
      </c>
      <c r="H82" s="3" t="str">
        <f>IFERROR(__xludf.DUMMYFUNCTION("GOOGLETRANSLATE(C82, ""it"", ""en"")"),"A. The horse wins B. The race continues without him C. The horse is penalized D. The race is re-run")</f>
        <v>A. The horse wins B. The race continues without him C. The horse is penalized D. The race is re-run</v>
      </c>
      <c r="I82" s="3" t="str">
        <f>IFERROR(__xludf.DUMMYFUNCTION("GOOGLETRANSLATE(D82, ""it"", ""en"")"),"The horse wins")</f>
        <v>The horse wins</v>
      </c>
      <c r="J82" s="2"/>
      <c r="K82" s="2"/>
      <c r="L82" s="2"/>
      <c r="M82" s="2"/>
      <c r="N82" s="2"/>
      <c r="O82" s="2"/>
      <c r="P82" s="2"/>
      <c r="Q82" s="2"/>
      <c r="R82" s="2"/>
      <c r="S82" s="2"/>
      <c r="T82" s="2"/>
      <c r="U82" s="2"/>
      <c r="V82" s="2"/>
    </row>
    <row r="83" ht="22.5" customHeight="1">
      <c r="A83" s="3">
        <v>85.0</v>
      </c>
      <c r="B83" s="3" t="s">
        <v>2700</v>
      </c>
      <c r="C83" s="3" t="s">
        <v>2701</v>
      </c>
      <c r="D83" s="3" t="s">
        <v>2559</v>
      </c>
      <c r="E83" s="2"/>
      <c r="F83" s="3" t="str">
        <f>IFERROR(__xludf.DUMMYFUNCTION("GOOGLETRANSLATE(A83, ""it"", ""en"")"),"85")</f>
        <v>85</v>
      </c>
      <c r="G83" s="3" t="str">
        <f>IFERROR(__xludf.DUMMYFUNCTION("GOOGLETRANSLATE(B83, ""it"", ""en"")"),"A. What happens if a horse goes off the course and still finishes first?")</f>
        <v>A. What happens if a horse goes off the course and still finishes first?</v>
      </c>
      <c r="H83" s="3" t="str">
        <f>IFERROR(__xludf.DUMMYFUNCTION("GOOGLETRANSLATE(C83, ""it"", ""en"")"),"A. The horse is penalized B. The horse is disqualified C. The horse wins anyway D. The race is cancelled")</f>
        <v>A. The horse is penalized B. The horse is disqualified C. The horse wins anyway D. The race is cancelled</v>
      </c>
      <c r="I83" s="3" t="str">
        <f>IFERROR(__xludf.DUMMYFUNCTION("GOOGLETRANSLATE(D83, ""it"", ""en"")"),"The horse is penalized")</f>
        <v>The horse is penalized</v>
      </c>
      <c r="J83" s="2"/>
      <c r="K83" s="2"/>
      <c r="L83" s="2"/>
      <c r="M83" s="2"/>
      <c r="N83" s="2"/>
      <c r="O83" s="2"/>
      <c r="P83" s="2"/>
      <c r="Q83" s="2"/>
      <c r="R83" s="2"/>
      <c r="S83" s="2"/>
      <c r="T83" s="2"/>
      <c r="U83" s="2"/>
      <c r="V83" s="2"/>
    </row>
    <row r="84" ht="22.5" customHeight="1">
      <c r="A84" s="3">
        <v>86.0</v>
      </c>
      <c r="B84" s="3" t="s">
        <v>2702</v>
      </c>
      <c r="C84" s="3" t="s">
        <v>2703</v>
      </c>
      <c r="D84" s="3" t="s">
        <v>2559</v>
      </c>
      <c r="E84" s="2"/>
      <c r="F84" s="3" t="str">
        <f>IFERROR(__xludf.DUMMYFUNCTION("GOOGLETRANSLATE(A84, ""it"", ""en"")"),"86")</f>
        <v>86</v>
      </c>
      <c r="G84" s="3" t="str">
        <f>IFERROR(__xludf.DUMMYFUNCTION("GOOGLETRANSLATE(B84, ""it"", ""en"")"),"A. What happens if a horse finishes the race but doesn't respect an important rule?")</f>
        <v>A. What happens if a horse finishes the race but doesn't respect an important rule?</v>
      </c>
      <c r="H84" s="3" t="str">
        <f>IFERROR(__xludf.DUMMYFUNCTION("GOOGLETRANSLATE(C84, ""it"", ""en"")"),"A. The horse is penalized B. The race continues normally C. The horse receives a penalty D. The victory is annulled")</f>
        <v>A. The horse is penalized B. The race continues normally C. The horse receives a penalty D. The victory is annulled</v>
      </c>
      <c r="I84" s="3" t="str">
        <f>IFERROR(__xludf.DUMMYFUNCTION("GOOGLETRANSLATE(D84, ""it"", ""en"")"),"The horse is penalized")</f>
        <v>The horse is penalized</v>
      </c>
      <c r="J84" s="2"/>
      <c r="K84" s="2"/>
      <c r="L84" s="2"/>
      <c r="M84" s="2"/>
      <c r="N84" s="2"/>
      <c r="O84" s="2"/>
      <c r="P84" s="2"/>
      <c r="Q84" s="2"/>
      <c r="R84" s="2"/>
      <c r="S84" s="2"/>
      <c r="T84" s="2"/>
      <c r="U84" s="2"/>
      <c r="V84" s="2"/>
    </row>
    <row r="85" ht="22.5" customHeight="1">
      <c r="A85" s="3">
        <v>87.0</v>
      </c>
      <c r="B85" s="3" t="s">
        <v>2704</v>
      </c>
      <c r="C85" s="3" t="s">
        <v>2705</v>
      </c>
      <c r="D85" s="3" t="s">
        <v>2575</v>
      </c>
      <c r="E85" s="2"/>
      <c r="F85" s="3" t="str">
        <f>IFERROR(__xludf.DUMMYFUNCTION("GOOGLETRANSLATE(A85, ""it"", ""en"")"),"87")</f>
        <v>87</v>
      </c>
      <c r="G85" s="3" t="str">
        <f>IFERROR(__xludf.DUMMYFUNCTION("GOOGLETRANSLATE(B85, ""it"", ""en"")"),"A. What happens if the horse is thrown but continues to run?")</f>
        <v>A. What happens if the horse is thrown but continues to run?</v>
      </c>
      <c r="H85" s="3" t="str">
        <f>IFERROR(__xludf.DUMMYFUNCTION("GOOGLETRANSLATE(C85, ""it"", ""en"")"),"A. The race continues normally B. The horse is penalized C. The horse receives a warning D. The horse is disqualified")</f>
        <v>A. The race continues normally B. The horse is penalized C. The horse receives a warning D. The horse is disqualified</v>
      </c>
      <c r="I85" s="3" t="str">
        <f>IFERROR(__xludf.DUMMYFUNCTION("GOOGLETRANSLATE(D85, ""it"", ""en"")"),"The race continues normally")</f>
        <v>The race continues normally</v>
      </c>
      <c r="J85" s="2"/>
      <c r="K85" s="2"/>
      <c r="L85" s="2"/>
      <c r="M85" s="2"/>
      <c r="N85" s="2"/>
      <c r="O85" s="2"/>
      <c r="P85" s="2"/>
      <c r="Q85" s="2"/>
      <c r="R85" s="2"/>
      <c r="S85" s="2"/>
      <c r="T85" s="2"/>
      <c r="U85" s="2"/>
      <c r="V85" s="2"/>
    </row>
    <row r="86" ht="22.5" customHeight="1">
      <c r="A86" s="3">
        <v>88.0</v>
      </c>
      <c r="B86" s="3" t="s">
        <v>2706</v>
      </c>
      <c r="C86" s="3" t="s">
        <v>2707</v>
      </c>
      <c r="D86" s="3" t="s">
        <v>2691</v>
      </c>
      <c r="E86" s="2"/>
      <c r="F86" s="3" t="str">
        <f>IFERROR(__xludf.DUMMYFUNCTION("GOOGLETRANSLATE(A86, ""it"", ""en"")"),"88")</f>
        <v>88</v>
      </c>
      <c r="G86" s="3" t="str">
        <f>IFERROR(__xludf.DUMMYFUNCTION("GOOGLETRANSLATE(B86, ""it"", ""en"")"),"A. What happens if a horse goes too fast and gets penalized?")</f>
        <v>A. What happens if a horse goes too fast and gets penalized?</v>
      </c>
      <c r="H86" s="3" t="str">
        <f>IFERROR(__xludf.DUMMYFUNCTION("GOOGLETRANSLATE(C86, ""it"", ""en"")"),"A. The horse loses time B. The race continues normally C. The horse is disqualified D. The horse receives a penalty")</f>
        <v>A. The horse loses time B. The race continues normally C. The horse is disqualified D. The horse receives a penalty</v>
      </c>
      <c r="I86" s="3" t="str">
        <f>IFERROR(__xludf.DUMMYFUNCTION("GOOGLETRANSLATE(D86, ""it"", ""en"")"),"The horse is wasting time")</f>
        <v>The horse is wasting time</v>
      </c>
      <c r="J86" s="2"/>
      <c r="K86" s="2"/>
      <c r="L86" s="2"/>
      <c r="M86" s="2"/>
      <c r="N86" s="2"/>
      <c r="O86" s="2"/>
      <c r="P86" s="2"/>
      <c r="Q86" s="2"/>
      <c r="R86" s="2"/>
      <c r="S86" s="2"/>
      <c r="T86" s="2"/>
      <c r="U86" s="2"/>
      <c r="V86" s="2"/>
    </row>
    <row r="87" ht="22.5" customHeight="1">
      <c r="A87" s="3">
        <v>89.0</v>
      </c>
      <c r="B87" s="3" t="s">
        <v>2708</v>
      </c>
      <c r="C87" s="3" t="s">
        <v>2709</v>
      </c>
      <c r="D87" s="3" t="s">
        <v>2522</v>
      </c>
      <c r="E87" s="2"/>
      <c r="F87" s="3" t="str">
        <f>IFERROR(__xludf.DUMMYFUNCTION("GOOGLETRANSLATE(A87, ""it"", ""en"")"),"89")</f>
        <v>89</v>
      </c>
      <c r="G87" s="3" t="str">
        <f>IFERROR(__xludf.DUMMYFUNCTION("GOOGLETRANSLATE(B87, ""it"", ""en"")"),"A. What happens if a horse doesn't follow the correct path?")</f>
        <v>A. What happens if a horse doesn't follow the correct path?</v>
      </c>
      <c r="H87" s="3" t="str">
        <f>IFERROR(__xludf.DUMMYFUNCTION("GOOGLETRANSLATE(C87, ""it"", ""en"")"),"A. The horse is disqualified B. The race is re-run C. The horse receives a warning D. The horse is penalized")</f>
        <v>A. The horse is disqualified B. The race is re-run C. The horse receives a warning D. The horse is penalized</v>
      </c>
      <c r="I87" s="3" t="str">
        <f>IFERROR(__xludf.DUMMYFUNCTION("GOOGLETRANSLATE(D87, ""it"", ""en"")"),"The horse is disqualified")</f>
        <v>The horse is disqualified</v>
      </c>
      <c r="J87" s="2"/>
      <c r="K87" s="2"/>
      <c r="L87" s="2"/>
      <c r="M87" s="2"/>
      <c r="N87" s="2"/>
      <c r="O87" s="2"/>
      <c r="P87" s="2"/>
      <c r="Q87" s="2"/>
      <c r="R87" s="2"/>
      <c r="S87" s="2"/>
      <c r="T87" s="2"/>
      <c r="U87" s="2"/>
      <c r="V87" s="2"/>
    </row>
    <row r="88" ht="22.5" customHeight="1">
      <c r="A88" s="3">
        <v>90.0</v>
      </c>
      <c r="B88" s="3" t="s">
        <v>2710</v>
      </c>
      <c r="C88" s="3" t="s">
        <v>2711</v>
      </c>
      <c r="D88" s="3" t="s">
        <v>2578</v>
      </c>
      <c r="E88" s="2"/>
      <c r="F88" s="3" t="str">
        <f>IFERROR(__xludf.DUMMYFUNCTION("GOOGLETRANSLATE(A88, ""it"", ""en"")"),"90")</f>
        <v>90</v>
      </c>
      <c r="G88" s="3" t="str">
        <f>IFERROR(__xludf.DUMMYFUNCTION("GOOGLETRANSLATE(B88, ""it"", ""en"")"),"A. What happens if a horse stops during the race?")</f>
        <v>A. What happens if a horse stops during the race?</v>
      </c>
      <c r="H88" s="3" t="str">
        <f>IFERROR(__xludf.DUMMYFUNCTION("GOOGLETRANSLATE(C88, ""it"", ""en"")"),"A. The horse receives a penalty B. The race continues normally C. The horse is penalized D. The horse restarts")</f>
        <v>A. The horse receives a penalty B. The race continues normally C. The horse is penalized D. The horse restarts</v>
      </c>
      <c r="I88" s="3" t="str">
        <f>IFERROR(__xludf.DUMMYFUNCTION("GOOGLETRANSLATE(D88, ""it"", ""en"")"),"The horse receives a penalty")</f>
        <v>The horse receives a penalty</v>
      </c>
      <c r="J88" s="2"/>
      <c r="K88" s="2"/>
      <c r="L88" s="2"/>
      <c r="M88" s="2"/>
      <c r="N88" s="2"/>
      <c r="O88" s="2"/>
      <c r="P88" s="2"/>
      <c r="Q88" s="2"/>
      <c r="R88" s="2"/>
      <c r="S88" s="2"/>
      <c r="T88" s="2"/>
      <c r="U88" s="2"/>
      <c r="V88" s="2"/>
    </row>
    <row r="89" ht="22.5" customHeight="1">
      <c r="A89" s="3">
        <v>91.0</v>
      </c>
      <c r="B89" s="3" t="s">
        <v>2712</v>
      </c>
      <c r="C89" s="3" t="s">
        <v>2600</v>
      </c>
      <c r="D89" s="3" t="s">
        <v>2559</v>
      </c>
      <c r="E89" s="2"/>
      <c r="F89" s="3" t="str">
        <f>IFERROR(__xludf.DUMMYFUNCTION("GOOGLETRANSLATE(A89, ""it"", ""en"")"),"91")</f>
        <v>91</v>
      </c>
      <c r="G89" s="3" t="str">
        <f>IFERROR(__xludf.DUMMYFUNCTION("GOOGLETRANSLATE(B89, ""it"", ""en"")"),"A. What happens if a horse can't maintain its position during the race?")</f>
        <v>A. What happens if a horse can't maintain its position during the race?</v>
      </c>
      <c r="H89" s="3" t="str">
        <f>IFERROR(__xludf.DUMMYFUNCTION("GOOGLETRANSLATE(C89, ""it"", ""en"")"),"A. The horse is penalized B. The race continues normally C. The horse is disqualified D. The horse receives a warning")</f>
        <v>A. The horse is penalized B. The race continues normally C. The horse is disqualified D. The horse receives a warning</v>
      </c>
      <c r="I89" s="3" t="str">
        <f>IFERROR(__xludf.DUMMYFUNCTION("GOOGLETRANSLATE(D89, ""it"", ""en"")"),"The horse is penalized")</f>
        <v>The horse is penalized</v>
      </c>
      <c r="J89" s="2"/>
      <c r="K89" s="2"/>
      <c r="L89" s="2"/>
      <c r="M89" s="2"/>
      <c r="N89" s="2"/>
      <c r="O89" s="2"/>
      <c r="P89" s="2"/>
      <c r="Q89" s="2"/>
      <c r="R89" s="2"/>
      <c r="S89" s="2"/>
      <c r="T89" s="2"/>
      <c r="U89" s="2"/>
      <c r="V89" s="2"/>
    </row>
    <row r="90" ht="22.5" customHeight="1">
      <c r="A90" s="3">
        <v>92.0</v>
      </c>
      <c r="B90" s="3" t="s">
        <v>2713</v>
      </c>
      <c r="C90" s="3" t="s">
        <v>2714</v>
      </c>
      <c r="D90" s="3" t="s">
        <v>2624</v>
      </c>
      <c r="E90" s="2"/>
      <c r="F90" s="3" t="str">
        <f>IFERROR(__xludf.DUMMYFUNCTION("GOOGLETRANSLATE(A90, ""it"", ""en"")"),"92")</f>
        <v>92</v>
      </c>
      <c r="G90" s="3" t="str">
        <f>IFERROR(__xludf.DUMMYFUNCTION("GOOGLETRANSLATE(B90, ""it"", ""en"")"),"A. What happens if a horse stops due to an emergency?")</f>
        <v>A. What happens if a horse stops due to an emergency?</v>
      </c>
      <c r="H90" s="3" t="str">
        <f>IFERROR(__xludf.DUMMYFUNCTION("GOOGLETRANSLATE(C90, ""it"", ""en"")"),"A. The race continues without the horse B. The horse receives a penalty C. The horse is disqualified D. The horse restarts")</f>
        <v>A. The race continues without the horse B. The horse receives a penalty C. The horse is disqualified D. The horse restarts</v>
      </c>
      <c r="I90" s="3" t="str">
        <f>IFERROR(__xludf.DUMMYFUNCTION("GOOGLETRANSLATE(D90, ""it"", ""en"")"),"The race continues without the horse")</f>
        <v>The race continues without the horse</v>
      </c>
      <c r="J90" s="2"/>
      <c r="K90" s="2"/>
      <c r="L90" s="2"/>
      <c r="M90" s="2"/>
      <c r="N90" s="2"/>
      <c r="O90" s="2"/>
      <c r="P90" s="2"/>
      <c r="Q90" s="2"/>
      <c r="R90" s="2"/>
      <c r="S90" s="2"/>
      <c r="T90" s="2"/>
      <c r="U90" s="2"/>
      <c r="V90" s="2"/>
    </row>
    <row r="91" ht="22.5" customHeight="1">
      <c r="A91" s="3">
        <v>93.0</v>
      </c>
      <c r="B91" s="3" t="s">
        <v>2715</v>
      </c>
      <c r="C91" s="3" t="s">
        <v>2716</v>
      </c>
      <c r="D91" s="3" t="s">
        <v>2627</v>
      </c>
      <c r="E91" s="2"/>
      <c r="F91" s="3" t="str">
        <f>IFERROR(__xludf.DUMMYFUNCTION("GOOGLETRANSLATE(A91, ""it"", ""en"")"),"93")</f>
        <v>93</v>
      </c>
      <c r="G91" s="3" t="str">
        <f>IFERROR(__xludf.DUMMYFUNCTION("GOOGLETRANSLATE(B91, ""it"", ""en"")"),"A. What happens if the horse wins but doesn't respect the starting rules?")</f>
        <v>A. What happens if the horse wins but doesn't respect the starting rules?</v>
      </c>
      <c r="H91" s="3" t="str">
        <f>IFERROR(__xludf.DUMMYFUNCTION("GOOGLETRANSLATE(C91, ""it"", ""en"")"),"A. The victory is annulled B. The horse is penalized C. The race is re-run D. The horse is disqualified")</f>
        <v>A. The victory is annulled B. The horse is penalized C. The race is re-run D. The horse is disqualified</v>
      </c>
      <c r="I91" s="3" t="str">
        <f>IFERROR(__xludf.DUMMYFUNCTION("GOOGLETRANSLATE(D91, ""it"", ""en"")"),"The victory is cancelled")</f>
        <v>The victory is cancelled</v>
      </c>
      <c r="J91" s="2"/>
      <c r="K91" s="2"/>
      <c r="L91" s="2"/>
      <c r="M91" s="2"/>
      <c r="N91" s="2"/>
      <c r="O91" s="2"/>
      <c r="P91" s="2"/>
      <c r="Q91" s="2"/>
      <c r="R91" s="2"/>
      <c r="S91" s="2"/>
      <c r="T91" s="2"/>
      <c r="U91" s="2"/>
      <c r="V91" s="2"/>
    </row>
    <row r="92" ht="22.5" customHeight="1">
      <c r="A92" s="3">
        <v>94.0</v>
      </c>
      <c r="B92" s="3" t="s">
        <v>2717</v>
      </c>
      <c r="C92" s="3" t="s">
        <v>2600</v>
      </c>
      <c r="D92" s="3" t="s">
        <v>2559</v>
      </c>
      <c r="E92" s="2"/>
      <c r="F92" s="3" t="str">
        <f>IFERROR(__xludf.DUMMYFUNCTION("GOOGLETRANSLATE(A92, ""it"", ""en"")"),"94")</f>
        <v>94</v>
      </c>
      <c r="G92" s="3" t="str">
        <f>IFERROR(__xludf.DUMMYFUNCTION("GOOGLETRANSLATE(B92, ""it"", ""en"")"),"A. What happens if a horse leaves the track during the race?")</f>
        <v>A. What happens if a horse leaves the track during the race?</v>
      </c>
      <c r="H92" s="3" t="str">
        <f>IFERROR(__xludf.DUMMYFUNCTION("GOOGLETRANSLATE(C92, ""it"", ""en"")"),"A. The horse is penalized B. The race continues normally C. The horse is disqualified D. The horse receives a warning")</f>
        <v>A. The horse is penalized B. The race continues normally C. The horse is disqualified D. The horse receives a warning</v>
      </c>
      <c r="I92" s="3" t="str">
        <f>IFERROR(__xludf.DUMMYFUNCTION("GOOGLETRANSLATE(D92, ""it"", ""en"")"),"The horse is penalized")</f>
        <v>The horse is penalized</v>
      </c>
      <c r="J92" s="2"/>
      <c r="K92" s="2"/>
      <c r="L92" s="2"/>
      <c r="M92" s="2"/>
      <c r="N92" s="2"/>
      <c r="O92" s="2"/>
      <c r="P92" s="2"/>
      <c r="Q92" s="2"/>
      <c r="R92" s="2"/>
      <c r="S92" s="2"/>
      <c r="T92" s="2"/>
      <c r="U92" s="2"/>
      <c r="V92" s="2"/>
    </row>
    <row r="93" ht="22.5" customHeight="1">
      <c r="A93" s="3">
        <v>95.0</v>
      </c>
      <c r="B93" s="3" t="s">
        <v>2718</v>
      </c>
      <c r="C93" s="3" t="s">
        <v>2631</v>
      </c>
      <c r="D93" s="3" t="s">
        <v>2559</v>
      </c>
      <c r="E93" s="2"/>
      <c r="F93" s="3" t="str">
        <f>IFERROR(__xludf.DUMMYFUNCTION("GOOGLETRANSLATE(A93, ""it"", ""en"")"),"95")</f>
        <v>95</v>
      </c>
      <c r="G93" s="3" t="str">
        <f>IFERROR(__xludf.DUMMYFUNCTION("GOOGLETRANSLATE(B93, ""it"", ""en"")"),"A. What happens if a horse changes course during the race?")</f>
        <v>A. What happens if a horse changes course during the race?</v>
      </c>
      <c r="H93" s="3" t="str">
        <f>IFERROR(__xludf.DUMMYFUNCTION("GOOGLETRANSLATE(C93, ""it"", ""en"")"),"A. The horse is penalized B. The horse is disqualified C. The race continues normally D. The horse receives a warning")</f>
        <v>A. The horse is penalized B. The horse is disqualified C. The race continues normally D. The horse receives a warning</v>
      </c>
      <c r="I93" s="3" t="str">
        <f>IFERROR(__xludf.DUMMYFUNCTION("GOOGLETRANSLATE(D93, ""it"", ""en"")"),"The horse is penalized")</f>
        <v>The horse is penalized</v>
      </c>
      <c r="J93" s="2"/>
      <c r="K93" s="2"/>
      <c r="L93" s="2"/>
      <c r="M93" s="2"/>
      <c r="N93" s="2"/>
      <c r="O93" s="2"/>
      <c r="P93" s="2"/>
      <c r="Q93" s="2"/>
      <c r="R93" s="2"/>
      <c r="S93" s="2"/>
      <c r="T93" s="2"/>
      <c r="U93" s="2"/>
      <c r="V93" s="2"/>
    </row>
    <row r="94" ht="22.5" customHeight="1">
      <c r="A94" s="3">
        <v>96.0</v>
      </c>
      <c r="B94" s="3" t="s">
        <v>2719</v>
      </c>
      <c r="C94" s="3" t="s">
        <v>2720</v>
      </c>
      <c r="D94" s="3" t="s">
        <v>2721</v>
      </c>
      <c r="E94" s="2"/>
      <c r="F94" s="3" t="str">
        <f>IFERROR(__xludf.DUMMYFUNCTION("GOOGLETRANSLATE(A94, ""it"", ""en"")"),"96")</f>
        <v>96</v>
      </c>
      <c r="G94" s="3" t="str">
        <f>IFERROR(__xludf.DUMMYFUNCTION("GOOGLETRANSLATE(B94, ""it"", ""en"")"),"A. What happens if a horse collides with another during the race?")</f>
        <v>A. What happens if a horse collides with another during the race?</v>
      </c>
      <c r="H94" s="3" t="str">
        <f>IFERROR(__xludf.DUMMYFUNCTION("GOOGLETRANSLATE(C94, ""it"", ""en"")"),"A. The horse that caused the accident is penalized B. Both horses are penalized C. The horse that suffered the injury wins D. The race continues normally")</f>
        <v>A. The horse that caused the accident is penalized B. Both horses are penalized C. The horse that suffered the injury wins D. The race continues normally</v>
      </c>
      <c r="I94" s="3" t="str">
        <f>IFERROR(__xludf.DUMMYFUNCTION("GOOGLETRANSLATE(D94, ""it"", ""en"")"),"The horse that caused the accident is penalized")</f>
        <v>The horse that caused the accident is penalized</v>
      </c>
      <c r="J94" s="2"/>
      <c r="K94" s="2"/>
      <c r="L94" s="2"/>
      <c r="M94" s="2"/>
      <c r="N94" s="2"/>
      <c r="O94" s="2"/>
      <c r="P94" s="2"/>
      <c r="Q94" s="2"/>
      <c r="R94" s="2"/>
      <c r="S94" s="2"/>
      <c r="T94" s="2"/>
      <c r="U94" s="2"/>
      <c r="V94" s="2"/>
    </row>
    <row r="95" ht="22.5" customHeight="1">
      <c r="A95" s="3">
        <v>97.0</v>
      </c>
      <c r="B95" s="3" t="s">
        <v>2722</v>
      </c>
      <c r="C95" s="3" t="s">
        <v>2620</v>
      </c>
      <c r="D95" s="3" t="s">
        <v>2559</v>
      </c>
      <c r="E95" s="2"/>
      <c r="F95" s="3" t="str">
        <f>IFERROR(__xludf.DUMMYFUNCTION("GOOGLETRANSLATE(A95, ""it"", ""en"")"),"97")</f>
        <v>97</v>
      </c>
      <c r="G95" s="3" t="str">
        <f>IFERROR(__xludf.DUMMYFUNCTION("GOOGLETRANSLATE(B95, ""it"", ""en"")"),"A. What happens if a horse cuts a corner too sharply?")</f>
        <v>A. What happens if a horse cuts a corner too sharply?</v>
      </c>
      <c r="H95" s="3" t="str">
        <f>IFERROR(__xludf.DUMMYFUNCTION("GOOGLETRANSLATE(C95, ""it"", ""en"")"),"A. The horse is penalized B. The horse is disqualified C. The race continues normally D. The horse receives a warning")</f>
        <v>A. The horse is penalized B. The horse is disqualified C. The race continues normally D. The horse receives a warning</v>
      </c>
      <c r="I95" s="3" t="str">
        <f>IFERROR(__xludf.DUMMYFUNCTION("GOOGLETRANSLATE(D95, ""it"", ""en"")"),"The horse is penalized")</f>
        <v>The horse is penalized</v>
      </c>
      <c r="J95" s="2"/>
      <c r="K95" s="2"/>
      <c r="L95" s="2"/>
      <c r="M95" s="2"/>
      <c r="N95" s="2"/>
      <c r="O95" s="2"/>
      <c r="P95" s="2"/>
      <c r="Q95" s="2"/>
      <c r="R95" s="2"/>
      <c r="S95" s="2"/>
      <c r="T95" s="2"/>
      <c r="U95" s="2"/>
      <c r="V95" s="2"/>
    </row>
    <row r="96" ht="22.5" customHeight="1">
      <c r="A96" s="3">
        <v>98.0</v>
      </c>
      <c r="B96" s="3" t="s">
        <v>2723</v>
      </c>
      <c r="C96" s="3" t="s">
        <v>2724</v>
      </c>
      <c r="D96" s="3" t="s">
        <v>2586</v>
      </c>
      <c r="E96" s="2"/>
      <c r="F96" s="3" t="str">
        <f>IFERROR(__xludf.DUMMYFUNCTION("GOOGLETRANSLATE(A96, ""it"", ""en"")"),"98")</f>
        <v>98</v>
      </c>
      <c r="G96" s="3" t="str">
        <f>IFERROR(__xludf.DUMMYFUNCTION("GOOGLETRANSLATE(B96, ""it"", ""en"")"),"A. What happens if a horse loses the race because of a shortcut?")</f>
        <v>A. What happens if a horse loses the race because of a shortcut?</v>
      </c>
      <c r="H96" s="3" t="str">
        <f>IFERROR(__xludf.DUMMYFUNCTION("GOOGLETRANSLATE(C96, ""it"", ""en"")"),"A. The horse is penalized B. The horse receives a penalty C. The horse is disqualified D. The race continues normally")</f>
        <v>A. The horse is penalized B. The horse receives a penalty C. The horse is disqualified D. The race continues normally</v>
      </c>
      <c r="I96" s="3" t="str">
        <f>IFERROR(__xludf.DUMMYFUNCTION("GOOGLETRANSLATE(D96, ""it"", ""en"")"),"The horse is penalized")</f>
        <v>The horse is penalized</v>
      </c>
      <c r="J96" s="2"/>
      <c r="K96" s="2"/>
      <c r="L96" s="2"/>
      <c r="M96" s="2"/>
      <c r="N96" s="2"/>
      <c r="O96" s="2"/>
      <c r="P96" s="2"/>
      <c r="Q96" s="2"/>
      <c r="R96" s="2"/>
      <c r="S96" s="2"/>
      <c r="T96" s="2"/>
      <c r="U96" s="2"/>
      <c r="V96" s="2"/>
    </row>
    <row r="97" ht="22.5" customHeight="1">
      <c r="A97" s="3">
        <v>99.0</v>
      </c>
      <c r="B97" s="3" t="s">
        <v>2725</v>
      </c>
      <c r="C97" s="3" t="s">
        <v>2726</v>
      </c>
      <c r="D97" s="3" t="s">
        <v>2559</v>
      </c>
      <c r="E97" s="2"/>
      <c r="F97" s="3" t="str">
        <f>IFERROR(__xludf.DUMMYFUNCTION("GOOGLETRANSLATE(A97, ""it"", ""en"")"),"99")</f>
        <v>99</v>
      </c>
      <c r="G97" s="3" t="str">
        <f>IFERROR(__xludf.DUMMYFUNCTION("GOOGLETRANSLATE(B97, ""it"", ""en"")"),"A. What happens if a horse loses control during a turn?")</f>
        <v>A. What happens if a horse loses control during a turn?</v>
      </c>
      <c r="H97" s="3" t="str">
        <f>IFERROR(__xludf.DUMMYFUNCTION("GOOGLETRANSLATE(C97, ""it"", ""en"")"),"A. The horse is penalized B. The horse is disqualified C. The horse receives a warning D. The race continues normally")</f>
        <v>A. The horse is penalized B. The horse is disqualified C. The horse receives a warning D. The race continues normally</v>
      </c>
      <c r="I97" s="3" t="str">
        <f>IFERROR(__xludf.DUMMYFUNCTION("GOOGLETRANSLATE(D97, ""it"", ""en"")"),"The horse is penalized")</f>
        <v>The horse is penalized</v>
      </c>
      <c r="J97" s="2"/>
      <c r="K97" s="2"/>
      <c r="L97" s="2"/>
      <c r="M97" s="2"/>
      <c r="N97" s="2"/>
      <c r="O97" s="2"/>
      <c r="P97" s="2"/>
      <c r="Q97" s="2"/>
      <c r="R97" s="2"/>
      <c r="S97" s="2"/>
      <c r="T97" s="2"/>
      <c r="U97" s="2"/>
      <c r="V97" s="2"/>
    </row>
    <row r="98" ht="22.5" customHeight="1">
      <c r="A98" s="3">
        <v>100.0</v>
      </c>
      <c r="B98" s="3" t="s">
        <v>2727</v>
      </c>
      <c r="C98" s="3" t="s">
        <v>2728</v>
      </c>
      <c r="D98" s="3" t="s">
        <v>2627</v>
      </c>
      <c r="E98" s="2"/>
      <c r="F98" s="3" t="str">
        <f>IFERROR(__xludf.DUMMYFUNCTION("GOOGLETRANSLATE(A98, ""it"", ""en"")"),"100")</f>
        <v>100</v>
      </c>
      <c r="G98" s="3" t="str">
        <f>IFERROR(__xludf.DUMMYFUNCTION("GOOGLETRANSLATE(B98, ""it"", ""en"")"),"A. What happens if a horse wins but doesn't finish in the order it was supposed to?")</f>
        <v>A. What happens if a horse wins but doesn't finish in the order it was supposed to?</v>
      </c>
      <c r="H98" s="3" t="str">
        <f>IFERROR(__xludf.DUMMYFUNCTION("GOOGLETRANSLATE(C98, ""it"", ""en"")"),"A. The victory is annulled B. The horse receives a penalty C. The race continues normally D. The horse is disqualified")</f>
        <v>A. The victory is annulled B. The horse receives a penalty C. The race continues normally D. The horse is disqualified</v>
      </c>
      <c r="I98" s="3" t="str">
        <f>IFERROR(__xludf.DUMMYFUNCTION("GOOGLETRANSLATE(D98, ""it"", ""en"")"),"The victory is cancelled")</f>
        <v>The victory is cancelled</v>
      </c>
      <c r="J98" s="2"/>
      <c r="K98" s="2"/>
      <c r="L98" s="2"/>
      <c r="M98" s="2"/>
      <c r="N98" s="2"/>
      <c r="O98" s="2"/>
      <c r="P98" s="2"/>
      <c r="Q98" s="2"/>
      <c r="R98" s="2"/>
      <c r="S98" s="2"/>
      <c r="T98" s="2"/>
      <c r="U98" s="2"/>
      <c r="V98" s="2"/>
    </row>
    <row r="99" ht="22.5" customHeight="1">
      <c r="A99" s="3">
        <v>101.0</v>
      </c>
      <c r="B99" s="3" t="s">
        <v>2729</v>
      </c>
      <c r="C99" s="3" t="s">
        <v>2730</v>
      </c>
      <c r="D99" s="3" t="s">
        <v>2731</v>
      </c>
      <c r="E99" s="2"/>
      <c r="F99" s="3" t="str">
        <f>IFERROR(__xludf.DUMMYFUNCTION("GOOGLETRANSLATE(A99, ""it"", ""en"")"),"101")</f>
        <v>101</v>
      </c>
      <c r="G99" s="3" t="str">
        <f>IFERROR(__xludf.DUMMYFUNCTION("GOOGLETRANSLATE(B99, ""it"", ""en"")"),"A. What happens if a horse crosses another horse's path?")</f>
        <v>A. What happens if a horse crosses another horse's path?</v>
      </c>
      <c r="H99" s="3" t="str">
        <f>IFERROR(__xludf.DUMMYFUNCTION("GOOGLETRANSLATE(C99, ""it"", ""en"")"),"A. The horse that caused the damage is penalized B. The race continues normally C. The horse that suffered the damage wins D. Both horses are penalized")</f>
        <v>A. The horse that caused the damage is penalized B. The race continues normally C. The horse that suffered the damage wins D. Both horses are penalized</v>
      </c>
      <c r="I99" s="3" t="str">
        <f>IFERROR(__xludf.DUMMYFUNCTION("GOOGLETRANSLATE(D99, ""it"", ""en"")"),"The horse that caused the damage is penalized")</f>
        <v>The horse that caused the damage is penalized</v>
      </c>
      <c r="J99" s="2"/>
      <c r="K99" s="2"/>
      <c r="L99" s="2"/>
      <c r="M99" s="2"/>
      <c r="N99" s="2"/>
      <c r="O99" s="2"/>
      <c r="P99" s="2"/>
      <c r="Q99" s="2"/>
      <c r="R99" s="2"/>
      <c r="S99" s="2"/>
      <c r="T99" s="2"/>
      <c r="U99" s="2"/>
      <c r="V99" s="2"/>
    </row>
    <row r="100" ht="22.5" customHeight="1">
      <c r="A100" s="3">
        <v>102.0</v>
      </c>
      <c r="B100" s="3" t="s">
        <v>2732</v>
      </c>
      <c r="C100" s="3" t="s">
        <v>2733</v>
      </c>
      <c r="D100" s="3" t="s">
        <v>2636</v>
      </c>
      <c r="E100" s="2"/>
      <c r="F100" s="3" t="str">
        <f>IFERROR(__xludf.DUMMYFUNCTION("GOOGLETRANSLATE(A100, ""it"", ""en"")"),"102")</f>
        <v>102</v>
      </c>
      <c r="G100" s="3" t="str">
        <f>IFERROR(__xludf.DUMMYFUNCTION("GOOGLETRANSLATE(B100, ""it"", ""en"")"),"A. What happens if a horse doesn't finish the race for technical reasons?")</f>
        <v>A. What happens if a horse doesn't finish the race for technical reasons?</v>
      </c>
      <c r="H100" s="3" t="str">
        <f>IFERROR(__xludf.DUMMYFUNCTION("GOOGLETRANSLATE(C100, ""it"", ""en"")"),"A. The horse is disqualified B. The race continues without him C. The horse receives a penalty D. The race is re-run")</f>
        <v>A. The horse is disqualified B. The race continues without him C. The horse receives a penalty D. The race is re-run</v>
      </c>
      <c r="I100" s="3" t="str">
        <f>IFERROR(__xludf.DUMMYFUNCTION("GOOGLETRANSLATE(D100, ""it"", ""en"")"),"The race continues without him")</f>
        <v>The race continues without him</v>
      </c>
      <c r="J100" s="2"/>
      <c r="K100" s="2"/>
      <c r="L100" s="2"/>
      <c r="M100" s="2"/>
      <c r="N100" s="2"/>
      <c r="O100" s="2"/>
      <c r="P100" s="2"/>
      <c r="Q100" s="2"/>
      <c r="R100" s="2"/>
      <c r="S100" s="2"/>
      <c r="T100" s="2"/>
      <c r="U100" s="2"/>
      <c r="V100" s="2"/>
    </row>
    <row r="101" ht="22.5" customHeight="1">
      <c r="A101" s="3">
        <v>103.0</v>
      </c>
      <c r="B101" s="3" t="s">
        <v>2734</v>
      </c>
      <c r="C101" s="3" t="s">
        <v>2600</v>
      </c>
      <c r="D101" s="3" t="s">
        <v>2559</v>
      </c>
      <c r="E101" s="2"/>
      <c r="F101" s="3" t="str">
        <f>IFERROR(__xludf.DUMMYFUNCTION("GOOGLETRANSLATE(A101, ""it"", ""en"")"),"103")</f>
        <v>103</v>
      </c>
      <c r="G101" s="3" t="str">
        <f>IFERROR(__xludf.DUMMYFUNCTION("GOOGLETRANSLATE(B101, ""it"", ""en"")"),"A. What happens if the horse loses its position during the race?")</f>
        <v>A. What happens if the horse loses its position during the race?</v>
      </c>
      <c r="H101" s="3" t="str">
        <f>IFERROR(__xludf.DUMMYFUNCTION("GOOGLETRANSLATE(C101, ""it"", ""en"")"),"A. The horse is penalized B. The race continues normally C. The horse is disqualified D. The horse receives a warning")</f>
        <v>A. The horse is penalized B. The race continues normally C. The horse is disqualified D. The horse receives a warning</v>
      </c>
      <c r="I101" s="3" t="str">
        <f>IFERROR(__xludf.DUMMYFUNCTION("GOOGLETRANSLATE(D101, ""it"", ""en"")"),"The horse is penalized")</f>
        <v>The horse is penalized</v>
      </c>
      <c r="J101" s="2"/>
      <c r="K101" s="2"/>
      <c r="L101" s="2"/>
      <c r="M101" s="2"/>
      <c r="N101" s="2"/>
      <c r="O101" s="2"/>
      <c r="P101" s="2"/>
      <c r="Q101" s="2"/>
      <c r="R101" s="2"/>
      <c r="S101" s="2"/>
      <c r="T101" s="2"/>
      <c r="U101" s="2"/>
      <c r="V101" s="2"/>
    </row>
    <row r="102" ht="22.5" customHeight="1">
      <c r="A102" s="3">
        <v>104.0</v>
      </c>
      <c r="B102" s="3" t="s">
        <v>2735</v>
      </c>
      <c r="C102" s="3" t="s">
        <v>2736</v>
      </c>
      <c r="D102" s="3" t="s">
        <v>2627</v>
      </c>
      <c r="E102" s="2"/>
      <c r="F102" s="3" t="str">
        <f>IFERROR(__xludf.DUMMYFUNCTION("GOOGLETRANSLATE(A102, ""it"", ""en"")"),"104")</f>
        <v>104</v>
      </c>
      <c r="G102" s="3" t="str">
        <f>IFERROR(__xludf.DUMMYFUNCTION("GOOGLETRANSLATE(B102, ""it"", ""en"")"),"A. What happens if the horse is disqualified after crossing the finish line?")</f>
        <v>A. What happens if the horse is disqualified after crossing the finish line?</v>
      </c>
      <c r="H102" s="3" t="str">
        <f>IFERROR(__xludf.DUMMYFUNCTION("GOOGLETRANSLATE(C102, ""it"", ""en"")"),"A. The victory is annulled B. The horse receives a penalty C. The race continues normally D. The race is re-run")</f>
        <v>A. The victory is annulled B. The horse receives a penalty C. The race continues normally D. The race is re-run</v>
      </c>
      <c r="I102" s="3" t="str">
        <f>IFERROR(__xludf.DUMMYFUNCTION("GOOGLETRANSLATE(D102, ""it"", ""en"")"),"The victory is cancelled")</f>
        <v>The victory is cancelled</v>
      </c>
      <c r="J102" s="2"/>
      <c r="K102" s="2"/>
      <c r="L102" s="2"/>
      <c r="M102" s="2"/>
      <c r="N102" s="2"/>
      <c r="O102" s="2"/>
      <c r="P102" s="2"/>
      <c r="Q102" s="2"/>
      <c r="R102" s="2"/>
      <c r="S102" s="2"/>
      <c r="T102" s="2"/>
      <c r="U102" s="2"/>
      <c r="V102" s="2"/>
    </row>
    <row r="103" ht="22.5" customHeight="1">
      <c r="A103" s="3">
        <v>105.0</v>
      </c>
      <c r="B103" s="3" t="s">
        <v>2737</v>
      </c>
      <c r="C103" s="3" t="s">
        <v>2738</v>
      </c>
      <c r="D103" s="3" t="s">
        <v>2522</v>
      </c>
      <c r="E103" s="2"/>
      <c r="F103" s="3" t="str">
        <f>IFERROR(__xludf.DUMMYFUNCTION("GOOGLETRANSLATE(A103, ""it"", ""en"")"),"105")</f>
        <v>105</v>
      </c>
      <c r="G103" s="3" t="str">
        <f>IFERROR(__xludf.DUMMYFUNCTION("GOOGLETRANSLATE(B103, ""it"", ""en"")"),"A. What happens if a horse doesn't follow the race course?")</f>
        <v>A. What happens if a horse doesn't follow the race course?</v>
      </c>
      <c r="H103" s="3" t="str">
        <f>IFERROR(__xludf.DUMMYFUNCTION("GOOGLETRANSLATE(C103, ""it"", ""en"")"),"A. The horse is disqualified B. The horse receives a penalty C. The race continues normally D. The horse is penalized")</f>
        <v>A. The horse is disqualified B. The horse receives a penalty C. The race continues normally D. The horse is penalized</v>
      </c>
      <c r="I103" s="3" t="str">
        <f>IFERROR(__xludf.DUMMYFUNCTION("GOOGLETRANSLATE(D103, ""it"", ""en"")"),"The horse is disqualified")</f>
        <v>The horse is disqualified</v>
      </c>
      <c r="J103" s="2"/>
      <c r="K103" s="2"/>
      <c r="L103" s="2"/>
      <c r="M103" s="2"/>
      <c r="N103" s="2"/>
      <c r="O103" s="2"/>
      <c r="P103" s="2"/>
      <c r="Q103" s="2"/>
      <c r="R103" s="2"/>
      <c r="S103" s="2"/>
      <c r="T103" s="2"/>
      <c r="U103" s="2"/>
      <c r="V103" s="2"/>
    </row>
    <row r="104" ht="22.5" customHeight="1">
      <c r="A104" s="3">
        <v>106.0</v>
      </c>
      <c r="B104" s="3" t="s">
        <v>2739</v>
      </c>
      <c r="C104" s="3" t="s">
        <v>2740</v>
      </c>
      <c r="D104" s="3" t="s">
        <v>2624</v>
      </c>
      <c r="E104" s="2"/>
      <c r="F104" s="3" t="str">
        <f>IFERROR(__xludf.DUMMYFUNCTION("GOOGLETRANSLATE(A104, ""it"", ""en"")"),"106")</f>
        <v>106</v>
      </c>
      <c r="G104" s="3" t="str">
        <f>IFERROR(__xludf.DUMMYFUNCTION("GOOGLETRANSLATE(B104, ""it"", ""en"")"),"A. What happens if a horse stops mid-race due to a physical problem?")</f>
        <v>A. What happens if a horse stops mid-race due to a physical problem?</v>
      </c>
      <c r="H104" s="3" t="str">
        <f>IFERROR(__xludf.DUMMYFUNCTION("GOOGLETRANSLATE(C104, ""it"", ""en"")"),"A. The race continues without the horse B. The horse is penalized C. The horse is disqualified D. The horse restarts")</f>
        <v>A. The race continues without the horse B. The horse is penalized C. The horse is disqualified D. The horse restarts</v>
      </c>
      <c r="I104" s="3" t="str">
        <f>IFERROR(__xludf.DUMMYFUNCTION("GOOGLETRANSLATE(D104, ""it"", ""en"")"),"The race continues without the horse")</f>
        <v>The race continues without the horse</v>
      </c>
      <c r="J104" s="2"/>
      <c r="K104" s="2"/>
      <c r="L104" s="2"/>
      <c r="M104" s="2"/>
      <c r="N104" s="2"/>
      <c r="O104" s="2"/>
      <c r="P104" s="2"/>
      <c r="Q104" s="2"/>
      <c r="R104" s="2"/>
      <c r="S104" s="2"/>
      <c r="T104" s="2"/>
      <c r="U104" s="2"/>
      <c r="V104" s="2"/>
    </row>
    <row r="105" ht="22.5" customHeight="1">
      <c r="A105" s="3">
        <v>107.0</v>
      </c>
      <c r="B105" s="3" t="s">
        <v>2741</v>
      </c>
      <c r="C105" s="3" t="s">
        <v>2742</v>
      </c>
      <c r="D105" s="3" t="s">
        <v>2743</v>
      </c>
      <c r="E105" s="2"/>
      <c r="F105" s="3" t="str">
        <f>IFERROR(__xludf.DUMMYFUNCTION("GOOGLETRANSLATE(A105, ""it"", ""en"")"),"107")</f>
        <v>107</v>
      </c>
      <c r="G105" s="3" t="str">
        <f>IFERROR(__xludf.DUMMYFUNCTION("GOOGLETRANSLATE(B105, ""it"", ""en"")"),"A. What happens if the horse finishes last but has respected all the rules?")</f>
        <v>A. What happens if the horse finishes last but has respected all the rules?</v>
      </c>
      <c r="H105" s="3" t="str">
        <f>IFERROR(__xludf.DUMMYFUNCTION("GOOGLETRANSLATE(C105, ""it"", ""en"")"),"A. The horse receives a consolation prize B. The horse is penalized C. The race continues normally D. The horse is disqualified")</f>
        <v>A. The horse receives a consolation prize B. The horse is penalized C. The race continues normally D. The horse is disqualified</v>
      </c>
      <c r="I105" s="3" t="str">
        <f>IFERROR(__xludf.DUMMYFUNCTION("GOOGLETRANSLATE(D105, ""it"", ""en"")"),"The horse receives a consolation prize")</f>
        <v>The horse receives a consolation prize</v>
      </c>
      <c r="J105" s="2"/>
      <c r="K105" s="2"/>
      <c r="L105" s="2"/>
      <c r="M105" s="2"/>
      <c r="N105" s="2"/>
      <c r="O105" s="2"/>
      <c r="P105" s="2"/>
      <c r="Q105" s="2"/>
      <c r="R105" s="2"/>
      <c r="S105" s="2"/>
      <c r="T105" s="2"/>
      <c r="U105" s="2"/>
      <c r="V105" s="2"/>
    </row>
    <row r="106" ht="22.5" customHeight="1">
      <c r="A106" s="3">
        <v>108.0</v>
      </c>
      <c r="B106" s="3" t="s">
        <v>2744</v>
      </c>
      <c r="C106" s="3" t="s">
        <v>2745</v>
      </c>
      <c r="D106" s="3" t="s">
        <v>2559</v>
      </c>
      <c r="E106" s="2"/>
      <c r="F106" s="3" t="str">
        <f>IFERROR(__xludf.DUMMYFUNCTION("GOOGLETRANSLATE(A106, ""it"", ""en"")"),"108")</f>
        <v>108</v>
      </c>
      <c r="G106" s="3" t="str">
        <f>IFERROR(__xludf.DUMMYFUNCTION("GOOGLETRANSLATE(B106, ""it"", ""en"")"),"A. If the horse intentionally slows down so as not to arrive first, what happens?")</f>
        <v>A. If the horse intentionally slows down so as not to arrive first, what happens?</v>
      </c>
      <c r="H106" s="3" t="str">
        <f>IFERROR(__xludf.DUMMYFUNCTION("GOOGLETRANSLATE(C106, ""it"", ""en"")"),"A. The horse is penalized B. The horse receives a warning C. The race continues normally D. The horse is disqualified")</f>
        <v>A. The horse is penalized B. The horse receives a warning C. The race continues normally D. The horse is disqualified</v>
      </c>
      <c r="I106" s="3" t="str">
        <f>IFERROR(__xludf.DUMMYFUNCTION("GOOGLETRANSLATE(D106, ""it"", ""en"")"),"The horse is penalized")</f>
        <v>The horse is penalized</v>
      </c>
      <c r="J106" s="2"/>
      <c r="K106" s="2"/>
      <c r="L106" s="2"/>
      <c r="M106" s="2"/>
      <c r="N106" s="2"/>
      <c r="O106" s="2"/>
      <c r="P106" s="2"/>
      <c r="Q106" s="2"/>
      <c r="R106" s="2"/>
      <c r="S106" s="2"/>
      <c r="T106" s="2"/>
      <c r="U106" s="2"/>
      <c r="V106" s="2"/>
    </row>
    <row r="107" ht="22.5" customHeight="1">
      <c r="A107" s="3">
        <v>109.0</v>
      </c>
      <c r="B107" s="3" t="s">
        <v>2746</v>
      </c>
      <c r="C107" s="3" t="s">
        <v>2747</v>
      </c>
      <c r="D107" s="3" t="s">
        <v>2586</v>
      </c>
      <c r="E107" s="2"/>
      <c r="F107" s="3" t="str">
        <f>IFERROR(__xludf.DUMMYFUNCTION("GOOGLETRANSLATE(A107, ""it"", ""en"")"),"109")</f>
        <v>109</v>
      </c>
      <c r="G107" s="3" t="str">
        <f>IFERROR(__xludf.DUMMYFUNCTION("GOOGLETRANSLATE(B107, ""it"", ""en"")"),"A. What happens if a horse loses a landmark during the race?")</f>
        <v>A. What happens if a horse loses a landmark during the race?</v>
      </c>
      <c r="H107" s="3" t="str">
        <f>IFERROR(__xludf.DUMMYFUNCTION("GOOGLETRANSLATE(C107, ""it"", ""en"")"),"A. The horse is penalized B. The race continues normally C. The horse receives a warning D. The horse is disqualified")</f>
        <v>A. The horse is penalized B. The race continues normally C. The horse receives a warning D. The horse is disqualified</v>
      </c>
      <c r="I107" s="3" t="str">
        <f>IFERROR(__xludf.DUMMYFUNCTION("GOOGLETRANSLATE(D107, ""it"", ""en"")"),"The horse is penalized")</f>
        <v>The horse is penalized</v>
      </c>
      <c r="J107" s="2"/>
      <c r="K107" s="2"/>
      <c r="L107" s="2"/>
      <c r="M107" s="2"/>
      <c r="N107" s="2"/>
      <c r="O107" s="2"/>
      <c r="P107" s="2"/>
      <c r="Q107" s="2"/>
      <c r="R107" s="2"/>
      <c r="S107" s="2"/>
      <c r="T107" s="2"/>
      <c r="U107" s="2"/>
      <c r="V107" s="2"/>
    </row>
    <row r="108" ht="22.5" customHeight="1">
      <c r="A108" s="3">
        <v>110.0</v>
      </c>
      <c r="B108" s="3" t="s">
        <v>2748</v>
      </c>
      <c r="C108" s="3" t="s">
        <v>2749</v>
      </c>
      <c r="D108" s="3" t="s">
        <v>2578</v>
      </c>
      <c r="E108" s="2"/>
      <c r="F108" s="3" t="str">
        <f>IFERROR(__xludf.DUMMYFUNCTION("GOOGLETRANSLATE(A108, ""it"", ""en"")"),"110")</f>
        <v>110</v>
      </c>
      <c r="G108" s="3" t="str">
        <f>IFERROR(__xludf.DUMMYFUNCTION("GOOGLETRANSLATE(B108, ""it"", ""en"")"),"A. If a horse makes a mistake but is not disqualified, what happens?")</f>
        <v>A. If a horse makes a mistake but is not disqualified, what happens?</v>
      </c>
      <c r="H108" s="3" t="str">
        <f>IFERROR(__xludf.DUMMYFUNCTION("GOOGLETRANSLATE(C108, ""it"", ""en"")"),"A. The horse receives a penalty B. The horse restarts C. The race continues normally D. The horse is penalized")</f>
        <v>A. The horse receives a penalty B. The horse restarts C. The race continues normally D. The horse is penalized</v>
      </c>
      <c r="I108" s="3" t="str">
        <f>IFERROR(__xludf.DUMMYFUNCTION("GOOGLETRANSLATE(D108, ""it"", ""en"")"),"The horse receives a penalty")</f>
        <v>The horse receives a penalty</v>
      </c>
      <c r="J108" s="2"/>
      <c r="K108" s="2"/>
      <c r="L108" s="2"/>
      <c r="M108" s="2"/>
      <c r="N108" s="2"/>
      <c r="O108" s="2"/>
      <c r="P108" s="2"/>
      <c r="Q108" s="2"/>
      <c r="R108" s="2"/>
      <c r="S108" s="2"/>
      <c r="T108" s="2"/>
      <c r="U108" s="2"/>
      <c r="V108" s="2"/>
    </row>
    <row r="109" ht="22.5" customHeight="1">
      <c r="A109" s="3">
        <v>111.0</v>
      </c>
      <c r="B109" s="3" t="s">
        <v>2750</v>
      </c>
      <c r="C109" s="3" t="s">
        <v>2751</v>
      </c>
      <c r="D109" s="3" t="s">
        <v>2559</v>
      </c>
      <c r="E109" s="2"/>
      <c r="F109" s="3" t="str">
        <f>IFERROR(__xludf.DUMMYFUNCTION("GOOGLETRANSLATE(A109, ""it"", ""en"")"),"111")</f>
        <v>111</v>
      </c>
      <c r="G109" s="3" t="str">
        <f>IFERROR(__xludf.DUMMYFUNCTION("GOOGLETRANSLATE(B109, ""it"", ""en"")"),"A. What happens if a horse crosses the finish line?")</f>
        <v>A. What happens if a horse crosses the finish line?</v>
      </c>
      <c r="H109" s="3" t="str">
        <f>IFERROR(__xludf.DUMMYFUNCTION("GOOGLETRANSLATE(C109, ""it"", ""en"")"),"A. The horse is penalized B. The race continues normally C. The horse receives a penalty D. The horse is disqualified")</f>
        <v>A. The horse is penalized B. The race continues normally C. The horse receives a penalty D. The horse is disqualified</v>
      </c>
      <c r="I109" s="3" t="str">
        <f>IFERROR(__xludf.DUMMYFUNCTION("GOOGLETRANSLATE(D109, ""it"", ""en"")"),"The horse is penalized")</f>
        <v>The horse is penalized</v>
      </c>
      <c r="J109" s="2"/>
      <c r="K109" s="2"/>
      <c r="L109" s="2"/>
      <c r="M109" s="2"/>
      <c r="N109" s="2"/>
      <c r="O109" s="2"/>
      <c r="P109" s="2"/>
      <c r="Q109" s="2"/>
      <c r="R109" s="2"/>
      <c r="S109" s="2"/>
      <c r="T109" s="2"/>
      <c r="U109" s="2"/>
      <c r="V109" s="2"/>
    </row>
    <row r="110" ht="22.5" customHeight="1">
      <c r="A110" s="3">
        <v>112.0</v>
      </c>
      <c r="B110" s="3" t="s">
        <v>2752</v>
      </c>
      <c r="C110" s="3" t="s">
        <v>2680</v>
      </c>
      <c r="D110" s="3" t="s">
        <v>2559</v>
      </c>
      <c r="E110" s="2"/>
      <c r="F110" s="3" t="str">
        <f>IFERROR(__xludf.DUMMYFUNCTION("GOOGLETRANSLATE(A110, ""it"", ""en"")"),"112")</f>
        <v>112</v>
      </c>
      <c r="G110" s="3" t="str">
        <f>IFERROR(__xludf.DUMMYFUNCTION("GOOGLETRANSLATE(B110, ""it"", ""en"")"),"A. What happens if a horse loses control midway through the race?")</f>
        <v>A. What happens if a horse loses control midway through the race?</v>
      </c>
      <c r="H110" s="3" t="str">
        <f>IFERROR(__xludf.DUMMYFUNCTION("GOOGLETRANSLATE(C110, ""it"", ""en"")"),"A. The horse is penalized B. The horse receives a warning C. The race continues normally D. The horse is disqualified")</f>
        <v>A. The horse is penalized B. The horse receives a warning C. The race continues normally D. The horse is disqualified</v>
      </c>
      <c r="I110" s="3" t="str">
        <f>IFERROR(__xludf.DUMMYFUNCTION("GOOGLETRANSLATE(D110, ""it"", ""en"")"),"The horse is penalized")</f>
        <v>The horse is penalized</v>
      </c>
      <c r="J110" s="2"/>
      <c r="K110" s="2"/>
      <c r="L110" s="2"/>
      <c r="M110" s="2"/>
      <c r="N110" s="2"/>
      <c r="O110" s="2"/>
      <c r="P110" s="2"/>
      <c r="Q110" s="2"/>
      <c r="R110" s="2"/>
      <c r="S110" s="2"/>
      <c r="T110" s="2"/>
      <c r="U110" s="2"/>
      <c r="V110" s="2"/>
    </row>
    <row r="111" ht="22.5" customHeight="1">
      <c r="A111" s="3">
        <v>113.0</v>
      </c>
      <c r="B111" s="3" t="s">
        <v>2753</v>
      </c>
      <c r="C111" s="3" t="s">
        <v>2620</v>
      </c>
      <c r="D111" s="3" t="s">
        <v>2559</v>
      </c>
      <c r="E111" s="2"/>
      <c r="F111" s="3" t="str">
        <f>IFERROR(__xludf.DUMMYFUNCTION("GOOGLETRANSLATE(A111, ""it"", ""en"")"),"113")</f>
        <v>113</v>
      </c>
      <c r="G111" s="3" t="str">
        <f>IFERROR(__xludf.DUMMYFUNCTION("GOOGLETRANSLATE(B111, ""it"", ""en"")"),"A. What happens if the horse doesn't follow the starting order?")</f>
        <v>A. What happens if the horse doesn't follow the starting order?</v>
      </c>
      <c r="H111" s="3" t="str">
        <f>IFERROR(__xludf.DUMMYFUNCTION("GOOGLETRANSLATE(C111, ""it"", ""en"")"),"A. The horse is penalized B. The horse is disqualified C. The race continues normally D. The horse receives a warning")</f>
        <v>A. The horse is penalized B. The horse is disqualified C. The race continues normally D. The horse receives a warning</v>
      </c>
      <c r="I111" s="3" t="str">
        <f>IFERROR(__xludf.DUMMYFUNCTION("GOOGLETRANSLATE(D111, ""it"", ""en"")"),"The horse is penalized")</f>
        <v>The horse is penalized</v>
      </c>
      <c r="J111" s="2"/>
      <c r="K111" s="2"/>
      <c r="L111" s="2"/>
      <c r="M111" s="2"/>
      <c r="N111" s="2"/>
      <c r="O111" s="2"/>
      <c r="P111" s="2"/>
      <c r="Q111" s="2"/>
      <c r="R111" s="2"/>
      <c r="S111" s="2"/>
      <c r="T111" s="2"/>
      <c r="U111" s="2"/>
      <c r="V111" s="2"/>
    </row>
    <row r="112" ht="22.5" customHeight="1">
      <c r="A112" s="3">
        <v>114.0</v>
      </c>
      <c r="B112" s="3" t="s">
        <v>2754</v>
      </c>
      <c r="C112" s="3" t="s">
        <v>2755</v>
      </c>
      <c r="D112" s="3" t="s">
        <v>2522</v>
      </c>
      <c r="E112" s="2"/>
      <c r="F112" s="3" t="str">
        <f>IFERROR(__xludf.DUMMYFUNCTION("GOOGLETRANSLATE(A112, ""it"", ""en"")"),"114")</f>
        <v>114</v>
      </c>
      <c r="G112" s="3" t="str">
        <f>IFERROR(__xludf.DUMMYFUNCTION("GOOGLETRANSLATE(B112, ""it"", ""en"")"),"A. What happens if a horse finishes before another but doesn't follow the rules?")</f>
        <v>A. What happens if a horse finishes before another but doesn't follow the rules?</v>
      </c>
      <c r="H112" s="3" t="str">
        <f>IFERROR(__xludf.DUMMYFUNCTION("GOOGLETRANSLATE(C112, ""it"", ""en"")"),"A. The horse is disqualified B. The horse receives a penalty C. The win is revoked D. The horse receives a warning")</f>
        <v>A. The horse is disqualified B. The horse receives a penalty C. The win is revoked D. The horse receives a warning</v>
      </c>
      <c r="I112" s="3" t="str">
        <f>IFERROR(__xludf.DUMMYFUNCTION("GOOGLETRANSLATE(D112, ""it"", ""en"")"),"The horse is disqualified")</f>
        <v>The horse is disqualified</v>
      </c>
      <c r="J112" s="2"/>
      <c r="K112" s="2"/>
      <c r="L112" s="2"/>
      <c r="M112" s="2"/>
      <c r="N112" s="2"/>
      <c r="O112" s="2"/>
      <c r="P112" s="2"/>
      <c r="Q112" s="2"/>
      <c r="R112" s="2"/>
      <c r="S112" s="2"/>
      <c r="T112" s="2"/>
      <c r="U112" s="2"/>
      <c r="V112" s="2"/>
    </row>
    <row r="113" ht="22.5" customHeight="1">
      <c r="A113" s="3">
        <v>115.0</v>
      </c>
      <c r="B113" s="3" t="s">
        <v>2667</v>
      </c>
      <c r="C113" s="3" t="s">
        <v>2756</v>
      </c>
      <c r="D113" s="3" t="s">
        <v>2578</v>
      </c>
      <c r="E113" s="2"/>
      <c r="F113" s="3" t="str">
        <f>IFERROR(__xludf.DUMMYFUNCTION("GOOGLETRANSLATE(A113, ""it"", ""en"")"),"115")</f>
        <v>115</v>
      </c>
      <c r="G113" s="3" t="str">
        <f>IFERROR(__xludf.DUMMYFUNCTION("GOOGLETRANSLATE(B113, ""it"", ""en"")"),"A. If a horse makes a mistake during the race but is not disqualified, what happens?")</f>
        <v>A. If a horse makes a mistake during the race but is not disqualified, what happens?</v>
      </c>
      <c r="H113" s="3" t="str">
        <f>IFERROR(__xludf.DUMMYFUNCTION("GOOGLETRANSLATE(C113, ""it"", ""en"")"),"A. The horse receives a penalty B. The horse is penalized C. The race continues normally D. The horse is disqualified")</f>
        <v>A. The horse receives a penalty B. The horse is penalized C. The race continues normally D. The horse is disqualified</v>
      </c>
      <c r="I113" s="3" t="str">
        <f>IFERROR(__xludf.DUMMYFUNCTION("GOOGLETRANSLATE(D113, ""it"", ""en"")"),"The horse receives a penalty")</f>
        <v>The horse receives a penalty</v>
      </c>
      <c r="J113" s="2"/>
      <c r="K113" s="2"/>
      <c r="L113" s="2"/>
      <c r="M113" s="2"/>
      <c r="N113" s="2"/>
      <c r="O113" s="2"/>
      <c r="P113" s="2"/>
      <c r="Q113" s="2"/>
      <c r="R113" s="2"/>
      <c r="S113" s="2"/>
      <c r="T113" s="2"/>
      <c r="U113" s="2"/>
      <c r="V113" s="2"/>
    </row>
    <row r="114" ht="22.5" customHeight="1">
      <c r="A114" s="3">
        <v>116.0</v>
      </c>
      <c r="B114" s="3" t="s">
        <v>2757</v>
      </c>
      <c r="C114" s="3" t="s">
        <v>2758</v>
      </c>
      <c r="D114" s="3" t="s">
        <v>2624</v>
      </c>
      <c r="E114" s="2"/>
      <c r="F114" s="3" t="str">
        <f>IFERROR(__xludf.DUMMYFUNCTION("GOOGLETRANSLATE(A114, ""it"", ""en"")"),"116")</f>
        <v>116</v>
      </c>
      <c r="G114" s="3" t="str">
        <f>IFERROR(__xludf.DUMMYFUNCTION("GOOGLETRANSLATE(B114, ""it"", ""en"")"),"A. What happens if a horse is disqualified for a technical error?")</f>
        <v>A. What happens if a horse is disqualified for a technical error?</v>
      </c>
      <c r="H114" s="3" t="str">
        <f>IFERROR(__xludf.DUMMYFUNCTION("GOOGLETRANSLATE(C114, ""it"", ""en"")"),"A. The race continues without the horse B. The horse receives a penalty C. The race is cancelled D. The horse is penalized")</f>
        <v>A. The race continues without the horse B. The horse receives a penalty C. The race is cancelled D. The horse is penalized</v>
      </c>
      <c r="I114" s="3" t="str">
        <f>IFERROR(__xludf.DUMMYFUNCTION("GOOGLETRANSLATE(D114, ""it"", ""en"")"),"The race continues without the horse")</f>
        <v>The race continues without the horse</v>
      </c>
      <c r="J114" s="2"/>
      <c r="K114" s="2"/>
      <c r="L114" s="2"/>
      <c r="M114" s="2"/>
      <c r="N114" s="2"/>
      <c r="O114" s="2"/>
      <c r="P114" s="2"/>
      <c r="Q114" s="2"/>
      <c r="R114" s="2"/>
      <c r="S114" s="2"/>
      <c r="T114" s="2"/>
      <c r="U114" s="2"/>
      <c r="V114" s="2"/>
    </row>
    <row r="115" ht="22.5" customHeight="1">
      <c r="A115" s="3">
        <v>117.0</v>
      </c>
      <c r="B115" s="3" t="s">
        <v>2759</v>
      </c>
      <c r="C115" s="3" t="s">
        <v>2726</v>
      </c>
      <c r="D115" s="3" t="s">
        <v>2559</v>
      </c>
      <c r="E115" s="2"/>
      <c r="F115" s="3" t="str">
        <f>IFERROR(__xludf.DUMMYFUNCTION("GOOGLETRANSLATE(A115, ""it"", ""en"")"),"117")</f>
        <v>117</v>
      </c>
      <c r="G115" s="3" t="str">
        <f>IFERROR(__xludf.DUMMYFUNCTION("GOOGLETRANSLATE(B115, ""it"", ""en"")"),"A. What happens if a horse misbehaves during the race?")</f>
        <v>A. What happens if a horse misbehaves during the race?</v>
      </c>
      <c r="H115" s="3" t="str">
        <f>IFERROR(__xludf.DUMMYFUNCTION("GOOGLETRANSLATE(C115, ""it"", ""en"")"),"A. The horse is penalized B. The horse is disqualified C. The horse receives a warning D. The race continues normally")</f>
        <v>A. The horse is penalized B. The horse is disqualified C. The horse receives a warning D. The race continues normally</v>
      </c>
      <c r="I115" s="3" t="str">
        <f>IFERROR(__xludf.DUMMYFUNCTION("GOOGLETRANSLATE(D115, ""it"", ""en"")"),"The horse is penalized")</f>
        <v>The horse is penalized</v>
      </c>
      <c r="J115" s="2"/>
      <c r="K115" s="2"/>
      <c r="L115" s="2"/>
      <c r="M115" s="2"/>
      <c r="N115" s="2"/>
      <c r="O115" s="2"/>
      <c r="P115" s="2"/>
      <c r="Q115" s="2"/>
      <c r="R115" s="2"/>
      <c r="S115" s="2"/>
      <c r="T115" s="2"/>
      <c r="U115" s="2"/>
      <c r="V115" s="2"/>
    </row>
    <row r="116" ht="22.5" customHeight="1">
      <c r="A116" s="3">
        <v>118.0</v>
      </c>
      <c r="B116" s="3" t="s">
        <v>2760</v>
      </c>
      <c r="C116" s="3" t="s">
        <v>2761</v>
      </c>
      <c r="D116" s="3" t="s">
        <v>2762</v>
      </c>
      <c r="E116" s="2"/>
      <c r="F116" s="3" t="str">
        <f>IFERROR(__xludf.DUMMYFUNCTION("GOOGLETRANSLATE(A116, ""it"", ""en"")"),"118")</f>
        <v>118</v>
      </c>
      <c r="G116" s="3" t="str">
        <f>IFERROR(__xludf.DUMMYFUNCTION("GOOGLETRANSLATE(B116, ""it"", ""en"")"),"A. What happens if a horse finishes last but has been penalized?")</f>
        <v>A. What happens if a horse finishes last but has been penalized?</v>
      </c>
      <c r="H116" s="3" t="str">
        <f>IFERROR(__xludf.DUMMYFUNCTION("GOOGLETRANSLATE(C116, ""it"", ""en"")"),"A. The horse does not win any prizes B. The race continues normally C. The horse receives a penalty D. The horse is disqualified")</f>
        <v>A. The horse does not win any prizes B. The race continues normally C. The horse receives a penalty D. The horse is disqualified</v>
      </c>
      <c r="I116" s="3" t="str">
        <f>IFERROR(__xludf.DUMMYFUNCTION("GOOGLETRANSLATE(D116, ""it"", ""en"")"),"The horse doesn't win any prizes")</f>
        <v>The horse doesn't win any prizes</v>
      </c>
      <c r="J116" s="2"/>
      <c r="K116" s="2"/>
      <c r="L116" s="2"/>
      <c r="M116" s="2"/>
      <c r="N116" s="2"/>
      <c r="O116" s="2"/>
      <c r="P116" s="2"/>
      <c r="Q116" s="2"/>
      <c r="R116" s="2"/>
      <c r="S116" s="2"/>
      <c r="T116" s="2"/>
      <c r="U116" s="2"/>
      <c r="V116" s="2"/>
    </row>
    <row r="117" ht="22.5" customHeight="1">
      <c r="A117" s="3">
        <v>119.0</v>
      </c>
      <c r="B117" s="3" t="s">
        <v>2763</v>
      </c>
      <c r="C117" s="3" t="s">
        <v>2764</v>
      </c>
      <c r="D117" s="3" t="s">
        <v>2765</v>
      </c>
      <c r="E117" s="2"/>
      <c r="F117" s="3" t="str">
        <f>IFERROR(__xludf.DUMMYFUNCTION("GOOGLETRANSLATE(A117, ""it"", ""en"")"),"119")</f>
        <v>119</v>
      </c>
      <c r="G117" s="3" t="str">
        <f>IFERROR(__xludf.DUMMYFUNCTION("GOOGLETRANSLATE(B117, ""it"", ""en"")"),"A. What happens if a horse wins but has received a warning?")</f>
        <v>A. What happens if a horse wins but has received a warning?</v>
      </c>
      <c r="H117" s="3" t="str">
        <f>IFERROR(__xludf.DUMMYFUNCTION("GOOGLETRANSLATE(C117, ""it"", ""en"")"),"A. The victory is upheld B. The horse is penalized C. The race is cancelled D. The horse receives a penalty")</f>
        <v>A. The victory is upheld B. The horse is penalized C. The race is cancelled D. The horse receives a penalty</v>
      </c>
      <c r="I117" s="3" t="str">
        <f>IFERROR(__xludf.DUMMYFUNCTION("GOOGLETRANSLATE(D117, ""it"", ""en"")"),"The victory is maintained")</f>
        <v>The victory is maintained</v>
      </c>
      <c r="J117" s="2"/>
      <c r="K117" s="2"/>
      <c r="L117" s="2"/>
      <c r="M117" s="2"/>
      <c r="N117" s="2"/>
      <c r="O117" s="2"/>
      <c r="P117" s="2"/>
      <c r="Q117" s="2"/>
      <c r="R117" s="2"/>
      <c r="S117" s="2"/>
      <c r="T117" s="2"/>
      <c r="U117" s="2"/>
      <c r="V117" s="2"/>
    </row>
    <row r="118" ht="22.5" customHeight="1">
      <c r="A118" s="3">
        <v>120.0</v>
      </c>
      <c r="B118" s="3" t="s">
        <v>2766</v>
      </c>
      <c r="C118" s="3" t="s">
        <v>2767</v>
      </c>
      <c r="D118" s="3" t="s">
        <v>2627</v>
      </c>
      <c r="E118" s="2"/>
      <c r="F118" s="3" t="str">
        <f>IFERROR(__xludf.DUMMYFUNCTION("GOOGLETRANSLATE(A118, ""it"", ""en"")"),"120")</f>
        <v>120</v>
      </c>
      <c r="G118" s="3" t="str">
        <f>IFERROR(__xludf.DUMMYFUNCTION("GOOGLETRANSLATE(B118, ""it"", ""en"")"),"A. What happens if the horse wins but is penalized during the race?")</f>
        <v>A. What happens if the horse wins but is penalized during the race?</v>
      </c>
      <c r="H118" s="3" t="str">
        <f>IFERROR(__xludf.DUMMYFUNCTION("GOOGLETRANSLATE(C118, ""it"", ""en"")"),"A. The horse receives a penalty B. The win is annulled C. The horse is disqualified D. The horse receives a warning")</f>
        <v>A. The horse receives a penalty B. The win is annulled C. The horse is disqualified D. The horse receives a warning</v>
      </c>
      <c r="I118" s="3" t="str">
        <f>IFERROR(__xludf.DUMMYFUNCTION("GOOGLETRANSLATE(D118, ""it"", ""en"")"),"The victory is cancelled")</f>
        <v>The victory is cancelled</v>
      </c>
      <c r="J118" s="2"/>
      <c r="K118" s="2"/>
      <c r="L118" s="2"/>
      <c r="M118" s="2"/>
      <c r="N118" s="2"/>
      <c r="O118" s="2"/>
      <c r="P118" s="2"/>
      <c r="Q118" s="2"/>
      <c r="R118" s="2"/>
      <c r="S118" s="2"/>
      <c r="T118" s="2"/>
      <c r="U118" s="2"/>
      <c r="V118" s="2"/>
    </row>
    <row r="119" ht="22.5" customHeight="1">
      <c r="A119" s="3">
        <v>121.0</v>
      </c>
      <c r="B119" s="3" t="s">
        <v>2768</v>
      </c>
      <c r="C119" s="3" t="s">
        <v>2769</v>
      </c>
      <c r="D119" s="3" t="s">
        <v>2691</v>
      </c>
      <c r="E119" s="2"/>
      <c r="F119" s="3" t="str">
        <f>IFERROR(__xludf.DUMMYFUNCTION("GOOGLETRANSLATE(A119, ""it"", ""en"")"),"121")</f>
        <v>121</v>
      </c>
      <c r="G119" s="3" t="str">
        <f>IFERROR(__xludf.DUMMYFUNCTION("GOOGLETRANSLATE(B119, ""it"", ""en"")"),"A. If a horse is penalized for obstructing another, what happens?")</f>
        <v>A. If a horse is penalized for obstructing another, what happens?</v>
      </c>
      <c r="H119" s="3" t="str">
        <f>IFERROR(__xludf.DUMMYFUNCTION("GOOGLETRANSLATE(C119, ""it"", ""en"")"),"A. The horse loses time B. The horse is disqualified C. The horse receives a warning D. The race continues normally")</f>
        <v>A. The horse loses time B. The horse is disqualified C. The horse receives a warning D. The race continues normally</v>
      </c>
      <c r="I119" s="3" t="str">
        <f>IFERROR(__xludf.DUMMYFUNCTION("GOOGLETRANSLATE(D119, ""it"", ""en"")"),"The horse is wasting time")</f>
        <v>The horse is wasting time</v>
      </c>
      <c r="J119" s="2"/>
      <c r="K119" s="2"/>
      <c r="L119" s="2"/>
      <c r="M119" s="2"/>
      <c r="N119" s="2"/>
      <c r="O119" s="2"/>
      <c r="P119" s="2"/>
      <c r="Q119" s="2"/>
      <c r="R119" s="2"/>
      <c r="S119" s="2"/>
      <c r="T119" s="2"/>
      <c r="U119" s="2"/>
      <c r="V119" s="2"/>
    </row>
    <row r="120" ht="22.5" customHeight="1">
      <c r="A120" s="3">
        <v>122.0</v>
      </c>
      <c r="B120" s="3" t="s">
        <v>2770</v>
      </c>
      <c r="C120" s="3" t="s">
        <v>2771</v>
      </c>
      <c r="D120" s="3" t="s">
        <v>2636</v>
      </c>
      <c r="E120" s="2"/>
      <c r="F120" s="3" t="str">
        <f>IFERROR(__xludf.DUMMYFUNCTION("GOOGLETRANSLATE(A120, ""it"", ""en"")"),"122")</f>
        <v>122</v>
      </c>
      <c r="G120" s="3" t="str">
        <f>IFERROR(__xludf.DUMMYFUNCTION("GOOGLETRANSLATE(B120, ""it"", ""en"")"),"A. What happens if a horse gets tired during the race and can't finish?")</f>
        <v>A. What happens if a horse gets tired during the race and can't finish?</v>
      </c>
      <c r="H120" s="3" t="str">
        <f>IFERROR(__xludf.DUMMYFUNCTION("GOOGLETRANSLATE(C120, ""it"", ""en"")"),"A. The horse is disqualified B. The horse receives a penalty C. The race continues without him D. The race is re-run")</f>
        <v>A. The horse is disqualified B. The horse receives a penalty C. The race continues without him D. The race is re-run</v>
      </c>
      <c r="I120" s="3" t="str">
        <f>IFERROR(__xludf.DUMMYFUNCTION("GOOGLETRANSLATE(D120, ""it"", ""en"")"),"The race continues without him")</f>
        <v>The race continues without him</v>
      </c>
      <c r="J120" s="2"/>
      <c r="K120" s="2"/>
      <c r="L120" s="2"/>
      <c r="M120" s="2"/>
      <c r="N120" s="2"/>
      <c r="O120" s="2"/>
      <c r="P120" s="2"/>
      <c r="Q120" s="2"/>
      <c r="R120" s="2"/>
      <c r="S120" s="2"/>
      <c r="T120" s="2"/>
      <c r="U120" s="2"/>
      <c r="V120" s="2"/>
    </row>
    <row r="121" ht="22.5" customHeight="1">
      <c r="A121" s="3">
        <v>123.0</v>
      </c>
      <c r="B121" s="3" t="s">
        <v>2772</v>
      </c>
      <c r="C121" s="3" t="s">
        <v>2773</v>
      </c>
      <c r="D121" s="3" t="s">
        <v>2575</v>
      </c>
      <c r="E121" s="2"/>
      <c r="F121" s="3" t="str">
        <f>IFERROR(__xludf.DUMMYFUNCTION("GOOGLETRANSLATE(A121, ""it"", ""en"")"),"123")</f>
        <v>123</v>
      </c>
      <c r="G121" s="3" t="str">
        <f>IFERROR(__xludf.DUMMYFUNCTION("GOOGLETRANSLATE(B121, ""it"", ""en"")"),"A. If a horse slips during the race but doesn't lose control, what happens?")</f>
        <v>A. If a horse slips during the race but doesn't lose control, what happens?</v>
      </c>
      <c r="H121" s="3" t="str">
        <f>IFERROR(__xludf.DUMMYFUNCTION("GOOGLETRANSLATE(C121, ""it"", ""en"")"),"A. The race continues normally B. The horse is penalized C. The horse is disqualified D. The horse receives a warning")</f>
        <v>A. The race continues normally B. The horse is penalized C. The horse is disqualified D. The horse receives a warning</v>
      </c>
      <c r="I121" s="3" t="str">
        <f>IFERROR(__xludf.DUMMYFUNCTION("GOOGLETRANSLATE(D121, ""it"", ""en"")"),"The race continues normally")</f>
        <v>The race continues normally</v>
      </c>
      <c r="J121" s="2"/>
      <c r="K121" s="2"/>
      <c r="L121" s="2"/>
      <c r="M121" s="2"/>
      <c r="N121" s="2"/>
      <c r="O121" s="2"/>
      <c r="P121" s="2"/>
      <c r="Q121" s="2"/>
      <c r="R121" s="2"/>
      <c r="S121" s="2"/>
      <c r="T121" s="2"/>
      <c r="U121" s="2"/>
      <c r="V121" s="2"/>
    </row>
    <row r="122" ht="22.5" customHeight="1">
      <c r="A122" s="3">
        <v>124.0</v>
      </c>
      <c r="B122" s="3" t="s">
        <v>2774</v>
      </c>
      <c r="C122" s="3" t="s">
        <v>2775</v>
      </c>
      <c r="D122" s="3" t="s">
        <v>2578</v>
      </c>
      <c r="E122" s="2"/>
      <c r="F122" s="3" t="str">
        <f>IFERROR(__xludf.DUMMYFUNCTION("GOOGLETRANSLATE(A122, ""it"", ""en"")"),"124")</f>
        <v>124</v>
      </c>
      <c r="G122" s="3" t="str">
        <f>IFERROR(__xludf.DUMMYFUNCTION("GOOGLETRANSLATE(B122, ""it"", ""en"")"),"A. If a horse is forced to stop due to an obstacle on the track, what happens?")</f>
        <v>A. If a horse is forced to stop due to an obstacle on the track, what happens?</v>
      </c>
      <c r="H122" s="3" t="str">
        <f>IFERROR(__xludf.DUMMYFUNCTION("GOOGLETRANSLATE(C122, ""it"", ""en"")"),"A. The horse receives a penalty B. The horse is disqualified C. The horse restarts from where it stopped D. The race continues normally")</f>
        <v>A. The horse receives a penalty B. The horse is disqualified C. The horse restarts from where it stopped D. The race continues normally</v>
      </c>
      <c r="I122" s="3" t="str">
        <f>IFERROR(__xludf.DUMMYFUNCTION("GOOGLETRANSLATE(D122, ""it"", ""en"")"),"The horse receives a penalty")</f>
        <v>The horse receives a penalty</v>
      </c>
      <c r="J122" s="2"/>
      <c r="K122" s="2"/>
      <c r="L122" s="2"/>
      <c r="M122" s="2"/>
      <c r="N122" s="2"/>
      <c r="O122" s="2"/>
      <c r="P122" s="2"/>
      <c r="Q122" s="2"/>
      <c r="R122" s="2"/>
      <c r="S122" s="2"/>
      <c r="T122" s="2"/>
      <c r="U122" s="2"/>
      <c r="V122" s="2"/>
    </row>
    <row r="123" ht="22.5" customHeight="1">
      <c r="A123" s="3">
        <v>125.0</v>
      </c>
      <c r="B123" s="3" t="s">
        <v>2570</v>
      </c>
      <c r="C123" s="3" t="s">
        <v>2776</v>
      </c>
      <c r="D123" s="3" t="s">
        <v>2777</v>
      </c>
      <c r="E123" s="2"/>
      <c r="F123" s="3" t="str">
        <f>IFERROR(__xludf.DUMMYFUNCTION("GOOGLETRANSLATE(A123, ""it"", ""en"")"),"125")</f>
        <v>125</v>
      </c>
      <c r="G123" s="3" t="str">
        <f>IFERROR(__xludf.DUMMYFUNCTION("GOOGLETRANSLATE(B123, ""it"", ""en"")"),"A. What happens if two horses collide during the race?")</f>
        <v>A. What happens if two horses collide during the race?</v>
      </c>
      <c r="H123" s="3" t="str">
        <f>IFERROR(__xludf.DUMMYFUNCTION("GOOGLETRANSLATE(C123, ""it"", ""en"")"),"A. The horse that caused the collision is penalized B. Both horses are penalized C. The race continues normally D. The horse that suffered the injury wins")</f>
        <v>A. The horse that caused the collision is penalized B. Both horses are penalized C. The race continues normally D. The horse that suffered the injury wins</v>
      </c>
      <c r="I123" s="3" t="str">
        <f>IFERROR(__xludf.DUMMYFUNCTION("GOOGLETRANSLATE(D123, ""it"", ""en"")"),"The horse that caused the collision is penalized")</f>
        <v>The horse that caused the collision is penalized</v>
      </c>
      <c r="J123" s="2"/>
      <c r="K123" s="2"/>
      <c r="L123" s="2"/>
      <c r="M123" s="2"/>
      <c r="N123" s="2"/>
      <c r="O123" s="2"/>
      <c r="P123" s="2"/>
      <c r="Q123" s="2"/>
      <c r="R123" s="2"/>
      <c r="S123" s="2"/>
      <c r="T123" s="2"/>
      <c r="U123" s="2"/>
      <c r="V123" s="2"/>
    </row>
    <row r="124" ht="22.5" customHeight="1">
      <c r="A124" s="3">
        <v>126.0</v>
      </c>
      <c r="B124" s="3" t="s">
        <v>2778</v>
      </c>
      <c r="C124" s="3" t="s">
        <v>2779</v>
      </c>
      <c r="D124" s="3" t="s">
        <v>2522</v>
      </c>
      <c r="E124" s="2"/>
      <c r="F124" s="3" t="str">
        <f>IFERROR(__xludf.DUMMYFUNCTION("GOOGLETRANSLATE(A124, ""it"", ""en"")"),"126")</f>
        <v>126</v>
      </c>
      <c r="G124" s="3" t="str">
        <f>IFERROR(__xludf.DUMMYFUNCTION("GOOGLETRANSLATE(B124, ""it"", ""en"")"),"A. What happens if a horse reaches the finish line but doesn't follow the course?")</f>
        <v>A. What happens if a horse reaches the finish line but doesn't follow the course?</v>
      </c>
      <c r="H124" s="3" t="str">
        <f>IFERROR(__xludf.DUMMYFUNCTION("GOOGLETRANSLATE(C124, ""it"", ""en"")"),"A. The horse is disqualified B. The race continues normally C. The horse receives a penalty D. The horse restarts")</f>
        <v>A. The horse is disqualified B. The race continues normally C. The horse receives a penalty D. The horse restarts</v>
      </c>
      <c r="I124" s="3" t="str">
        <f>IFERROR(__xludf.DUMMYFUNCTION("GOOGLETRANSLATE(D124, ""it"", ""en"")"),"The horse is disqualified")</f>
        <v>The horse is disqualified</v>
      </c>
      <c r="J124" s="2"/>
      <c r="K124" s="2"/>
      <c r="L124" s="2"/>
      <c r="M124" s="2"/>
      <c r="N124" s="2"/>
      <c r="O124" s="2"/>
      <c r="P124" s="2"/>
      <c r="Q124" s="2"/>
      <c r="R124" s="2"/>
      <c r="S124" s="2"/>
      <c r="T124" s="2"/>
      <c r="U124" s="2"/>
      <c r="V124" s="2"/>
    </row>
    <row r="125" ht="22.5" customHeight="1">
      <c r="A125" s="3">
        <v>127.0</v>
      </c>
      <c r="B125" s="3" t="s">
        <v>2780</v>
      </c>
      <c r="C125" s="3" t="s">
        <v>2781</v>
      </c>
      <c r="D125" s="3" t="s">
        <v>2559</v>
      </c>
      <c r="E125" s="2"/>
      <c r="F125" s="3" t="str">
        <f>IFERROR(__xludf.DUMMYFUNCTION("GOOGLETRANSLATE(A125, ""it"", ""en"")"),"127")</f>
        <v>127</v>
      </c>
      <c r="G125" s="3" t="str">
        <f>IFERROR(__xludf.DUMMYFUNCTION("GOOGLETRANSLATE(B125, ""it"", ""en"")"),"A. What happens if a horse fails to start at the signal?")</f>
        <v>A. What happens if a horse fails to start at the signal?</v>
      </c>
      <c r="H125" s="3" t="str">
        <f>IFERROR(__xludf.DUMMYFUNCTION("GOOGLETRANSLATE(C125, ""it"", ""en"")"),"A. The horse is penalized B. The race continues without him C. The horse receives a warning D. The horse restarts")</f>
        <v>A. The horse is penalized B. The race continues without him C. The horse receives a warning D. The horse restarts</v>
      </c>
      <c r="I125" s="3" t="str">
        <f>IFERROR(__xludf.DUMMYFUNCTION("GOOGLETRANSLATE(D125, ""it"", ""en"")"),"The horse is penalized")</f>
        <v>The horse is penalized</v>
      </c>
      <c r="J125" s="2"/>
      <c r="K125" s="2"/>
      <c r="L125" s="2"/>
      <c r="M125" s="2"/>
      <c r="N125" s="2"/>
      <c r="O125" s="2"/>
      <c r="P125" s="2"/>
      <c r="Q125" s="2"/>
      <c r="R125" s="2"/>
      <c r="S125" s="2"/>
      <c r="T125" s="2"/>
      <c r="U125" s="2"/>
      <c r="V125" s="2"/>
    </row>
    <row r="126" ht="22.5" customHeight="1">
      <c r="A126" s="3">
        <v>128.0</v>
      </c>
      <c r="B126" s="3" t="s">
        <v>2782</v>
      </c>
      <c r="C126" s="3" t="s">
        <v>2783</v>
      </c>
      <c r="D126" s="3" t="s">
        <v>2559</v>
      </c>
      <c r="E126" s="2"/>
      <c r="F126" s="3" t="str">
        <f>IFERROR(__xludf.DUMMYFUNCTION("GOOGLETRANSLATE(A126, ""it"", ""en"")"),"128")</f>
        <v>128</v>
      </c>
      <c r="G126" s="3" t="str">
        <f>IFERROR(__xludf.DUMMYFUNCTION("GOOGLETRANSLATE(B126, ""it"", ""en"")"),"A. What happens if a horse loses its position during the race and can't recover?")</f>
        <v>A. What happens if a horse loses its position during the race and can't recover?</v>
      </c>
      <c r="H126" s="3" t="str">
        <f>IFERROR(__xludf.DUMMYFUNCTION("GOOGLETRANSLATE(C126, ""it"", ""en"")"),"A. The horse is penalized B. The race continues normally C. The horse receives a warning D. The horse is disqualified")</f>
        <v>A. The horse is penalized B. The race continues normally C. The horse receives a warning D. The horse is disqualified</v>
      </c>
      <c r="I126" s="3" t="str">
        <f>IFERROR(__xludf.DUMMYFUNCTION("GOOGLETRANSLATE(D126, ""it"", ""en"")"),"The horse is penalized")</f>
        <v>The horse is penalized</v>
      </c>
      <c r="J126" s="2"/>
      <c r="K126" s="2"/>
      <c r="L126" s="2"/>
      <c r="M126" s="2"/>
      <c r="N126" s="2"/>
      <c r="O126" s="2"/>
      <c r="P126" s="2"/>
      <c r="Q126" s="2"/>
      <c r="R126" s="2"/>
      <c r="S126" s="2"/>
      <c r="T126" s="2"/>
      <c r="U126" s="2"/>
      <c r="V126" s="2"/>
    </row>
    <row r="127" ht="22.5" customHeight="1">
      <c r="A127" s="3">
        <v>129.0</v>
      </c>
      <c r="B127" s="3" t="s">
        <v>2784</v>
      </c>
      <c r="C127" s="3" t="s">
        <v>2785</v>
      </c>
      <c r="D127" s="3" t="s">
        <v>2636</v>
      </c>
      <c r="E127" s="2"/>
      <c r="F127" s="3" t="str">
        <f>IFERROR(__xludf.DUMMYFUNCTION("GOOGLETRANSLATE(A127, ""it"", ""en"")"),"129")</f>
        <v>129</v>
      </c>
      <c r="G127" s="3" t="str">
        <f>IFERROR(__xludf.DUMMYFUNCTION("GOOGLETRANSLATE(B127, ""it"", ""en"")"),"A. If a horse is thrown but can't get up, what happens?")</f>
        <v>A. If a horse is thrown but can't get up, what happens?</v>
      </c>
      <c r="H127" s="3" t="str">
        <f>IFERROR(__xludf.DUMMYFUNCTION("GOOGLETRANSLATE(C127, ""it"", ""en"")"),"A. The horse is disqualified B. The race continues without him C. The horse receives a penalty D. The horse restarts")</f>
        <v>A. The horse is disqualified B. The race continues without him C. The horse receives a penalty D. The horse restarts</v>
      </c>
      <c r="I127" s="3" t="str">
        <f>IFERROR(__xludf.DUMMYFUNCTION("GOOGLETRANSLATE(D127, ""it"", ""en"")"),"The race continues without him")</f>
        <v>The race continues without him</v>
      </c>
      <c r="J127" s="2"/>
      <c r="K127" s="2"/>
      <c r="L127" s="2"/>
      <c r="M127" s="2"/>
      <c r="N127" s="2"/>
      <c r="O127" s="2"/>
      <c r="P127" s="2"/>
      <c r="Q127" s="2"/>
      <c r="R127" s="2"/>
      <c r="S127" s="2"/>
      <c r="T127" s="2"/>
      <c r="U127" s="2"/>
      <c r="V127" s="2"/>
    </row>
    <row r="128" ht="22.5" customHeight="1">
      <c r="A128" s="3">
        <v>130.0</v>
      </c>
      <c r="B128" s="3" t="s">
        <v>2786</v>
      </c>
      <c r="C128" s="3" t="s">
        <v>2787</v>
      </c>
      <c r="D128" s="3" t="s">
        <v>2559</v>
      </c>
      <c r="E128" s="2"/>
      <c r="F128" s="3" t="str">
        <f>IFERROR(__xludf.DUMMYFUNCTION("GOOGLETRANSLATE(A128, ""it"", ""en"")"),"130")</f>
        <v>130</v>
      </c>
      <c r="G128" s="3" t="str">
        <f>IFERROR(__xludf.DUMMYFUNCTION("GOOGLETRANSLATE(B128, ""it"", ""en"")"),"A. What happens if a horse doesn't complete the course but reaches the finish line?")</f>
        <v>A. What happens if a horse doesn't complete the course but reaches the finish line?</v>
      </c>
      <c r="H128" s="3" t="str">
        <f>IFERROR(__xludf.DUMMYFUNCTION("GOOGLETRANSLATE(C128, ""it"", ""en"")"),"A. The horse is penalized B. The horse receives a warning C. The horse is disqualified D. The race continues normally")</f>
        <v>A. The horse is penalized B. The horse receives a warning C. The horse is disqualified D. The race continues normally</v>
      </c>
      <c r="I128" s="3" t="str">
        <f>IFERROR(__xludf.DUMMYFUNCTION("GOOGLETRANSLATE(D128, ""it"", ""en"")"),"The horse is penalized")</f>
        <v>The horse is penalized</v>
      </c>
      <c r="J128" s="2"/>
      <c r="K128" s="2"/>
      <c r="L128" s="2"/>
      <c r="M128" s="2"/>
      <c r="N128" s="2"/>
      <c r="O128" s="2"/>
      <c r="P128" s="2"/>
      <c r="Q128" s="2"/>
      <c r="R128" s="2"/>
      <c r="S128" s="2"/>
      <c r="T128" s="2"/>
      <c r="U128" s="2"/>
      <c r="V128" s="2"/>
    </row>
    <row r="129" ht="22.5" customHeight="1">
      <c r="A129" s="3">
        <v>131.0</v>
      </c>
      <c r="B129" s="3" t="s">
        <v>2788</v>
      </c>
      <c r="C129" s="3" t="s">
        <v>2789</v>
      </c>
      <c r="D129" s="3" t="s">
        <v>2578</v>
      </c>
      <c r="E129" s="2"/>
      <c r="F129" s="3" t="str">
        <f>IFERROR(__xludf.DUMMYFUNCTION("GOOGLETRANSLATE(A129, ""it"", ""en"")"),"131")</f>
        <v>131</v>
      </c>
      <c r="G129" s="3" t="str">
        <f>IFERROR(__xludf.DUMMYFUNCTION("GOOGLETRANSLATE(B129, ""it"", ""en"")"),"A. What happens if a horse is penalized for taking a shortcut?")</f>
        <v>A. What happens if a horse is penalized for taking a shortcut?</v>
      </c>
      <c r="H129" s="3" t="str">
        <f>IFERROR(__xludf.DUMMYFUNCTION("GOOGLETRANSLATE(C129, ""it"", ""en"")"),"A. The horse receives a penalty B. The horse restarts C. The race continues normally D. The horse is disqualified")</f>
        <v>A. The horse receives a penalty B. The horse restarts C. The race continues normally D. The horse is disqualified</v>
      </c>
      <c r="I129" s="3" t="str">
        <f>IFERROR(__xludf.DUMMYFUNCTION("GOOGLETRANSLATE(D129, ""it"", ""en"")"),"The horse receives a penalty")</f>
        <v>The horse receives a penalty</v>
      </c>
      <c r="J129" s="2"/>
      <c r="K129" s="2"/>
      <c r="L129" s="2"/>
      <c r="M129" s="2"/>
      <c r="N129" s="2"/>
      <c r="O129" s="2"/>
      <c r="P129" s="2"/>
      <c r="Q129" s="2"/>
      <c r="R129" s="2"/>
      <c r="S129" s="2"/>
      <c r="T129" s="2"/>
      <c r="U129" s="2"/>
      <c r="V129" s="2"/>
    </row>
    <row r="130" ht="22.5" customHeight="1">
      <c r="A130" s="3">
        <v>132.0</v>
      </c>
      <c r="B130" s="3" t="s">
        <v>2790</v>
      </c>
      <c r="C130" s="3" t="s">
        <v>2600</v>
      </c>
      <c r="D130" s="3" t="s">
        <v>2559</v>
      </c>
      <c r="E130" s="2"/>
      <c r="F130" s="3" t="str">
        <f>IFERROR(__xludf.DUMMYFUNCTION("GOOGLETRANSLATE(A130, ""it"", ""en"")"),"132")</f>
        <v>132</v>
      </c>
      <c r="G130" s="3" t="str">
        <f>IFERROR(__xludf.DUMMYFUNCTION("GOOGLETRANSLATE(B130, ""it"", ""en"")"),"A. If a horse intentionally slows down to favor another horse, what happens?")</f>
        <v>A. If a horse intentionally slows down to favor another horse, what happens?</v>
      </c>
      <c r="H130" s="3" t="str">
        <f>IFERROR(__xludf.DUMMYFUNCTION("GOOGLETRANSLATE(C130, ""it"", ""en"")"),"A. The horse is penalized B. The race continues normally C. The horse is disqualified D. The horse receives a warning")</f>
        <v>A. The horse is penalized B. The race continues normally C. The horse is disqualified D. The horse receives a warning</v>
      </c>
      <c r="I130" s="3" t="str">
        <f>IFERROR(__xludf.DUMMYFUNCTION("GOOGLETRANSLATE(D130, ""it"", ""en"")"),"The horse is penalized")</f>
        <v>The horse is penalized</v>
      </c>
      <c r="J130" s="2"/>
      <c r="K130" s="2"/>
      <c r="L130" s="2"/>
      <c r="M130" s="2"/>
      <c r="N130" s="2"/>
      <c r="O130" s="2"/>
      <c r="P130" s="2"/>
      <c r="Q130" s="2"/>
      <c r="R130" s="2"/>
      <c r="S130" s="2"/>
      <c r="T130" s="2"/>
      <c r="U130" s="2"/>
      <c r="V130" s="2"/>
    </row>
    <row r="131" ht="22.5" customHeight="1">
      <c r="A131" s="3">
        <v>133.0</v>
      </c>
      <c r="B131" s="3" t="s">
        <v>2791</v>
      </c>
      <c r="C131" s="3" t="s">
        <v>2792</v>
      </c>
      <c r="D131" s="3" t="s">
        <v>2627</v>
      </c>
      <c r="E131" s="2"/>
      <c r="F131" s="3" t="str">
        <f>IFERROR(__xludf.DUMMYFUNCTION("GOOGLETRANSLATE(A131, ""it"", ""en"")"),"133")</f>
        <v>133</v>
      </c>
      <c r="G131" s="3" t="str">
        <f>IFERROR(__xludf.DUMMYFUNCTION("GOOGLETRANSLATE(B131, ""it"", ""en"")"),"A. What happens if the horse wins but doesn't meet the minimum time?")</f>
        <v>A. What happens if the horse wins but doesn't meet the minimum time?</v>
      </c>
      <c r="H131" s="3" t="str">
        <f>IFERROR(__xludf.DUMMYFUNCTION("GOOGLETRANSLATE(C131, ""it"", ""en"")"),"A. The victory is annulled B. The horse is penalized C. The race is re-run D. The horse receives a penalty")</f>
        <v>A. The victory is annulled B. The horse is penalized C. The race is re-run D. The horse receives a penalty</v>
      </c>
      <c r="I131" s="3" t="str">
        <f>IFERROR(__xludf.DUMMYFUNCTION("GOOGLETRANSLATE(D131, ""it"", ""en"")"),"The victory is cancelled")</f>
        <v>The victory is cancelled</v>
      </c>
      <c r="J131" s="2"/>
      <c r="K131" s="2"/>
      <c r="L131" s="2"/>
      <c r="M131" s="2"/>
      <c r="N131" s="2"/>
      <c r="O131" s="2"/>
      <c r="P131" s="2"/>
      <c r="Q131" s="2"/>
      <c r="R131" s="2"/>
      <c r="S131" s="2"/>
      <c r="T131" s="2"/>
      <c r="U131" s="2"/>
      <c r="V131" s="2"/>
    </row>
    <row r="132" ht="22.5" customHeight="1">
      <c r="A132" s="3">
        <v>134.0</v>
      </c>
      <c r="B132" s="3" t="s">
        <v>2793</v>
      </c>
      <c r="C132" s="3" t="s">
        <v>2794</v>
      </c>
      <c r="D132" s="3" t="s">
        <v>2699</v>
      </c>
      <c r="E132" s="2"/>
      <c r="F132" s="3" t="str">
        <f>IFERROR(__xludf.DUMMYFUNCTION("GOOGLETRANSLATE(A132, ""it"", ""en"")"),"134")</f>
        <v>134</v>
      </c>
      <c r="G132" s="3" t="str">
        <f>IFERROR(__xludf.DUMMYFUNCTION("GOOGLETRANSLATE(B132, ""it"", ""en"")"),"A. If a horse is the only one to complete the course correctly, what happens?")</f>
        <v>A. If a horse is the only one to complete the course correctly, what happens?</v>
      </c>
      <c r="H132" s="3" t="str">
        <f>IFERROR(__xludf.DUMMYFUNCTION("GOOGLETRANSLATE(C132, ""it"", ""en"")"),"A. The horse wins B. The race continues without him C. The horse is penalized D. The horse receives a consolation prize")</f>
        <v>A. The horse wins B. The race continues without him C. The horse is penalized D. The horse receives a consolation prize</v>
      </c>
      <c r="I132" s="3" t="str">
        <f>IFERROR(__xludf.DUMMYFUNCTION("GOOGLETRANSLATE(D132, ""it"", ""en"")"),"The horse wins")</f>
        <v>The horse wins</v>
      </c>
      <c r="J132" s="2"/>
      <c r="K132" s="2"/>
      <c r="L132" s="2"/>
      <c r="M132" s="2"/>
      <c r="N132" s="2"/>
      <c r="O132" s="2"/>
      <c r="P132" s="2"/>
      <c r="Q132" s="2"/>
      <c r="R132" s="2"/>
      <c r="S132" s="2"/>
      <c r="T132" s="2"/>
      <c r="U132" s="2"/>
      <c r="V132" s="2"/>
    </row>
    <row r="133" ht="22.5" customHeight="1">
      <c r="A133" s="3">
        <v>135.0</v>
      </c>
      <c r="B133" s="3" t="s">
        <v>2795</v>
      </c>
      <c r="C133" s="3" t="s">
        <v>2749</v>
      </c>
      <c r="D133" s="3" t="s">
        <v>2578</v>
      </c>
      <c r="E133" s="2"/>
      <c r="F133" s="3" t="str">
        <f>IFERROR(__xludf.DUMMYFUNCTION("GOOGLETRANSLATE(A133, ""it"", ""en"")"),"135")</f>
        <v>135</v>
      </c>
      <c r="G133" s="3" t="str">
        <f>IFERROR(__xludf.DUMMYFUNCTION("GOOGLETRANSLATE(B133, ""it"", ""en"")"),"A. If a horse loses control and stops briefly, what happens?")</f>
        <v>A. If a horse loses control and stops briefly, what happens?</v>
      </c>
      <c r="H133" s="3" t="str">
        <f>IFERROR(__xludf.DUMMYFUNCTION("GOOGLETRANSLATE(C133, ""it"", ""en"")"),"A. The horse receives a penalty B. The horse restarts C. The race continues normally D. The horse is penalized")</f>
        <v>A. The horse receives a penalty B. The horse restarts C. The race continues normally D. The horse is penalized</v>
      </c>
      <c r="I133" s="3" t="str">
        <f>IFERROR(__xludf.DUMMYFUNCTION("GOOGLETRANSLATE(D133, ""it"", ""en"")"),"The horse receives a penalty")</f>
        <v>The horse receives a penalty</v>
      </c>
      <c r="J133" s="2"/>
      <c r="K133" s="2"/>
      <c r="L133" s="2"/>
      <c r="M133" s="2"/>
      <c r="N133" s="2"/>
      <c r="O133" s="2"/>
      <c r="P133" s="2"/>
      <c r="Q133" s="2"/>
      <c r="R133" s="2"/>
      <c r="S133" s="2"/>
      <c r="T133" s="2"/>
      <c r="U133" s="2"/>
      <c r="V133" s="2"/>
    </row>
    <row r="134" ht="22.5" customHeight="1">
      <c r="A134" s="3">
        <v>136.0</v>
      </c>
      <c r="B134" s="3" t="s">
        <v>2796</v>
      </c>
      <c r="C134" s="3" t="s">
        <v>2690</v>
      </c>
      <c r="D134" s="3" t="s">
        <v>2691</v>
      </c>
      <c r="E134" s="2"/>
      <c r="F134" s="3" t="str">
        <f>IFERROR(__xludf.DUMMYFUNCTION("GOOGLETRANSLATE(A134, ""it"", ""en"")"),"136")</f>
        <v>136</v>
      </c>
      <c r="G134" s="3" t="str">
        <f>IFERROR(__xludf.DUMMYFUNCTION("GOOGLETRANSLATE(B134, ""it"", ""en"")"),"A. What happens if the horse is penalized during the race?")</f>
        <v>A. What happens if the horse is penalized during the race?</v>
      </c>
      <c r="H134" s="3" t="str">
        <f>IFERROR(__xludf.DUMMYFUNCTION("GOOGLETRANSLATE(C134, ""it"", ""en"")"),"A. The horse loses time B. The horse is disqualified C. The race continues normally D. The horse receives a warning")</f>
        <v>A. The horse loses time B. The horse is disqualified C. The race continues normally D. The horse receives a warning</v>
      </c>
      <c r="I134" s="3" t="str">
        <f>IFERROR(__xludf.DUMMYFUNCTION("GOOGLETRANSLATE(D134, ""it"", ""en"")"),"The horse is wasting time")</f>
        <v>The horse is wasting time</v>
      </c>
      <c r="J134" s="2"/>
      <c r="K134" s="2"/>
      <c r="L134" s="2"/>
      <c r="M134" s="2"/>
      <c r="N134" s="2"/>
      <c r="O134" s="2"/>
      <c r="P134" s="2"/>
      <c r="Q134" s="2"/>
      <c r="R134" s="2"/>
      <c r="S134" s="2"/>
      <c r="T134" s="2"/>
      <c r="U134" s="2"/>
      <c r="V134" s="2"/>
    </row>
    <row r="135" ht="22.5" customHeight="1">
      <c r="A135" s="3">
        <v>137.0</v>
      </c>
      <c r="B135" s="3" t="s">
        <v>2797</v>
      </c>
      <c r="C135" s="3" t="s">
        <v>2798</v>
      </c>
      <c r="D135" s="3" t="s">
        <v>2559</v>
      </c>
      <c r="E135" s="2"/>
      <c r="F135" s="3" t="str">
        <f>IFERROR(__xludf.DUMMYFUNCTION("GOOGLETRANSLATE(A135, ""it"", ""en"")"),"137")</f>
        <v>137</v>
      </c>
      <c r="G135" s="3" t="str">
        <f>IFERROR(__xludf.DUMMYFUNCTION("GOOGLETRANSLATE(B135, ""it"", ""en"")"),"A. What happens if a horse is disqualified for a technical error during the race?")</f>
        <v>A. What happens if a horse is disqualified for a technical error during the race?</v>
      </c>
      <c r="H135" s="3" t="str">
        <f>IFERROR(__xludf.DUMMYFUNCTION("GOOGLETRANSLATE(C135, ""it"", ""en"")"),"A. The horse is penalized B. The race is cancelled C. The horse is disqualified D. The race continues without the horse")</f>
        <v>A. The horse is penalized B. The race is cancelled C. The horse is disqualified D. The race continues without the horse</v>
      </c>
      <c r="I135" s="3" t="str">
        <f>IFERROR(__xludf.DUMMYFUNCTION("GOOGLETRANSLATE(D135, ""it"", ""en"")"),"The horse is penalized")</f>
        <v>The horse is penalized</v>
      </c>
      <c r="J135" s="2"/>
      <c r="K135" s="2"/>
      <c r="L135" s="2"/>
      <c r="M135" s="2"/>
      <c r="N135" s="2"/>
      <c r="O135" s="2"/>
      <c r="P135" s="2"/>
      <c r="Q135" s="2"/>
      <c r="R135" s="2"/>
      <c r="S135" s="2"/>
      <c r="T135" s="2"/>
      <c r="U135" s="2"/>
      <c r="V135" s="2"/>
    </row>
    <row r="136" ht="22.5" customHeight="1">
      <c r="A136" s="3">
        <v>138.0</v>
      </c>
      <c r="B136" s="3" t="s">
        <v>2799</v>
      </c>
      <c r="C136" s="3" t="s">
        <v>2800</v>
      </c>
      <c r="D136" s="3" t="s">
        <v>2522</v>
      </c>
      <c r="E136" s="2"/>
      <c r="F136" s="3" t="str">
        <f>IFERROR(__xludf.DUMMYFUNCTION("GOOGLETRANSLATE(A136, ""it"", ""en"")"),"138")</f>
        <v>138</v>
      </c>
      <c r="G136" s="3" t="str">
        <f>IFERROR(__xludf.DUMMYFUNCTION("GOOGLETRANSLATE(B136, ""it"", ""en"")"),"A. What happens if a horse doesn't follow the course but reaches the finish line?")</f>
        <v>A. What happens if a horse doesn't follow the course but reaches the finish line?</v>
      </c>
      <c r="H136" s="3" t="str">
        <f>IFERROR(__xludf.DUMMYFUNCTION("GOOGLETRANSLATE(C136, ""it"", ""en"")"),"A. The horse is disqualified B. The race continues without him C. The horse receives a penalty D. The horse is penalized")</f>
        <v>A. The horse is disqualified B. The race continues without him C. The horse receives a penalty D. The horse is penalized</v>
      </c>
      <c r="I136" s="3" t="str">
        <f>IFERROR(__xludf.DUMMYFUNCTION("GOOGLETRANSLATE(D136, ""it"", ""en"")"),"The horse is disqualified")</f>
        <v>The horse is disqualified</v>
      </c>
      <c r="J136" s="2"/>
      <c r="K136" s="2"/>
      <c r="L136" s="2"/>
      <c r="M136" s="2"/>
      <c r="N136" s="2"/>
      <c r="O136" s="2"/>
      <c r="P136" s="2"/>
      <c r="Q136" s="2"/>
      <c r="R136" s="2"/>
      <c r="S136" s="2"/>
      <c r="T136" s="2"/>
      <c r="U136" s="2"/>
      <c r="V136" s="2"/>
    </row>
    <row r="137" ht="22.5" customHeight="1">
      <c r="A137" s="3">
        <v>139.0</v>
      </c>
      <c r="B137" s="3" t="s">
        <v>2801</v>
      </c>
      <c r="C137" s="3" t="s">
        <v>2802</v>
      </c>
      <c r="D137" s="3" t="s">
        <v>2627</v>
      </c>
      <c r="E137" s="2"/>
      <c r="F137" s="3" t="str">
        <f>IFERROR(__xludf.DUMMYFUNCTION("GOOGLETRANSLATE(A137, ""it"", ""en"")"),"139")</f>
        <v>139</v>
      </c>
      <c r="G137" s="3" t="str">
        <f>IFERROR(__xludf.DUMMYFUNCTION("GOOGLETRANSLATE(B137, ""it"", ""en"")"),"A. What happens if a horse wins but makes a mistake during the race?")</f>
        <v>A. What happens if a horse wins but makes a mistake during the race?</v>
      </c>
      <c r="H137" s="3" t="str">
        <f>IFERROR(__xludf.DUMMYFUNCTION("GOOGLETRANSLATE(C137, ""it"", ""en"")"),"A. The victory is annulled B. The horse receives a penalty C. The horse is penalized D. The race continues normally")</f>
        <v>A. The victory is annulled B. The horse receives a penalty C. The horse is penalized D. The race continues normally</v>
      </c>
      <c r="I137" s="3" t="str">
        <f>IFERROR(__xludf.DUMMYFUNCTION("GOOGLETRANSLATE(D137, ""it"", ""en"")"),"The victory is cancelled")</f>
        <v>The victory is cancelled</v>
      </c>
      <c r="J137" s="2"/>
      <c r="K137" s="2"/>
      <c r="L137" s="2"/>
      <c r="M137" s="2"/>
      <c r="N137" s="2"/>
      <c r="O137" s="2"/>
      <c r="P137" s="2"/>
      <c r="Q137" s="2"/>
      <c r="R137" s="2"/>
      <c r="S137" s="2"/>
      <c r="T137" s="2"/>
      <c r="U137" s="2"/>
      <c r="V137" s="2"/>
    </row>
    <row r="138" ht="22.5" customHeight="1">
      <c r="A138" s="3">
        <v>140.0</v>
      </c>
      <c r="B138" s="3" t="s">
        <v>2803</v>
      </c>
      <c r="C138" s="3" t="s">
        <v>2600</v>
      </c>
      <c r="D138" s="3" t="s">
        <v>2559</v>
      </c>
      <c r="E138" s="2"/>
      <c r="F138" s="3" t="str">
        <f>IFERROR(__xludf.DUMMYFUNCTION("GOOGLETRANSLATE(A138, ""it"", ""en"")"),"140")</f>
        <v>140</v>
      </c>
      <c r="G138" s="3" t="str">
        <f>IFERROR(__xludf.DUMMYFUNCTION("GOOGLETRANSLATE(B138, ""it"", ""en"")"),"A. What happens if a horse loses control during the race?")</f>
        <v>A. What happens if a horse loses control during the race?</v>
      </c>
      <c r="H138" s="3" t="str">
        <f>IFERROR(__xludf.DUMMYFUNCTION("GOOGLETRANSLATE(C138, ""it"", ""en"")"),"A. The horse is penalized B. The race continues normally C. The horse is disqualified D. The horse receives a warning")</f>
        <v>A. The horse is penalized B. The race continues normally C. The horse is disqualified D. The horse receives a warning</v>
      </c>
      <c r="I138" s="3" t="str">
        <f>IFERROR(__xludf.DUMMYFUNCTION("GOOGLETRANSLATE(D138, ""it"", ""en"")"),"The horse is penalized")</f>
        <v>The horse is penalized</v>
      </c>
      <c r="J138" s="2"/>
      <c r="K138" s="2"/>
      <c r="L138" s="2"/>
      <c r="M138" s="2"/>
      <c r="N138" s="2"/>
      <c r="O138" s="2"/>
      <c r="P138" s="2"/>
      <c r="Q138" s="2"/>
      <c r="R138" s="2"/>
      <c r="S138" s="2"/>
      <c r="T138" s="2"/>
      <c r="U138" s="2"/>
      <c r="V138" s="2"/>
    </row>
    <row r="139" ht="22.5" customHeight="1">
      <c r="A139" s="3">
        <v>141.0</v>
      </c>
      <c r="B139" s="3" t="s">
        <v>2804</v>
      </c>
      <c r="C139" s="3" t="s">
        <v>2705</v>
      </c>
      <c r="D139" s="3" t="s">
        <v>2575</v>
      </c>
      <c r="E139" s="2"/>
      <c r="F139" s="3" t="str">
        <f>IFERROR(__xludf.DUMMYFUNCTION("GOOGLETRANSLATE(A139, ""it"", ""en"")"),"141")</f>
        <v>141</v>
      </c>
      <c r="G139" s="3" t="str">
        <f>IFERROR(__xludf.DUMMYFUNCTION("GOOGLETRANSLATE(B139, ""it"", ""en"")"),"A. If a horse is thrown but continues to run, what happens?")</f>
        <v>A. If a horse is thrown but continues to run, what happens?</v>
      </c>
      <c r="H139" s="3" t="str">
        <f>IFERROR(__xludf.DUMMYFUNCTION("GOOGLETRANSLATE(C139, ""it"", ""en"")"),"A. The race continues normally B. The horse is penalized C. The horse receives a warning D. The horse is disqualified")</f>
        <v>A. The race continues normally B. The horse is penalized C. The horse receives a warning D. The horse is disqualified</v>
      </c>
      <c r="I139" s="3" t="str">
        <f>IFERROR(__xludf.DUMMYFUNCTION("GOOGLETRANSLATE(D139, ""it"", ""en"")"),"The race continues normally")</f>
        <v>The race continues normally</v>
      </c>
      <c r="J139" s="2"/>
      <c r="K139" s="2"/>
      <c r="L139" s="2"/>
      <c r="M139" s="2"/>
      <c r="N139" s="2"/>
      <c r="O139" s="2"/>
      <c r="P139" s="2"/>
      <c r="Q139" s="2"/>
      <c r="R139" s="2"/>
      <c r="S139" s="2"/>
      <c r="T139" s="2"/>
      <c r="U139" s="2"/>
      <c r="V139" s="2"/>
    </row>
    <row r="140" ht="22.5" customHeight="1">
      <c r="A140" s="3">
        <v>142.0</v>
      </c>
      <c r="B140" s="3" t="s">
        <v>2805</v>
      </c>
      <c r="C140" s="3" t="s">
        <v>2726</v>
      </c>
      <c r="D140" s="3" t="s">
        <v>2559</v>
      </c>
      <c r="E140" s="2"/>
      <c r="F140" s="3" t="str">
        <f>IFERROR(__xludf.DUMMYFUNCTION("GOOGLETRANSLATE(A140, ""it"", ""en"")"),"142")</f>
        <v>142</v>
      </c>
      <c r="G140" s="3" t="str">
        <f>IFERROR(__xludf.DUMMYFUNCTION("GOOGLETRANSLATE(B140, ""it"", ""en"")"),"A. What happens if a horse cuts the course irregularly to save time?")</f>
        <v>A. What happens if a horse cuts the course irregularly to save time?</v>
      </c>
      <c r="H140" s="3" t="str">
        <f>IFERROR(__xludf.DUMMYFUNCTION("GOOGLETRANSLATE(C140, ""it"", ""en"")"),"A. The horse is penalized B. The horse is disqualified C. The horse receives a warning D. The race continues normally")</f>
        <v>A. The horse is penalized B. The horse is disqualified C. The horse receives a warning D. The race continues normally</v>
      </c>
      <c r="I140" s="3" t="str">
        <f>IFERROR(__xludf.DUMMYFUNCTION("GOOGLETRANSLATE(D140, ""it"", ""en"")"),"The horse is penalized")</f>
        <v>The horse is penalized</v>
      </c>
      <c r="J140" s="2"/>
      <c r="K140" s="2"/>
      <c r="L140" s="2"/>
      <c r="M140" s="2"/>
      <c r="N140" s="2"/>
      <c r="O140" s="2"/>
      <c r="P140" s="2"/>
      <c r="Q140" s="2"/>
      <c r="R140" s="2"/>
      <c r="S140" s="2"/>
      <c r="T140" s="2"/>
      <c r="U140" s="2"/>
      <c r="V140" s="2"/>
    </row>
    <row r="141" ht="22.5" customHeight="1">
      <c r="A141" s="3">
        <v>143.0</v>
      </c>
      <c r="B141" s="3" t="s">
        <v>2806</v>
      </c>
      <c r="C141" s="3" t="s">
        <v>2807</v>
      </c>
      <c r="D141" s="3" t="s">
        <v>2627</v>
      </c>
      <c r="E141" s="2"/>
      <c r="F141" s="3" t="str">
        <f>IFERROR(__xludf.DUMMYFUNCTION("GOOGLETRANSLATE(A141, ""it"", ""en"")"),"143")</f>
        <v>143</v>
      </c>
      <c r="G141" s="3" t="str">
        <f>IFERROR(__xludf.DUMMYFUNCTION("GOOGLETRANSLATE(B141, ""it"", ""en"")"),"A. What happens if a horse wins but didn't follow all the rules?")</f>
        <v>A. What happens if a horse wins but didn't follow all the rules?</v>
      </c>
      <c r="H141" s="3" t="str">
        <f>IFERROR(__xludf.DUMMYFUNCTION("GOOGLETRANSLATE(C141, ""it"", ""en"")"),"A. The victory is annulled B. The horse receives a penalty C. The race is re-run D. The horse is disqualified")</f>
        <v>A. The victory is annulled B. The horse receives a penalty C. The race is re-run D. The horse is disqualified</v>
      </c>
      <c r="I141" s="3" t="str">
        <f>IFERROR(__xludf.DUMMYFUNCTION("GOOGLETRANSLATE(D141, ""it"", ""en"")"),"The victory is cancelled")</f>
        <v>The victory is cancelled</v>
      </c>
      <c r="J141" s="2"/>
      <c r="K141" s="2"/>
      <c r="L141" s="2"/>
      <c r="M141" s="2"/>
      <c r="N141" s="2"/>
      <c r="O141" s="2"/>
      <c r="P141" s="2"/>
      <c r="Q141" s="2"/>
      <c r="R141" s="2"/>
      <c r="S141" s="2"/>
      <c r="T141" s="2"/>
      <c r="U141" s="2"/>
      <c r="V141" s="2"/>
    </row>
    <row r="142" ht="22.5" customHeight="1">
      <c r="A142" s="3">
        <v>144.0</v>
      </c>
      <c r="B142" s="3" t="s">
        <v>2808</v>
      </c>
      <c r="C142" s="3" t="s">
        <v>2809</v>
      </c>
      <c r="D142" s="3" t="s">
        <v>2578</v>
      </c>
      <c r="E142" s="2"/>
      <c r="F142" s="3" t="str">
        <f>IFERROR(__xludf.DUMMYFUNCTION("GOOGLETRANSLATE(A142, ""it"", ""en"")"),"144")</f>
        <v>144</v>
      </c>
      <c r="G142" s="3" t="str">
        <f>IFERROR(__xludf.DUMMYFUNCTION("GOOGLETRANSLATE(B142, ""it"", ""en"")"),"A. If a horse makes a mistake during the race but is not disqualified, what happens?")</f>
        <v>A. If a horse makes a mistake during the race but is not disqualified, what happens?</v>
      </c>
      <c r="H142" s="3" t="str">
        <f>IFERROR(__xludf.DUMMYFUNCTION("GOOGLETRANSLATE(C142, ""it"", ""en"")"),"A. The horse receives a penalty B. The race continues normally C. The horse is penalized D. The horse receives a warning")</f>
        <v>A. The horse receives a penalty B. The race continues normally C. The horse is penalized D. The horse receives a warning</v>
      </c>
      <c r="I142" s="3" t="str">
        <f>IFERROR(__xludf.DUMMYFUNCTION("GOOGLETRANSLATE(D142, ""it"", ""en"")"),"The horse receives a penalty")</f>
        <v>The horse receives a penalty</v>
      </c>
      <c r="J142" s="2"/>
      <c r="K142" s="2"/>
      <c r="L142" s="2"/>
      <c r="M142" s="2"/>
      <c r="N142" s="2"/>
      <c r="O142" s="2"/>
      <c r="P142" s="2"/>
      <c r="Q142" s="2"/>
      <c r="R142" s="2"/>
      <c r="S142" s="2"/>
      <c r="T142" s="2"/>
      <c r="U142" s="2"/>
      <c r="V142" s="2"/>
    </row>
    <row r="143" ht="22.5" customHeight="1">
      <c r="A143" s="3">
        <v>145.0</v>
      </c>
      <c r="B143" s="3" t="s">
        <v>2810</v>
      </c>
      <c r="C143" s="3" t="s">
        <v>2642</v>
      </c>
      <c r="D143" s="3" t="s">
        <v>2522</v>
      </c>
      <c r="E143" s="2"/>
      <c r="F143" s="3" t="str">
        <f>IFERROR(__xludf.DUMMYFUNCTION("GOOGLETRANSLATE(A143, ""it"", ""en"")"),"145")</f>
        <v>145</v>
      </c>
      <c r="G143" s="3" t="str">
        <f>IFERROR(__xludf.DUMMYFUNCTION("GOOGLETRANSLATE(B143, ""it"", ""en"")"),"A. What happens if a horse doesn't go in the correct direction during the race?")</f>
        <v>A. What happens if a horse doesn't go in the correct direction during the race?</v>
      </c>
      <c r="H143" s="3" t="str">
        <f>IFERROR(__xludf.DUMMYFUNCTION("GOOGLETRANSLATE(C143, ""it"", ""en"")"),"A. The horse is disqualified B. The horse is penalized C. The race continues normally D. The horse receives a warning")</f>
        <v>A. The horse is disqualified B. The horse is penalized C. The race continues normally D. The horse receives a warning</v>
      </c>
      <c r="I143" s="3" t="str">
        <f>IFERROR(__xludf.DUMMYFUNCTION("GOOGLETRANSLATE(D143, ""it"", ""en"")"),"The horse is disqualified")</f>
        <v>The horse is disqualified</v>
      </c>
      <c r="J143" s="2"/>
      <c r="K143" s="2"/>
      <c r="L143" s="2"/>
      <c r="M143" s="2"/>
      <c r="N143" s="2"/>
      <c r="O143" s="2"/>
      <c r="P143" s="2"/>
      <c r="Q143" s="2"/>
      <c r="R143" s="2"/>
      <c r="S143" s="2"/>
      <c r="T143" s="2"/>
      <c r="U143" s="2"/>
      <c r="V143" s="2"/>
    </row>
    <row r="144" ht="22.5" customHeight="1">
      <c r="A144" s="3">
        <v>146.0</v>
      </c>
      <c r="B144" s="3" t="s">
        <v>2811</v>
      </c>
      <c r="C144" s="3" t="s">
        <v>2812</v>
      </c>
      <c r="D144" s="3" t="s">
        <v>2691</v>
      </c>
      <c r="E144" s="2"/>
      <c r="F144" s="3" t="str">
        <f>IFERROR(__xludf.DUMMYFUNCTION("GOOGLETRANSLATE(A144, ""it"", ""en"")"),"146")</f>
        <v>146</v>
      </c>
      <c r="G144" s="3" t="str">
        <f>IFERROR(__xludf.DUMMYFUNCTION("GOOGLETRANSLATE(B144, ""it"", ""en"")"),"A. If a horse is penalized but continues the race, what happens?")</f>
        <v>A. If a horse is penalized but continues the race, what happens?</v>
      </c>
      <c r="H144" s="3" t="str">
        <f>IFERROR(__xludf.DUMMYFUNCTION("GOOGLETRANSLATE(C144, ""it"", ""en"")"),"A. The horse loses time B. The race continues normally C. The horse receives a warning D. The horse is disqualified")</f>
        <v>A. The horse loses time B. The race continues normally C. The horse receives a warning D. The horse is disqualified</v>
      </c>
      <c r="I144" s="3" t="str">
        <f>IFERROR(__xludf.DUMMYFUNCTION("GOOGLETRANSLATE(D144, ""it"", ""en"")"),"The horse is wasting time")</f>
        <v>The horse is wasting time</v>
      </c>
      <c r="J144" s="2"/>
      <c r="K144" s="2"/>
      <c r="L144" s="2"/>
      <c r="M144" s="2"/>
      <c r="N144" s="2"/>
      <c r="O144" s="2"/>
      <c r="P144" s="2"/>
      <c r="Q144" s="2"/>
      <c r="R144" s="2"/>
      <c r="S144" s="2"/>
      <c r="T144" s="2"/>
      <c r="U144" s="2"/>
      <c r="V144" s="2"/>
    </row>
    <row r="145" ht="22.5" customHeight="1">
      <c r="A145" s="3">
        <v>147.0</v>
      </c>
      <c r="B145" s="3" t="s">
        <v>2813</v>
      </c>
      <c r="C145" s="3" t="s">
        <v>2814</v>
      </c>
      <c r="D145" s="3" t="s">
        <v>2627</v>
      </c>
      <c r="E145" s="2"/>
      <c r="F145" s="3" t="str">
        <f>IFERROR(__xludf.DUMMYFUNCTION("GOOGLETRANSLATE(A145, ""it"", ""en"")"),"147")</f>
        <v>147</v>
      </c>
      <c r="G145" s="3" t="str">
        <f>IFERROR(__xludf.DUMMYFUNCTION("GOOGLETRANSLATE(B145, ""it"", ""en"")"),"A. What happens if the horse wins but doesn't respect the course?")</f>
        <v>A. What happens if the horse wins but doesn't respect the course?</v>
      </c>
      <c r="H145" s="3" t="str">
        <f>IFERROR(__xludf.DUMMYFUNCTION("GOOGLETRANSLATE(C145, ""it"", ""en"")"),"A. The horse is penalized B. The victory is annulled C. The horse is disqualified D. The horse receives a warning")</f>
        <v>A. The horse is penalized B. The victory is annulled C. The horse is disqualified D. The horse receives a warning</v>
      </c>
      <c r="I145" s="3" t="str">
        <f>IFERROR(__xludf.DUMMYFUNCTION("GOOGLETRANSLATE(D145, ""it"", ""en"")"),"The victory is cancelled")</f>
        <v>The victory is cancelled</v>
      </c>
      <c r="J145" s="2"/>
      <c r="K145" s="2"/>
      <c r="L145" s="2"/>
      <c r="M145" s="2"/>
      <c r="N145" s="2"/>
      <c r="O145" s="2"/>
      <c r="P145" s="2"/>
      <c r="Q145" s="2"/>
      <c r="R145" s="2"/>
      <c r="S145" s="2"/>
      <c r="T145" s="2"/>
      <c r="U145" s="2"/>
      <c r="V145" s="2"/>
    </row>
    <row r="146" ht="22.5" customHeight="1">
      <c r="A146" s="3">
        <v>148.0</v>
      </c>
      <c r="B146" s="3" t="s">
        <v>2815</v>
      </c>
      <c r="C146" s="3" t="s">
        <v>2816</v>
      </c>
      <c r="D146" s="3" t="s">
        <v>2743</v>
      </c>
      <c r="E146" s="2"/>
      <c r="F146" s="3" t="str">
        <f>IFERROR(__xludf.DUMMYFUNCTION("GOOGLETRANSLATE(A146, ""it"", ""en"")"),"148")</f>
        <v>148</v>
      </c>
      <c r="G146" s="3" t="str">
        <f>IFERROR(__xludf.DUMMYFUNCTION("GOOGLETRANSLATE(B146, ""it"", ""en"")"),"A. What happens if a horse doesn't finish but has respected the rules?")</f>
        <v>A. What happens if a horse doesn't finish but has respected the rules?</v>
      </c>
      <c r="H146" s="3" t="str">
        <f>IFERROR(__xludf.DUMMYFUNCTION("GOOGLETRANSLATE(C146, ""it"", ""en"")"),"A. The horse receives a consolation prize B. The horse is penalized C. The race continues normally D. The horse is disqualified")</f>
        <v>A. The horse receives a consolation prize B. The horse is penalized C. The race continues normally D. The horse is disqualified</v>
      </c>
      <c r="I146" s="3" t="str">
        <f>IFERROR(__xludf.DUMMYFUNCTION("GOOGLETRANSLATE(D146, ""it"", ""en"")"),"The horse receives a consolation prize")</f>
        <v>The horse receives a consolation prize</v>
      </c>
      <c r="J146" s="2"/>
      <c r="K146" s="2"/>
      <c r="L146" s="2"/>
      <c r="M146" s="2"/>
      <c r="N146" s="2"/>
      <c r="O146" s="2"/>
      <c r="P146" s="2"/>
      <c r="Q146" s="2"/>
      <c r="R146" s="2"/>
      <c r="S146" s="2"/>
      <c r="T146" s="2"/>
      <c r="U146" s="2"/>
      <c r="V146" s="2"/>
    </row>
    <row r="147" ht="22.5" customHeight="1">
      <c r="A147" s="3">
        <v>149.0</v>
      </c>
      <c r="B147" s="3" t="s">
        <v>2817</v>
      </c>
      <c r="C147" s="3" t="s">
        <v>2705</v>
      </c>
      <c r="D147" s="3" t="s">
        <v>2575</v>
      </c>
      <c r="E147" s="2"/>
      <c r="F147" s="3" t="str">
        <f>IFERROR(__xludf.DUMMYFUNCTION("GOOGLETRANSLATE(A147, ""it"", ""en"")"),"149")</f>
        <v>149</v>
      </c>
      <c r="G147" s="3" t="str">
        <f>IFERROR(__xludf.DUMMYFUNCTION("GOOGLETRANSLATE(B147, ""it"", ""en"")"),"A. If a horse loses control of the race but recovers quickly, what happens?")</f>
        <v>A. If a horse loses control of the race but recovers quickly, what happens?</v>
      </c>
      <c r="H147" s="3" t="str">
        <f>IFERROR(__xludf.DUMMYFUNCTION("GOOGLETRANSLATE(C147, ""it"", ""en"")"),"A. The race continues normally B. The horse is penalized C. The horse receives a warning D. The horse is disqualified")</f>
        <v>A. The race continues normally B. The horse is penalized C. The horse receives a warning D. The horse is disqualified</v>
      </c>
      <c r="I147" s="3" t="str">
        <f>IFERROR(__xludf.DUMMYFUNCTION("GOOGLETRANSLATE(D147, ""it"", ""en"")"),"The race continues normally")</f>
        <v>The race continues normally</v>
      </c>
      <c r="J147" s="2"/>
      <c r="K147" s="2"/>
      <c r="L147" s="2"/>
      <c r="M147" s="2"/>
      <c r="N147" s="2"/>
      <c r="O147" s="2"/>
      <c r="P147" s="2"/>
      <c r="Q147" s="2"/>
      <c r="R147" s="2"/>
      <c r="S147" s="2"/>
      <c r="T147" s="2"/>
      <c r="U147" s="2"/>
      <c r="V147" s="2"/>
    </row>
    <row r="148" ht="22.5" customHeight="1">
      <c r="A148" s="3">
        <v>150.0</v>
      </c>
      <c r="B148" s="3" t="s">
        <v>2818</v>
      </c>
      <c r="C148" s="3" t="s">
        <v>2819</v>
      </c>
      <c r="D148" s="3" t="s">
        <v>2627</v>
      </c>
      <c r="E148" s="2"/>
      <c r="F148" s="3" t="str">
        <f>IFERROR(__xludf.DUMMYFUNCTION("GOOGLETRANSLATE(A148, ""it"", ""en"")"),"150")</f>
        <v>150</v>
      </c>
      <c r="G148" s="3" t="str">
        <f>IFERROR(__xludf.DUMMYFUNCTION("GOOGLETRANSLATE(B148, ""it"", ""en"")"),"A. What happens if a horse wins without respecting the finishing rules?")</f>
        <v>A. What happens if a horse wins without respecting the finishing rules?</v>
      </c>
      <c r="H148" s="3" t="str">
        <f>IFERROR(__xludf.DUMMYFUNCTION("GOOGLETRANSLATE(C148, ""it"", ""en"")"),"A. The horse is penalized B. The victory is annulled C. The horse is disqualified D. The horse receives a penalty")</f>
        <v>A. The horse is penalized B. The victory is annulled C. The horse is disqualified D. The horse receives a penalty</v>
      </c>
      <c r="I148" s="3" t="str">
        <f>IFERROR(__xludf.DUMMYFUNCTION("GOOGLETRANSLATE(D148, ""it"", ""en"")"),"The victory is cancelled")</f>
        <v>The victory is cancelled</v>
      </c>
      <c r="J148" s="2"/>
      <c r="K148" s="2"/>
      <c r="L148" s="2"/>
      <c r="M148" s="2"/>
      <c r="N148" s="2"/>
      <c r="O148" s="2"/>
      <c r="P148" s="2"/>
      <c r="Q148" s="2"/>
      <c r="R148" s="2"/>
      <c r="S148" s="2"/>
      <c r="T148" s="2"/>
      <c r="U148" s="2"/>
      <c r="V148" s="2"/>
    </row>
    <row r="149" ht="22.5" customHeight="1">
      <c r="A149" s="3">
        <v>151.0</v>
      </c>
      <c r="B149" s="3" t="s">
        <v>2820</v>
      </c>
      <c r="C149" s="3" t="s">
        <v>2783</v>
      </c>
      <c r="D149" s="3" t="s">
        <v>2575</v>
      </c>
      <c r="E149" s="2"/>
      <c r="F149" s="3" t="str">
        <f>IFERROR(__xludf.DUMMYFUNCTION("GOOGLETRANSLATE(A149, ""it"", ""en"")"),"151")</f>
        <v>151</v>
      </c>
      <c r="G149" s="3" t="str">
        <f>IFERROR(__xludf.DUMMYFUNCTION("GOOGLETRANSLATE(B149, ""it"", ""en"")"),"A. If a horse stumbles during the race but doesn't lose control, what happens?")</f>
        <v>A. If a horse stumbles during the race but doesn't lose control, what happens?</v>
      </c>
      <c r="H149" s="3" t="str">
        <f>IFERROR(__xludf.DUMMYFUNCTION("GOOGLETRANSLATE(C149, ""it"", ""en"")"),"A. The horse is penalized B. The race continues normally C. The horse receives a warning D. The horse is disqualified")</f>
        <v>A. The horse is penalized B. The race continues normally C. The horse receives a warning D. The horse is disqualified</v>
      </c>
      <c r="I149" s="3" t="str">
        <f>IFERROR(__xludf.DUMMYFUNCTION("GOOGLETRANSLATE(D149, ""it"", ""en"")"),"The race continues normally")</f>
        <v>The race continues normally</v>
      </c>
      <c r="J149" s="2"/>
      <c r="K149" s="2"/>
      <c r="L149" s="2"/>
      <c r="M149" s="2"/>
      <c r="N149" s="2"/>
      <c r="O149" s="2"/>
      <c r="P149" s="2"/>
      <c r="Q149" s="2"/>
      <c r="R149" s="2"/>
      <c r="S149" s="2"/>
      <c r="T149" s="2"/>
      <c r="U149" s="2"/>
      <c r="V149" s="2"/>
    </row>
    <row r="150" ht="22.5" customHeight="1">
      <c r="A150" s="3">
        <v>152.0</v>
      </c>
      <c r="B150" s="3" t="s">
        <v>2821</v>
      </c>
      <c r="C150" s="3" t="s">
        <v>2822</v>
      </c>
      <c r="D150" s="3" t="s">
        <v>2721</v>
      </c>
      <c r="E150" s="2"/>
      <c r="F150" s="3" t="str">
        <f>IFERROR(__xludf.DUMMYFUNCTION("GOOGLETRANSLATE(A150, ""it"", ""en"")"),"152")</f>
        <v>152</v>
      </c>
      <c r="G150" s="3" t="str">
        <f>IFERROR(__xludf.DUMMYFUNCTION("GOOGLETRANSLATE(B150, ""it"", ""en"")"),"A. If a horse is pushed off the track by another horse, what happens?")</f>
        <v>A. If a horse is pushed off the track by another horse, what happens?</v>
      </c>
      <c r="H150" s="3" t="str">
        <f>IFERROR(__xludf.DUMMYFUNCTION("GOOGLETRANSLATE(C150, ""it"", ""en"")"),"A. The horse that caused the accident is penalized B. The horse that was pushed out is penalized C. Both horses are penalized D. The race continues normally")</f>
        <v>A. The horse that caused the accident is penalized B. The horse that was pushed out is penalized C. Both horses are penalized D. The race continues normally</v>
      </c>
      <c r="I150" s="3" t="str">
        <f>IFERROR(__xludf.DUMMYFUNCTION("GOOGLETRANSLATE(D150, ""it"", ""en"")"),"The horse that caused the accident is penalized")</f>
        <v>The horse that caused the accident is penalized</v>
      </c>
      <c r="J150" s="2"/>
      <c r="K150" s="2"/>
      <c r="L150" s="2"/>
      <c r="M150" s="2"/>
      <c r="N150" s="2"/>
      <c r="O150" s="2"/>
      <c r="P150" s="2"/>
      <c r="Q150" s="2"/>
      <c r="R150" s="2"/>
      <c r="S150" s="2"/>
      <c r="T150" s="2"/>
      <c r="U150" s="2"/>
      <c r="V150" s="2"/>
    </row>
    <row r="151" ht="22.5" customHeight="1">
      <c r="A151" s="3">
        <v>153.0</v>
      </c>
      <c r="B151" s="3" t="s">
        <v>2823</v>
      </c>
      <c r="C151" s="3" t="s">
        <v>2620</v>
      </c>
      <c r="D151" s="3" t="s">
        <v>2559</v>
      </c>
      <c r="E151" s="2"/>
      <c r="F151" s="3" t="str">
        <f>IFERROR(__xludf.DUMMYFUNCTION("GOOGLETRANSLATE(A151, ""it"", ""en"")"),"153")</f>
        <v>153</v>
      </c>
      <c r="G151" s="3" t="str">
        <f>IFERROR(__xludf.DUMMYFUNCTION("GOOGLETRANSLATE(B151, ""it"", ""en"")"),"A. What happens if a horse changes its rider during the race?")</f>
        <v>A. What happens if a horse changes its rider during the race?</v>
      </c>
      <c r="H151" s="3" t="str">
        <f>IFERROR(__xludf.DUMMYFUNCTION("GOOGLETRANSLATE(C151, ""it"", ""en"")"),"A. The horse is penalized B. The horse is disqualified C. The race continues normally D. The horse receives a warning")</f>
        <v>A. The horse is penalized B. The horse is disqualified C. The race continues normally D. The horse receives a warning</v>
      </c>
      <c r="I151" s="3" t="str">
        <f>IFERROR(__xludf.DUMMYFUNCTION("GOOGLETRANSLATE(D151, ""it"", ""en"")"),"The horse is penalized")</f>
        <v>The horse is penalized</v>
      </c>
      <c r="J151" s="2"/>
      <c r="K151" s="2"/>
      <c r="L151" s="2"/>
      <c r="M151" s="2"/>
      <c r="N151" s="2"/>
      <c r="O151" s="2"/>
      <c r="P151" s="2"/>
      <c r="Q151" s="2"/>
      <c r="R151" s="2"/>
      <c r="S151" s="2"/>
      <c r="T151" s="2"/>
      <c r="U151" s="2"/>
      <c r="V151" s="2"/>
    </row>
    <row r="152" ht="22.5" customHeight="1">
      <c r="A152" s="3">
        <v>154.0</v>
      </c>
      <c r="B152" s="3" t="s">
        <v>2824</v>
      </c>
      <c r="C152" s="3" t="s">
        <v>2825</v>
      </c>
      <c r="D152" s="3" t="s">
        <v>2559</v>
      </c>
      <c r="E152" s="2"/>
      <c r="F152" s="3" t="str">
        <f>IFERROR(__xludf.DUMMYFUNCTION("GOOGLETRANSLATE(A152, ""it"", ""en"")"),"154")</f>
        <v>154</v>
      </c>
      <c r="G152" s="3" t="str">
        <f>IFERROR(__xludf.DUMMYFUNCTION("GOOGLETRANSLATE(B152, ""it"", ""en"")"),"A. What happens if a horse reaches the finish line without having followed the correct course?")</f>
        <v>A. What happens if a horse reaches the finish line without having followed the correct course?</v>
      </c>
      <c r="H152" s="3" t="str">
        <f>IFERROR(__xludf.DUMMYFUNCTION("GOOGLETRANSLATE(C152, ""it"", ""en"")"),"A. The horse is penalized B. The race continues normally C. The horse is disqualified D. The victory is annulled")</f>
        <v>A. The horse is penalized B. The race continues normally C. The horse is disqualified D. The victory is annulled</v>
      </c>
      <c r="I152" s="3" t="str">
        <f>IFERROR(__xludf.DUMMYFUNCTION("GOOGLETRANSLATE(D152, ""it"", ""en"")"),"The horse is penalized")</f>
        <v>The horse is penalized</v>
      </c>
      <c r="J152" s="2"/>
      <c r="K152" s="2"/>
      <c r="L152" s="2"/>
      <c r="M152" s="2"/>
      <c r="N152" s="2"/>
      <c r="O152" s="2"/>
      <c r="P152" s="2"/>
      <c r="Q152" s="2"/>
      <c r="R152" s="2"/>
      <c r="S152" s="2"/>
      <c r="T152" s="2"/>
      <c r="U152" s="2"/>
      <c r="V152" s="2"/>
    </row>
    <row r="153" ht="22.5" customHeight="1">
      <c r="A153" s="3">
        <v>155.0</v>
      </c>
      <c r="B153" s="3" t="s">
        <v>2826</v>
      </c>
      <c r="C153" s="3" t="s">
        <v>2773</v>
      </c>
      <c r="D153" s="3" t="s">
        <v>2575</v>
      </c>
      <c r="E153" s="2"/>
      <c r="F153" s="3" t="str">
        <f>IFERROR(__xludf.DUMMYFUNCTION("GOOGLETRANSLATE(A153, ""it"", ""en"")"),"155")</f>
        <v>155</v>
      </c>
      <c r="G153" s="3" t="str">
        <f>IFERROR(__xludf.DUMMYFUNCTION("GOOGLETRANSLATE(B153, ""it"", ""en"")"),"A. If a horse loses its rider during a race but continues to run, what happens?")</f>
        <v>A. If a horse loses its rider during a race but continues to run, what happens?</v>
      </c>
      <c r="H153" s="3" t="str">
        <f>IFERROR(__xludf.DUMMYFUNCTION("GOOGLETRANSLATE(C153, ""it"", ""en"")"),"A. The race continues normally B. The horse is penalized C. The horse is disqualified D. The horse receives a warning")</f>
        <v>A. The race continues normally B. The horse is penalized C. The horse is disqualified D. The horse receives a warning</v>
      </c>
      <c r="I153" s="3" t="str">
        <f>IFERROR(__xludf.DUMMYFUNCTION("GOOGLETRANSLATE(D153, ""it"", ""en"")"),"The race continues normally")</f>
        <v>The race continues normally</v>
      </c>
      <c r="J153" s="2"/>
      <c r="K153" s="2"/>
      <c r="L153" s="2"/>
      <c r="M153" s="2"/>
      <c r="N153" s="2"/>
      <c r="O153" s="2"/>
      <c r="P153" s="2"/>
      <c r="Q153" s="2"/>
      <c r="R153" s="2"/>
      <c r="S153" s="2"/>
      <c r="T153" s="2"/>
      <c r="U153" s="2"/>
      <c r="V153" s="2"/>
    </row>
    <row r="154" ht="22.5" customHeight="1">
      <c r="A154" s="3">
        <v>156.0</v>
      </c>
      <c r="B154" s="3" t="s">
        <v>2827</v>
      </c>
      <c r="C154" s="3" t="s">
        <v>2680</v>
      </c>
      <c r="D154" s="3" t="s">
        <v>2559</v>
      </c>
      <c r="E154" s="2"/>
      <c r="F154" s="3" t="str">
        <f>IFERROR(__xludf.DUMMYFUNCTION("GOOGLETRANSLATE(A154, ""it"", ""en"")"),"156")</f>
        <v>156</v>
      </c>
      <c r="G154" s="3" t="str">
        <f>IFERROR(__xludf.DUMMYFUNCTION("GOOGLETRANSLATE(B154, ""it"", ""en"")"),"A. If a horse is distracted by an object on the track, what happens?")</f>
        <v>A. If a horse is distracted by an object on the track, what happens?</v>
      </c>
      <c r="H154" s="3" t="str">
        <f>IFERROR(__xludf.DUMMYFUNCTION("GOOGLETRANSLATE(C154, ""it"", ""en"")"),"A. The horse is penalized B. The horse receives a warning C. The race continues normally D. The horse is disqualified")</f>
        <v>A. The horse is penalized B. The horse receives a warning C. The race continues normally D. The horse is disqualified</v>
      </c>
      <c r="I154" s="3" t="str">
        <f>IFERROR(__xludf.DUMMYFUNCTION("GOOGLETRANSLATE(D154, ""it"", ""en"")"),"The horse is penalized")</f>
        <v>The horse is penalized</v>
      </c>
      <c r="J154" s="2"/>
      <c r="K154" s="2"/>
      <c r="L154" s="2"/>
      <c r="M154" s="2"/>
      <c r="N154" s="2"/>
      <c r="O154" s="2"/>
      <c r="P154" s="2"/>
      <c r="Q154" s="2"/>
      <c r="R154" s="2"/>
      <c r="S154" s="2"/>
      <c r="T154" s="2"/>
      <c r="U154" s="2"/>
      <c r="V154" s="2"/>
    </row>
    <row r="155" ht="22.5" customHeight="1">
      <c r="A155" s="3">
        <v>157.0</v>
      </c>
      <c r="B155" s="3" t="s">
        <v>2780</v>
      </c>
      <c r="C155" s="3" t="s">
        <v>2828</v>
      </c>
      <c r="D155" s="3" t="s">
        <v>2559</v>
      </c>
      <c r="E155" s="2"/>
      <c r="F155" s="3" t="str">
        <f>IFERROR(__xludf.DUMMYFUNCTION("GOOGLETRANSLATE(A155, ""it"", ""en"")"),"157")</f>
        <v>157</v>
      </c>
      <c r="G155" s="3" t="str">
        <f>IFERROR(__xludf.DUMMYFUNCTION("GOOGLETRANSLATE(B155, ""it"", ""en"")"),"A. What happens if a horse fails to start at the signal?")</f>
        <v>A. What happens if a horse fails to start at the signal?</v>
      </c>
      <c r="H155" s="3" t="str">
        <f>IFERROR(__xludf.DUMMYFUNCTION("GOOGLETRANSLATE(C155, ""it"", ""en"")"),"A. The horse is penalized B. The race continues without him C. The horse receives a warning D. The horse is disqualified")</f>
        <v>A. The horse is penalized B. The race continues without him C. The horse receives a warning D. The horse is disqualified</v>
      </c>
      <c r="I155" s="3" t="str">
        <f>IFERROR(__xludf.DUMMYFUNCTION("GOOGLETRANSLATE(D155, ""it"", ""en"")"),"The horse is penalized")</f>
        <v>The horse is penalized</v>
      </c>
      <c r="J155" s="2"/>
      <c r="K155" s="2"/>
      <c r="L155" s="2"/>
      <c r="M155" s="2"/>
      <c r="N155" s="2"/>
      <c r="O155" s="2"/>
      <c r="P155" s="2"/>
      <c r="Q155" s="2"/>
      <c r="R155" s="2"/>
      <c r="S155" s="2"/>
      <c r="T155" s="2"/>
      <c r="U155" s="2"/>
      <c r="V155" s="2"/>
    </row>
    <row r="156" ht="22.5" customHeight="1">
      <c r="A156" s="3">
        <v>158.0</v>
      </c>
      <c r="B156" s="3" t="s">
        <v>2829</v>
      </c>
      <c r="C156" s="3" t="s">
        <v>2830</v>
      </c>
      <c r="D156" s="3" t="s">
        <v>2559</v>
      </c>
      <c r="E156" s="2"/>
      <c r="F156" s="3" t="str">
        <f>IFERROR(__xludf.DUMMYFUNCTION("GOOGLETRANSLATE(A156, ""it"", ""en"")"),"158")</f>
        <v>158</v>
      </c>
      <c r="G156" s="3" t="str">
        <f>IFERROR(__xludf.DUMMYFUNCTION("GOOGLETRANSLATE(B156, ""it"", ""en"")"),"A. What happens if a horse stops in the middle of the race for no reason?")</f>
        <v>A. What happens if a horse stops in the middle of the race for no reason?</v>
      </c>
      <c r="H156" s="3" t="str">
        <f>IFERROR(__xludf.DUMMYFUNCTION("GOOGLETRANSLATE(C156, ""it"", ""en"")"),"A. The horse is penalized B. The race continues without him C. The horse is disqualified D. The horse receives a warning")</f>
        <v>A. The horse is penalized B. The race continues without him C. The horse is disqualified D. The horse receives a warning</v>
      </c>
      <c r="I156" s="3" t="str">
        <f>IFERROR(__xludf.DUMMYFUNCTION("GOOGLETRANSLATE(D156, ""it"", ""en"")"),"The horse is penalized")</f>
        <v>The horse is penalized</v>
      </c>
      <c r="J156" s="2"/>
      <c r="K156" s="2"/>
      <c r="L156" s="2"/>
      <c r="M156" s="2"/>
      <c r="N156" s="2"/>
      <c r="O156" s="2"/>
      <c r="P156" s="2"/>
      <c r="Q156" s="2"/>
      <c r="R156" s="2"/>
      <c r="S156" s="2"/>
      <c r="T156" s="2"/>
      <c r="U156" s="2"/>
      <c r="V156" s="2"/>
    </row>
    <row r="157" ht="22.5" customHeight="1">
      <c r="A157" s="3">
        <v>159.0</v>
      </c>
      <c r="B157" s="3" t="s">
        <v>2831</v>
      </c>
      <c r="C157" s="3" t="s">
        <v>2620</v>
      </c>
      <c r="D157" s="3" t="s">
        <v>2559</v>
      </c>
      <c r="E157" s="2"/>
      <c r="F157" s="3" t="str">
        <f>IFERROR(__xludf.DUMMYFUNCTION("GOOGLETRANSLATE(A157, ""it"", ""en"")"),"159")</f>
        <v>159</v>
      </c>
      <c r="G157" s="3" t="str">
        <f>IFERROR(__xludf.DUMMYFUNCTION("GOOGLETRANSLATE(B157, ""it"", ""en"")"),"A. What happens if a horse reaches the finish line but has stopped running?")</f>
        <v>A. What happens if a horse reaches the finish line but has stopped running?</v>
      </c>
      <c r="H157" s="3" t="str">
        <f>IFERROR(__xludf.DUMMYFUNCTION("GOOGLETRANSLATE(C157, ""it"", ""en"")"),"A. The horse is penalized B. The horse is disqualified C. The race continues normally D. The horse receives a warning")</f>
        <v>A. The horse is penalized B. The horse is disqualified C. The race continues normally D. The horse receives a warning</v>
      </c>
      <c r="I157" s="3" t="str">
        <f>IFERROR(__xludf.DUMMYFUNCTION("GOOGLETRANSLATE(D157, ""it"", ""en"")"),"The horse is penalized")</f>
        <v>The horse is penalized</v>
      </c>
      <c r="J157" s="2"/>
      <c r="K157" s="2"/>
      <c r="L157" s="2"/>
      <c r="M157" s="2"/>
      <c r="N157" s="2"/>
      <c r="O157" s="2"/>
      <c r="P157" s="2"/>
      <c r="Q157" s="2"/>
      <c r="R157" s="2"/>
      <c r="S157" s="2"/>
      <c r="T157" s="2"/>
      <c r="U157" s="2"/>
      <c r="V157" s="2"/>
    </row>
    <row r="158" ht="22.5" customHeight="1">
      <c r="A158" s="3">
        <v>160.0</v>
      </c>
      <c r="B158" s="3" t="s">
        <v>2832</v>
      </c>
      <c r="C158" s="3" t="s">
        <v>2745</v>
      </c>
      <c r="D158" s="3" t="s">
        <v>2575</v>
      </c>
      <c r="E158" s="2"/>
      <c r="F158" s="3" t="str">
        <f>IFERROR(__xludf.DUMMYFUNCTION("GOOGLETRANSLATE(A158, ""it"", ""en"")"),"160")</f>
        <v>160</v>
      </c>
      <c r="G158" s="3" t="str">
        <f>IFERROR(__xludf.DUMMYFUNCTION("GOOGLETRANSLATE(B158, ""it"", ""en"")"),"A. What happens if a horse runs too slowly to win?")</f>
        <v>A. What happens if a horse runs too slowly to win?</v>
      </c>
      <c r="H158" s="3" t="str">
        <f>IFERROR(__xludf.DUMMYFUNCTION("GOOGLETRANSLATE(C158, ""it"", ""en"")"),"A. The horse is penalized B. The horse receives a warning C. The race continues normally D. The horse is disqualified")</f>
        <v>A. The horse is penalized B. The horse receives a warning C. The race continues normally D. The horse is disqualified</v>
      </c>
      <c r="I158" s="3" t="str">
        <f>IFERROR(__xludf.DUMMYFUNCTION("GOOGLETRANSLATE(D158, ""it"", ""en"")"),"The race continues normally")</f>
        <v>The race continues normally</v>
      </c>
      <c r="J158" s="2"/>
      <c r="K158" s="2"/>
      <c r="L158" s="2"/>
      <c r="M158" s="2"/>
      <c r="N158" s="2"/>
      <c r="O158" s="2"/>
      <c r="P158" s="2"/>
      <c r="Q158" s="2"/>
      <c r="R158" s="2"/>
      <c r="S158" s="2"/>
      <c r="T158" s="2"/>
      <c r="U158" s="2"/>
      <c r="V158" s="2"/>
    </row>
    <row r="159" ht="22.5" customHeight="1">
      <c r="A159" s="3">
        <v>161.0</v>
      </c>
      <c r="B159" s="3" t="s">
        <v>2833</v>
      </c>
      <c r="C159" s="3" t="s">
        <v>2834</v>
      </c>
      <c r="D159" s="3" t="s">
        <v>2743</v>
      </c>
      <c r="E159" s="2"/>
      <c r="F159" s="3" t="str">
        <f>IFERROR(__xludf.DUMMYFUNCTION("GOOGLETRANSLATE(A159, ""it"", ""en"")"),"161")</f>
        <v>161</v>
      </c>
      <c r="G159" s="3" t="str">
        <f>IFERROR(__xludf.DUMMYFUNCTION("GOOGLETRANSLATE(B159, ""it"", ""en"")"),"A. What happens if a horse completes the course but doesn't reach the finish line?")</f>
        <v>A. What happens if a horse completes the course but doesn't reach the finish line?</v>
      </c>
      <c r="H159" s="3" t="str">
        <f>IFERROR(__xludf.DUMMYFUNCTION("GOOGLETRANSLATE(C159, ""it"", ""en"")"),"A. The horse receives a consolation prize B. The horse is penalized C. The race continues normally D. The horse is disqualified")</f>
        <v>A. The horse receives a consolation prize B. The horse is penalized C. The race continues normally D. The horse is disqualified</v>
      </c>
      <c r="I159" s="3" t="str">
        <f>IFERROR(__xludf.DUMMYFUNCTION("GOOGLETRANSLATE(D159, ""it"", ""en"")"),"The horse receives a consolation prize")</f>
        <v>The horse receives a consolation prize</v>
      </c>
      <c r="J159" s="2"/>
      <c r="K159" s="2"/>
      <c r="L159" s="2"/>
      <c r="M159" s="2"/>
      <c r="N159" s="2"/>
      <c r="O159" s="2"/>
      <c r="P159" s="2"/>
      <c r="Q159" s="2"/>
      <c r="R159" s="2"/>
      <c r="S159" s="2"/>
      <c r="T159" s="2"/>
      <c r="U159" s="2"/>
      <c r="V159" s="2"/>
    </row>
    <row r="160" ht="22.5" customHeight="1">
      <c r="A160" s="3">
        <v>162.0</v>
      </c>
      <c r="B160" s="3" t="s">
        <v>2835</v>
      </c>
      <c r="C160" s="3" t="s">
        <v>2680</v>
      </c>
      <c r="D160" s="3" t="s">
        <v>2559</v>
      </c>
      <c r="E160" s="2"/>
      <c r="F160" s="3" t="str">
        <f>IFERROR(__xludf.DUMMYFUNCTION("GOOGLETRANSLATE(A160, ""it"", ""en"")"),"162")</f>
        <v>162</v>
      </c>
      <c r="G160" s="3" t="str">
        <f>IFERROR(__xludf.DUMMYFUNCTION("GOOGLETRANSLATE(B160, ""it"", ""en"")"),"A. What happens if a horse changes direction during the race for no reason?")</f>
        <v>A. What happens if a horse changes direction during the race for no reason?</v>
      </c>
      <c r="H160" s="3" t="str">
        <f>IFERROR(__xludf.DUMMYFUNCTION("GOOGLETRANSLATE(C160, ""it"", ""en"")"),"A. The horse is penalized B. The horse receives a warning C. The race continues normally D. The horse is disqualified")</f>
        <v>A. The horse is penalized B. The horse receives a warning C. The race continues normally D. The horse is disqualified</v>
      </c>
      <c r="I160" s="3" t="str">
        <f>IFERROR(__xludf.DUMMYFUNCTION("GOOGLETRANSLATE(D160, ""it"", ""en"")"),"The horse is penalized")</f>
        <v>The horse is penalized</v>
      </c>
      <c r="J160" s="2"/>
      <c r="K160" s="2"/>
      <c r="L160" s="2"/>
      <c r="M160" s="2"/>
      <c r="N160" s="2"/>
      <c r="O160" s="2"/>
      <c r="P160" s="2"/>
      <c r="Q160" s="2"/>
      <c r="R160" s="2"/>
      <c r="S160" s="2"/>
      <c r="T160" s="2"/>
      <c r="U160" s="2"/>
      <c r="V160" s="2"/>
    </row>
    <row r="161" ht="22.5" customHeight="1">
      <c r="A161" s="3">
        <v>163.0</v>
      </c>
      <c r="B161" s="3" t="s">
        <v>2836</v>
      </c>
      <c r="C161" s="3" t="s">
        <v>2837</v>
      </c>
      <c r="D161" s="3" t="s">
        <v>2575</v>
      </c>
      <c r="E161" s="2"/>
      <c r="F161" s="3" t="str">
        <f>IFERROR(__xludf.DUMMYFUNCTION("GOOGLETRANSLATE(A161, ""it"", ""en"")"),"163")</f>
        <v>163</v>
      </c>
      <c r="G161" s="3" t="str">
        <f>IFERROR(__xludf.DUMMYFUNCTION("GOOGLETRANSLATE(B161, ""it"", ""en"")"),"A. What happens if a horse is injured but manages to continue?")</f>
        <v>A. What happens if a horse is injured but manages to continue?</v>
      </c>
      <c r="H161" s="3" t="str">
        <f>IFERROR(__xludf.DUMMYFUNCTION("GOOGLETRANSLATE(C161, ""it"", ""en"")"),"A. The race continues normally B. The horse receives a warning C. The horse is disqualified D. The horse is penalized")</f>
        <v>A. The race continues normally B. The horse receives a warning C. The horse is disqualified D. The horse is penalized</v>
      </c>
      <c r="I161" s="3" t="str">
        <f>IFERROR(__xludf.DUMMYFUNCTION("GOOGLETRANSLATE(D161, ""it"", ""en"")"),"The race continues normally")</f>
        <v>The race continues normally</v>
      </c>
      <c r="J161" s="2"/>
      <c r="K161" s="2"/>
      <c r="L161" s="2"/>
      <c r="M161" s="2"/>
      <c r="N161" s="2"/>
      <c r="O161" s="2"/>
      <c r="P161" s="2"/>
      <c r="Q161" s="2"/>
      <c r="R161" s="2"/>
      <c r="S161" s="2"/>
      <c r="T161" s="2"/>
      <c r="U161" s="2"/>
      <c r="V161" s="2"/>
    </row>
    <row r="162" ht="22.5" customHeight="1">
      <c r="A162" s="3">
        <v>164.0</v>
      </c>
      <c r="B162" s="3" t="s">
        <v>2838</v>
      </c>
      <c r="C162" s="3" t="s">
        <v>2620</v>
      </c>
      <c r="D162" s="3" t="s">
        <v>2559</v>
      </c>
      <c r="E162" s="2"/>
      <c r="F162" s="3" t="str">
        <f>IFERROR(__xludf.DUMMYFUNCTION("GOOGLETRANSLATE(A162, ""it"", ""en"")"),"164")</f>
        <v>164</v>
      </c>
      <c r="G162" s="3" t="str">
        <f>IFERROR(__xludf.DUMMYFUNCTION("GOOGLETRANSLATE(B162, ""it"", ""en"")"),"A. What happens if a horse does not respect the minimum speed?")</f>
        <v>A. What happens if a horse does not respect the minimum speed?</v>
      </c>
      <c r="H162" s="3" t="str">
        <f>IFERROR(__xludf.DUMMYFUNCTION("GOOGLETRANSLATE(C162, ""it"", ""en"")"),"A. The horse is penalized B. The horse is disqualified C. The race continues normally D. The horse receives a warning")</f>
        <v>A. The horse is penalized B. The horse is disqualified C. The race continues normally D. The horse receives a warning</v>
      </c>
      <c r="I162" s="3" t="str">
        <f>IFERROR(__xludf.DUMMYFUNCTION("GOOGLETRANSLATE(D162, ""it"", ""en"")"),"The horse is penalized")</f>
        <v>The horse is penalized</v>
      </c>
      <c r="J162" s="2"/>
      <c r="K162" s="2"/>
      <c r="L162" s="2"/>
      <c r="M162" s="2"/>
      <c r="N162" s="2"/>
      <c r="O162" s="2"/>
      <c r="P162" s="2"/>
      <c r="Q162" s="2"/>
      <c r="R162" s="2"/>
      <c r="S162" s="2"/>
      <c r="T162" s="2"/>
      <c r="U162" s="2"/>
      <c r="V162" s="2"/>
    </row>
    <row r="163" ht="22.5" customHeight="1">
      <c r="A163" s="3">
        <v>165.0</v>
      </c>
      <c r="B163" s="3" t="s">
        <v>2839</v>
      </c>
      <c r="C163" s="3" t="s">
        <v>2840</v>
      </c>
      <c r="D163" s="3" t="s">
        <v>2559</v>
      </c>
      <c r="E163" s="2"/>
      <c r="F163" s="3" t="str">
        <f>IFERROR(__xludf.DUMMYFUNCTION("GOOGLETRANSLATE(A163, ""it"", ""en"")"),"165")</f>
        <v>165</v>
      </c>
      <c r="G163" s="3" t="str">
        <f>IFERROR(__xludf.DUMMYFUNCTION("GOOGLETRANSLATE(B163, ""it"", ""en"")"),"A. What happens if a horse manages to take a shortcut during the race?")</f>
        <v>A. What happens if a horse manages to take a shortcut during the race?</v>
      </c>
      <c r="H163" s="3" t="str">
        <f>IFERROR(__xludf.DUMMYFUNCTION("GOOGLETRANSLATE(C163, ""it"", ""en"")"),"A. The horse is penalized B. The horse receives a warning C. The horse is disqualified D. The race continues normally")</f>
        <v>A. The horse is penalized B. The horse receives a warning C. The horse is disqualified D. The race continues normally</v>
      </c>
      <c r="I163" s="3" t="str">
        <f>IFERROR(__xludf.DUMMYFUNCTION("GOOGLETRANSLATE(D163, ""it"", ""en"")"),"The horse is penalized")</f>
        <v>The horse is penalized</v>
      </c>
      <c r="J163" s="2"/>
      <c r="K163" s="2"/>
      <c r="L163" s="2"/>
      <c r="M163" s="2"/>
      <c r="N163" s="2"/>
      <c r="O163" s="2"/>
      <c r="P163" s="2"/>
      <c r="Q163" s="2"/>
      <c r="R163" s="2"/>
      <c r="S163" s="2"/>
      <c r="T163" s="2"/>
      <c r="U163" s="2"/>
      <c r="V163" s="2"/>
    </row>
    <row r="164" ht="22.5" customHeight="1">
      <c r="A164" s="3">
        <v>166.0</v>
      </c>
      <c r="B164" s="3" t="s">
        <v>2841</v>
      </c>
      <c r="C164" s="3" t="s">
        <v>2842</v>
      </c>
      <c r="D164" s="3" t="s">
        <v>2559</v>
      </c>
      <c r="E164" s="2"/>
      <c r="F164" s="3" t="str">
        <f>IFERROR(__xludf.DUMMYFUNCTION("GOOGLETRANSLATE(A164, ""it"", ""en"")"),"166")</f>
        <v>166</v>
      </c>
      <c r="G164" s="3" t="str">
        <f>IFERROR(__xludf.DUMMYFUNCTION("GOOGLETRANSLATE(B164, ""it"", ""en"")"),"A. If a horse makes an unfair move to overtake another horse, what happens?")</f>
        <v>A. If a horse makes an unfair move to overtake another horse, what happens?</v>
      </c>
      <c r="H164" s="3" t="str">
        <f>IFERROR(__xludf.DUMMYFUNCTION("GOOGLETRANSLATE(C164, ""it"", ""en"")"),"A. The horse is penalized B. The race continues normally C. The horse is disqualified D. The horse receives a warning")</f>
        <v>A. The horse is penalized B. The race continues normally C. The horse is disqualified D. The horse receives a warning</v>
      </c>
      <c r="I164" s="3" t="str">
        <f>IFERROR(__xludf.DUMMYFUNCTION("GOOGLETRANSLATE(D164, ""it"", ""en"")"),"The horse is penalized")</f>
        <v>The horse is penalized</v>
      </c>
      <c r="J164" s="2"/>
      <c r="K164" s="2"/>
      <c r="L164" s="2"/>
      <c r="M164" s="2"/>
      <c r="N164" s="2"/>
      <c r="O164" s="2"/>
      <c r="P164" s="2"/>
      <c r="Q164" s="2"/>
      <c r="R164" s="2"/>
      <c r="S164" s="2"/>
      <c r="T164" s="2"/>
      <c r="U164" s="2"/>
      <c r="V164" s="2"/>
    </row>
    <row r="165" ht="22.5" customHeight="1">
      <c r="A165" s="3">
        <v>167.0</v>
      </c>
      <c r="B165" s="3" t="s">
        <v>2843</v>
      </c>
      <c r="C165" s="3" t="s">
        <v>2844</v>
      </c>
      <c r="D165" s="3" t="s">
        <v>2845</v>
      </c>
      <c r="E165" s="2"/>
      <c r="F165" s="3" t="str">
        <f>IFERROR(__xludf.DUMMYFUNCTION("GOOGLETRANSLATE(A165, ""it"", ""en"")"),"167")</f>
        <v>167</v>
      </c>
      <c r="G165" s="3" t="str">
        <f>IFERROR(__xludf.DUMMYFUNCTION("GOOGLETRANSLATE(B165, ""it"", ""en"")"),"A. What happens if a horse is hindered during the race?")</f>
        <v>A. What happens if a horse is hindered during the race?</v>
      </c>
      <c r="H165" s="3" t="str">
        <f>IFERROR(__xludf.DUMMYFUNCTION("GOOGLETRANSLATE(C165, ""it"", ""en"")"),"A. The horse that caused the obstacle is penalized B. The horse that was impeded is penalized C. The race continues normally D. Both horses are penalized")</f>
        <v>A. The horse that caused the obstacle is penalized B. The horse that was impeded is penalized C. The race continues normally D. Both horses are penalized</v>
      </c>
      <c r="I165" s="3" t="str">
        <f>IFERROR(__xludf.DUMMYFUNCTION("GOOGLETRANSLATE(D165, ""it"", ""en"")"),"The horse that caused the obstacle is penalized")</f>
        <v>The horse that caused the obstacle is penalized</v>
      </c>
      <c r="J165" s="2"/>
      <c r="K165" s="2"/>
      <c r="L165" s="2"/>
      <c r="M165" s="2"/>
      <c r="N165" s="2"/>
      <c r="O165" s="2"/>
      <c r="P165" s="2"/>
      <c r="Q165" s="2"/>
      <c r="R165" s="2"/>
      <c r="S165" s="2"/>
      <c r="T165" s="2"/>
      <c r="U165" s="2"/>
      <c r="V165" s="2"/>
    </row>
    <row r="166" ht="22.5" customHeight="1">
      <c r="A166" s="3">
        <v>168.0</v>
      </c>
      <c r="B166" s="3" t="s">
        <v>2846</v>
      </c>
      <c r="C166" s="3" t="s">
        <v>2745</v>
      </c>
      <c r="D166" s="3" t="s">
        <v>2559</v>
      </c>
      <c r="E166" s="2"/>
      <c r="F166" s="3" t="str">
        <f>IFERROR(__xludf.DUMMYFUNCTION("GOOGLETRANSLATE(A166, ""it"", ""en"")"),"168")</f>
        <v>168</v>
      </c>
      <c r="G166" s="3" t="str">
        <f>IFERROR(__xludf.DUMMYFUNCTION("GOOGLETRANSLATE(B166, ""it"", ""en"")"),"A. What happens if a horse doesn't follow the correct path and cuts a corner?")</f>
        <v>A. What happens if a horse doesn't follow the correct path and cuts a corner?</v>
      </c>
      <c r="H166" s="3" t="str">
        <f>IFERROR(__xludf.DUMMYFUNCTION("GOOGLETRANSLATE(C166, ""it"", ""en"")"),"A. The horse is penalized B. The horse receives a warning C. The race continues normally D. The horse is disqualified")</f>
        <v>A. The horse is penalized B. The horse receives a warning C. The race continues normally D. The horse is disqualified</v>
      </c>
      <c r="I166" s="3" t="str">
        <f>IFERROR(__xludf.DUMMYFUNCTION("GOOGLETRANSLATE(D166, ""it"", ""en"")"),"The horse is penalized")</f>
        <v>The horse is penalized</v>
      </c>
      <c r="J166" s="2"/>
      <c r="K166" s="2"/>
      <c r="L166" s="2"/>
      <c r="M166" s="2"/>
      <c r="N166" s="2"/>
      <c r="O166" s="2"/>
      <c r="P166" s="2"/>
      <c r="Q166" s="2"/>
      <c r="R166" s="2"/>
      <c r="S166" s="2"/>
      <c r="T166" s="2"/>
      <c r="U166" s="2"/>
      <c r="V166" s="2"/>
    </row>
    <row r="167" ht="22.5" customHeight="1">
      <c r="A167" s="3">
        <v>169.0</v>
      </c>
      <c r="B167" s="3" t="s">
        <v>2847</v>
      </c>
      <c r="C167" s="3" t="s">
        <v>2848</v>
      </c>
      <c r="D167" s="3" t="s">
        <v>2578</v>
      </c>
      <c r="E167" s="2"/>
      <c r="F167" s="3" t="str">
        <f>IFERROR(__xludf.DUMMYFUNCTION("GOOGLETRANSLATE(A167, ""it"", ""en"")"),"169")</f>
        <v>169</v>
      </c>
      <c r="G167" s="3" t="str">
        <f>IFERROR(__xludf.DUMMYFUNCTION("GOOGLETRANSLATE(B167, ""it"", ""en"")"),"A. If a horse loses control of the race and stops briefly, what happens?")</f>
        <v>A. If a horse loses control of the race and stops briefly, what happens?</v>
      </c>
      <c r="H167" s="3" t="str">
        <f>IFERROR(__xludf.DUMMYFUNCTION("GOOGLETRANSLATE(C167, ""it"", ""en"")"),"A. The horse receives a penalty B. The horse is disqualified C. The race continues normally D. The horse receives a warning")</f>
        <v>A. The horse receives a penalty B. The horse is disqualified C. The race continues normally D. The horse receives a warning</v>
      </c>
      <c r="I167" s="3" t="str">
        <f>IFERROR(__xludf.DUMMYFUNCTION("GOOGLETRANSLATE(D167, ""it"", ""en"")"),"The horse receives a penalty")</f>
        <v>The horse receives a penalty</v>
      </c>
      <c r="J167" s="2"/>
      <c r="K167" s="2"/>
      <c r="L167" s="2"/>
      <c r="M167" s="2"/>
      <c r="N167" s="2"/>
      <c r="O167" s="2"/>
      <c r="P167" s="2"/>
      <c r="Q167" s="2"/>
      <c r="R167" s="2"/>
      <c r="S167" s="2"/>
      <c r="T167" s="2"/>
      <c r="U167" s="2"/>
      <c r="V167" s="2"/>
    </row>
    <row r="168" ht="22.5" customHeight="1">
      <c r="A168" s="3">
        <v>170.0</v>
      </c>
      <c r="B168" s="3" t="s">
        <v>2849</v>
      </c>
      <c r="C168" s="3" t="s">
        <v>2620</v>
      </c>
      <c r="D168" s="3" t="s">
        <v>2559</v>
      </c>
      <c r="E168" s="2"/>
      <c r="F168" s="3" t="str">
        <f>IFERROR(__xludf.DUMMYFUNCTION("GOOGLETRANSLATE(A168, ""it"", ""en"")"),"170")</f>
        <v>170</v>
      </c>
      <c r="G168" s="3" t="str">
        <f>IFERROR(__xludf.DUMMYFUNCTION("GOOGLETRANSLATE(B168, ""it"", ""en"")"),"A. What happens if a horse finishes the race but has broken a rule?")</f>
        <v>A. What happens if a horse finishes the race but has broken a rule?</v>
      </c>
      <c r="H168" s="3" t="str">
        <f>IFERROR(__xludf.DUMMYFUNCTION("GOOGLETRANSLATE(C168, ""it"", ""en"")"),"A. The horse is penalized B. The horse is disqualified C. The race continues normally D. The horse receives a warning")</f>
        <v>A. The horse is penalized B. The horse is disqualified C. The race continues normally D. The horse receives a warning</v>
      </c>
      <c r="I168" s="3" t="str">
        <f>IFERROR(__xludf.DUMMYFUNCTION("GOOGLETRANSLATE(D168, ""it"", ""en"")"),"The horse is penalized")</f>
        <v>The horse is penalized</v>
      </c>
      <c r="J168" s="2"/>
      <c r="K168" s="2"/>
      <c r="L168" s="2"/>
      <c r="M168" s="2"/>
      <c r="N168" s="2"/>
      <c r="O168" s="2"/>
      <c r="P168" s="2"/>
      <c r="Q168" s="2"/>
      <c r="R168" s="2"/>
      <c r="S168" s="2"/>
      <c r="T168" s="2"/>
      <c r="U168" s="2"/>
      <c r="V168" s="2"/>
    </row>
    <row r="169" ht="22.5" customHeight="1">
      <c r="A169" s="3">
        <v>171.0</v>
      </c>
      <c r="B169" s="3" t="s">
        <v>2850</v>
      </c>
      <c r="C169" s="3" t="s">
        <v>2705</v>
      </c>
      <c r="D169" s="3" t="s">
        <v>2575</v>
      </c>
      <c r="E169" s="2"/>
      <c r="F169" s="3" t="str">
        <f>IFERROR(__xludf.DUMMYFUNCTION("GOOGLETRANSLATE(A169, ""it"", ""en"")"),"171")</f>
        <v>171</v>
      </c>
      <c r="G169" s="3" t="str">
        <f>IFERROR(__xludf.DUMMYFUNCTION("GOOGLETRANSLATE(B169, ""it"", ""en"")"),"A. If a horse is pushed by another horse but manages to maintain control, what happens?")</f>
        <v>A. If a horse is pushed by another horse but manages to maintain control, what happens?</v>
      </c>
      <c r="H169" s="3" t="str">
        <f>IFERROR(__xludf.DUMMYFUNCTION("GOOGLETRANSLATE(C169, ""it"", ""en"")"),"A. The race continues normally B. The horse is penalized C. The horse receives a warning D. The horse is disqualified")</f>
        <v>A. The race continues normally B. The horse is penalized C. The horse receives a warning D. The horse is disqualified</v>
      </c>
      <c r="I169" s="3" t="str">
        <f>IFERROR(__xludf.DUMMYFUNCTION("GOOGLETRANSLATE(D169, ""it"", ""en"")"),"The race continues normally")</f>
        <v>The race continues normally</v>
      </c>
      <c r="J169" s="2"/>
      <c r="K169" s="2"/>
      <c r="L169" s="2"/>
      <c r="M169" s="2"/>
      <c r="N169" s="2"/>
      <c r="O169" s="2"/>
      <c r="P169" s="2"/>
      <c r="Q169" s="2"/>
      <c r="R169" s="2"/>
      <c r="S169" s="2"/>
      <c r="T169" s="2"/>
      <c r="U169" s="2"/>
      <c r="V169" s="2"/>
    </row>
    <row r="170" ht="22.5" customHeight="1">
      <c r="A170" s="3">
        <v>172.0</v>
      </c>
      <c r="B170" s="3" t="s">
        <v>2851</v>
      </c>
      <c r="C170" s="3" t="s">
        <v>2840</v>
      </c>
      <c r="D170" s="3" t="s">
        <v>2559</v>
      </c>
      <c r="E170" s="2"/>
      <c r="F170" s="3" t="str">
        <f>IFERROR(__xludf.DUMMYFUNCTION("GOOGLETRANSLATE(A170, ""it"", ""en"")"),"172")</f>
        <v>172</v>
      </c>
      <c r="G170" s="3" t="str">
        <f>IFERROR(__xludf.DUMMYFUNCTION("GOOGLETRANSLATE(B170, ""it"", ""en"")"),"A. If a horse intentionally slows down to distract the others, what happens?")</f>
        <v>A. If a horse intentionally slows down to distract the others, what happens?</v>
      </c>
      <c r="H170" s="3" t="str">
        <f>IFERROR(__xludf.DUMMYFUNCTION("GOOGLETRANSLATE(C170, ""it"", ""en"")"),"A. The horse is penalized B. The horse receives a warning C. The horse is disqualified D. The race continues normally")</f>
        <v>A. The horse is penalized B. The horse receives a warning C. The horse is disqualified D. The race continues normally</v>
      </c>
      <c r="I170" s="3" t="str">
        <f>IFERROR(__xludf.DUMMYFUNCTION("GOOGLETRANSLATE(D170, ""it"", ""en"")"),"The horse is penalized")</f>
        <v>The horse is penalized</v>
      </c>
      <c r="J170" s="2"/>
      <c r="K170" s="2"/>
      <c r="L170" s="2"/>
      <c r="M170" s="2"/>
      <c r="N170" s="2"/>
      <c r="O170" s="2"/>
      <c r="P170" s="2"/>
      <c r="Q170" s="2"/>
      <c r="R170" s="2"/>
      <c r="S170" s="2"/>
      <c r="T170" s="2"/>
      <c r="U170" s="2"/>
      <c r="V170" s="2"/>
    </row>
    <row r="171" ht="22.5" customHeight="1">
      <c r="A171" s="3">
        <v>173.0</v>
      </c>
      <c r="B171" s="3" t="s">
        <v>2852</v>
      </c>
      <c r="C171" s="3" t="s">
        <v>2853</v>
      </c>
      <c r="D171" s="3" t="s">
        <v>2636</v>
      </c>
      <c r="E171" s="2"/>
      <c r="F171" s="3" t="str">
        <f>IFERROR(__xludf.DUMMYFUNCTION("GOOGLETRANSLATE(A171, ""it"", ""en"")"),"173")</f>
        <v>173</v>
      </c>
      <c r="G171" s="3" t="str">
        <f>IFERROR(__xludf.DUMMYFUNCTION("GOOGLETRANSLATE(B171, ""it"", ""en"")"),"A. What happens if a horse stumbles and falls during the race?")</f>
        <v>A. What happens if a horse stumbles and falls during the race?</v>
      </c>
      <c r="H171" s="3" t="str">
        <f>IFERROR(__xludf.DUMMYFUNCTION("GOOGLETRANSLATE(C171, ""it"", ""en"")"),"A. The horse is penalized B. The horse is disqualified C. The race continues without him D. The horse restarts")</f>
        <v>A. The horse is penalized B. The horse is disqualified C. The race continues without him D. The horse restarts</v>
      </c>
      <c r="I171" s="3" t="str">
        <f>IFERROR(__xludf.DUMMYFUNCTION("GOOGLETRANSLATE(D171, ""it"", ""en"")"),"The race continues without him")</f>
        <v>The race continues without him</v>
      </c>
      <c r="J171" s="2"/>
      <c r="K171" s="2"/>
      <c r="L171" s="2"/>
      <c r="M171" s="2"/>
      <c r="N171" s="2"/>
      <c r="O171" s="2"/>
      <c r="P171" s="2"/>
      <c r="Q171" s="2"/>
      <c r="R171" s="2"/>
      <c r="S171" s="2"/>
      <c r="T171" s="2"/>
      <c r="U171" s="2"/>
      <c r="V171" s="2"/>
    </row>
    <row r="172" ht="22.5" customHeight="1">
      <c r="A172" s="3">
        <v>174.0</v>
      </c>
      <c r="B172" s="3" t="s">
        <v>2854</v>
      </c>
      <c r="C172" s="3" t="s">
        <v>2855</v>
      </c>
      <c r="D172" s="3" t="s">
        <v>2636</v>
      </c>
      <c r="E172" s="2"/>
      <c r="F172" s="3" t="str">
        <f>IFERROR(__xludf.DUMMYFUNCTION("GOOGLETRANSLATE(A172, ""it"", ""en"")"),"174")</f>
        <v>174</v>
      </c>
      <c r="G172" s="3" t="str">
        <f>IFERROR(__xludf.DUMMYFUNCTION("GOOGLETRANSLATE(B172, ""it"", ""en"")"),"A. What happens if a horse stops during the race due to illness?")</f>
        <v>A. What happens if a horse stops during the race due to illness?</v>
      </c>
      <c r="H172" s="3" t="str">
        <f>IFERROR(__xludf.DUMMYFUNCTION("GOOGLETRANSLATE(C172, ""it"", ""en"")"),"A. The horse is disqualified B. The race continues without him C. The horse receives a warning D. The horse is penalized")</f>
        <v>A. The horse is disqualified B. The race continues without him C. The horse receives a warning D. The horse is penalized</v>
      </c>
      <c r="I172" s="3" t="str">
        <f>IFERROR(__xludf.DUMMYFUNCTION("GOOGLETRANSLATE(D172, ""it"", ""en"")"),"The race continues without him")</f>
        <v>The race continues without him</v>
      </c>
      <c r="J172" s="2"/>
      <c r="K172" s="2"/>
      <c r="L172" s="2"/>
      <c r="M172" s="2"/>
      <c r="N172" s="2"/>
      <c r="O172" s="2"/>
      <c r="P172" s="2"/>
      <c r="Q172" s="2"/>
      <c r="R172" s="2"/>
      <c r="S172" s="2"/>
      <c r="T172" s="2"/>
      <c r="U172" s="2"/>
      <c r="V172" s="2"/>
    </row>
    <row r="173" ht="22.5" customHeight="1">
      <c r="A173" s="3">
        <v>175.0</v>
      </c>
      <c r="B173" s="3" t="s">
        <v>2856</v>
      </c>
      <c r="C173" s="3" t="s">
        <v>2857</v>
      </c>
      <c r="D173" s="3" t="s">
        <v>2578</v>
      </c>
      <c r="E173" s="2"/>
      <c r="F173" s="3" t="str">
        <f>IFERROR(__xludf.DUMMYFUNCTION("GOOGLETRANSLATE(A173, ""it"", ""en"")"),"175")</f>
        <v>175</v>
      </c>
      <c r="G173" s="3" t="str">
        <f>IFERROR(__xludf.DUMMYFUNCTION("GOOGLETRANSLATE(B173, ""it"", ""en"")"),"A. If a horse is penalized but finishes the race, what happens?")</f>
        <v>A. If a horse is penalized but finishes the race, what happens?</v>
      </c>
      <c r="H173" s="3" t="str">
        <f>IFERROR(__xludf.DUMMYFUNCTION("GOOGLETRANSLATE(C173, ""it"", ""en"")"),"A. The horse receives a penalty B. The horse still wins C. The horse is disqualified D. The horse receives a warning")</f>
        <v>A. The horse receives a penalty B. The horse still wins C. The horse is disqualified D. The horse receives a warning</v>
      </c>
      <c r="I173" s="3" t="str">
        <f>IFERROR(__xludf.DUMMYFUNCTION("GOOGLETRANSLATE(D173, ""it"", ""en"")"),"The horse receives a penalty")</f>
        <v>The horse receives a penalty</v>
      </c>
      <c r="J173" s="2"/>
      <c r="K173" s="2"/>
      <c r="L173" s="2"/>
      <c r="M173" s="2"/>
      <c r="N173" s="2"/>
      <c r="O173" s="2"/>
      <c r="P173" s="2"/>
      <c r="Q173" s="2"/>
      <c r="R173" s="2"/>
      <c r="S173" s="2"/>
      <c r="T173" s="2"/>
      <c r="U173" s="2"/>
      <c r="V173" s="2"/>
    </row>
    <row r="174" ht="22.5" customHeight="1">
      <c r="A174" s="3">
        <v>176.0</v>
      </c>
      <c r="B174" s="3" t="s">
        <v>2570</v>
      </c>
      <c r="C174" s="3" t="s">
        <v>2858</v>
      </c>
      <c r="D174" s="3" t="s">
        <v>2777</v>
      </c>
      <c r="E174" s="2"/>
      <c r="F174" s="3" t="str">
        <f>IFERROR(__xludf.DUMMYFUNCTION("GOOGLETRANSLATE(A174, ""it"", ""en"")"),"176")</f>
        <v>176</v>
      </c>
      <c r="G174" s="3" t="str">
        <f>IFERROR(__xludf.DUMMYFUNCTION("GOOGLETRANSLATE(B174, ""it"", ""en"")"),"A. What happens if two horses collide during the race?")</f>
        <v>A. What happens if two horses collide during the race?</v>
      </c>
      <c r="H174" s="3" t="str">
        <f>IFERROR(__xludf.DUMMYFUNCTION("GOOGLETRANSLATE(C174, ""it"", ""en"")"),"A. The horse that caused the collision is penalized B. The race continues normally C. Both horses are penalized D. The horse that suffered the injury wins")</f>
        <v>A. The horse that caused the collision is penalized B. The race continues normally C. Both horses are penalized D. The horse that suffered the injury wins</v>
      </c>
      <c r="I174" s="3" t="str">
        <f>IFERROR(__xludf.DUMMYFUNCTION("GOOGLETRANSLATE(D174, ""it"", ""en"")"),"The horse that caused the collision is penalized")</f>
        <v>The horse that caused the collision is penalized</v>
      </c>
      <c r="J174" s="2"/>
      <c r="K174" s="2"/>
      <c r="L174" s="2"/>
      <c r="M174" s="2"/>
      <c r="N174" s="2"/>
      <c r="O174" s="2"/>
      <c r="P174" s="2"/>
      <c r="Q174" s="2"/>
      <c r="R174" s="2"/>
      <c r="S174" s="2"/>
      <c r="T174" s="2"/>
      <c r="U174" s="2"/>
      <c r="V174" s="2"/>
    </row>
    <row r="175" ht="22.5" customHeight="1">
      <c r="A175" s="3">
        <v>177.0</v>
      </c>
      <c r="B175" s="3" t="s">
        <v>2859</v>
      </c>
      <c r="C175" s="3" t="s">
        <v>2842</v>
      </c>
      <c r="D175" s="3" t="s">
        <v>2575</v>
      </c>
      <c r="E175" s="2"/>
      <c r="F175" s="3" t="str">
        <f>IFERROR(__xludf.DUMMYFUNCTION("GOOGLETRANSLATE(A175, ""it"", ""en"")"),"177")</f>
        <v>177</v>
      </c>
      <c r="G175" s="3" t="str">
        <f>IFERROR(__xludf.DUMMYFUNCTION("GOOGLETRANSLATE(B175, ""it"", ""en"")"),"A. What happens if a horse doesn't complete the course but is still in the race?")</f>
        <v>A. What happens if a horse doesn't complete the course but is still in the race?</v>
      </c>
      <c r="H175" s="3" t="str">
        <f>IFERROR(__xludf.DUMMYFUNCTION("GOOGLETRANSLATE(C175, ""it"", ""en"")"),"A. The horse is penalized B. The race continues normally C. The horse is disqualified D. The horse receives a warning")</f>
        <v>A. The horse is penalized B. The race continues normally C. The horse is disqualified D. The horse receives a warning</v>
      </c>
      <c r="I175" s="3" t="str">
        <f>IFERROR(__xludf.DUMMYFUNCTION("GOOGLETRANSLATE(D175, ""it"", ""en"")"),"The race continues normally")</f>
        <v>The race continues normally</v>
      </c>
      <c r="J175" s="2"/>
      <c r="K175" s="2"/>
      <c r="L175" s="2"/>
      <c r="M175" s="2"/>
      <c r="N175" s="2"/>
      <c r="O175" s="2"/>
      <c r="P175" s="2"/>
      <c r="Q175" s="2"/>
      <c r="R175" s="2"/>
      <c r="S175" s="2"/>
      <c r="T175" s="2"/>
      <c r="U175" s="2"/>
      <c r="V175" s="2"/>
    </row>
    <row r="176" ht="22.5" customHeight="1">
      <c r="A176" s="3">
        <v>178.0</v>
      </c>
      <c r="B176" s="3" t="s">
        <v>2860</v>
      </c>
      <c r="C176" s="3" t="s">
        <v>2631</v>
      </c>
      <c r="D176" s="3" t="s">
        <v>2559</v>
      </c>
      <c r="E176" s="2"/>
      <c r="F176" s="3" t="str">
        <f>IFERROR(__xludf.DUMMYFUNCTION("GOOGLETRANSLATE(A176, ""it"", ""en"")"),"178")</f>
        <v>178</v>
      </c>
      <c r="G176" s="3" t="str">
        <f>IFERROR(__xludf.DUMMYFUNCTION("GOOGLETRANSLATE(B176, ""it"", ""en"")"),"A. What happens if a horse runs too fast and doesn't respect the limits?")</f>
        <v>A. What happens if a horse runs too fast and doesn't respect the limits?</v>
      </c>
      <c r="H176" s="3" t="str">
        <f>IFERROR(__xludf.DUMMYFUNCTION("GOOGLETRANSLATE(C176, ""it"", ""en"")"),"A. The horse is penalized B. The horse is disqualified C. The race continues normally D. The horse receives a warning")</f>
        <v>A. The horse is penalized B. The horse is disqualified C. The race continues normally D. The horse receives a warning</v>
      </c>
      <c r="I176" s="3" t="str">
        <f>IFERROR(__xludf.DUMMYFUNCTION("GOOGLETRANSLATE(D176, ""it"", ""en"")"),"The horse is penalized")</f>
        <v>The horse is penalized</v>
      </c>
      <c r="J176" s="2"/>
      <c r="K176" s="2"/>
      <c r="L176" s="2"/>
      <c r="M176" s="2"/>
      <c r="N176" s="2"/>
      <c r="O176" s="2"/>
      <c r="P176" s="2"/>
      <c r="Q176" s="2"/>
      <c r="R176" s="2"/>
      <c r="S176" s="2"/>
      <c r="T176" s="2"/>
      <c r="U176" s="2"/>
      <c r="V176" s="2"/>
    </row>
    <row r="177" ht="22.5" customHeight="1">
      <c r="A177" s="3">
        <v>179.0</v>
      </c>
      <c r="B177" s="3" t="s">
        <v>2861</v>
      </c>
      <c r="C177" s="3" t="s">
        <v>2783</v>
      </c>
      <c r="D177" s="3" t="s">
        <v>2559</v>
      </c>
      <c r="E177" s="2"/>
      <c r="F177" s="3" t="str">
        <f>IFERROR(__xludf.DUMMYFUNCTION("GOOGLETRANSLATE(A177, ""it"", ""en"")"),"179")</f>
        <v>179</v>
      </c>
      <c r="G177" s="3" t="str">
        <f>IFERROR(__xludf.DUMMYFUNCTION("GOOGLETRANSLATE(B177, ""it"", ""en"")"),"A. If a horse overtakes another horse unfairly, what happens?")</f>
        <v>A. If a horse overtakes another horse unfairly, what happens?</v>
      </c>
      <c r="H177" s="3" t="str">
        <f>IFERROR(__xludf.DUMMYFUNCTION("GOOGLETRANSLATE(C177, ""it"", ""en"")"),"A. The horse is penalized B. The race continues normally C. The horse receives a warning D. The horse is disqualified")</f>
        <v>A. The horse is penalized B. The race continues normally C. The horse receives a warning D. The horse is disqualified</v>
      </c>
      <c r="I177" s="3" t="str">
        <f>IFERROR(__xludf.DUMMYFUNCTION("GOOGLETRANSLATE(D177, ""it"", ""en"")"),"The horse is penalized")</f>
        <v>The horse is penalized</v>
      </c>
      <c r="J177" s="2"/>
      <c r="K177" s="2"/>
      <c r="L177" s="2"/>
      <c r="M177" s="2"/>
      <c r="N177" s="2"/>
      <c r="O177" s="2"/>
      <c r="P177" s="2"/>
      <c r="Q177" s="2"/>
      <c r="R177" s="2"/>
      <c r="S177" s="2"/>
      <c r="T177" s="2"/>
      <c r="U177" s="2"/>
      <c r="V177" s="2"/>
    </row>
    <row r="178" ht="22.5" customHeight="1">
      <c r="A178" s="3">
        <v>180.0</v>
      </c>
      <c r="B178" s="3" t="s">
        <v>2862</v>
      </c>
      <c r="C178" s="3" t="s">
        <v>2863</v>
      </c>
      <c r="D178" s="3" t="s">
        <v>2575</v>
      </c>
      <c r="E178" s="2"/>
      <c r="F178" s="3" t="str">
        <f>IFERROR(__xludf.DUMMYFUNCTION("GOOGLETRANSLATE(A178, ""it"", ""en"")"),"180")</f>
        <v>180</v>
      </c>
      <c r="G178" s="3" t="str">
        <f>IFERROR(__xludf.DUMMYFUNCTION("GOOGLETRANSLATE(B178, ""it"", ""en"")"),"A. What happens if a horse doesn't follow the course but isn't seen by the judges?")</f>
        <v>A. What happens if a horse doesn't follow the course but isn't seen by the judges?</v>
      </c>
      <c r="H178" s="3" t="str">
        <f>IFERROR(__xludf.DUMMYFUNCTION("GOOGLETRANSLATE(C178, ""it"", ""en"")"),"A. The horse receives a penalty B. The race continues normally C. The horse is penalized D. The horse is disqualified")</f>
        <v>A. The horse receives a penalty B. The race continues normally C. The horse is penalized D. The horse is disqualified</v>
      </c>
      <c r="I178" s="3" t="str">
        <f>IFERROR(__xludf.DUMMYFUNCTION("GOOGLETRANSLATE(D178, ""it"", ""en"")"),"The race continues normally")</f>
        <v>The race continues normally</v>
      </c>
      <c r="J178" s="2"/>
      <c r="K178" s="2"/>
      <c r="L178" s="2"/>
      <c r="M178" s="2"/>
      <c r="N178" s="2"/>
      <c r="O178" s="2"/>
      <c r="P178" s="2"/>
      <c r="Q178" s="2"/>
      <c r="R178" s="2"/>
      <c r="S178" s="2"/>
      <c r="T178" s="2"/>
      <c r="U178" s="2"/>
      <c r="V178" s="2"/>
    </row>
    <row r="179" ht="22.5" customHeight="1">
      <c r="A179" s="3">
        <v>181.0</v>
      </c>
      <c r="B179" s="3" t="s">
        <v>2864</v>
      </c>
      <c r="C179" s="3" t="s">
        <v>2865</v>
      </c>
      <c r="D179" s="3" t="s">
        <v>2575</v>
      </c>
      <c r="E179" s="2"/>
      <c r="F179" s="3" t="str">
        <f>IFERROR(__xludf.DUMMYFUNCTION("GOOGLETRANSLATE(A179, ""it"", ""en"")"),"181")</f>
        <v>181</v>
      </c>
      <c r="G179" s="3" t="str">
        <f>IFERROR(__xludf.DUMMYFUNCTION("GOOGLETRANSLATE(B179, ""it"", ""en"")"),"A. What happens if a horse is stopped by an unexpected obstacle during the race?")</f>
        <v>A. What happens if a horse is stopped by an unexpected obstacle during the race?</v>
      </c>
      <c r="H179" s="3" t="str">
        <f>IFERROR(__xludf.DUMMYFUNCTION("GOOGLETRANSLATE(C179, ""it"", ""en"")"),"A. The horse receives a warning B. The race continues normally C. The horse is penalized D. The horse is disqualified")</f>
        <v>A. The horse receives a warning B. The race continues normally C. The horse is penalized D. The horse is disqualified</v>
      </c>
      <c r="I179" s="3" t="str">
        <f>IFERROR(__xludf.DUMMYFUNCTION("GOOGLETRANSLATE(D179, ""it"", ""en"")"),"The race continues normally")</f>
        <v>The race continues normally</v>
      </c>
      <c r="J179" s="2"/>
      <c r="K179" s="2"/>
      <c r="L179" s="2"/>
      <c r="M179" s="2"/>
      <c r="N179" s="2"/>
      <c r="O179" s="2"/>
      <c r="P179" s="2"/>
      <c r="Q179" s="2"/>
      <c r="R179" s="2"/>
      <c r="S179" s="2"/>
      <c r="T179" s="2"/>
      <c r="U179" s="2"/>
      <c r="V179" s="2"/>
    </row>
    <row r="180" ht="22.5" customHeight="1">
      <c r="A180" s="3">
        <v>182.0</v>
      </c>
      <c r="B180" s="3" t="s">
        <v>2866</v>
      </c>
      <c r="C180" s="3" t="s">
        <v>2867</v>
      </c>
      <c r="D180" s="3" t="s">
        <v>2868</v>
      </c>
      <c r="E180" s="2"/>
      <c r="F180" s="3" t="str">
        <f>IFERROR(__xludf.DUMMYFUNCTION("GOOGLETRANSLATE(A180, ""it"", ""en"")"),"182")</f>
        <v>182</v>
      </c>
      <c r="G180" s="3" t="str">
        <f>IFERROR(__xludf.DUMMYFUNCTION("GOOGLETRANSLATE(B180, ""it"", ""en"")"),"A. What happens if a horse has a minor injury during the race?")</f>
        <v>A. What happens if a horse has a minor injury during the race?</v>
      </c>
      <c r="H180" s="3" t="str">
        <f>IFERROR(__xludf.DUMMYFUNCTION("GOOGLETRANSLATE(C180, ""it"", ""en"")"),"A. The horse is penalized B. The horse is allowed to continue running C. The horse is disqualified D. The horse receives a warning")</f>
        <v>A. The horse is penalized B. The horse is allowed to continue running C. The horse is disqualified D. The horse receives a warning</v>
      </c>
      <c r="I180" s="3" t="str">
        <f>IFERROR(__xludf.DUMMYFUNCTION("GOOGLETRANSLATE(D180, ""it"", ""en"")"),"The horse can continue to run")</f>
        <v>The horse can continue to run</v>
      </c>
      <c r="J180" s="2"/>
      <c r="K180" s="2"/>
      <c r="L180" s="2"/>
      <c r="M180" s="2"/>
      <c r="N180" s="2"/>
      <c r="O180" s="2"/>
      <c r="P180" s="2"/>
      <c r="Q180" s="2"/>
      <c r="R180" s="2"/>
      <c r="S180" s="2"/>
      <c r="T180" s="2"/>
      <c r="U180" s="2"/>
      <c r="V180" s="2"/>
    </row>
    <row r="181" ht="22.5" customHeight="1">
      <c r="A181" s="3">
        <v>183.0</v>
      </c>
      <c r="B181" s="3" t="s">
        <v>2869</v>
      </c>
      <c r="C181" s="3" t="s">
        <v>2870</v>
      </c>
      <c r="D181" s="3" t="s">
        <v>2559</v>
      </c>
      <c r="E181" s="2"/>
      <c r="F181" s="3" t="str">
        <f>IFERROR(__xludf.DUMMYFUNCTION("GOOGLETRANSLATE(A181, ""it"", ""en"")"),"183")</f>
        <v>183</v>
      </c>
      <c r="G181" s="3" t="str">
        <f>IFERROR(__xludf.DUMMYFUNCTION("GOOGLETRANSLATE(B181, ""it"", ""en"")"),"A. What happens if a horse cuts too tight a corner during the race?")</f>
        <v>A. What happens if a horse cuts too tight a corner during the race?</v>
      </c>
      <c r="H181" s="3" t="str">
        <f>IFERROR(__xludf.DUMMYFUNCTION("GOOGLETRANSLATE(C181, ""it"", ""en"")"),"A. The horse is penalized B. The race continues normally C. The horse receives a warning D. The horse is disqualified")</f>
        <v>A. The horse is penalized B. The race continues normally C. The horse receives a warning D. The horse is disqualified</v>
      </c>
      <c r="I181" s="3" t="str">
        <f>IFERROR(__xludf.DUMMYFUNCTION("GOOGLETRANSLATE(D181, ""it"", ""en"")"),"The horse is penalized")</f>
        <v>The horse is penalized</v>
      </c>
      <c r="J181" s="2"/>
      <c r="K181" s="2"/>
      <c r="L181" s="2"/>
      <c r="M181" s="2"/>
      <c r="N181" s="2"/>
      <c r="O181" s="2"/>
      <c r="P181" s="2"/>
      <c r="Q181" s="2"/>
      <c r="R181" s="2"/>
      <c r="S181" s="2"/>
      <c r="T181" s="2"/>
      <c r="U181" s="2"/>
      <c r="V181" s="2"/>
    </row>
    <row r="182" ht="22.5" customHeight="1">
      <c r="A182" s="3">
        <v>184.0</v>
      </c>
      <c r="B182" s="3" t="s">
        <v>2871</v>
      </c>
      <c r="C182" s="3" t="s">
        <v>2620</v>
      </c>
      <c r="D182" s="3" t="s">
        <v>2559</v>
      </c>
      <c r="E182" s="2"/>
      <c r="F182" s="3" t="str">
        <f>IFERROR(__xludf.DUMMYFUNCTION("GOOGLETRANSLATE(A182, ""it"", ""en"")"),"184")</f>
        <v>184</v>
      </c>
      <c r="G182" s="3" t="str">
        <f>IFERROR(__xludf.DUMMYFUNCTION("GOOGLETRANSLATE(B182, ""it"", ""en"")"),"A. What happens if a horse doesn't respect the posted speed limit?")</f>
        <v>A. What happens if a horse doesn't respect the posted speed limit?</v>
      </c>
      <c r="H182" s="3" t="str">
        <f>IFERROR(__xludf.DUMMYFUNCTION("GOOGLETRANSLATE(C182, ""it"", ""en"")"),"A. The horse is penalized B. The horse is disqualified C. The race continues normally D. The horse receives a warning")</f>
        <v>A. The horse is penalized B. The horse is disqualified C. The race continues normally D. The horse receives a warning</v>
      </c>
      <c r="I182" s="3" t="str">
        <f>IFERROR(__xludf.DUMMYFUNCTION("GOOGLETRANSLATE(D182, ""it"", ""en"")"),"The horse is penalized")</f>
        <v>The horse is penalized</v>
      </c>
      <c r="J182" s="2"/>
      <c r="K182" s="2"/>
      <c r="L182" s="2"/>
      <c r="M182" s="2"/>
      <c r="N182" s="2"/>
      <c r="O182" s="2"/>
      <c r="P182" s="2"/>
      <c r="Q182" s="2"/>
      <c r="R182" s="2"/>
      <c r="S182" s="2"/>
      <c r="T182" s="2"/>
      <c r="U182" s="2"/>
      <c r="V182" s="2"/>
    </row>
    <row r="183" ht="22.5" customHeight="1">
      <c r="A183" s="3">
        <v>185.0</v>
      </c>
      <c r="B183" s="3" t="s">
        <v>2872</v>
      </c>
      <c r="C183" s="3" t="s">
        <v>2873</v>
      </c>
      <c r="D183" s="3" t="s">
        <v>2845</v>
      </c>
      <c r="E183" s="2"/>
      <c r="F183" s="3" t="str">
        <f>IFERROR(__xludf.DUMMYFUNCTION("GOOGLETRANSLATE(A183, ""it"", ""en"")"),"185")</f>
        <v>185</v>
      </c>
      <c r="G183" s="3" t="str">
        <f>IFERROR(__xludf.DUMMYFUNCTION("GOOGLETRANSLATE(B183, ""it"", ""en"")"),"A. If a horse is intentionally hindered by another horse, what happens?")</f>
        <v>A. If a horse is intentionally hindered by another horse, what happens?</v>
      </c>
      <c r="H183" s="3" t="str">
        <f>IFERROR(__xludf.DUMMYFUNCTION("GOOGLETRANSLATE(C183, ""it"", ""en"")"),"A. The horse that caused the obstacle is penalized B. The race continues normally C. The horse that was impeded is penalized D. Both horses are penalized")</f>
        <v>A. The horse that caused the obstacle is penalized B. The race continues normally C. The horse that was impeded is penalized D. Both horses are penalized</v>
      </c>
      <c r="I183" s="3" t="str">
        <f>IFERROR(__xludf.DUMMYFUNCTION("GOOGLETRANSLATE(D183, ""it"", ""en"")"),"The horse that caused the obstacle is penalized")</f>
        <v>The horse that caused the obstacle is penalized</v>
      </c>
      <c r="J183" s="2"/>
      <c r="K183" s="2"/>
      <c r="L183" s="2"/>
      <c r="M183" s="2"/>
      <c r="N183" s="2"/>
      <c r="O183" s="2"/>
      <c r="P183" s="2"/>
      <c r="Q183" s="2"/>
      <c r="R183" s="2"/>
      <c r="S183" s="2"/>
      <c r="T183" s="2"/>
      <c r="U183" s="2"/>
      <c r="V183" s="2"/>
    </row>
    <row r="184" ht="22.5" customHeight="1">
      <c r="A184" s="3">
        <v>186.0</v>
      </c>
      <c r="B184" s="3" t="s">
        <v>2874</v>
      </c>
      <c r="C184" s="3" t="s">
        <v>2875</v>
      </c>
      <c r="D184" s="3" t="s">
        <v>2876</v>
      </c>
      <c r="E184" s="2"/>
      <c r="F184" s="3" t="str">
        <f>IFERROR(__xludf.DUMMYFUNCTION("GOOGLETRANSLATE(A184, ""it"", ""en"")"),"186")</f>
        <v>186</v>
      </c>
      <c r="G184" s="3" t="str">
        <f>IFERROR(__xludf.DUMMYFUNCTION("GOOGLETRANSLATE(B184, ""it"", ""en"")"),"A. If a horse loses control mid-race and stops briefly, what happens?")</f>
        <v>A. If a horse loses control mid-race and stops briefly, what happens?</v>
      </c>
      <c r="H184" s="3" t="str">
        <f>IFERROR(__xludf.DUMMYFUNCTION("GOOGLETRANSLATE(C184, ""it"", ""en"")"),"A. The horse receives a warning B. The horse is penalized C. The horse is disqualified D. The race continues normally")</f>
        <v>A. The horse receives a warning B. The horse is penalized C. The horse is disqualified D. The race continues normally</v>
      </c>
      <c r="I184" s="3" t="str">
        <f>IFERROR(__xludf.DUMMYFUNCTION("GOOGLETRANSLATE(D184, ""it"", ""en"")"),"The horse receives a warning")</f>
        <v>The horse receives a warning</v>
      </c>
      <c r="J184" s="2"/>
      <c r="K184" s="2"/>
      <c r="L184" s="2"/>
      <c r="M184" s="2"/>
      <c r="N184" s="2"/>
      <c r="O184" s="2"/>
      <c r="P184" s="2"/>
      <c r="Q184" s="2"/>
      <c r="R184" s="2"/>
      <c r="S184" s="2"/>
      <c r="T184" s="2"/>
      <c r="U184" s="2"/>
      <c r="V184" s="2"/>
    </row>
    <row r="185" ht="22.5" customHeight="1">
      <c r="A185" s="3">
        <v>187.0</v>
      </c>
      <c r="B185" s="3" t="s">
        <v>2877</v>
      </c>
      <c r="C185" s="3" t="s">
        <v>2705</v>
      </c>
      <c r="D185" s="3" t="s">
        <v>2575</v>
      </c>
      <c r="E185" s="2"/>
      <c r="F185" s="3" t="str">
        <f>IFERROR(__xludf.DUMMYFUNCTION("GOOGLETRANSLATE(A185, ""it"", ""en"")"),"187")</f>
        <v>187</v>
      </c>
      <c r="G185" s="3" t="str">
        <f>IFERROR(__xludf.DUMMYFUNCTION("GOOGLETRANSLATE(B185, ""it"", ""en"")"),"A. If a horse falls during the race but doesn't stop, what happens?")</f>
        <v>A. If a horse falls during the race but doesn't stop, what happens?</v>
      </c>
      <c r="H185" s="3" t="str">
        <f>IFERROR(__xludf.DUMMYFUNCTION("GOOGLETRANSLATE(C185, ""it"", ""en"")"),"A. The race continues normally B. The horse is penalized C. The horse receives a warning D. The horse is disqualified")</f>
        <v>A. The race continues normally B. The horse is penalized C. The horse receives a warning D. The horse is disqualified</v>
      </c>
      <c r="I185" s="3" t="str">
        <f>IFERROR(__xludf.DUMMYFUNCTION("GOOGLETRANSLATE(D185, ""it"", ""en"")"),"The race continues normally")</f>
        <v>The race continues normally</v>
      </c>
      <c r="J185" s="2"/>
      <c r="K185" s="2"/>
      <c r="L185" s="2"/>
      <c r="M185" s="2"/>
      <c r="N185" s="2"/>
      <c r="O185" s="2"/>
      <c r="P185" s="2"/>
      <c r="Q185" s="2"/>
      <c r="R185" s="2"/>
      <c r="S185" s="2"/>
      <c r="T185" s="2"/>
      <c r="U185" s="2"/>
      <c r="V185" s="2"/>
    </row>
    <row r="186" ht="22.5" customHeight="1">
      <c r="A186" s="3">
        <v>188.0</v>
      </c>
      <c r="B186" s="3" t="s">
        <v>2878</v>
      </c>
      <c r="C186" s="3" t="s">
        <v>2879</v>
      </c>
      <c r="D186" s="3" t="s">
        <v>2880</v>
      </c>
      <c r="E186" s="2"/>
      <c r="F186" s="3" t="str">
        <f>IFERROR(__xludf.DUMMYFUNCTION("GOOGLETRANSLATE(A186, ""it"", ""en"")"),"188")</f>
        <v>188</v>
      </c>
      <c r="G186" s="3" t="str">
        <f>IFERROR(__xludf.DUMMYFUNCTION("GOOGLETRANSLATE(B186, ""it"", ""en"")"),"A. What happens if two horses accidentally collide?")</f>
        <v>A. What happens if two horses accidentally collide?</v>
      </c>
      <c r="H186" s="3" t="str">
        <f>IFERROR(__xludf.DUMMYFUNCTION("GOOGLETRANSLATE(C186, ""it"", ""en"")"),"A. Both horses are penalized B. The horse that caused the collision is penalized C. The race continues normally D. The horse that suffered the injury wins")</f>
        <v>A. Both horses are penalized B. The horse that caused the collision is penalized C. The race continues normally D. The horse that suffered the injury wins</v>
      </c>
      <c r="I186" s="3" t="str">
        <f>IFERROR(__xludf.DUMMYFUNCTION("GOOGLETRANSLATE(D186, ""it"", ""en"")"),"Both horses are penalized")</f>
        <v>Both horses are penalized</v>
      </c>
      <c r="J186" s="2"/>
      <c r="K186" s="2"/>
      <c r="L186" s="2"/>
      <c r="M186" s="2"/>
      <c r="N186" s="2"/>
      <c r="O186" s="2"/>
      <c r="P186" s="2"/>
      <c r="Q186" s="2"/>
      <c r="R186" s="2"/>
      <c r="S186" s="2"/>
      <c r="T186" s="2"/>
      <c r="U186" s="2"/>
      <c r="V186" s="2"/>
    </row>
    <row r="187" ht="22.5" customHeight="1">
      <c r="A187" s="3">
        <v>189.0</v>
      </c>
      <c r="B187" s="3" t="s">
        <v>2881</v>
      </c>
      <c r="C187" s="3" t="s">
        <v>2882</v>
      </c>
      <c r="D187" s="3" t="s">
        <v>2876</v>
      </c>
      <c r="E187" s="2"/>
      <c r="F187" s="3" t="str">
        <f>IFERROR(__xludf.DUMMYFUNCTION("GOOGLETRANSLATE(A187, ""it"", ""en"")"),"189")</f>
        <v>189</v>
      </c>
      <c r="G187" s="3" t="str">
        <f>IFERROR(__xludf.DUMMYFUNCTION("GOOGLETRANSLATE(B187, ""it"", ""en"")"),"A. What happens if a horse goes off the track but comes back right away?")</f>
        <v>A. What happens if a horse goes off the track but comes back right away?</v>
      </c>
      <c r="H187" s="3" t="str">
        <f>IFERROR(__xludf.DUMMYFUNCTION("GOOGLETRANSLATE(C187, ""it"", ""en"")"),"A. The horse receives a warning B. The race continues normally C. The horse is penalized D. The horse is disqualified")</f>
        <v>A. The horse receives a warning B. The race continues normally C. The horse is penalized D. The horse is disqualified</v>
      </c>
      <c r="I187" s="3" t="str">
        <f>IFERROR(__xludf.DUMMYFUNCTION("GOOGLETRANSLATE(D187, ""it"", ""en"")"),"The horse receives a warning")</f>
        <v>The horse receives a warning</v>
      </c>
      <c r="J187" s="2"/>
      <c r="K187" s="2"/>
      <c r="L187" s="2"/>
      <c r="M187" s="2"/>
      <c r="N187" s="2"/>
      <c r="O187" s="2"/>
      <c r="P187" s="2"/>
      <c r="Q187" s="2"/>
      <c r="R187" s="2"/>
      <c r="S187" s="2"/>
      <c r="T187" s="2"/>
      <c r="U187" s="2"/>
      <c r="V187" s="2"/>
    </row>
    <row r="188" ht="22.5" customHeight="1">
      <c r="A188" s="3">
        <v>190.0</v>
      </c>
      <c r="B188" s="3" t="s">
        <v>2883</v>
      </c>
      <c r="C188" s="3" t="s">
        <v>2884</v>
      </c>
      <c r="D188" s="3" t="s">
        <v>2522</v>
      </c>
      <c r="E188" s="2"/>
      <c r="F188" s="3" t="str">
        <f>IFERROR(__xludf.DUMMYFUNCTION("GOOGLETRANSLATE(A188, ""it"", ""en"")"),"190")</f>
        <v>190</v>
      </c>
      <c r="G188" s="3" t="str">
        <f>IFERROR(__xludf.DUMMYFUNCTION("GOOGLETRANSLATE(B188, ""it"", ""en"")"),"A. What happens if a horse is visibly ill during the race?")</f>
        <v>A. What happens if a horse is visibly ill during the race?</v>
      </c>
      <c r="H188" s="3" t="str">
        <f>IFERROR(__xludf.DUMMYFUNCTION("GOOGLETRANSLATE(C188, ""it"", ""en"")"),"A. The horse is disqualified B. The race continues normally C. The horse receives a warning D. The horse is penalized")</f>
        <v>A. The horse is disqualified B. The race continues normally C. The horse receives a warning D. The horse is penalized</v>
      </c>
      <c r="I188" s="3" t="str">
        <f>IFERROR(__xludf.DUMMYFUNCTION("GOOGLETRANSLATE(D188, ""it"", ""en"")"),"The horse is disqualified")</f>
        <v>The horse is disqualified</v>
      </c>
      <c r="J188" s="2"/>
      <c r="K188" s="2"/>
      <c r="L188" s="2"/>
      <c r="M188" s="2"/>
      <c r="N188" s="2"/>
      <c r="O188" s="2"/>
      <c r="P188" s="2"/>
      <c r="Q188" s="2"/>
      <c r="R188" s="2"/>
      <c r="S188" s="2"/>
      <c r="T188" s="2"/>
      <c r="U188" s="2"/>
      <c r="V188" s="2"/>
    </row>
    <row r="189" ht="22.5" customHeight="1">
      <c r="A189" s="3">
        <v>191.0</v>
      </c>
      <c r="B189" s="3" t="s">
        <v>2885</v>
      </c>
      <c r="C189" s="3" t="s">
        <v>2631</v>
      </c>
      <c r="D189" s="3" t="s">
        <v>2540</v>
      </c>
      <c r="E189" s="2"/>
      <c r="F189" s="3" t="str">
        <f>IFERROR(__xludf.DUMMYFUNCTION("GOOGLETRANSLATE(A189, ""it"", ""en"")"),"191")</f>
        <v>191</v>
      </c>
      <c r="G189" s="3" t="str">
        <f>IFERROR(__xludf.DUMMYFUNCTION("GOOGLETRANSLATE(B189, ""it"", ""en"")"),"A. What happens if a horse loses its rider during the race?")</f>
        <v>A. What happens if a horse loses its rider during the race?</v>
      </c>
      <c r="H189" s="3" t="str">
        <f>IFERROR(__xludf.DUMMYFUNCTION("GOOGLETRANSLATE(C189, ""it"", ""en"")"),"A. The horse is penalized B. The horse is disqualified C. The race continues normally D. The horse receives a warning")</f>
        <v>A. The horse is penalized B. The horse is disqualified C. The race continues normally D. The horse receives a warning</v>
      </c>
      <c r="I189" s="3" t="str">
        <f>IFERROR(__xludf.DUMMYFUNCTION("GOOGLETRANSLATE(D189, ""it"", ""en"")"),"The horse is disqualified")</f>
        <v>The horse is disqualified</v>
      </c>
      <c r="J189" s="2"/>
      <c r="K189" s="2"/>
      <c r="L189" s="2"/>
      <c r="M189" s="2"/>
      <c r="N189" s="2"/>
      <c r="O189" s="2"/>
      <c r="P189" s="2"/>
      <c r="Q189" s="2"/>
      <c r="R189" s="2"/>
      <c r="S189" s="2"/>
      <c r="T189" s="2"/>
      <c r="U189" s="2"/>
      <c r="V189" s="2"/>
    </row>
    <row r="190" ht="22.5" customHeight="1">
      <c r="A190" s="3">
        <v>192.0</v>
      </c>
      <c r="B190" s="3" t="s">
        <v>2886</v>
      </c>
      <c r="C190" s="3" t="s">
        <v>2870</v>
      </c>
      <c r="D190" s="3" t="s">
        <v>2559</v>
      </c>
      <c r="E190" s="2"/>
      <c r="F190" s="3" t="str">
        <f>IFERROR(__xludf.DUMMYFUNCTION("GOOGLETRANSLATE(A190, ""it"", ""en"")"),"192")</f>
        <v>192</v>
      </c>
      <c r="G190" s="3" t="str">
        <f>IFERROR(__xludf.DUMMYFUNCTION("GOOGLETRANSLATE(B190, ""it"", ""en"")"),"A. What happens if a horse goes off the course and cuts a bend?")</f>
        <v>A. What happens if a horse goes off the course and cuts a bend?</v>
      </c>
      <c r="H190" s="3" t="str">
        <f>IFERROR(__xludf.DUMMYFUNCTION("GOOGLETRANSLATE(C190, ""it"", ""en"")"),"A. The horse is penalized B. The race continues normally C. The horse receives a warning D. The horse is disqualified")</f>
        <v>A. The horse is penalized B. The race continues normally C. The horse receives a warning D. The horse is disqualified</v>
      </c>
      <c r="I190" s="3" t="str">
        <f>IFERROR(__xludf.DUMMYFUNCTION("GOOGLETRANSLATE(D190, ""it"", ""en"")"),"The horse is penalized")</f>
        <v>The horse is penalized</v>
      </c>
      <c r="J190" s="2"/>
      <c r="K190" s="2"/>
      <c r="L190" s="2"/>
      <c r="M190" s="2"/>
      <c r="N190" s="2"/>
      <c r="O190" s="2"/>
      <c r="P190" s="2"/>
      <c r="Q190" s="2"/>
      <c r="R190" s="2"/>
      <c r="S190" s="2"/>
      <c r="T190" s="2"/>
      <c r="U190" s="2"/>
      <c r="V190" s="2"/>
    </row>
    <row r="191" ht="22.5" customHeight="1">
      <c r="A191" s="3">
        <v>193.0</v>
      </c>
      <c r="B191" s="3" t="s">
        <v>2887</v>
      </c>
      <c r="C191" s="3" t="s">
        <v>2870</v>
      </c>
      <c r="D191" s="3" t="s">
        <v>2575</v>
      </c>
      <c r="E191" s="2"/>
      <c r="F191" s="3" t="str">
        <f>IFERROR(__xludf.DUMMYFUNCTION("GOOGLETRANSLATE(A191, ""it"", ""en"")"),"193")</f>
        <v>193</v>
      </c>
      <c r="G191" s="3" t="str">
        <f>IFERROR(__xludf.DUMMYFUNCTION("GOOGLETRANSLATE(B191, ""it"", ""en"")"),"A. If a horse is obstructed by an object on the course, what happens?")</f>
        <v>A. If a horse is obstructed by an object on the course, what happens?</v>
      </c>
      <c r="H191" s="3" t="str">
        <f>IFERROR(__xludf.DUMMYFUNCTION("GOOGLETRANSLATE(C191, ""it"", ""en"")"),"A. The horse is penalized B. The race continues normally C. The horse receives a warning D. The horse is disqualified")</f>
        <v>A. The horse is penalized B. The race continues normally C. The horse receives a warning D. The horse is disqualified</v>
      </c>
      <c r="I191" s="3" t="str">
        <f>IFERROR(__xludf.DUMMYFUNCTION("GOOGLETRANSLATE(D191, ""it"", ""en"")"),"The race continues normally")</f>
        <v>The race continues normally</v>
      </c>
      <c r="J191" s="2"/>
      <c r="K191" s="2"/>
      <c r="L191" s="2"/>
      <c r="M191" s="2"/>
      <c r="N191" s="2"/>
      <c r="O191" s="2"/>
      <c r="P191" s="2"/>
      <c r="Q191" s="2"/>
      <c r="R191" s="2"/>
      <c r="S191" s="2"/>
      <c r="T191" s="2"/>
      <c r="U191" s="2"/>
      <c r="V191" s="2"/>
    </row>
    <row r="192" ht="22.5" customHeight="1">
      <c r="A192" s="3">
        <v>194.0</v>
      </c>
      <c r="B192" s="3" t="s">
        <v>2888</v>
      </c>
      <c r="C192" s="3" t="s">
        <v>2889</v>
      </c>
      <c r="D192" s="3" t="s">
        <v>2540</v>
      </c>
      <c r="E192" s="2"/>
      <c r="F192" s="3" t="str">
        <f>IFERROR(__xludf.DUMMYFUNCTION("GOOGLETRANSLATE(A192, ""it"", ""en"")"),"194")</f>
        <v>194</v>
      </c>
      <c r="G192" s="3" t="str">
        <f>IFERROR(__xludf.DUMMYFUNCTION("GOOGLETRANSLATE(B192, ""it"", ""en"")"),"A. What happens if a horse stops completely and doesn't start again?")</f>
        <v>A. What happens if a horse stops completely and doesn't start again?</v>
      </c>
      <c r="H192" s="3" t="str">
        <f>IFERROR(__xludf.DUMMYFUNCTION("GOOGLETRANSLATE(C192, ""it"", ""en"")"),"A. The horse is penalized B. The horse is disqualified C. The race continues without him D. The horse receives a warning")</f>
        <v>A. The horse is penalized B. The horse is disqualified C. The race continues without him D. The horse receives a warning</v>
      </c>
      <c r="I192" s="3" t="str">
        <f>IFERROR(__xludf.DUMMYFUNCTION("GOOGLETRANSLATE(D192, ""it"", ""en"")"),"The horse is disqualified")</f>
        <v>The horse is disqualified</v>
      </c>
      <c r="J192" s="2"/>
      <c r="K192" s="2"/>
      <c r="L192" s="2"/>
      <c r="M192" s="2"/>
      <c r="N192" s="2"/>
      <c r="O192" s="2"/>
      <c r="P192" s="2"/>
      <c r="Q192" s="2"/>
      <c r="R192" s="2"/>
      <c r="S192" s="2"/>
      <c r="T192" s="2"/>
      <c r="U192" s="2"/>
      <c r="V192" s="2"/>
    </row>
    <row r="193" ht="22.5" customHeight="1">
      <c r="A193" s="3">
        <v>195.0</v>
      </c>
      <c r="B193" s="3" t="s">
        <v>2890</v>
      </c>
      <c r="C193" s="3" t="s">
        <v>2884</v>
      </c>
      <c r="D193" s="3" t="s">
        <v>2522</v>
      </c>
      <c r="E193" s="2"/>
      <c r="F193" s="3" t="str">
        <f>IFERROR(__xludf.DUMMYFUNCTION("GOOGLETRANSLATE(A193, ""it"", ""en"")"),"195")</f>
        <v>195</v>
      </c>
      <c r="G193" s="3" t="str">
        <f>IFERROR(__xludf.DUMMYFUNCTION("GOOGLETRANSLATE(B193, ""it"", ""en"")"),"A. What happens if a horse changes riders during the race?")</f>
        <v>A. What happens if a horse changes riders during the race?</v>
      </c>
      <c r="H193" s="3" t="str">
        <f>IFERROR(__xludf.DUMMYFUNCTION("GOOGLETRANSLATE(C193, ""it"", ""en"")"),"A. The horse is disqualified B. The race continues normally C. The horse receives a warning D. The horse is penalized")</f>
        <v>A. The horse is disqualified B. The race continues normally C. The horse receives a warning D. The horse is penalized</v>
      </c>
      <c r="I193" s="3" t="str">
        <f>IFERROR(__xludf.DUMMYFUNCTION("GOOGLETRANSLATE(D193, ""it"", ""en"")"),"The horse is disqualified")</f>
        <v>The horse is disqualified</v>
      </c>
      <c r="J193" s="2"/>
      <c r="K193" s="2"/>
      <c r="L193" s="2"/>
      <c r="M193" s="2"/>
      <c r="N193" s="2"/>
      <c r="O193" s="2"/>
      <c r="P193" s="2"/>
      <c r="Q193" s="2"/>
      <c r="R193" s="2"/>
      <c r="S193" s="2"/>
      <c r="T193" s="2"/>
      <c r="U193" s="2"/>
      <c r="V193" s="2"/>
    </row>
    <row r="194" ht="22.5" customHeight="1">
      <c r="A194" s="3">
        <v>196.0</v>
      </c>
      <c r="B194" s="3" t="s">
        <v>2891</v>
      </c>
      <c r="C194" s="3" t="s">
        <v>2783</v>
      </c>
      <c r="D194" s="3" t="s">
        <v>2559</v>
      </c>
      <c r="E194" s="2"/>
      <c r="F194" s="3" t="str">
        <f>IFERROR(__xludf.DUMMYFUNCTION("GOOGLETRANSLATE(A194, ""it"", ""en"")"),"196")</f>
        <v>196</v>
      </c>
      <c r="G194" s="3" t="str">
        <f>IFERROR(__xludf.DUMMYFUNCTION("GOOGLETRANSLATE(B194, ""it"", ""en"")"),"A. What happens if a horse passes too close to another horse?")</f>
        <v>A. What happens if a horse passes too close to another horse?</v>
      </c>
      <c r="H194" s="3" t="str">
        <f>IFERROR(__xludf.DUMMYFUNCTION("GOOGLETRANSLATE(C194, ""it"", ""en"")"),"A. The horse is penalized B. The race continues normally C. The horse receives a warning D. The horse is disqualified")</f>
        <v>A. The horse is penalized B. The race continues normally C. The horse receives a warning D. The horse is disqualified</v>
      </c>
      <c r="I194" s="3" t="str">
        <f>IFERROR(__xludf.DUMMYFUNCTION("GOOGLETRANSLATE(D194, ""it"", ""en"")"),"The horse is penalized")</f>
        <v>The horse is penalized</v>
      </c>
      <c r="J194" s="2"/>
      <c r="K194" s="2"/>
      <c r="L194" s="2"/>
      <c r="M194" s="2"/>
      <c r="N194" s="2"/>
      <c r="O194" s="2"/>
      <c r="P194" s="2"/>
      <c r="Q194" s="2"/>
      <c r="R194" s="2"/>
      <c r="S194" s="2"/>
      <c r="T194" s="2"/>
      <c r="U194" s="2"/>
      <c r="V194" s="2"/>
    </row>
    <row r="195" ht="22.5" customHeight="1">
      <c r="A195" s="3">
        <v>197.0</v>
      </c>
      <c r="B195" s="3" t="s">
        <v>2892</v>
      </c>
      <c r="C195" s="3" t="s">
        <v>2620</v>
      </c>
      <c r="D195" s="3" t="s">
        <v>2559</v>
      </c>
      <c r="E195" s="2"/>
      <c r="F195" s="3" t="str">
        <f>IFERROR(__xludf.DUMMYFUNCTION("GOOGLETRANSLATE(A195, ""it"", ""en"")"),"197")</f>
        <v>197</v>
      </c>
      <c r="G195" s="3" t="str">
        <f>IFERROR(__xludf.DUMMYFUNCTION("GOOGLETRANSLATE(B195, ""it"", ""en"")"),"A. What happens if a horse crosses the finish line but has not completed the course?")</f>
        <v>A. What happens if a horse crosses the finish line but has not completed the course?</v>
      </c>
      <c r="H195" s="3" t="str">
        <f>IFERROR(__xludf.DUMMYFUNCTION("GOOGLETRANSLATE(C195, ""it"", ""en"")"),"A. The horse is penalized B. The horse is disqualified C. The race continues normally D. The horse receives a warning")</f>
        <v>A. The horse is penalized B. The horse is disqualified C. The race continues normally D. The horse receives a warning</v>
      </c>
      <c r="I195" s="3" t="str">
        <f>IFERROR(__xludf.DUMMYFUNCTION("GOOGLETRANSLATE(D195, ""it"", ""en"")"),"The horse is penalized")</f>
        <v>The horse is penalized</v>
      </c>
      <c r="J195" s="2"/>
      <c r="K195" s="2"/>
      <c r="L195" s="2"/>
      <c r="M195" s="2"/>
      <c r="N195" s="2"/>
      <c r="O195" s="2"/>
      <c r="P195" s="2"/>
      <c r="Q195" s="2"/>
      <c r="R195" s="2"/>
      <c r="S195" s="2"/>
      <c r="T195" s="2"/>
      <c r="U195" s="2"/>
      <c r="V195" s="2"/>
    </row>
    <row r="196" ht="22.5" customHeight="1">
      <c r="A196" s="3">
        <v>198.0</v>
      </c>
      <c r="B196" s="3" t="s">
        <v>2893</v>
      </c>
      <c r="C196" s="3" t="s">
        <v>2840</v>
      </c>
      <c r="D196" s="3" t="s">
        <v>2559</v>
      </c>
      <c r="E196" s="2"/>
      <c r="F196" s="3" t="str">
        <f>IFERROR(__xludf.DUMMYFUNCTION("GOOGLETRANSLATE(A196, ""it"", ""en"")"),"198")</f>
        <v>198</v>
      </c>
      <c r="G196" s="3" t="str">
        <f>IFERROR(__xludf.DUMMYFUNCTION("GOOGLETRANSLATE(B196, ""it"", ""en"")"),"A. What happens if a horse intentionally slows down during the race?")</f>
        <v>A. What happens if a horse intentionally slows down during the race?</v>
      </c>
      <c r="H196" s="3" t="str">
        <f>IFERROR(__xludf.DUMMYFUNCTION("GOOGLETRANSLATE(C196, ""it"", ""en"")"),"A. The horse is penalized B. The horse receives a warning C. The horse is disqualified D. The race continues normally")</f>
        <v>A. The horse is penalized B. The horse receives a warning C. The horse is disqualified D. The race continues normally</v>
      </c>
      <c r="I196" s="3" t="str">
        <f>IFERROR(__xludf.DUMMYFUNCTION("GOOGLETRANSLATE(D196, ""it"", ""en"")"),"The horse is penalized")</f>
        <v>The horse is penalized</v>
      </c>
      <c r="J196" s="2"/>
      <c r="K196" s="2"/>
      <c r="L196" s="2"/>
      <c r="M196" s="2"/>
      <c r="N196" s="2"/>
      <c r="O196" s="2"/>
      <c r="P196" s="2"/>
      <c r="Q196" s="2"/>
      <c r="R196" s="2"/>
      <c r="S196" s="2"/>
      <c r="T196" s="2"/>
      <c r="U196" s="2"/>
      <c r="V196" s="2"/>
    </row>
    <row r="197" ht="22.5" customHeight="1">
      <c r="A197" s="3">
        <v>199.0</v>
      </c>
      <c r="B197" s="3" t="s">
        <v>2894</v>
      </c>
      <c r="C197" s="3" t="s">
        <v>2895</v>
      </c>
      <c r="D197" s="3" t="s">
        <v>2575</v>
      </c>
      <c r="E197" s="2"/>
      <c r="F197" s="3" t="str">
        <f>IFERROR(__xludf.DUMMYFUNCTION("GOOGLETRANSLATE(A197, ""it"", ""en"")"),"199")</f>
        <v>199</v>
      </c>
      <c r="G197" s="3" t="str">
        <f>IFERROR(__xludf.DUMMYFUNCTION("GOOGLETRANSLATE(B197, ""it"", ""en"")"),"A. If a horse is hit by another horse but doesn't lose control, what happens?")</f>
        <v>A. If a horse is hit by another horse but doesn't lose control, what happens?</v>
      </c>
      <c r="H197" s="3" t="str">
        <f>IFERROR(__xludf.DUMMYFUNCTION("GOOGLETRANSLATE(C197, ""it"", ""en"")"),"A. The race continues normally B. The horse is penalized C. The horse receives a warning D. The horse is disqualified")</f>
        <v>A. The race continues normally B. The horse is penalized C. The horse receives a warning D. The horse is disqualified</v>
      </c>
      <c r="I197" s="3" t="str">
        <f>IFERROR(__xludf.DUMMYFUNCTION("GOOGLETRANSLATE(D197, ""it"", ""en"")"),"The race continues normally")</f>
        <v>The race continues normally</v>
      </c>
      <c r="J197" s="2"/>
      <c r="K197" s="2"/>
      <c r="L197" s="2"/>
      <c r="M197" s="2"/>
      <c r="N197" s="2"/>
      <c r="O197" s="2"/>
      <c r="P197" s="2"/>
      <c r="Q197" s="2"/>
      <c r="R197" s="2"/>
      <c r="S197" s="2"/>
      <c r="T197" s="2"/>
      <c r="U197" s="2"/>
      <c r="V197" s="2"/>
    </row>
    <row r="198" ht="22.5" customHeight="1">
      <c r="A198" s="3">
        <v>200.0</v>
      </c>
      <c r="B198" s="3" t="s">
        <v>2896</v>
      </c>
      <c r="C198" s="3" t="s">
        <v>2897</v>
      </c>
      <c r="D198" s="3" t="s">
        <v>2898</v>
      </c>
      <c r="E198" s="2"/>
      <c r="F198" s="3" t="str">
        <f>IFERROR(__xludf.DUMMYFUNCTION("GOOGLETRANSLATE(A198, ""it"", ""en"")"),"200")</f>
        <v>200</v>
      </c>
      <c r="G198" s="3" t="str">
        <f>IFERROR(__xludf.DUMMYFUNCTION("GOOGLETRANSLATE(B198, ""it"", ""en"")"),"A. What happens if a horse is disqualified during the race?")</f>
        <v>A. What happens if a horse is disqualified during the race?</v>
      </c>
      <c r="H198" s="3" t="str">
        <f>IFERROR(__xludf.DUMMYFUNCTION("GOOGLETRANSLATE(C198, ""it"", ""en"")"),"A. The horse is excluded from the race B. The race continues without him C. The horse receives a warning D. The horse is penalized")</f>
        <v>A. The horse is excluded from the race B. The race continues without him C. The horse receives a warning D. The horse is penalized</v>
      </c>
      <c r="I198" s="3" t="str">
        <f>IFERROR(__xludf.DUMMYFUNCTION("GOOGLETRANSLATE(D198, ""it"", ""en"")"),"The horse is excluded from the race")</f>
        <v>The horse is excluded from the race</v>
      </c>
      <c r="J198" s="2"/>
      <c r="K198" s="2"/>
      <c r="L198" s="2"/>
      <c r="M198" s="2"/>
      <c r="N198" s="2"/>
      <c r="O198" s="2"/>
      <c r="P198" s="2"/>
      <c r="Q198" s="2"/>
      <c r="R198" s="2"/>
      <c r="S198" s="2"/>
      <c r="T198" s="2"/>
      <c r="U198" s="2"/>
      <c r="V198" s="2"/>
    </row>
    <row r="199" ht="22.5" customHeight="1">
      <c r="A199" s="3">
        <v>201.0</v>
      </c>
      <c r="B199" s="3" t="s">
        <v>2899</v>
      </c>
      <c r="C199" s="3" t="s">
        <v>2680</v>
      </c>
      <c r="D199" s="3" t="s">
        <v>2559</v>
      </c>
      <c r="E199" s="2"/>
      <c r="F199" s="3" t="str">
        <f>IFERROR(__xludf.DUMMYFUNCTION("GOOGLETRANSLATE(A199, ""it"", ""en"")"),"201")</f>
        <v>201</v>
      </c>
      <c r="G199" s="3" t="str">
        <f>IFERROR(__xludf.DUMMYFUNCTION("GOOGLETRANSLATE(B199, ""it"", ""en"")"),"A. What happens if a horse starts early?")</f>
        <v>A. What happens if a horse starts early?</v>
      </c>
      <c r="H199" s="3" t="str">
        <f>IFERROR(__xludf.DUMMYFUNCTION("GOOGLETRANSLATE(C199, ""it"", ""en"")"),"A. The horse is penalized B. The horse receives a warning C. The race continues normally D. The horse is disqualified")</f>
        <v>A. The horse is penalized B. The horse receives a warning C. The race continues normally D. The horse is disqualified</v>
      </c>
      <c r="I199" s="3" t="str">
        <f>IFERROR(__xludf.DUMMYFUNCTION("GOOGLETRANSLATE(D199, ""it"", ""en"")"),"The horse is penalized")</f>
        <v>The horse is penalized</v>
      </c>
      <c r="J199" s="2"/>
      <c r="K199" s="2"/>
      <c r="L199" s="2"/>
      <c r="M199" s="2"/>
      <c r="N199" s="2"/>
      <c r="O199" s="2"/>
      <c r="P199" s="2"/>
      <c r="Q199" s="2"/>
      <c r="R199" s="2"/>
      <c r="S199" s="2"/>
      <c r="T199" s="2"/>
      <c r="U199" s="2"/>
      <c r="V199" s="2"/>
    </row>
    <row r="200" ht="22.5" customHeight="1">
      <c r="A200" s="3">
        <v>202.0</v>
      </c>
      <c r="B200" s="3" t="s">
        <v>2900</v>
      </c>
      <c r="C200" s="3" t="s">
        <v>2901</v>
      </c>
      <c r="D200" s="3" t="s">
        <v>2636</v>
      </c>
      <c r="E200" s="2"/>
      <c r="F200" s="3" t="str">
        <f>IFERROR(__xludf.DUMMYFUNCTION("GOOGLETRANSLATE(A200, ""it"", ""en"")"),"202")</f>
        <v>202</v>
      </c>
      <c r="G200" s="3" t="str">
        <f>IFERROR(__xludf.DUMMYFUNCTION("GOOGLETRANSLATE(B200, ""it"", ""en"")"),"A. What happens if a horse loses control and goes off the track?")</f>
        <v>A. What happens if a horse loses control and goes off the track?</v>
      </c>
      <c r="H200" s="3" t="str">
        <f>IFERROR(__xludf.DUMMYFUNCTION("GOOGLETRANSLATE(C200, ""it"", ""en"")"),"A. The race continues without him B. The horse is penalized C. The horse receives a warning D. The horse is disqualified")</f>
        <v>A. The race continues without him B. The horse is penalized C. The horse receives a warning D. The horse is disqualified</v>
      </c>
      <c r="I200" s="3" t="str">
        <f>IFERROR(__xludf.DUMMYFUNCTION("GOOGLETRANSLATE(D200, ""it"", ""en"")"),"The race continues without him")</f>
        <v>The race continues without him</v>
      </c>
      <c r="J200" s="2"/>
      <c r="K200" s="2"/>
      <c r="L200" s="2"/>
      <c r="M200" s="2"/>
      <c r="N200" s="2"/>
      <c r="O200" s="2"/>
      <c r="P200" s="2"/>
      <c r="Q200" s="2"/>
      <c r="R200" s="2"/>
      <c r="S200" s="2"/>
      <c r="T200" s="2"/>
      <c r="U200" s="2"/>
      <c r="V200" s="2"/>
    </row>
    <row r="201" ht="22.5" customHeight="1">
      <c r="A201" s="3">
        <v>203.0</v>
      </c>
      <c r="B201" s="3" t="s">
        <v>2902</v>
      </c>
      <c r="C201" s="3" t="s">
        <v>2870</v>
      </c>
      <c r="D201" s="3" t="s">
        <v>2559</v>
      </c>
      <c r="E201" s="2"/>
      <c r="F201" s="3" t="str">
        <f>IFERROR(__xludf.DUMMYFUNCTION("GOOGLETRANSLATE(A201, ""it"", ""en"")"),"203")</f>
        <v>203</v>
      </c>
      <c r="G201" s="3" t="str">
        <f>IFERROR(__xludf.DUMMYFUNCTION("GOOGLETRANSLATE(B201, ""it"", ""en"")"),"A. If a horse is seen going around an obstacle on the track, what happens?")</f>
        <v>A. If a horse is seen going around an obstacle on the track, what happens?</v>
      </c>
      <c r="H201" s="3" t="str">
        <f>IFERROR(__xludf.DUMMYFUNCTION("GOOGLETRANSLATE(C201, ""it"", ""en"")"),"A. The horse is penalized B. The race continues normally C. The horse receives a warning D. The horse is disqualified")</f>
        <v>A. The horse is penalized B. The race continues normally C. The horse receives a warning D. The horse is disqualified</v>
      </c>
      <c r="I201" s="3" t="str">
        <f>IFERROR(__xludf.DUMMYFUNCTION("GOOGLETRANSLATE(D201, ""it"", ""en"")"),"The horse is penalized")</f>
        <v>The horse is penalized</v>
      </c>
      <c r="J201" s="2"/>
      <c r="K201" s="2"/>
      <c r="L201" s="2"/>
      <c r="M201" s="2"/>
      <c r="N201" s="2"/>
      <c r="O201" s="2"/>
      <c r="P201" s="2"/>
      <c r="Q201" s="2"/>
      <c r="R201" s="2"/>
      <c r="S201" s="2"/>
      <c r="T201" s="2"/>
      <c r="U201" s="2"/>
      <c r="V201" s="2"/>
    </row>
    <row r="202" ht="22.5" customHeight="1">
      <c r="A202" s="3">
        <v>204.0</v>
      </c>
      <c r="B202" s="3" t="s">
        <v>2903</v>
      </c>
      <c r="C202" s="3" t="s">
        <v>2783</v>
      </c>
      <c r="D202" s="3" t="s">
        <v>2559</v>
      </c>
      <c r="E202" s="2"/>
      <c r="F202" s="3" t="str">
        <f>IFERROR(__xludf.DUMMYFUNCTION("GOOGLETRANSLATE(A202, ""it"", ""en"")"),"204")</f>
        <v>204</v>
      </c>
      <c r="G202" s="3" t="str">
        <f>IFERROR(__xludf.DUMMYFUNCTION("GOOGLETRANSLATE(B202, ""it"", ""en"")"),"A. What happens if a horse overtakes another in an irregular manner?")</f>
        <v>A. What happens if a horse overtakes another in an irregular manner?</v>
      </c>
      <c r="H202" s="3" t="str">
        <f>IFERROR(__xludf.DUMMYFUNCTION("GOOGLETRANSLATE(C202, ""it"", ""en"")"),"A. The horse is penalized B. The race continues normally C. The horse receives a warning D. The horse is disqualified")</f>
        <v>A. The horse is penalized B. The race continues normally C. The horse receives a warning D. The horse is disqualified</v>
      </c>
      <c r="I202" s="3" t="str">
        <f>IFERROR(__xludf.DUMMYFUNCTION("GOOGLETRANSLATE(D202, ""it"", ""en"")"),"The horse is penalized")</f>
        <v>The horse is penalized</v>
      </c>
      <c r="J202" s="2"/>
      <c r="K202" s="2"/>
      <c r="L202" s="2"/>
      <c r="M202" s="2"/>
      <c r="N202" s="2"/>
      <c r="O202" s="2"/>
      <c r="P202" s="2"/>
      <c r="Q202" s="2"/>
      <c r="R202" s="2"/>
      <c r="S202" s="2"/>
      <c r="T202" s="2"/>
      <c r="U202" s="2"/>
      <c r="V202" s="2"/>
    </row>
    <row r="203" ht="22.5" customHeight="1">
      <c r="A203" s="3">
        <v>205.0</v>
      </c>
      <c r="B203" s="3" t="s">
        <v>2904</v>
      </c>
      <c r="C203" s="3" t="s">
        <v>2905</v>
      </c>
      <c r="D203" s="3" t="s">
        <v>2575</v>
      </c>
      <c r="E203" s="2"/>
      <c r="F203" s="3" t="str">
        <f>IFERROR(__xludf.DUMMYFUNCTION("GOOGLETRANSLATE(A203, ""it"", ""en"")"),"205")</f>
        <v>205</v>
      </c>
      <c r="G203" s="3" t="str">
        <f>IFERROR(__xludf.DUMMYFUNCTION("GOOGLETRANSLATE(B203, ""it"", ""en"")"),"A. What happens if two horses touch each other during a race?")</f>
        <v>A. What happens if two horses touch each other during a race?</v>
      </c>
      <c r="H203" s="3" t="str">
        <f>IFERROR(__xludf.DUMMYFUNCTION("GOOGLETRANSLATE(C203, ""it"", ""en"")"),"A. The race continues normally B. The horse that caused the contact is penalized C. The horse that was contacted is penalized D. Both horses are penalized")</f>
        <v>A. The race continues normally B. The horse that caused the contact is penalized C. The horse that was contacted is penalized D. Both horses are penalized</v>
      </c>
      <c r="I203" s="3" t="str">
        <f>IFERROR(__xludf.DUMMYFUNCTION("GOOGLETRANSLATE(D203, ""it"", ""en"")"),"The race continues normally")</f>
        <v>The race continues normally</v>
      </c>
      <c r="J203" s="2"/>
      <c r="K203" s="2"/>
      <c r="L203" s="2"/>
      <c r="M203" s="2"/>
      <c r="N203" s="2"/>
      <c r="O203" s="2"/>
      <c r="P203" s="2"/>
      <c r="Q203" s="2"/>
      <c r="R203" s="2"/>
      <c r="S203" s="2"/>
      <c r="T203" s="2"/>
      <c r="U203" s="2"/>
      <c r="V203" s="2"/>
    </row>
    <row r="204" ht="22.5" customHeight="1">
      <c r="A204" s="3">
        <v>206.0</v>
      </c>
      <c r="B204" s="3" t="s">
        <v>2906</v>
      </c>
      <c r="C204" s="3" t="s">
        <v>2907</v>
      </c>
      <c r="D204" s="3" t="s">
        <v>2559</v>
      </c>
      <c r="E204" s="2"/>
      <c r="F204" s="3" t="str">
        <f>IFERROR(__xludf.DUMMYFUNCTION("GOOGLETRANSLATE(A204, ""it"", ""en"")"),"206")</f>
        <v>206</v>
      </c>
      <c r="G204" s="3" t="str">
        <f>IFERROR(__xludf.DUMMYFUNCTION("GOOGLETRANSLATE(B204, ""it"", ""en"")"),"A. What happens if a horse stops in the middle of the race for no apparent reason?")</f>
        <v>A. What happens if a horse stops in the middle of the race for no apparent reason?</v>
      </c>
      <c r="H204" s="3" t="str">
        <f>IFERROR(__xludf.DUMMYFUNCTION("GOOGLETRANSLATE(C204, ""it"", ""en"")"),"A. The horse is penalized B. The horse is disqualified C. The race continues without him D. The horse receives a warning")</f>
        <v>A. The horse is penalized B. The horse is disqualified C. The race continues without him D. The horse receives a warning</v>
      </c>
      <c r="I204" s="3" t="str">
        <f>IFERROR(__xludf.DUMMYFUNCTION("GOOGLETRANSLATE(D204, ""it"", ""en"")"),"The horse is penalized")</f>
        <v>The horse is penalized</v>
      </c>
      <c r="J204" s="2"/>
      <c r="K204" s="2"/>
      <c r="L204" s="2"/>
      <c r="M204" s="2"/>
      <c r="N204" s="2"/>
      <c r="O204" s="2"/>
      <c r="P204" s="2"/>
      <c r="Q204" s="2"/>
      <c r="R204" s="2"/>
      <c r="S204" s="2"/>
      <c r="T204" s="2"/>
      <c r="U204" s="2"/>
      <c r="V204" s="2"/>
    </row>
    <row r="205" ht="22.5" customHeight="1">
      <c r="A205" s="3">
        <v>207.0</v>
      </c>
      <c r="B205" s="3" t="s">
        <v>2908</v>
      </c>
      <c r="C205" s="3" t="s">
        <v>2620</v>
      </c>
      <c r="D205" s="3" t="s">
        <v>2559</v>
      </c>
      <c r="E205" s="2"/>
      <c r="F205" s="3" t="str">
        <f>IFERROR(__xludf.DUMMYFUNCTION("GOOGLETRANSLATE(A205, ""it"", ""en"")"),"207")</f>
        <v>207</v>
      </c>
      <c r="G205" s="3" t="str">
        <f>IFERROR(__xludf.DUMMYFUNCTION("GOOGLETRANSLATE(B205, ""it"", ""en"")"),"A. What happens if a horse doesn't follow the course correctly during the race?")</f>
        <v>A. What happens if a horse doesn't follow the course correctly during the race?</v>
      </c>
      <c r="H205" s="3" t="str">
        <f>IFERROR(__xludf.DUMMYFUNCTION("GOOGLETRANSLATE(C205, ""it"", ""en"")"),"A. The horse is penalized B. The horse is disqualified C. The race continues normally D. The horse receives a warning")</f>
        <v>A. The horse is penalized B. The horse is disqualified C. The race continues normally D. The horse receives a warning</v>
      </c>
      <c r="I205" s="3" t="str">
        <f>IFERROR(__xludf.DUMMYFUNCTION("GOOGLETRANSLATE(D205, ""it"", ""en"")"),"The horse is penalized")</f>
        <v>The horse is penalized</v>
      </c>
      <c r="J205" s="2"/>
      <c r="K205" s="2"/>
      <c r="L205" s="2"/>
      <c r="M205" s="2"/>
      <c r="N205" s="2"/>
      <c r="O205" s="2"/>
      <c r="P205" s="2"/>
      <c r="Q205" s="2"/>
      <c r="R205" s="2"/>
      <c r="S205" s="2"/>
      <c r="T205" s="2"/>
      <c r="U205" s="2"/>
      <c r="V205" s="2"/>
    </row>
    <row r="206" ht="22.5" customHeight="1">
      <c r="A206" s="3">
        <v>208.0</v>
      </c>
      <c r="B206" s="3" t="s">
        <v>2909</v>
      </c>
      <c r="C206" s="3" t="s">
        <v>2870</v>
      </c>
      <c r="D206" s="3" t="s">
        <v>2559</v>
      </c>
      <c r="E206" s="2"/>
      <c r="F206" s="3" t="str">
        <f>IFERROR(__xludf.DUMMYFUNCTION("GOOGLETRANSLATE(A206, ""it"", ""en"")"),"208")</f>
        <v>208</v>
      </c>
      <c r="G206" s="3" t="str">
        <f>IFERROR(__xludf.DUMMYFUNCTION("GOOGLETRANSLATE(B206, ""it"", ""en"")"),"A. What happens if a horse cuts a corner during the race?")</f>
        <v>A. What happens if a horse cuts a corner during the race?</v>
      </c>
      <c r="H206" s="3" t="str">
        <f>IFERROR(__xludf.DUMMYFUNCTION("GOOGLETRANSLATE(C206, ""it"", ""en"")"),"A. The horse is penalized B. The race continues normally C. The horse receives a warning D. The horse is disqualified")</f>
        <v>A. The horse is penalized B. The race continues normally C. The horse receives a warning D. The horse is disqualified</v>
      </c>
      <c r="I206" s="3" t="str">
        <f>IFERROR(__xludf.DUMMYFUNCTION("GOOGLETRANSLATE(D206, ""it"", ""en"")"),"The horse is penalized")</f>
        <v>The horse is penalized</v>
      </c>
      <c r="J206" s="2"/>
      <c r="K206" s="2"/>
      <c r="L206" s="2"/>
      <c r="M206" s="2"/>
      <c r="N206" s="2"/>
      <c r="O206" s="2"/>
      <c r="P206" s="2"/>
      <c r="Q206" s="2"/>
      <c r="R206" s="2"/>
      <c r="S206" s="2"/>
      <c r="T206" s="2"/>
      <c r="U206" s="2"/>
      <c r="V206" s="2"/>
    </row>
    <row r="207" ht="22.5" customHeight="1">
      <c r="A207" s="3">
        <v>209.0</v>
      </c>
      <c r="B207" s="3" t="s">
        <v>2910</v>
      </c>
      <c r="C207" s="3" t="s">
        <v>2911</v>
      </c>
      <c r="D207" s="3" t="s">
        <v>2912</v>
      </c>
      <c r="E207" s="2"/>
      <c r="F207" s="3" t="str">
        <f>IFERROR(__xludf.DUMMYFUNCTION("GOOGLETRANSLATE(A207, ""it"", ""en"")"),"209")</f>
        <v>209</v>
      </c>
      <c r="G207" s="3" t="str">
        <f>IFERROR(__xludf.DUMMYFUNCTION("GOOGLETRANSLATE(B207, ""it"", ""en"")"),"A. What happens if a horse is pushed off the track?")</f>
        <v>A. What happens if a horse is pushed off the track?</v>
      </c>
      <c r="H207" s="3" t="str">
        <f>IFERROR(__xludf.DUMMYFUNCTION("GOOGLETRANSLATE(C207, ""it"", ""en"")"),"A. The horse that pushed is penalized B. The horse that was pushed out is penalized C. The race continues normally D. Both horses are penalized")</f>
        <v>A. The horse that pushed is penalized B. The horse that was pushed out is penalized C. The race continues normally D. Both horses are penalized</v>
      </c>
      <c r="I207" s="3" t="str">
        <f>IFERROR(__xludf.DUMMYFUNCTION("GOOGLETRANSLATE(D207, ""it"", ""en"")"),"The horse that pushed is penalized")</f>
        <v>The horse that pushed is penalized</v>
      </c>
      <c r="J207" s="2"/>
      <c r="K207" s="2"/>
      <c r="L207" s="2"/>
      <c r="M207" s="2"/>
      <c r="N207" s="2"/>
      <c r="O207" s="2"/>
      <c r="P207" s="2"/>
      <c r="Q207" s="2"/>
      <c r="R207" s="2"/>
      <c r="S207" s="2"/>
      <c r="T207" s="2"/>
      <c r="U207" s="2"/>
      <c r="V207" s="2"/>
    </row>
    <row r="208" ht="22.5" customHeight="1">
      <c r="A208" s="3">
        <v>210.0</v>
      </c>
      <c r="B208" s="3" t="s">
        <v>2913</v>
      </c>
      <c r="C208" s="3" t="s">
        <v>2897</v>
      </c>
      <c r="D208" s="3" t="s">
        <v>2636</v>
      </c>
      <c r="E208" s="2"/>
      <c r="F208" s="3" t="str">
        <f>IFERROR(__xludf.DUMMYFUNCTION("GOOGLETRANSLATE(A208, ""it"", ""en"")"),"210")</f>
        <v>210</v>
      </c>
      <c r="G208" s="3" t="str">
        <f>IFERROR(__xludf.DUMMYFUNCTION("GOOGLETRANSLATE(B208, ""it"", ""en"")"),"A. What happens if a horse retires before the end of the race?")</f>
        <v>A. What happens if a horse retires before the end of the race?</v>
      </c>
      <c r="H208" s="3" t="str">
        <f>IFERROR(__xludf.DUMMYFUNCTION("GOOGLETRANSLATE(C208, ""it"", ""en"")"),"A. The horse is excluded from the race B. The race continues without him C. The horse receives a warning D. The horse is penalized")</f>
        <v>A. The horse is excluded from the race B. The race continues without him C. The horse receives a warning D. The horse is penalized</v>
      </c>
      <c r="I208" s="3" t="str">
        <f>IFERROR(__xludf.DUMMYFUNCTION("GOOGLETRANSLATE(D208, ""it"", ""en"")"),"The race continues without him")</f>
        <v>The race continues without him</v>
      </c>
      <c r="J208" s="2"/>
      <c r="K208" s="2"/>
      <c r="L208" s="2"/>
      <c r="M208" s="2"/>
      <c r="N208" s="2"/>
      <c r="O208" s="2"/>
      <c r="P208" s="2"/>
      <c r="Q208" s="2"/>
      <c r="R208" s="2"/>
      <c r="S208" s="2"/>
      <c r="T208" s="2"/>
      <c r="U208" s="2"/>
      <c r="V208" s="2"/>
    </row>
    <row r="209" ht="22.5" customHeight="1">
      <c r="A209" s="3">
        <v>211.0</v>
      </c>
      <c r="B209" s="3" t="s">
        <v>2914</v>
      </c>
      <c r="C209" s="3" t="s">
        <v>2783</v>
      </c>
      <c r="D209" s="3" t="s">
        <v>2559</v>
      </c>
      <c r="E209" s="2"/>
      <c r="F209" s="3" t="str">
        <f>IFERROR(__xludf.DUMMYFUNCTION("GOOGLETRANSLATE(A209, ""it"", ""en"")"),"211")</f>
        <v>211</v>
      </c>
      <c r="G209" s="3" t="str">
        <f>IFERROR(__xludf.DUMMYFUNCTION("GOOGLETRANSLATE(B209, ""it"", ""en"")"),"A. What happens if a horse starts too early at the start?")</f>
        <v>A. What happens if a horse starts too early at the start?</v>
      </c>
      <c r="H209" s="3" t="str">
        <f>IFERROR(__xludf.DUMMYFUNCTION("GOOGLETRANSLATE(C209, ""it"", ""en"")"),"A. The horse is penalized B. The race continues normally C. The horse receives a warning D. The horse is disqualified")</f>
        <v>A. The horse is penalized B. The race continues normally C. The horse receives a warning D. The horse is disqualified</v>
      </c>
      <c r="I209" s="3" t="str">
        <f>IFERROR(__xludf.DUMMYFUNCTION("GOOGLETRANSLATE(D209, ""it"", ""en"")"),"The horse is penalized")</f>
        <v>The horse is penalized</v>
      </c>
      <c r="J209" s="2"/>
      <c r="K209" s="2"/>
      <c r="L209" s="2"/>
      <c r="M209" s="2"/>
      <c r="N209" s="2"/>
      <c r="O209" s="2"/>
      <c r="P209" s="2"/>
      <c r="Q209" s="2"/>
      <c r="R209" s="2"/>
      <c r="S209" s="2"/>
      <c r="T209" s="2"/>
      <c r="U209" s="2"/>
      <c r="V209" s="2"/>
    </row>
    <row r="210" ht="22.5" customHeight="1">
      <c r="A210" s="3">
        <v>212.0</v>
      </c>
      <c r="B210" s="3" t="s">
        <v>2915</v>
      </c>
      <c r="C210" s="3" t="s">
        <v>2783</v>
      </c>
      <c r="D210" s="3" t="s">
        <v>2559</v>
      </c>
      <c r="E210" s="2"/>
      <c r="F210" s="3" t="str">
        <f>IFERROR(__xludf.DUMMYFUNCTION("GOOGLETRANSLATE(A210, ""it"", ""en"")"),"212")</f>
        <v>212</v>
      </c>
      <c r="G210" s="3" t="str">
        <f>IFERROR(__xludf.DUMMYFUNCTION("GOOGLETRANSLATE(B210, ""it"", ""en"")"),"A. What happens if a horse changes track during the race?")</f>
        <v>A. What happens if a horse changes track during the race?</v>
      </c>
      <c r="H210" s="3" t="str">
        <f>IFERROR(__xludf.DUMMYFUNCTION("GOOGLETRANSLATE(C210, ""it"", ""en"")"),"A. The horse is penalized B. The race continues normally C. The horse receives a warning D. The horse is disqualified")</f>
        <v>A. The horse is penalized B. The race continues normally C. The horse receives a warning D. The horse is disqualified</v>
      </c>
      <c r="I210" s="3" t="str">
        <f>IFERROR(__xludf.DUMMYFUNCTION("GOOGLETRANSLATE(D210, ""it"", ""en"")"),"The horse is penalized")</f>
        <v>The horse is penalized</v>
      </c>
      <c r="J210" s="2"/>
      <c r="K210" s="2"/>
      <c r="L210" s="2"/>
      <c r="M210" s="2"/>
      <c r="N210" s="2"/>
      <c r="O210" s="2"/>
      <c r="P210" s="2"/>
      <c r="Q210" s="2"/>
      <c r="R210" s="2"/>
      <c r="S210" s="2"/>
      <c r="T210" s="2"/>
      <c r="U210" s="2"/>
      <c r="V210" s="2"/>
    </row>
    <row r="211" ht="22.5" customHeight="1">
      <c r="A211" s="3">
        <v>213.0</v>
      </c>
      <c r="B211" s="3" t="s">
        <v>2916</v>
      </c>
      <c r="C211" s="3" t="s">
        <v>2631</v>
      </c>
      <c r="D211" s="3" t="s">
        <v>2559</v>
      </c>
      <c r="E211" s="2"/>
      <c r="F211" s="3" t="str">
        <f>IFERROR(__xludf.DUMMYFUNCTION("GOOGLETRANSLATE(A211, ""it"", ""en"")"),"213")</f>
        <v>213</v>
      </c>
      <c r="G211" s="3" t="str">
        <f>IFERROR(__xludf.DUMMYFUNCTION("GOOGLETRANSLATE(B211, ""it"", ""en"")"),"A. What happens if a horse doesn't follow the starting order?")</f>
        <v>A. What happens if a horse doesn't follow the starting order?</v>
      </c>
      <c r="H211" s="3" t="str">
        <f>IFERROR(__xludf.DUMMYFUNCTION("GOOGLETRANSLATE(C211, ""it"", ""en"")"),"A. The horse is penalized B. The horse is disqualified C. The race continues normally D. The horse receives a warning")</f>
        <v>A. The horse is penalized B. The horse is disqualified C. The race continues normally D. The horse receives a warning</v>
      </c>
      <c r="I211" s="3" t="str">
        <f>IFERROR(__xludf.DUMMYFUNCTION("GOOGLETRANSLATE(D211, ""it"", ""en"")"),"The horse is penalized")</f>
        <v>The horse is penalized</v>
      </c>
      <c r="J211" s="2"/>
      <c r="K211" s="2"/>
      <c r="L211" s="2"/>
      <c r="M211" s="2"/>
      <c r="N211" s="2"/>
      <c r="O211" s="2"/>
      <c r="P211" s="2"/>
      <c r="Q211" s="2"/>
      <c r="R211" s="2"/>
      <c r="S211" s="2"/>
      <c r="T211" s="2"/>
      <c r="U211" s="2"/>
      <c r="V211" s="2"/>
    </row>
    <row r="212" ht="22.5" customHeight="1">
      <c r="A212" s="3">
        <v>214.0</v>
      </c>
      <c r="B212" s="3" t="s">
        <v>2917</v>
      </c>
      <c r="C212" s="3" t="s">
        <v>2918</v>
      </c>
      <c r="D212" s="3" t="s">
        <v>2636</v>
      </c>
      <c r="E212" s="2"/>
      <c r="F212" s="3" t="str">
        <f>IFERROR(__xludf.DUMMYFUNCTION("GOOGLETRANSLATE(A212, ""it"", ""en"")"),"214")</f>
        <v>214</v>
      </c>
      <c r="G212" s="3" t="str">
        <f>IFERROR(__xludf.DUMMYFUNCTION("GOOGLETRANSLATE(B212, ""it"", ""en"")"),"A. What happens if a horse retires mid-race due to injury?")</f>
        <v>A. What happens if a horse retires mid-race due to injury?</v>
      </c>
      <c r="H212" s="3" t="str">
        <f>IFERROR(__xludf.DUMMYFUNCTION("GOOGLETRANSLATE(C212, ""it"", ""en"")"),"A. The race continues without him B. The horse is penalized C. The horse receives a warning D. The race is cancelled")</f>
        <v>A. The race continues without him B. The horse is penalized C. The horse receives a warning D. The race is cancelled</v>
      </c>
      <c r="I212" s="3" t="str">
        <f>IFERROR(__xludf.DUMMYFUNCTION("GOOGLETRANSLATE(D212, ""it"", ""en"")"),"The race continues without him")</f>
        <v>The race continues without him</v>
      </c>
      <c r="J212" s="2"/>
      <c r="K212" s="2"/>
      <c r="L212" s="2"/>
      <c r="M212" s="2"/>
      <c r="N212" s="2"/>
      <c r="O212" s="2"/>
      <c r="P212" s="2"/>
      <c r="Q212" s="2"/>
      <c r="R212" s="2"/>
      <c r="S212" s="2"/>
      <c r="T212" s="2"/>
      <c r="U212" s="2"/>
      <c r="V212" s="2"/>
    </row>
    <row r="213" ht="22.5" customHeight="1">
      <c r="A213" s="3">
        <v>215.0</v>
      </c>
      <c r="B213" s="3" t="s">
        <v>2919</v>
      </c>
      <c r="C213" s="3" t="s">
        <v>2783</v>
      </c>
      <c r="D213" s="3" t="s">
        <v>2559</v>
      </c>
      <c r="E213" s="2"/>
      <c r="F213" s="3" t="str">
        <f>IFERROR(__xludf.DUMMYFUNCTION("GOOGLETRANSLATE(A213, ""it"", ""en"")"),"215")</f>
        <v>215</v>
      </c>
      <c r="G213" s="3" t="str">
        <f>IFERROR(__xludf.DUMMYFUNCTION("GOOGLETRANSLATE(B213, ""it"", ""en"")"),"A. What happens if a horse crosses the finish line early?")</f>
        <v>A. What happens if a horse crosses the finish line early?</v>
      </c>
      <c r="H213" s="3" t="str">
        <f>IFERROR(__xludf.DUMMYFUNCTION("GOOGLETRANSLATE(C213, ""it"", ""en"")"),"A. The horse is penalized B. The race continues normally C. The horse receives a warning D. The horse is disqualified")</f>
        <v>A. The horse is penalized B. The race continues normally C. The horse receives a warning D. The horse is disqualified</v>
      </c>
      <c r="I213" s="3" t="str">
        <f>IFERROR(__xludf.DUMMYFUNCTION("GOOGLETRANSLATE(D213, ""it"", ""en"")"),"The horse is penalized")</f>
        <v>The horse is penalized</v>
      </c>
      <c r="J213" s="2"/>
      <c r="K213" s="2"/>
      <c r="L213" s="2"/>
      <c r="M213" s="2"/>
      <c r="N213" s="2"/>
      <c r="O213" s="2"/>
      <c r="P213" s="2"/>
      <c r="Q213" s="2"/>
      <c r="R213" s="2"/>
      <c r="S213" s="2"/>
      <c r="T213" s="2"/>
      <c r="U213" s="2"/>
      <c r="V213" s="2"/>
    </row>
    <row r="214" ht="22.5" customHeight="1">
      <c r="A214" s="3">
        <v>216.0</v>
      </c>
      <c r="B214" s="3" t="s">
        <v>2920</v>
      </c>
      <c r="C214" s="3" t="s">
        <v>2783</v>
      </c>
      <c r="D214" s="3" t="s">
        <v>2575</v>
      </c>
      <c r="E214" s="2"/>
      <c r="F214" s="3" t="str">
        <f>IFERROR(__xludf.DUMMYFUNCTION("GOOGLETRANSLATE(A214, ""it"", ""en"")"),"216")</f>
        <v>216</v>
      </c>
      <c r="G214" s="3" t="str">
        <f>IFERROR(__xludf.DUMMYFUNCTION("GOOGLETRANSLATE(B214, ""it"", ""en"")"),"A. If a horse goes off the track but comes back quickly, what happens?")</f>
        <v>A. If a horse goes off the track but comes back quickly, what happens?</v>
      </c>
      <c r="H214" s="3" t="str">
        <f>IFERROR(__xludf.DUMMYFUNCTION("GOOGLETRANSLATE(C214, ""it"", ""en"")"),"A. The horse is penalized B. The race continues normally C. The horse receives a warning D. The horse is disqualified")</f>
        <v>A. The horse is penalized B. The race continues normally C. The horse receives a warning D. The horse is disqualified</v>
      </c>
      <c r="I214" s="3" t="str">
        <f>IFERROR(__xludf.DUMMYFUNCTION("GOOGLETRANSLATE(D214, ""it"", ""en"")"),"The race continues normally")</f>
        <v>The race continues normally</v>
      </c>
      <c r="J214" s="2"/>
      <c r="K214" s="2"/>
      <c r="L214" s="2"/>
      <c r="M214" s="2"/>
      <c r="N214" s="2"/>
      <c r="O214" s="2"/>
      <c r="P214" s="2"/>
      <c r="Q214" s="2"/>
      <c r="R214" s="2"/>
      <c r="S214" s="2"/>
      <c r="T214" s="2"/>
      <c r="U214" s="2"/>
      <c r="V214" s="2"/>
    </row>
    <row r="215" ht="22.5" customHeight="1">
      <c r="A215" s="3">
        <v>217.0</v>
      </c>
      <c r="B215" s="3" t="s">
        <v>2921</v>
      </c>
      <c r="C215" s="3" t="s">
        <v>2922</v>
      </c>
      <c r="D215" s="3" t="s">
        <v>2880</v>
      </c>
      <c r="E215" s="2"/>
      <c r="F215" s="3" t="str">
        <f>IFERROR(__xludf.DUMMYFUNCTION("GOOGLETRANSLATE(A215, ""it"", ""en"")"),"217")</f>
        <v>217</v>
      </c>
      <c r="G215" s="3" t="str">
        <f>IFERROR(__xludf.DUMMYFUNCTION("GOOGLETRANSLATE(B215, ""it"", ""en"")"),"A. What happens if a horse collides with another during the race?")</f>
        <v>A. What happens if a horse collides with another during the race?</v>
      </c>
      <c r="H215" s="3" t="str">
        <f>IFERROR(__xludf.DUMMYFUNCTION("GOOGLETRANSLATE(C215, ""it"", ""en"")"),"A. Both horses are penalized B. The horse that caused the accident is penalized C. The race continues normally D. The horse that was injured receives a warning")</f>
        <v>A. Both horses are penalized B. The horse that caused the accident is penalized C. The race continues normally D. The horse that was injured receives a warning</v>
      </c>
      <c r="I215" s="3" t="str">
        <f>IFERROR(__xludf.DUMMYFUNCTION("GOOGLETRANSLATE(D215, ""it"", ""en"")"),"Both horses are penalized")</f>
        <v>Both horses are penalized</v>
      </c>
      <c r="J215" s="2"/>
      <c r="K215" s="2"/>
      <c r="L215" s="2"/>
      <c r="M215" s="2"/>
      <c r="N215" s="2"/>
      <c r="O215" s="2"/>
      <c r="P215" s="2"/>
      <c r="Q215" s="2"/>
      <c r="R215" s="2"/>
      <c r="S215" s="2"/>
      <c r="T215" s="2"/>
      <c r="U215" s="2"/>
      <c r="V215" s="2"/>
    </row>
    <row r="216" ht="22.5" customHeight="1">
      <c r="A216" s="3">
        <v>218.0</v>
      </c>
      <c r="B216" s="3" t="s">
        <v>2923</v>
      </c>
      <c r="C216" s="3" t="s">
        <v>2705</v>
      </c>
      <c r="D216" s="3" t="s">
        <v>2575</v>
      </c>
      <c r="E216" s="2"/>
      <c r="F216" s="3" t="str">
        <f>IFERROR(__xludf.DUMMYFUNCTION("GOOGLETRANSLATE(A216, ""it"", ""en"")"),"218")</f>
        <v>218</v>
      </c>
      <c r="G216" s="3" t="str">
        <f>IFERROR(__xludf.DUMMYFUNCTION("GOOGLETRANSLATE(B216, ""it"", ""en"")"),"A. If a horse falls but doesn't stop, what happens?")</f>
        <v>A. If a horse falls but doesn't stop, what happens?</v>
      </c>
      <c r="H216" s="3" t="str">
        <f>IFERROR(__xludf.DUMMYFUNCTION("GOOGLETRANSLATE(C216, ""it"", ""en"")"),"A. The race continues normally B. The horse is penalized C. The horse receives a warning D. The horse is disqualified")</f>
        <v>A. The race continues normally B. The horse is penalized C. The horse receives a warning D. The horse is disqualified</v>
      </c>
      <c r="I216" s="3" t="str">
        <f>IFERROR(__xludf.DUMMYFUNCTION("GOOGLETRANSLATE(D216, ""it"", ""en"")"),"The race continues normally")</f>
        <v>The race continues normally</v>
      </c>
      <c r="J216" s="2"/>
      <c r="K216" s="2"/>
      <c r="L216" s="2"/>
      <c r="M216" s="2"/>
      <c r="N216" s="2"/>
      <c r="O216" s="2"/>
      <c r="P216" s="2"/>
      <c r="Q216" s="2"/>
      <c r="R216" s="2"/>
      <c r="S216" s="2"/>
      <c r="T216" s="2"/>
      <c r="U216" s="2"/>
      <c r="V216" s="2"/>
    </row>
    <row r="217" ht="22.5" customHeight="1">
      <c r="A217" s="3">
        <v>219.0</v>
      </c>
      <c r="B217" s="3" t="s">
        <v>2924</v>
      </c>
      <c r="C217" s="3" t="s">
        <v>2783</v>
      </c>
      <c r="D217" s="3" t="s">
        <v>2559</v>
      </c>
      <c r="E217" s="2"/>
      <c r="F217" s="3" t="str">
        <f>IFERROR(__xludf.DUMMYFUNCTION("GOOGLETRANSLATE(A217, ""it"", ""en"")"),"219")</f>
        <v>219</v>
      </c>
      <c r="G217" s="3" t="str">
        <f>IFERROR(__xludf.DUMMYFUNCTION("GOOGLETRANSLATE(B217, ""it"", ""en"")"),"A. What happens if a horse goes too fast for the speed limit?")</f>
        <v>A. What happens if a horse goes too fast for the speed limit?</v>
      </c>
      <c r="H217" s="3" t="str">
        <f>IFERROR(__xludf.DUMMYFUNCTION("GOOGLETRANSLATE(C217, ""it"", ""en"")"),"A. The horse is penalized B. The race continues normally C. The horse receives a warning D. The horse is disqualified")</f>
        <v>A. The horse is penalized B. The race continues normally C. The horse receives a warning D. The horse is disqualified</v>
      </c>
      <c r="I217" s="3" t="str">
        <f>IFERROR(__xludf.DUMMYFUNCTION("GOOGLETRANSLATE(D217, ""it"", ""en"")"),"The horse is penalized")</f>
        <v>The horse is penalized</v>
      </c>
      <c r="J217" s="2"/>
      <c r="K217" s="2"/>
      <c r="L217" s="2"/>
      <c r="M217" s="2"/>
      <c r="N217" s="2"/>
      <c r="O217" s="2"/>
      <c r="P217" s="2"/>
      <c r="Q217" s="2"/>
      <c r="R217" s="2"/>
      <c r="S217" s="2"/>
      <c r="T217" s="2"/>
      <c r="U217" s="2"/>
      <c r="V217" s="2"/>
    </row>
    <row r="218" ht="22.5" customHeight="1">
      <c r="A218" s="3">
        <v>220.0</v>
      </c>
      <c r="B218" s="3" t="s">
        <v>2925</v>
      </c>
      <c r="C218" s="3" t="s">
        <v>2926</v>
      </c>
      <c r="D218" s="3" t="s">
        <v>2845</v>
      </c>
      <c r="E218" s="2"/>
      <c r="F218" s="3" t="str">
        <f>IFERROR(__xludf.DUMMYFUNCTION("GOOGLETRANSLATE(A218, ""it"", ""en"")"),"220")</f>
        <v>220</v>
      </c>
      <c r="G218" s="3" t="str">
        <f>IFERROR(__xludf.DUMMYFUNCTION("GOOGLETRANSLATE(B218, ""it"", ""en"")"),"A. If a horse is impeded by another horse in an illegal manner, what happens?")</f>
        <v>A. If a horse is impeded by another horse in an illegal manner, what happens?</v>
      </c>
      <c r="H218" s="3" t="str">
        <f>IFERROR(__xludf.DUMMYFUNCTION("GOOGLETRANSLATE(C218, ""it"", ""en"")"),"A. The horse that caused the obstacle is penalized B. The horse that was impeded is penalized C. Both horses are penalized D. The race continues normally")</f>
        <v>A. The horse that caused the obstacle is penalized B. The horse that was impeded is penalized C. Both horses are penalized D. The race continues normally</v>
      </c>
      <c r="I218" s="3" t="str">
        <f>IFERROR(__xludf.DUMMYFUNCTION("GOOGLETRANSLATE(D218, ""it"", ""en"")"),"The horse that caused the obstacle is penalized")</f>
        <v>The horse that caused the obstacle is penalized</v>
      </c>
      <c r="J218" s="2"/>
      <c r="K218" s="2"/>
      <c r="L218" s="2"/>
      <c r="M218" s="2"/>
      <c r="N218" s="2"/>
      <c r="O218" s="2"/>
      <c r="P218" s="2"/>
      <c r="Q218" s="2"/>
      <c r="R218" s="2"/>
      <c r="S218" s="2"/>
      <c r="T218" s="2"/>
      <c r="U218" s="2"/>
      <c r="V218" s="2"/>
    </row>
    <row r="219" ht="22.5" customHeight="1">
      <c r="A219" s="3">
        <v>221.0</v>
      </c>
      <c r="B219" s="3" t="s">
        <v>2927</v>
      </c>
      <c r="C219" s="3" t="s">
        <v>2631</v>
      </c>
      <c r="D219" s="3" t="s">
        <v>2575</v>
      </c>
      <c r="E219" s="2"/>
      <c r="F219" s="3" t="str">
        <f>IFERROR(__xludf.DUMMYFUNCTION("GOOGLETRANSLATE(A219, ""it"", ""en"")"),"221")</f>
        <v>221</v>
      </c>
      <c r="G219" s="3" t="str">
        <f>IFERROR(__xludf.DUMMYFUNCTION("GOOGLETRANSLATE(B219, ""it"", ""en"")"),"A. What happens if a horse loses its rider but manages to continue?")</f>
        <v>A. What happens if a horse loses its rider but manages to continue?</v>
      </c>
      <c r="H219" s="3" t="str">
        <f>IFERROR(__xludf.DUMMYFUNCTION("GOOGLETRANSLATE(C219, ""it"", ""en"")"),"A. The horse is penalized B. The horse is disqualified C. The race continues normally D. The horse receives a warning")</f>
        <v>A. The horse is penalized B. The horse is disqualified C. The race continues normally D. The horse receives a warning</v>
      </c>
      <c r="I219" s="3" t="str">
        <f>IFERROR(__xludf.DUMMYFUNCTION("GOOGLETRANSLATE(D219, ""it"", ""en"")"),"The race continues normally")</f>
        <v>The race continues normally</v>
      </c>
      <c r="J219" s="2"/>
      <c r="K219" s="2"/>
      <c r="L219" s="2"/>
      <c r="M219" s="2"/>
      <c r="N219" s="2"/>
      <c r="O219" s="2"/>
      <c r="P219" s="2"/>
      <c r="Q219" s="2"/>
      <c r="R219" s="2"/>
      <c r="S219" s="2"/>
      <c r="T219" s="2"/>
      <c r="U219" s="2"/>
      <c r="V219" s="2"/>
    </row>
    <row r="220" ht="22.5" customHeight="1">
      <c r="A220" s="3">
        <v>222.0</v>
      </c>
      <c r="B220" s="3" t="s">
        <v>2928</v>
      </c>
      <c r="C220" s="3" t="s">
        <v>2889</v>
      </c>
      <c r="D220" s="3" t="s">
        <v>2559</v>
      </c>
      <c r="E220" s="2"/>
      <c r="F220" s="3" t="str">
        <f>IFERROR(__xludf.DUMMYFUNCTION("GOOGLETRANSLATE(A220, ""it"", ""en"")"),"222")</f>
        <v>222</v>
      </c>
      <c r="G220" s="3" t="str">
        <f>IFERROR(__xludf.DUMMYFUNCTION("GOOGLETRANSLATE(B220, ""it"", ""en"")"),"A. What happens if a horse stops completely during the race?")</f>
        <v>A. What happens if a horse stops completely during the race?</v>
      </c>
      <c r="H220" s="3" t="str">
        <f>IFERROR(__xludf.DUMMYFUNCTION("GOOGLETRANSLATE(C220, ""it"", ""en"")"),"A. The horse is penalized B. The horse is disqualified C. The race continues without him D. The horse receives a warning")</f>
        <v>A. The horse is penalized B. The horse is disqualified C. The race continues without him D. The horse receives a warning</v>
      </c>
      <c r="I220" s="3" t="str">
        <f>IFERROR(__xludf.DUMMYFUNCTION("GOOGLETRANSLATE(D220, ""it"", ""en"")"),"The horse is penalized")</f>
        <v>The horse is penalized</v>
      </c>
      <c r="J220" s="2"/>
      <c r="K220" s="2"/>
      <c r="L220" s="2"/>
      <c r="M220" s="2"/>
      <c r="N220" s="2"/>
      <c r="O220" s="2"/>
      <c r="P220" s="2"/>
      <c r="Q220" s="2"/>
      <c r="R220" s="2"/>
      <c r="S220" s="2"/>
      <c r="T220" s="2"/>
      <c r="U220" s="2"/>
      <c r="V220" s="2"/>
    </row>
    <row r="221" ht="22.5" customHeight="1">
      <c r="A221" s="3">
        <v>223.0</v>
      </c>
      <c r="B221" s="3" t="s">
        <v>2929</v>
      </c>
      <c r="C221" s="3" t="s">
        <v>2783</v>
      </c>
      <c r="D221" s="3" t="s">
        <v>2559</v>
      </c>
      <c r="E221" s="2"/>
      <c r="F221" s="3" t="str">
        <f>IFERROR(__xludf.DUMMYFUNCTION("GOOGLETRANSLATE(A221, ""it"", ""en"")"),"223")</f>
        <v>223</v>
      </c>
      <c r="G221" s="3" t="str">
        <f>IFERROR(__xludf.DUMMYFUNCTION("GOOGLETRANSLATE(B221, ""it"", ""en"")"),"A. What happens if a horse doesn't finish in the order it was supposed to finish?")</f>
        <v>A. What happens if a horse doesn't finish in the order it was supposed to finish?</v>
      </c>
      <c r="H221" s="3" t="str">
        <f>IFERROR(__xludf.DUMMYFUNCTION("GOOGLETRANSLATE(C221, ""it"", ""en"")"),"A. The horse is penalized B. The race continues normally C. The horse receives a warning D. The horse is disqualified")</f>
        <v>A. The horse is penalized B. The race continues normally C. The horse receives a warning D. The horse is disqualified</v>
      </c>
      <c r="I221" s="3" t="str">
        <f>IFERROR(__xludf.DUMMYFUNCTION("GOOGLETRANSLATE(D221, ""it"", ""en"")"),"The horse is penalized")</f>
        <v>The horse is penalized</v>
      </c>
      <c r="J221" s="2"/>
      <c r="K221" s="2"/>
      <c r="L221" s="2"/>
      <c r="M221" s="2"/>
      <c r="N221" s="2"/>
      <c r="O221" s="2"/>
      <c r="P221" s="2"/>
      <c r="Q221" s="2"/>
      <c r="R221" s="2"/>
      <c r="S221" s="2"/>
      <c r="T221" s="2"/>
      <c r="U221" s="2"/>
      <c r="V221" s="2"/>
    </row>
    <row r="222" ht="22.5" customHeight="1">
      <c r="A222" s="3">
        <v>224.0</v>
      </c>
      <c r="B222" s="3" t="s">
        <v>2930</v>
      </c>
      <c r="C222" s="3" t="s">
        <v>2631</v>
      </c>
      <c r="D222" s="3" t="s">
        <v>2559</v>
      </c>
      <c r="E222" s="2"/>
      <c r="F222" s="3" t="str">
        <f>IFERROR(__xludf.DUMMYFUNCTION("GOOGLETRANSLATE(A222, ""it"", ""en"")"),"224")</f>
        <v>224</v>
      </c>
      <c r="G222" s="3" t="str">
        <f>IFERROR(__xludf.DUMMYFUNCTION("GOOGLETRANSLATE(B222, ""it"", ""en"")"),"A. What happens if a horse changes position irregularly during the race?")</f>
        <v>A. What happens if a horse changes position irregularly during the race?</v>
      </c>
      <c r="H222" s="3" t="str">
        <f>IFERROR(__xludf.DUMMYFUNCTION("GOOGLETRANSLATE(C222, ""it"", ""en"")"),"A. The horse is penalized B. The horse is disqualified C. The race continues normally D. The horse receives a warning")</f>
        <v>A. The horse is penalized B. The horse is disqualified C. The race continues normally D. The horse receives a warning</v>
      </c>
      <c r="I222" s="3" t="str">
        <f>IFERROR(__xludf.DUMMYFUNCTION("GOOGLETRANSLATE(D222, ""it"", ""en"")"),"The horse is penalized")</f>
        <v>The horse is penalized</v>
      </c>
      <c r="J222" s="2"/>
      <c r="K222" s="2"/>
      <c r="L222" s="2"/>
      <c r="M222" s="2"/>
      <c r="N222" s="2"/>
      <c r="O222" s="2"/>
      <c r="P222" s="2"/>
      <c r="Q222" s="2"/>
      <c r="R222" s="2"/>
      <c r="S222" s="2"/>
      <c r="T222" s="2"/>
      <c r="U222" s="2"/>
      <c r="V222" s="2"/>
    </row>
    <row r="223" ht="22.5" customHeight="1">
      <c r="A223" s="3">
        <v>225.0</v>
      </c>
      <c r="B223" s="3" t="s">
        <v>2931</v>
      </c>
      <c r="C223" s="3" t="s">
        <v>2932</v>
      </c>
      <c r="D223" s="3" t="s">
        <v>2559</v>
      </c>
      <c r="E223" s="2"/>
      <c r="F223" s="3" t="str">
        <f>IFERROR(__xludf.DUMMYFUNCTION("GOOGLETRANSLATE(A223, ""it"", ""en"")"),"225")</f>
        <v>225</v>
      </c>
      <c r="G223" s="3" t="str">
        <f>IFERROR(__xludf.DUMMYFUNCTION("GOOGLETRANSLATE(B223, ""it"", ""en"")"),"A. If a horse cuts another horse's turn, what happens?")</f>
        <v>A. If a horse cuts another horse's turn, what happens?</v>
      </c>
      <c r="H223" s="3" t="str">
        <f>IFERROR(__xludf.DUMMYFUNCTION("GOOGLETRANSLATE(C223, ""it"", ""en"")"),"A. The horse is penalized B. The horse that was cut is penalized C. The race continues normally D. Both horses are penalized")</f>
        <v>A. The horse is penalized B. The horse that was cut is penalized C. The race continues normally D. Both horses are penalized</v>
      </c>
      <c r="I223" s="3" t="str">
        <f>IFERROR(__xludf.DUMMYFUNCTION("GOOGLETRANSLATE(D223, ""it"", ""en"")"),"The horse is penalized")</f>
        <v>The horse is penalized</v>
      </c>
      <c r="J223" s="2"/>
      <c r="K223" s="2"/>
      <c r="L223" s="2"/>
      <c r="M223" s="2"/>
      <c r="N223" s="2"/>
      <c r="O223" s="2"/>
      <c r="P223" s="2"/>
      <c r="Q223" s="2"/>
      <c r="R223" s="2"/>
      <c r="S223" s="2"/>
      <c r="T223" s="2"/>
      <c r="U223" s="2"/>
      <c r="V223" s="2"/>
    </row>
    <row r="224" ht="22.5" customHeight="1">
      <c r="A224" s="3">
        <v>226.0</v>
      </c>
      <c r="B224" s="3" t="s">
        <v>2933</v>
      </c>
      <c r="C224" s="3" t="s">
        <v>2934</v>
      </c>
      <c r="D224" s="3" t="s">
        <v>2898</v>
      </c>
      <c r="E224" s="2"/>
      <c r="F224" s="3" t="str">
        <f>IFERROR(__xludf.DUMMYFUNCTION("GOOGLETRANSLATE(A224, ""it"", ""en"")"),"226")</f>
        <v>226</v>
      </c>
      <c r="G224" s="3" t="str">
        <f>IFERROR(__xludf.DUMMYFUNCTION("GOOGLETRANSLATE(B224, ""it"", ""en"")"),"A. What happens if a horse refuses to continue the race for health reasons?")</f>
        <v>A. What happens if a horse refuses to continue the race for health reasons?</v>
      </c>
      <c r="H224" s="3" t="str">
        <f>IFERROR(__xludf.DUMMYFUNCTION("GOOGLETRANSLATE(C224, ""it"", ""en"")"),"A. The horse is excluded from the race B. The horse receives a warning C. The race continues without him D. The horse is penalized")</f>
        <v>A. The horse is excluded from the race B. The horse receives a warning C. The race continues without him D. The horse is penalized</v>
      </c>
      <c r="I224" s="3" t="str">
        <f>IFERROR(__xludf.DUMMYFUNCTION("GOOGLETRANSLATE(D224, ""it"", ""en"")"),"The horse is excluded from the race")</f>
        <v>The horse is excluded from the race</v>
      </c>
      <c r="J224" s="2"/>
      <c r="K224" s="2"/>
      <c r="L224" s="2"/>
      <c r="M224" s="2"/>
      <c r="N224" s="2"/>
      <c r="O224" s="2"/>
      <c r="P224" s="2"/>
      <c r="Q224" s="2"/>
      <c r="R224" s="2"/>
      <c r="S224" s="2"/>
      <c r="T224" s="2"/>
      <c r="U224" s="2"/>
      <c r="V224" s="2"/>
    </row>
    <row r="225" ht="22.5" customHeight="1">
      <c r="A225" s="3">
        <v>227.0</v>
      </c>
      <c r="B225" s="3" t="s">
        <v>2935</v>
      </c>
      <c r="C225" s="3" t="s">
        <v>2787</v>
      </c>
      <c r="D225" s="3" t="s">
        <v>2559</v>
      </c>
      <c r="E225" s="2"/>
      <c r="F225" s="3" t="str">
        <f>IFERROR(__xludf.DUMMYFUNCTION("GOOGLETRANSLATE(A225, ""it"", ""en"")"),"227")</f>
        <v>227</v>
      </c>
      <c r="G225" s="3" t="str">
        <f>IFERROR(__xludf.DUMMYFUNCTION("GOOGLETRANSLATE(B225, ""it"", ""en"")"),"A. If a horse crosses the finish line and then comes back, what happens?")</f>
        <v>A. If a horse crosses the finish line and then comes back, what happens?</v>
      </c>
      <c r="H225" s="3" t="str">
        <f>IFERROR(__xludf.DUMMYFUNCTION("GOOGLETRANSLATE(C225, ""it"", ""en"")"),"A. The horse is penalized B. The horse receives a warning C. The horse is disqualified D. The race continues normally")</f>
        <v>A. The horse is penalized B. The horse receives a warning C. The horse is disqualified D. The race continues normally</v>
      </c>
      <c r="I225" s="3" t="str">
        <f>IFERROR(__xludf.DUMMYFUNCTION("GOOGLETRANSLATE(D225, ""it"", ""en"")"),"The horse is penalized")</f>
        <v>The horse is penalized</v>
      </c>
      <c r="J225" s="2"/>
      <c r="K225" s="2"/>
      <c r="L225" s="2"/>
      <c r="M225" s="2"/>
      <c r="N225" s="2"/>
      <c r="O225" s="2"/>
      <c r="P225" s="2"/>
      <c r="Q225" s="2"/>
      <c r="R225" s="2"/>
      <c r="S225" s="2"/>
      <c r="T225" s="2"/>
      <c r="U225" s="2"/>
      <c r="V225" s="2"/>
    </row>
    <row r="226" ht="22.5" customHeight="1">
      <c r="A226" s="3">
        <v>228.0</v>
      </c>
      <c r="B226" s="3" t="s">
        <v>2936</v>
      </c>
      <c r="C226" s="3" t="s">
        <v>2873</v>
      </c>
      <c r="D226" s="3" t="s">
        <v>2575</v>
      </c>
      <c r="E226" s="2"/>
      <c r="F226" s="3" t="str">
        <f>IFERROR(__xludf.DUMMYFUNCTION("GOOGLETRANSLATE(A226, ""it"", ""en"")"),"228")</f>
        <v>228</v>
      </c>
      <c r="G226" s="3" t="str">
        <f>IFERROR(__xludf.DUMMYFUNCTION("GOOGLETRANSLATE(B226, ""it"", ""en"")"),"A. What happens if a horse is accidentally hindered by another?")</f>
        <v>A. What happens if a horse is accidentally hindered by another?</v>
      </c>
      <c r="H226" s="3" t="str">
        <f>IFERROR(__xludf.DUMMYFUNCTION("GOOGLETRANSLATE(C226, ""it"", ""en"")"),"A. The horse that caused the obstacle is penalized B. The race continues normally C. The horse that was impeded is penalized D. Both horses are penalized")</f>
        <v>A. The horse that caused the obstacle is penalized B. The race continues normally C. The horse that was impeded is penalized D. Both horses are penalized</v>
      </c>
      <c r="I226" s="3" t="str">
        <f>IFERROR(__xludf.DUMMYFUNCTION("GOOGLETRANSLATE(D226, ""it"", ""en"")"),"The race continues normally")</f>
        <v>The race continues normally</v>
      </c>
      <c r="J226" s="2"/>
      <c r="K226" s="2"/>
      <c r="L226" s="2"/>
      <c r="M226" s="2"/>
      <c r="N226" s="2"/>
      <c r="O226" s="2"/>
      <c r="P226" s="2"/>
      <c r="Q226" s="2"/>
      <c r="R226" s="2"/>
      <c r="S226" s="2"/>
      <c r="T226" s="2"/>
      <c r="U226" s="2"/>
      <c r="V226" s="2"/>
    </row>
    <row r="227" ht="22.5" customHeight="1">
      <c r="A227" s="3">
        <v>229.0</v>
      </c>
      <c r="B227" s="3" t="s">
        <v>2937</v>
      </c>
      <c r="C227" s="3" t="s">
        <v>2783</v>
      </c>
      <c r="D227" s="3" t="s">
        <v>2559</v>
      </c>
      <c r="E227" s="2"/>
      <c r="F227" s="3" t="str">
        <f>IFERROR(__xludf.DUMMYFUNCTION("GOOGLETRANSLATE(A227, ""it"", ""en"")"),"229")</f>
        <v>229</v>
      </c>
      <c r="G227" s="3" t="str">
        <f>IFERROR(__xludf.DUMMYFUNCTION("GOOGLETRANSLATE(B227, ""it"", ""en"")"),"A. What happens if a horse goes under the posted speed limit?")</f>
        <v>A. What happens if a horse goes under the posted speed limit?</v>
      </c>
      <c r="H227" s="3" t="str">
        <f>IFERROR(__xludf.DUMMYFUNCTION("GOOGLETRANSLATE(C227, ""it"", ""en"")"),"A. The horse is penalized B. The race continues normally C. The horse receives a warning D. The horse is disqualified")</f>
        <v>A. The horse is penalized B. The race continues normally C. The horse receives a warning D. The horse is disqualified</v>
      </c>
      <c r="I227" s="3" t="str">
        <f>IFERROR(__xludf.DUMMYFUNCTION("GOOGLETRANSLATE(D227, ""it"", ""en"")"),"The horse is penalized")</f>
        <v>The horse is penalized</v>
      </c>
      <c r="J227" s="2"/>
      <c r="K227" s="2"/>
      <c r="L227" s="2"/>
      <c r="M227" s="2"/>
      <c r="N227" s="2"/>
      <c r="O227" s="2"/>
      <c r="P227" s="2"/>
      <c r="Q227" s="2"/>
      <c r="R227" s="2"/>
      <c r="S227" s="2"/>
      <c r="T227" s="2"/>
      <c r="U227" s="2"/>
      <c r="V227" s="2"/>
    </row>
    <row r="228" ht="22.5" customHeight="1">
      <c r="A228" s="3">
        <v>230.0</v>
      </c>
      <c r="B228" s="3" t="s">
        <v>2938</v>
      </c>
      <c r="C228" s="3" t="s">
        <v>2897</v>
      </c>
      <c r="D228" s="3" t="s">
        <v>2636</v>
      </c>
      <c r="E228" s="2"/>
      <c r="F228" s="3" t="str">
        <f>IFERROR(__xludf.DUMMYFUNCTION("GOOGLETRANSLATE(A228, ""it"", ""en"")"),"230")</f>
        <v>230</v>
      </c>
      <c r="G228" s="3" t="str">
        <f>IFERROR(__xludf.DUMMYFUNCTION("GOOGLETRANSLATE(B228, ""it"", ""en"")"),"A. What happens if a horse fails to complete the race?")</f>
        <v>A. What happens if a horse fails to complete the race?</v>
      </c>
      <c r="H228" s="3" t="str">
        <f>IFERROR(__xludf.DUMMYFUNCTION("GOOGLETRANSLATE(C228, ""it"", ""en"")"),"A. The horse is excluded from the race B. The race continues without him C. The horse receives a warning D. The horse is penalized")</f>
        <v>A. The horse is excluded from the race B. The race continues without him C. The horse receives a warning D. The horse is penalized</v>
      </c>
      <c r="I228" s="3" t="str">
        <f>IFERROR(__xludf.DUMMYFUNCTION("GOOGLETRANSLATE(D228, ""it"", ""en"")"),"The race continues without him")</f>
        <v>The race continues without him</v>
      </c>
      <c r="J228" s="2"/>
      <c r="K228" s="2"/>
      <c r="L228" s="2"/>
      <c r="M228" s="2"/>
      <c r="N228" s="2"/>
      <c r="O228" s="2"/>
      <c r="P228" s="2"/>
      <c r="Q228" s="2"/>
      <c r="R228" s="2"/>
      <c r="S228" s="2"/>
      <c r="T228" s="2"/>
      <c r="U228" s="2"/>
      <c r="V228" s="2"/>
    </row>
    <row r="229" ht="22.5" customHeight="1">
      <c r="A229" s="3">
        <v>231.0</v>
      </c>
      <c r="B229" s="3" t="s">
        <v>2939</v>
      </c>
      <c r="C229" s="3" t="s">
        <v>2940</v>
      </c>
      <c r="D229" s="3" t="s">
        <v>2941</v>
      </c>
      <c r="E229" s="2"/>
      <c r="F229" s="3" t="str">
        <f>IFERROR(__xludf.DUMMYFUNCTION("GOOGLETRANSLATE(A229, ""it"", ""en"")"),"231")</f>
        <v>231</v>
      </c>
      <c r="G229" s="3" t="str">
        <f>IFERROR(__xludf.DUMMYFUNCTION("GOOGLETRANSLATE(B229, ""it"", ""en"")"),"A. If a horse is blocked by another horse for no apparent reason, what happens?")</f>
        <v>A. If a horse is blocked by another horse for no apparent reason, what happens?</v>
      </c>
      <c r="H229" s="3" t="str">
        <f>IFERROR(__xludf.DUMMYFUNCTION("GOOGLETRANSLATE(C229, ""it"", ""en"")"),"A. The horse that caused the block is penalized B. The race continues normally C. The horse that was blocked receives a warning D. Both horses are penalized")</f>
        <v>A. The horse that caused the block is penalized B. The race continues normally C. The horse that was blocked receives a warning D. Both horses are penalized</v>
      </c>
      <c r="I229" s="3" t="str">
        <f>IFERROR(__xludf.DUMMYFUNCTION("GOOGLETRANSLATE(D229, ""it"", ""en"")"),"The horse that caused the block is penalized")</f>
        <v>The horse that caused the block is penalized</v>
      </c>
      <c r="J229" s="2"/>
      <c r="K229" s="2"/>
      <c r="L229" s="2"/>
      <c r="M229" s="2"/>
      <c r="N229" s="2"/>
      <c r="O229" s="2"/>
      <c r="P229" s="2"/>
      <c r="Q229" s="2"/>
      <c r="R229" s="2"/>
      <c r="S229" s="2"/>
      <c r="T229" s="2"/>
      <c r="U229" s="2"/>
      <c r="V229" s="2"/>
    </row>
    <row r="230" ht="22.5" customHeight="1">
      <c r="A230" s="3">
        <v>232.0</v>
      </c>
      <c r="B230" s="3" t="s">
        <v>2942</v>
      </c>
      <c r="C230" s="3" t="s">
        <v>2901</v>
      </c>
      <c r="D230" s="3" t="s">
        <v>2636</v>
      </c>
      <c r="E230" s="2"/>
      <c r="F230" s="3" t="str">
        <f>IFERROR(__xludf.DUMMYFUNCTION("GOOGLETRANSLATE(A230, ""it"", ""en"")"),"232")</f>
        <v>232</v>
      </c>
      <c r="G230" s="3" t="str">
        <f>IFERROR(__xludf.DUMMYFUNCTION("GOOGLETRANSLATE(B230, ""it"", ""en"")"),"A. What happens if a horse loses control on a bend and ends up off the track?")</f>
        <v>A. What happens if a horse loses control on a bend and ends up off the track?</v>
      </c>
      <c r="H230" s="3" t="str">
        <f>IFERROR(__xludf.DUMMYFUNCTION("GOOGLETRANSLATE(C230, ""it"", ""en"")"),"A. The race continues without him B. The horse is penalized C. The horse receives a warning D. The horse is disqualified")</f>
        <v>A. The race continues without him B. The horse is penalized C. The horse receives a warning D. The horse is disqualified</v>
      </c>
      <c r="I230" s="3" t="str">
        <f>IFERROR(__xludf.DUMMYFUNCTION("GOOGLETRANSLATE(D230, ""it"", ""en"")"),"The race continues without him")</f>
        <v>The race continues without him</v>
      </c>
      <c r="J230" s="2"/>
      <c r="K230" s="2"/>
      <c r="L230" s="2"/>
      <c r="M230" s="2"/>
      <c r="N230" s="2"/>
      <c r="O230" s="2"/>
      <c r="P230" s="2"/>
      <c r="Q230" s="2"/>
      <c r="R230" s="2"/>
      <c r="S230" s="2"/>
      <c r="T230" s="2"/>
      <c r="U230" s="2"/>
      <c r="V230" s="2"/>
    </row>
    <row r="231" ht="22.5" customHeight="1">
      <c r="A231" s="3">
        <v>233.0</v>
      </c>
      <c r="B231" s="3" t="s">
        <v>2943</v>
      </c>
      <c r="C231" s="3" t="s">
        <v>2631</v>
      </c>
      <c r="D231" s="3" t="s">
        <v>2559</v>
      </c>
      <c r="E231" s="2"/>
      <c r="F231" s="3" t="str">
        <f>IFERROR(__xludf.DUMMYFUNCTION("GOOGLETRANSLATE(A231, ""it"", ""en"")"),"233")</f>
        <v>233</v>
      </c>
      <c r="G231" s="3" t="str">
        <f>IFERROR(__xludf.DUMMYFUNCTION("GOOGLETRANSLATE(B231, ""it"", ""en"")"),"A. What happens if a horse makes an illegal overtaking move during the race?")</f>
        <v>A. What happens if a horse makes an illegal overtaking move during the race?</v>
      </c>
      <c r="H231" s="3" t="str">
        <f>IFERROR(__xludf.DUMMYFUNCTION("GOOGLETRANSLATE(C231, ""it"", ""en"")"),"A. The horse is penalized B. The horse is disqualified C. The race continues normally D. The horse receives a warning")</f>
        <v>A. The horse is penalized B. The horse is disqualified C. The race continues normally D. The horse receives a warning</v>
      </c>
      <c r="I231" s="3" t="str">
        <f>IFERROR(__xludf.DUMMYFUNCTION("GOOGLETRANSLATE(D231, ""it"", ""en"")"),"The horse is penalized")</f>
        <v>The horse is penalized</v>
      </c>
      <c r="J231" s="2"/>
      <c r="K231" s="2"/>
      <c r="L231" s="2"/>
      <c r="M231" s="2"/>
      <c r="N231" s="2"/>
      <c r="O231" s="2"/>
      <c r="P231" s="2"/>
      <c r="Q231" s="2"/>
      <c r="R231" s="2"/>
      <c r="S231" s="2"/>
      <c r="T231" s="2"/>
      <c r="U231" s="2"/>
      <c r="V231" s="2"/>
    </row>
    <row r="232" ht="22.5" customHeight="1">
      <c r="A232" s="3">
        <v>234.0</v>
      </c>
      <c r="B232" s="3" t="s">
        <v>2944</v>
      </c>
      <c r="C232" s="3" t="s">
        <v>2945</v>
      </c>
      <c r="D232" s="3" t="s">
        <v>2636</v>
      </c>
      <c r="E232" s="2"/>
      <c r="F232" s="3" t="str">
        <f>IFERROR(__xludf.DUMMYFUNCTION("GOOGLETRANSLATE(A232, ""it"", ""en"")"),"234")</f>
        <v>234</v>
      </c>
      <c r="G232" s="3" t="str">
        <f>IFERROR(__xludf.DUMMYFUNCTION("GOOGLETRANSLATE(B232, ""it"", ""en"")"),"A. What happens if a horse withdraws due to illness before the start?")</f>
        <v>A. What happens if a horse withdraws due to illness before the start?</v>
      </c>
      <c r="H232" s="3" t="str">
        <f>IFERROR(__xludf.DUMMYFUNCTION("GOOGLETRANSLATE(C232, ""it"", ""en"")"),"A. The horse is excluded from the race B. The race continues normally C. The horse receives a warning D. The horse is penalized")</f>
        <v>A. The horse is excluded from the race B. The race continues normally C. The horse receives a warning D. The horse is penalized</v>
      </c>
      <c r="I232" s="3" t="str">
        <f>IFERROR(__xludf.DUMMYFUNCTION("GOOGLETRANSLATE(D232, ""it"", ""en"")"),"The race continues without him")</f>
        <v>The race continues without him</v>
      </c>
      <c r="J232" s="2"/>
      <c r="K232" s="2"/>
      <c r="L232" s="2"/>
      <c r="M232" s="2"/>
      <c r="N232" s="2"/>
      <c r="O232" s="2"/>
      <c r="P232" s="2"/>
      <c r="Q232" s="2"/>
      <c r="R232" s="2"/>
      <c r="S232" s="2"/>
      <c r="T232" s="2"/>
      <c r="U232" s="2"/>
      <c r="V232" s="2"/>
    </row>
    <row r="233" ht="22.5" customHeight="1">
      <c r="A233" s="3">
        <v>235.0</v>
      </c>
      <c r="B233" s="3" t="s">
        <v>2946</v>
      </c>
      <c r="C233" s="3" t="s">
        <v>2680</v>
      </c>
      <c r="D233" s="3" t="s">
        <v>2575</v>
      </c>
      <c r="E233" s="2"/>
      <c r="F233" s="3" t="str">
        <f>IFERROR(__xludf.DUMMYFUNCTION("GOOGLETRANSLATE(A233, ""it"", ""en"")"),"235")</f>
        <v>235</v>
      </c>
      <c r="G233" s="3" t="str">
        <f>IFERROR(__xludf.DUMMYFUNCTION("GOOGLETRANSLATE(B233, ""it"", ""en"")"),"A. What happens if a horse is obstructed by spectators during the race?")</f>
        <v>A. What happens if a horse is obstructed by spectators during the race?</v>
      </c>
      <c r="H233" s="3" t="str">
        <f>IFERROR(__xludf.DUMMYFUNCTION("GOOGLETRANSLATE(C233, ""it"", ""en"")"),"A. The horse is penalized B. The horse receives a warning C. The race continues normally D. The horse is disqualified")</f>
        <v>A. The horse is penalized B. The horse receives a warning C. The race continues normally D. The horse is disqualified</v>
      </c>
      <c r="I233" s="3" t="str">
        <f>IFERROR(__xludf.DUMMYFUNCTION("GOOGLETRANSLATE(D233, ""it"", ""en"")"),"The race continues normally")</f>
        <v>The race continues normally</v>
      </c>
      <c r="J233" s="2"/>
      <c r="K233" s="2"/>
      <c r="L233" s="2"/>
      <c r="M233" s="2"/>
      <c r="N233" s="2"/>
      <c r="O233" s="2"/>
      <c r="P233" s="2"/>
      <c r="Q233" s="2"/>
      <c r="R233" s="2"/>
      <c r="S233" s="2"/>
      <c r="T233" s="2"/>
      <c r="U233" s="2"/>
      <c r="V233" s="2"/>
    </row>
    <row r="234" ht="22.5" customHeight="1">
      <c r="A234" s="3">
        <v>236.0</v>
      </c>
      <c r="B234" s="3" t="s">
        <v>2708</v>
      </c>
      <c r="C234" s="3" t="s">
        <v>2783</v>
      </c>
      <c r="D234" s="3" t="s">
        <v>2559</v>
      </c>
      <c r="E234" s="2"/>
      <c r="F234" s="3" t="str">
        <f>IFERROR(__xludf.DUMMYFUNCTION("GOOGLETRANSLATE(A234, ""it"", ""en"")"),"236")</f>
        <v>236</v>
      </c>
      <c r="G234" s="3" t="str">
        <f>IFERROR(__xludf.DUMMYFUNCTION("GOOGLETRANSLATE(B234, ""it"", ""en"")"),"A. What happens if a horse doesn't follow the correct path?")</f>
        <v>A. What happens if a horse doesn't follow the correct path?</v>
      </c>
      <c r="H234" s="3" t="str">
        <f>IFERROR(__xludf.DUMMYFUNCTION("GOOGLETRANSLATE(C234, ""it"", ""en"")"),"A. The horse is penalized B. The race continues normally C. The horse receives a warning D. The horse is disqualified")</f>
        <v>A. The horse is penalized B. The race continues normally C. The horse receives a warning D. The horse is disqualified</v>
      </c>
      <c r="I234" s="3" t="str">
        <f>IFERROR(__xludf.DUMMYFUNCTION("GOOGLETRANSLATE(D234, ""it"", ""en"")"),"The horse is penalized")</f>
        <v>The horse is penalized</v>
      </c>
      <c r="J234" s="2"/>
      <c r="K234" s="2"/>
      <c r="L234" s="2"/>
      <c r="M234" s="2"/>
      <c r="N234" s="2"/>
      <c r="O234" s="2"/>
      <c r="P234" s="2"/>
      <c r="Q234" s="2"/>
      <c r="R234" s="2"/>
      <c r="S234" s="2"/>
      <c r="T234" s="2"/>
      <c r="U234" s="2"/>
      <c r="V234" s="2"/>
    </row>
    <row r="235" ht="22.5" customHeight="1">
      <c r="A235" s="3">
        <v>237.0</v>
      </c>
      <c r="B235" s="3" t="s">
        <v>2947</v>
      </c>
      <c r="C235" s="3" t="s">
        <v>2897</v>
      </c>
      <c r="D235" s="3" t="s">
        <v>2898</v>
      </c>
      <c r="E235" s="2"/>
      <c r="F235" s="3" t="str">
        <f>IFERROR(__xludf.DUMMYFUNCTION("GOOGLETRANSLATE(A235, ""it"", ""en"")"),"237")</f>
        <v>237</v>
      </c>
      <c r="G235" s="3" t="str">
        <f>IFERROR(__xludf.DUMMYFUNCTION("GOOGLETRANSLATE(B235, ""it"", ""en"")"),"A. What happens if a horse refuses to start during the race?")</f>
        <v>A. What happens if a horse refuses to start during the race?</v>
      </c>
      <c r="H235" s="3" t="str">
        <f>IFERROR(__xludf.DUMMYFUNCTION("GOOGLETRANSLATE(C235, ""it"", ""en"")"),"A. The horse is excluded from the race B. The race continues without him C. The horse receives a warning D. The horse is penalized")</f>
        <v>A. The horse is excluded from the race B. The race continues without him C. The horse receives a warning D. The horse is penalized</v>
      </c>
      <c r="I235" s="3" t="str">
        <f>IFERROR(__xludf.DUMMYFUNCTION("GOOGLETRANSLATE(D235, ""it"", ""en"")"),"The horse is excluded from the race")</f>
        <v>The horse is excluded from the race</v>
      </c>
      <c r="J235" s="2"/>
      <c r="K235" s="2"/>
      <c r="L235" s="2"/>
      <c r="M235" s="2"/>
      <c r="N235" s="2"/>
      <c r="O235" s="2"/>
      <c r="P235" s="2"/>
      <c r="Q235" s="2"/>
      <c r="R235" s="2"/>
      <c r="S235" s="2"/>
      <c r="T235" s="2"/>
      <c r="U235" s="2"/>
      <c r="V235" s="2"/>
    </row>
    <row r="236" ht="22.5" customHeight="1">
      <c r="A236" s="3">
        <v>238.0</v>
      </c>
      <c r="B236" s="3" t="s">
        <v>2904</v>
      </c>
      <c r="C236" s="3" t="s">
        <v>2948</v>
      </c>
      <c r="D236" s="3" t="s">
        <v>2575</v>
      </c>
      <c r="E236" s="2"/>
      <c r="F236" s="3" t="str">
        <f>IFERROR(__xludf.DUMMYFUNCTION("GOOGLETRANSLATE(A236, ""it"", ""en"")"),"238")</f>
        <v>238</v>
      </c>
      <c r="G236" s="3" t="str">
        <f>IFERROR(__xludf.DUMMYFUNCTION("GOOGLETRANSLATE(B236, ""it"", ""en"")"),"A. What happens if two horses touch each other during a race?")</f>
        <v>A. What happens if two horses touch each other during a race?</v>
      </c>
      <c r="H236" s="3" t="str">
        <f>IFERROR(__xludf.DUMMYFUNCTION("GOOGLETRANSLATE(C236, ""it"", ""en"")"),"A. The race continues normally B. Both horses are penalized C. The horse that caused the contact is penalized D. The horse that was contacted is penalized")</f>
        <v>A. The race continues normally B. Both horses are penalized C. The horse that caused the contact is penalized D. The horse that was contacted is penalized</v>
      </c>
      <c r="I236" s="3" t="str">
        <f>IFERROR(__xludf.DUMMYFUNCTION("GOOGLETRANSLATE(D236, ""it"", ""en"")"),"The race continues normally")</f>
        <v>The race continues normally</v>
      </c>
      <c r="J236" s="2"/>
      <c r="K236" s="2"/>
      <c r="L236" s="2"/>
      <c r="M236" s="2"/>
      <c r="N236" s="2"/>
      <c r="O236" s="2"/>
      <c r="P236" s="2"/>
      <c r="Q236" s="2"/>
      <c r="R236" s="2"/>
      <c r="S236" s="2"/>
      <c r="T236" s="2"/>
      <c r="U236" s="2"/>
      <c r="V236" s="2"/>
    </row>
    <row r="237" ht="22.5" customHeight="1">
      <c r="A237" s="3">
        <v>239.0</v>
      </c>
      <c r="B237" s="3" t="s">
        <v>2949</v>
      </c>
      <c r="C237" s="3" t="s">
        <v>2950</v>
      </c>
      <c r="D237" s="3" t="s">
        <v>2951</v>
      </c>
      <c r="E237" s="2"/>
      <c r="F237" s="3" t="str">
        <f>IFERROR(__xludf.DUMMYFUNCTION("GOOGLETRANSLATE(A237, ""it"", ""en"")"),"239")</f>
        <v>239</v>
      </c>
      <c r="G237" s="3" t="str">
        <f>IFERROR(__xludf.DUMMYFUNCTION("GOOGLETRANSLATE(B237, ""it"", ""en"")"),"A. What happens if a horse is hit by another horse?")</f>
        <v>A. What happens if a horse is hit by another horse?</v>
      </c>
      <c r="H237" s="3" t="str">
        <f>IFERROR(__xludf.DUMMYFUNCTION("GOOGLETRANSLATE(C237, ""it"", ""en"")"),"A. The horse that caused the hit is penalized B. The race continues normally C. The horse that was hit receives a warning D. The horse that was hit is penalized")</f>
        <v>A. The horse that caused the hit is penalized B. The race continues normally C. The horse that was hit receives a warning D. The horse that was hit is penalized</v>
      </c>
      <c r="I237" s="3" t="str">
        <f>IFERROR(__xludf.DUMMYFUNCTION("GOOGLETRANSLATE(D237, ""it"", ""en"")"),"The horse that caused the hit is penalized")</f>
        <v>The horse that caused the hit is penalized</v>
      </c>
      <c r="J237" s="2"/>
      <c r="K237" s="2"/>
      <c r="L237" s="2"/>
      <c r="M237" s="2"/>
      <c r="N237" s="2"/>
      <c r="O237" s="2"/>
      <c r="P237" s="2"/>
      <c r="Q237" s="2"/>
      <c r="R237" s="2"/>
      <c r="S237" s="2"/>
      <c r="T237" s="2"/>
      <c r="U237" s="2"/>
      <c r="V237" s="2"/>
    </row>
    <row r="238" ht="22.5" customHeight="1">
      <c r="A238" s="3">
        <v>240.0</v>
      </c>
      <c r="B238" s="3" t="s">
        <v>2952</v>
      </c>
      <c r="C238" s="3" t="s">
        <v>2953</v>
      </c>
      <c r="D238" s="3" t="s">
        <v>2636</v>
      </c>
      <c r="E238" s="2"/>
      <c r="F238" s="3" t="str">
        <f>IFERROR(__xludf.DUMMYFUNCTION("GOOGLETRANSLATE(A238, ""it"", ""en"")"),"240")</f>
        <v>240</v>
      </c>
      <c r="G238" s="3" t="str">
        <f>IFERROR(__xludf.DUMMYFUNCTION("GOOGLETRANSLATE(B238, ""it"", ""en"")"),"A. What happens if a horse stops for no reason during the race?")</f>
        <v>A. What happens if a horse stops for no reason during the race?</v>
      </c>
      <c r="H238" s="3" t="str">
        <f>IFERROR(__xludf.DUMMYFUNCTION("GOOGLETRANSLATE(C238, ""it"", ""en"")"),"A. The race continues without him B. The horse is penalized C. The horse receives a warning D. The horse is disqualified")</f>
        <v>A. The race continues without him B. The horse is penalized C. The horse receives a warning D. The horse is disqualified</v>
      </c>
      <c r="I238" s="3" t="str">
        <f>IFERROR(__xludf.DUMMYFUNCTION("GOOGLETRANSLATE(D238, ""it"", ""en"")"),"The race continues without him")</f>
        <v>The race continues without him</v>
      </c>
      <c r="J238" s="2"/>
      <c r="K238" s="2"/>
      <c r="L238" s="2"/>
      <c r="M238" s="2"/>
      <c r="N238" s="2"/>
      <c r="O238" s="2"/>
      <c r="P238" s="2"/>
      <c r="Q238" s="2"/>
      <c r="R238" s="2"/>
      <c r="S238" s="2"/>
      <c r="T238" s="2"/>
      <c r="U238" s="2"/>
      <c r="V238" s="2"/>
    </row>
    <row r="239" ht="22.5" customHeight="1">
      <c r="A239" s="3">
        <v>241.0</v>
      </c>
      <c r="B239" s="3" t="s">
        <v>2954</v>
      </c>
      <c r="C239" s="3" t="s">
        <v>2783</v>
      </c>
      <c r="D239" s="3" t="s">
        <v>2559</v>
      </c>
      <c r="E239" s="2"/>
      <c r="F239" s="3" t="str">
        <f>IFERROR(__xludf.DUMMYFUNCTION("GOOGLETRANSLATE(A239, ""it"", ""en"")"),"241")</f>
        <v>241</v>
      </c>
      <c r="G239" s="3" t="str">
        <f>IFERROR(__xludf.DUMMYFUNCTION("GOOGLETRANSLATE(B239, ""it"", ""en"")"),"A. What happens if a horse comes into contact with the fence during the race?")</f>
        <v>A. What happens if a horse comes into contact with the fence during the race?</v>
      </c>
      <c r="H239" s="3" t="str">
        <f>IFERROR(__xludf.DUMMYFUNCTION("GOOGLETRANSLATE(C239, ""it"", ""en"")"),"A. The horse is penalized B. The race continues normally C. The horse receives a warning D. The horse is disqualified")</f>
        <v>A. The horse is penalized B. The race continues normally C. The horse receives a warning D. The horse is disqualified</v>
      </c>
      <c r="I239" s="3" t="str">
        <f>IFERROR(__xludf.DUMMYFUNCTION("GOOGLETRANSLATE(D239, ""it"", ""en"")"),"The horse is penalized")</f>
        <v>The horse is penalized</v>
      </c>
      <c r="J239" s="2"/>
      <c r="K239" s="2"/>
      <c r="L239" s="2"/>
      <c r="M239" s="2"/>
      <c r="N239" s="2"/>
      <c r="O239" s="2"/>
      <c r="P239" s="2"/>
      <c r="Q239" s="2"/>
      <c r="R239" s="2"/>
      <c r="S239" s="2"/>
      <c r="T239" s="2"/>
      <c r="U239" s="2"/>
      <c r="V239" s="2"/>
    </row>
    <row r="240" ht="22.5" customHeight="1">
      <c r="A240" s="3">
        <v>242.0</v>
      </c>
      <c r="B240" s="3" t="s">
        <v>2717</v>
      </c>
      <c r="C240" s="3" t="s">
        <v>2783</v>
      </c>
      <c r="D240" s="3" t="s">
        <v>2575</v>
      </c>
      <c r="E240" s="2"/>
      <c r="F240" s="3" t="str">
        <f>IFERROR(__xludf.DUMMYFUNCTION("GOOGLETRANSLATE(A240, ""it"", ""en"")"),"242")</f>
        <v>242</v>
      </c>
      <c r="G240" s="3" t="str">
        <f>IFERROR(__xludf.DUMMYFUNCTION("GOOGLETRANSLATE(B240, ""it"", ""en"")"),"A. What happens if a horse leaves the track during the race?")</f>
        <v>A. What happens if a horse leaves the track during the race?</v>
      </c>
      <c r="H240" s="3" t="str">
        <f>IFERROR(__xludf.DUMMYFUNCTION("GOOGLETRANSLATE(C240, ""it"", ""en"")"),"A. The horse is penalized B. The race continues normally C. The horse receives a warning D. The horse is disqualified")</f>
        <v>A. The horse is penalized B. The race continues normally C. The horse receives a warning D. The horse is disqualified</v>
      </c>
      <c r="I240" s="3" t="str">
        <f>IFERROR(__xludf.DUMMYFUNCTION("GOOGLETRANSLATE(D240, ""it"", ""en"")"),"The race continues normally")</f>
        <v>The race continues normally</v>
      </c>
      <c r="J240" s="2"/>
      <c r="K240" s="2"/>
      <c r="L240" s="2"/>
      <c r="M240" s="2"/>
      <c r="N240" s="2"/>
      <c r="O240" s="2"/>
      <c r="P240" s="2"/>
      <c r="Q240" s="2"/>
      <c r="R240" s="2"/>
      <c r="S240" s="2"/>
      <c r="T240" s="2"/>
      <c r="U240" s="2"/>
      <c r="V240" s="2"/>
    </row>
    <row r="241" ht="22.5" customHeight="1">
      <c r="A241" s="3">
        <v>243.0</v>
      </c>
      <c r="B241" s="3" t="s">
        <v>2955</v>
      </c>
      <c r="C241" s="3" t="s">
        <v>2631</v>
      </c>
      <c r="D241" s="3" t="s">
        <v>2559</v>
      </c>
      <c r="E241" s="2"/>
      <c r="F241" s="3" t="str">
        <f>IFERROR(__xludf.DUMMYFUNCTION("GOOGLETRANSLATE(A241, ""it"", ""en"")"),"243")</f>
        <v>243</v>
      </c>
      <c r="G241" s="3" t="str">
        <f>IFERROR(__xludf.DUMMYFUNCTION("GOOGLETRANSLATE(B241, ""it"", ""en"")"),"A. What happens if a horse doesn't follow the rhythm set by its rider?")</f>
        <v>A. What happens if a horse doesn't follow the rhythm set by its rider?</v>
      </c>
      <c r="H241" s="3" t="str">
        <f>IFERROR(__xludf.DUMMYFUNCTION("GOOGLETRANSLATE(C241, ""it"", ""en"")"),"A. The horse is penalized B. The horse is disqualified C. The race continues normally D. The horse receives a warning")</f>
        <v>A. The horse is penalized B. The horse is disqualified C. The race continues normally D. The horse receives a warning</v>
      </c>
      <c r="I241" s="3" t="str">
        <f>IFERROR(__xludf.DUMMYFUNCTION("GOOGLETRANSLATE(D241, ""it"", ""en"")"),"The horse is penalized")</f>
        <v>The horse is penalized</v>
      </c>
      <c r="J241" s="2"/>
      <c r="K241" s="2"/>
      <c r="L241" s="2"/>
      <c r="M241" s="2"/>
      <c r="N241" s="2"/>
      <c r="O241" s="2"/>
      <c r="P241" s="2"/>
      <c r="Q241" s="2"/>
      <c r="R241" s="2"/>
      <c r="S241" s="2"/>
      <c r="T241" s="2"/>
      <c r="U241" s="2"/>
      <c r="V241" s="2"/>
    </row>
    <row r="242" ht="22.5" customHeight="1">
      <c r="A242" s="3">
        <v>244.0</v>
      </c>
      <c r="B242" s="3" t="s">
        <v>2956</v>
      </c>
      <c r="C242" s="3" t="s">
        <v>2897</v>
      </c>
      <c r="D242" s="3" t="s">
        <v>2898</v>
      </c>
      <c r="E242" s="2"/>
      <c r="F242" s="3" t="str">
        <f>IFERROR(__xludf.DUMMYFUNCTION("GOOGLETRANSLATE(A242, ""it"", ""en"")"),"244")</f>
        <v>244</v>
      </c>
      <c r="G242" s="3" t="str">
        <f>IFERROR(__xludf.DUMMYFUNCTION("GOOGLETRANSLATE(B242, ""it"", ""en"")"),"A. What happens if a horse retires before the finish line?")</f>
        <v>A. What happens if a horse retires before the finish line?</v>
      </c>
      <c r="H242" s="3" t="str">
        <f>IFERROR(__xludf.DUMMYFUNCTION("GOOGLETRANSLATE(C242, ""it"", ""en"")"),"A. The horse is excluded from the race B. The race continues without him C. The horse receives a warning D. The horse is penalized")</f>
        <v>A. The horse is excluded from the race B. The race continues without him C. The horse receives a warning D. The horse is penalized</v>
      </c>
      <c r="I242" s="3" t="str">
        <f>IFERROR(__xludf.DUMMYFUNCTION("GOOGLETRANSLATE(D242, ""it"", ""en"")"),"The horse is excluded from the race")</f>
        <v>The horse is excluded from the race</v>
      </c>
      <c r="J242" s="2"/>
      <c r="K242" s="2"/>
      <c r="L242" s="2"/>
      <c r="M242" s="2"/>
      <c r="N242" s="2"/>
      <c r="O242" s="2"/>
      <c r="P242" s="2"/>
      <c r="Q242" s="2"/>
      <c r="R242" s="2"/>
      <c r="S242" s="2"/>
      <c r="T242" s="2"/>
      <c r="U242" s="2"/>
      <c r="V242" s="2"/>
    </row>
    <row r="243" ht="22.5" customHeight="1">
      <c r="A243" s="3">
        <v>245.0</v>
      </c>
      <c r="B243" s="3" t="s">
        <v>2957</v>
      </c>
      <c r="C243" s="3" t="s">
        <v>2705</v>
      </c>
      <c r="D243" s="3" t="s">
        <v>2575</v>
      </c>
      <c r="E243" s="2"/>
      <c r="F243" s="3" t="str">
        <f>IFERROR(__xludf.DUMMYFUNCTION("GOOGLETRANSLATE(A243, ""it"", ""en"")"),"245")</f>
        <v>245</v>
      </c>
      <c r="G243" s="3" t="str">
        <f>IFERROR(__xludf.DUMMYFUNCTION("GOOGLETRANSLATE(B243, ""it"", ""en"")"),"A. What happens if a horse is overtaken during the race?")</f>
        <v>A. What happens if a horse is overtaken during the race?</v>
      </c>
      <c r="H243" s="3" t="str">
        <f>IFERROR(__xludf.DUMMYFUNCTION("GOOGLETRANSLATE(C243, ""it"", ""en"")"),"A. The race continues normally B. The horse is penalized C. The horse receives a warning D. The horse is disqualified")</f>
        <v>A. The race continues normally B. The horse is penalized C. The horse receives a warning D. The horse is disqualified</v>
      </c>
      <c r="I243" s="3" t="str">
        <f>IFERROR(__xludf.DUMMYFUNCTION("GOOGLETRANSLATE(D243, ""it"", ""en"")"),"The race continues normally")</f>
        <v>The race continues normally</v>
      </c>
      <c r="J243" s="2"/>
      <c r="K243" s="2"/>
      <c r="L243" s="2"/>
      <c r="M243" s="2"/>
      <c r="N243" s="2"/>
      <c r="O243" s="2"/>
      <c r="P243" s="2"/>
      <c r="Q243" s="2"/>
      <c r="R243" s="2"/>
      <c r="S243" s="2"/>
      <c r="T243" s="2"/>
      <c r="U243" s="2"/>
      <c r="V243" s="2"/>
    </row>
    <row r="244" ht="22.5" customHeight="1">
      <c r="A244" s="3">
        <v>246.0</v>
      </c>
      <c r="B244" s="3" t="s">
        <v>2958</v>
      </c>
      <c r="C244" s="3" t="s">
        <v>2959</v>
      </c>
      <c r="D244" s="3" t="s">
        <v>2636</v>
      </c>
      <c r="E244" s="2"/>
      <c r="F244" s="3" t="str">
        <f>IFERROR(__xludf.DUMMYFUNCTION("GOOGLETRANSLATE(A244, ""it"", ""en"")"),"246")</f>
        <v>246</v>
      </c>
      <c r="G244" s="3" t="str">
        <f>IFERROR(__xludf.DUMMYFUNCTION("GOOGLETRANSLATE(B244, ""it"", ""en"")"),"A. What happens if a horse stops racing for health reasons?")</f>
        <v>A. What happens if a horse stops racing for health reasons?</v>
      </c>
      <c r="H244" s="3" t="str">
        <f>IFERROR(__xludf.DUMMYFUNCTION("GOOGLETRANSLATE(C244, ""it"", ""en"")"),"A. The race continues without him B. The horse is penalized C. The horse receives a warning D. The horse is excluded from the race")</f>
        <v>A. The race continues without him B. The horse is penalized C. The horse receives a warning D. The horse is excluded from the race</v>
      </c>
      <c r="I244" s="3" t="str">
        <f>IFERROR(__xludf.DUMMYFUNCTION("GOOGLETRANSLATE(D244, ""it"", ""en"")"),"The race continues without him")</f>
        <v>The race continues without him</v>
      </c>
      <c r="J244" s="2"/>
      <c r="K244" s="2"/>
      <c r="L244" s="2"/>
      <c r="M244" s="2"/>
      <c r="N244" s="2"/>
      <c r="O244" s="2"/>
      <c r="P244" s="2"/>
      <c r="Q244" s="2"/>
      <c r="R244" s="2"/>
      <c r="S244" s="2"/>
      <c r="T244" s="2"/>
      <c r="U244" s="2"/>
      <c r="V244" s="2"/>
    </row>
    <row r="245" ht="22.5" customHeight="1">
      <c r="A245" s="3">
        <v>247.0</v>
      </c>
      <c r="B245" s="3" t="s">
        <v>2960</v>
      </c>
      <c r="C245" s="3" t="s">
        <v>2783</v>
      </c>
      <c r="D245" s="3" t="s">
        <v>2559</v>
      </c>
      <c r="E245" s="2"/>
      <c r="F245" s="3" t="str">
        <f>IFERROR(__xludf.DUMMYFUNCTION("GOOGLETRANSLATE(A245, ""it"", ""en"")"),"247")</f>
        <v>247</v>
      </c>
      <c r="G245" s="3" t="str">
        <f>IFERROR(__xludf.DUMMYFUNCTION("GOOGLETRANSLATE(B245, ""it"", ""en"")"),"A. What happens if a horse overtakes another without respecting the distance?")</f>
        <v>A. What happens if a horse overtakes another without respecting the distance?</v>
      </c>
      <c r="H245" s="3" t="str">
        <f>IFERROR(__xludf.DUMMYFUNCTION("GOOGLETRANSLATE(C245, ""it"", ""en"")"),"A. The horse is penalized B. The race continues normally C. The horse receives a warning D. The horse is disqualified")</f>
        <v>A. The horse is penalized B. The race continues normally C. The horse receives a warning D. The horse is disqualified</v>
      </c>
      <c r="I245" s="3" t="str">
        <f>IFERROR(__xludf.DUMMYFUNCTION("GOOGLETRANSLATE(D245, ""it"", ""en"")"),"The horse is penalized")</f>
        <v>The horse is penalized</v>
      </c>
      <c r="J245" s="2"/>
      <c r="K245" s="2"/>
      <c r="L245" s="2"/>
      <c r="M245" s="2"/>
      <c r="N245" s="2"/>
      <c r="O245" s="2"/>
      <c r="P245" s="2"/>
      <c r="Q245" s="2"/>
      <c r="R245" s="2"/>
      <c r="S245" s="2"/>
      <c r="T245" s="2"/>
      <c r="U245" s="2"/>
      <c r="V245" s="2"/>
    </row>
    <row r="246" ht="22.5" customHeight="1">
      <c r="A246" s="3">
        <v>248.0</v>
      </c>
      <c r="B246" s="3" t="s">
        <v>2961</v>
      </c>
      <c r="C246" s="3" t="s">
        <v>2783</v>
      </c>
      <c r="D246" s="3" t="s">
        <v>2559</v>
      </c>
      <c r="E246" s="2"/>
      <c r="F246" s="3" t="str">
        <f>IFERROR(__xludf.DUMMYFUNCTION("GOOGLETRANSLATE(A246, ""it"", ""en"")"),"248")</f>
        <v>248</v>
      </c>
      <c r="G246" s="3" t="str">
        <f>IFERROR(__xludf.DUMMYFUNCTION("GOOGLETRANSLATE(B246, ""it"", ""en"")"),"A. What happens if a horse doesn't follow the judge's instructions?")</f>
        <v>A. What happens if a horse doesn't follow the judge's instructions?</v>
      </c>
      <c r="H246" s="3" t="str">
        <f>IFERROR(__xludf.DUMMYFUNCTION("GOOGLETRANSLATE(C246, ""it"", ""en"")"),"A. The horse is penalized B. The race continues normally C. The horse receives a warning D. The horse is disqualified")</f>
        <v>A. The horse is penalized B. The race continues normally C. The horse receives a warning D. The horse is disqualified</v>
      </c>
      <c r="I246" s="3" t="str">
        <f>IFERROR(__xludf.DUMMYFUNCTION("GOOGLETRANSLATE(D246, ""it"", ""en"")"),"The horse is penalized")</f>
        <v>The horse is penalized</v>
      </c>
      <c r="J246" s="2"/>
      <c r="K246" s="2"/>
      <c r="L246" s="2"/>
      <c r="M246" s="2"/>
      <c r="N246" s="2"/>
      <c r="O246" s="2"/>
      <c r="P246" s="2"/>
      <c r="Q246" s="2"/>
      <c r="R246" s="2"/>
      <c r="S246" s="2"/>
      <c r="T246" s="2"/>
      <c r="U246" s="2"/>
      <c r="V246" s="2"/>
    </row>
    <row r="247" ht="22.5" customHeight="1">
      <c r="A247" s="3">
        <v>249.0</v>
      </c>
      <c r="B247" s="3" t="s">
        <v>2962</v>
      </c>
      <c r="C247" s="3" t="s">
        <v>2963</v>
      </c>
      <c r="D247" s="3" t="s">
        <v>2964</v>
      </c>
      <c r="E247" s="2"/>
      <c r="F247" s="3" t="str">
        <f>IFERROR(__xludf.DUMMYFUNCTION("GOOGLETRANSLATE(A247, ""it"", ""en"")"),"249")</f>
        <v>249</v>
      </c>
      <c r="G247" s="3" t="str">
        <f>IFERROR(__xludf.DUMMYFUNCTION("GOOGLETRANSLATE(B247, ""it"", ""en"")"),"A. If a horse wins the race without any problems, what happens?")</f>
        <v>A. If a horse wins the race without any problems, what happens?</v>
      </c>
      <c r="H247" s="3" t="str">
        <f>IFERROR(__xludf.DUMMYFUNCTION("GOOGLETRANSLATE(C247, ""it"", ""en"")"),"A. The horse is awarded a prize B. The race is cancelled C. The horse is penalised D. The horse receives a warning")</f>
        <v>A. The horse is awarded a prize B. The race is cancelled C. The horse is penalised D. The horse receives a warning</v>
      </c>
      <c r="I247" s="3" t="str">
        <f>IFERROR(__xludf.DUMMYFUNCTION("GOOGLETRANSLATE(D247, ""it"", ""en"")"),"The horse is rewarded")</f>
        <v>The horse is rewarded</v>
      </c>
      <c r="J247" s="2"/>
      <c r="K247" s="2"/>
      <c r="L247" s="2"/>
      <c r="M247" s="2"/>
      <c r="N247" s="2"/>
      <c r="O247" s="2"/>
      <c r="P247" s="2"/>
      <c r="Q247" s="2"/>
      <c r="R247" s="2"/>
      <c r="S247" s="2"/>
      <c r="T247" s="2"/>
      <c r="U247" s="2"/>
      <c r="V247" s="2"/>
    </row>
    <row r="248" ht="22.5" customHeight="1">
      <c r="A248" s="3">
        <v>250.0</v>
      </c>
      <c r="B248" s="3" t="s">
        <v>2965</v>
      </c>
      <c r="C248" s="3" t="s">
        <v>2631</v>
      </c>
      <c r="D248" s="3" t="s">
        <v>2559</v>
      </c>
      <c r="E248" s="2"/>
      <c r="F248" s="3" t="str">
        <f>IFERROR(__xludf.DUMMYFUNCTION("GOOGLETRANSLATE(A248, ""it"", ""en"")"),"250")</f>
        <v>250</v>
      </c>
      <c r="G248" s="3" t="str">
        <f>IFERROR(__xludf.DUMMYFUNCTION("GOOGLETRANSLATE(B248, ""it"", ""en"")"),"A. What happens if a horse crosses the finish line before time?")</f>
        <v>A. What happens if a horse crosses the finish line before time?</v>
      </c>
      <c r="H248" s="3" t="str">
        <f>IFERROR(__xludf.DUMMYFUNCTION("GOOGLETRANSLATE(C248, ""it"", ""en"")"),"A. The horse is penalized B. The horse is disqualified C. The race continues normally D. The horse receives a warning")</f>
        <v>A. The horse is penalized B. The horse is disqualified C. The race continues normally D. The horse receives a warning</v>
      </c>
      <c r="I248" s="3" t="str">
        <f>IFERROR(__xludf.DUMMYFUNCTION("GOOGLETRANSLATE(D248, ""it"", ""en"")"),"The horse is penalized")</f>
        <v>The horse is penalized</v>
      </c>
      <c r="J248" s="2"/>
      <c r="K248" s="2"/>
      <c r="L248" s="2"/>
      <c r="M248" s="2"/>
      <c r="N248" s="2"/>
      <c r="O248" s="2"/>
      <c r="P248" s="2"/>
      <c r="Q248" s="2"/>
      <c r="R248" s="2"/>
      <c r="S248" s="2"/>
      <c r="T248" s="2"/>
      <c r="U248" s="2"/>
      <c r="V248" s="2"/>
    </row>
    <row r="249" ht="22.5" customHeight="1">
      <c r="A249" s="3">
        <v>251.0</v>
      </c>
      <c r="B249" s="3" t="s">
        <v>2966</v>
      </c>
      <c r="C249" s="3" t="s">
        <v>2745</v>
      </c>
      <c r="D249" s="3" t="s">
        <v>2575</v>
      </c>
      <c r="E249" s="2"/>
      <c r="F249" s="3" t="str">
        <f>IFERROR(__xludf.DUMMYFUNCTION("GOOGLETRANSLATE(A249, ""it"", ""en"")"),"251")</f>
        <v>251</v>
      </c>
      <c r="G249" s="3" t="str">
        <f>IFERROR(__xludf.DUMMYFUNCTION("GOOGLETRANSLATE(B249, ""it"", ""en"")"),"A. What happens if a horse is hit by its rider during a race?")</f>
        <v>A. What happens if a horse is hit by its rider during a race?</v>
      </c>
      <c r="H249" s="3" t="str">
        <f>IFERROR(__xludf.DUMMYFUNCTION("GOOGLETRANSLATE(C249, ""it"", ""en"")"),"A. The horse is penalized B. The horse receives a warning C. The race continues normally D. The horse is disqualified")</f>
        <v>A. The horse is penalized B. The horse receives a warning C. The race continues normally D. The horse is disqualified</v>
      </c>
      <c r="I249" s="3" t="str">
        <f>IFERROR(__xludf.DUMMYFUNCTION("GOOGLETRANSLATE(D249, ""it"", ""en"")"),"The race continues normally")</f>
        <v>The race continues normally</v>
      </c>
      <c r="J249" s="2"/>
      <c r="K249" s="2"/>
      <c r="L249" s="2"/>
      <c r="M249" s="2"/>
      <c r="N249" s="2"/>
      <c r="O249" s="2"/>
      <c r="P249" s="2"/>
      <c r="Q249" s="2"/>
      <c r="R249" s="2"/>
      <c r="S249" s="2"/>
      <c r="T249" s="2"/>
      <c r="U249" s="2"/>
      <c r="V249" s="2"/>
    </row>
    <row r="250" ht="22.5" customHeight="1">
      <c r="A250" s="3">
        <v>252.0</v>
      </c>
      <c r="B250" s="3" t="s">
        <v>2967</v>
      </c>
      <c r="C250" s="3" t="s">
        <v>2953</v>
      </c>
      <c r="D250" s="3" t="s">
        <v>2636</v>
      </c>
      <c r="E250" s="2"/>
      <c r="F250" s="3" t="str">
        <f>IFERROR(__xludf.DUMMYFUNCTION("GOOGLETRANSLATE(A250, ""it"", ""en"")"),"252")</f>
        <v>252</v>
      </c>
      <c r="G250" s="3" t="str">
        <f>IFERROR(__xludf.DUMMYFUNCTION("GOOGLETRANSLATE(B250, ""it"", ""en"")"),"A. What happens if a horse loses its rider during the race?")</f>
        <v>A. What happens if a horse loses its rider during the race?</v>
      </c>
      <c r="H250" s="3" t="str">
        <f>IFERROR(__xludf.DUMMYFUNCTION("GOOGLETRANSLATE(C250, ""it"", ""en"")"),"A. The race continues without him B. The horse is penalized C. The horse receives a warning D. The horse is disqualified")</f>
        <v>A. The race continues without him B. The horse is penalized C. The horse receives a warning D. The horse is disqualified</v>
      </c>
      <c r="I250" s="3" t="str">
        <f>IFERROR(__xludf.DUMMYFUNCTION("GOOGLETRANSLATE(D250, ""it"", ""en"")"),"The race continues without him")</f>
        <v>The race continues without him</v>
      </c>
      <c r="J250" s="2"/>
      <c r="K250" s="2"/>
      <c r="L250" s="2"/>
      <c r="M250" s="2"/>
      <c r="N250" s="2"/>
      <c r="O250" s="2"/>
      <c r="P250" s="2"/>
      <c r="Q250" s="2"/>
      <c r="R250" s="2"/>
      <c r="S250" s="2"/>
      <c r="T250" s="2"/>
      <c r="U250" s="2"/>
      <c r="V250" s="2"/>
    </row>
    <row r="251" ht="22.5" customHeight="1">
      <c r="A251" s="3">
        <v>253.0</v>
      </c>
      <c r="B251" s="3" t="s">
        <v>2925</v>
      </c>
      <c r="C251" s="3" t="s">
        <v>2968</v>
      </c>
      <c r="D251" s="3" t="s">
        <v>2845</v>
      </c>
      <c r="E251" s="2"/>
      <c r="F251" s="3" t="str">
        <f>IFERROR(__xludf.DUMMYFUNCTION("GOOGLETRANSLATE(A251, ""it"", ""en"")"),"253")</f>
        <v>253</v>
      </c>
      <c r="G251" s="3" t="str">
        <f>IFERROR(__xludf.DUMMYFUNCTION("GOOGLETRANSLATE(B251, ""it"", ""en"")"),"A. If a horse is impeded by another horse in an illegal manner, what happens?")</f>
        <v>A. If a horse is impeded by another horse in an illegal manner, what happens?</v>
      </c>
      <c r="H251" s="3" t="str">
        <f>IFERROR(__xludf.DUMMYFUNCTION("GOOGLETRANSLATE(C251, ""it"", ""en"")"),"A. The horse that caused the obstacle is penalized B. The horse that was impeded receives a warning C. The race continues normally D. Both horses are penalized")</f>
        <v>A. The horse that caused the obstacle is penalized B. The horse that was impeded receives a warning C. The race continues normally D. Both horses are penalized</v>
      </c>
      <c r="I251" s="3" t="str">
        <f>IFERROR(__xludf.DUMMYFUNCTION("GOOGLETRANSLATE(D251, ""it"", ""en"")"),"The horse that caused the obstacle is penalized")</f>
        <v>The horse that caused the obstacle is penalized</v>
      </c>
      <c r="J251" s="2"/>
      <c r="K251" s="2"/>
      <c r="L251" s="2"/>
      <c r="M251" s="2"/>
      <c r="N251" s="2"/>
      <c r="O251" s="2"/>
      <c r="P251" s="2"/>
      <c r="Q251" s="2"/>
      <c r="R251" s="2"/>
      <c r="S251" s="2"/>
      <c r="T251" s="2"/>
      <c r="U251" s="2"/>
      <c r="V251" s="2"/>
    </row>
    <row r="252" ht="22.5" customHeight="1">
      <c r="A252" s="3">
        <v>254.0</v>
      </c>
      <c r="B252" s="3" t="s">
        <v>2969</v>
      </c>
      <c r="C252" s="3" t="s">
        <v>2783</v>
      </c>
      <c r="D252" s="3" t="s">
        <v>2559</v>
      </c>
      <c r="E252" s="2"/>
      <c r="F252" s="3" t="str">
        <f>IFERROR(__xludf.DUMMYFUNCTION("GOOGLETRANSLATE(A252, ""it"", ""en"")"),"254")</f>
        <v>254</v>
      </c>
      <c r="G252" s="3" t="str">
        <f>IFERROR(__xludf.DUMMYFUNCTION("GOOGLETRANSLATE(B252, ""it"", ""en"")"),"A. What happens if a horse jumps illegally during a race?")</f>
        <v>A. What happens if a horse jumps illegally during a race?</v>
      </c>
      <c r="H252" s="3" t="str">
        <f>IFERROR(__xludf.DUMMYFUNCTION("GOOGLETRANSLATE(C252, ""it"", ""en"")"),"A. The horse is penalized B. The race continues normally C. The horse receives a warning D. The horse is disqualified")</f>
        <v>A. The horse is penalized B. The race continues normally C. The horse receives a warning D. The horse is disqualified</v>
      </c>
      <c r="I252" s="3" t="str">
        <f>IFERROR(__xludf.DUMMYFUNCTION("GOOGLETRANSLATE(D252, ""it"", ""en"")"),"The horse is penalized")</f>
        <v>The horse is penalized</v>
      </c>
      <c r="J252" s="2"/>
      <c r="K252" s="2"/>
      <c r="L252" s="2"/>
      <c r="M252" s="2"/>
      <c r="N252" s="2"/>
      <c r="O252" s="2"/>
      <c r="P252" s="2"/>
      <c r="Q252" s="2"/>
      <c r="R252" s="2"/>
      <c r="S252" s="2"/>
      <c r="T252" s="2"/>
      <c r="U252" s="2"/>
      <c r="V252" s="2"/>
    </row>
    <row r="253" ht="22.5" customHeight="1">
      <c r="A253" s="3">
        <v>255.0</v>
      </c>
      <c r="B253" s="3" t="s">
        <v>2970</v>
      </c>
      <c r="C253" s="3" t="s">
        <v>2828</v>
      </c>
      <c r="D253" s="3" t="s">
        <v>2636</v>
      </c>
      <c r="E253" s="2"/>
      <c r="F253" s="3" t="str">
        <f>IFERROR(__xludf.DUMMYFUNCTION("GOOGLETRANSLATE(A253, ""it"", ""en"")"),"255")</f>
        <v>255</v>
      </c>
      <c r="G253" s="3" t="str">
        <f>IFERROR(__xludf.DUMMYFUNCTION("GOOGLETRANSLATE(B253, ""it"", ""en"")"),"A. What happens if a horse misses the time limit to complete the race?")</f>
        <v>A. What happens if a horse misses the time limit to complete the race?</v>
      </c>
      <c r="H253" s="3" t="str">
        <f>IFERROR(__xludf.DUMMYFUNCTION("GOOGLETRANSLATE(C253, ""it"", ""en"")"),"A. The horse is penalized B. The race continues without him C. The horse receives a warning D. The horse is disqualified")</f>
        <v>A. The horse is penalized B. The race continues without him C. The horse receives a warning D. The horse is disqualified</v>
      </c>
      <c r="I253" s="3" t="str">
        <f>IFERROR(__xludf.DUMMYFUNCTION("GOOGLETRANSLATE(D253, ""it"", ""en"")"),"The race continues without him")</f>
        <v>The race continues without him</v>
      </c>
      <c r="J253" s="2"/>
      <c r="K253" s="2"/>
      <c r="L253" s="2"/>
      <c r="M253" s="2"/>
      <c r="N253" s="2"/>
      <c r="O253" s="2"/>
      <c r="P253" s="2"/>
      <c r="Q253" s="2"/>
      <c r="R253" s="2"/>
      <c r="S253" s="2"/>
      <c r="T253" s="2"/>
      <c r="U253" s="2"/>
      <c r="V253" s="2"/>
    </row>
    <row r="254" ht="22.5" customHeight="1">
      <c r="A254" s="3">
        <v>256.0</v>
      </c>
      <c r="B254" s="3" t="s">
        <v>2971</v>
      </c>
      <c r="C254" s="3" t="s">
        <v>2783</v>
      </c>
      <c r="D254" s="3" t="s">
        <v>2559</v>
      </c>
      <c r="E254" s="2"/>
      <c r="F254" s="3" t="str">
        <f>IFERROR(__xludf.DUMMYFUNCTION("GOOGLETRANSLATE(A254, ""it"", ""en"")"),"256")</f>
        <v>256</v>
      </c>
      <c r="G254" s="3" t="str">
        <f>IFERROR(__xludf.DUMMYFUNCTION("GOOGLETRANSLATE(B254, ""it"", ""en"")"),"A. What happens if a horse goes too slowly during the race?")</f>
        <v>A. What happens if a horse goes too slowly during the race?</v>
      </c>
      <c r="H254" s="3" t="str">
        <f>IFERROR(__xludf.DUMMYFUNCTION("GOOGLETRANSLATE(C254, ""it"", ""en"")"),"A. The horse is penalized B. The race continues normally C. The horse receives a warning D. The horse is disqualified")</f>
        <v>A. The horse is penalized B. The race continues normally C. The horse receives a warning D. The horse is disqualified</v>
      </c>
      <c r="I254" s="3" t="str">
        <f>IFERROR(__xludf.DUMMYFUNCTION("GOOGLETRANSLATE(D254, ""it"", ""en"")"),"The horse is penalized")</f>
        <v>The horse is penalized</v>
      </c>
      <c r="J254" s="2"/>
      <c r="K254" s="2"/>
      <c r="L254" s="2"/>
      <c r="M254" s="2"/>
      <c r="N254" s="2"/>
      <c r="O254" s="2"/>
      <c r="P254" s="2"/>
      <c r="Q254" s="2"/>
      <c r="R254" s="2"/>
      <c r="S254" s="2"/>
      <c r="T254" s="2"/>
      <c r="U254" s="2"/>
      <c r="V254" s="2"/>
    </row>
    <row r="255" ht="22.5" customHeight="1">
      <c r="A255" s="3">
        <v>257.0</v>
      </c>
      <c r="B255" s="3" t="s">
        <v>2972</v>
      </c>
      <c r="C255" s="3" t="s">
        <v>2897</v>
      </c>
      <c r="D255" s="3" t="s">
        <v>2636</v>
      </c>
      <c r="E255" s="2"/>
      <c r="F255" s="3" t="str">
        <f>IFERROR(__xludf.DUMMYFUNCTION("GOOGLETRANSLATE(A255, ""it"", ""en"")"),"257")</f>
        <v>257</v>
      </c>
      <c r="G255" s="3" t="str">
        <f>IFERROR(__xludf.DUMMYFUNCTION("GOOGLETRANSLATE(B255, ""it"", ""en"")"),"A. What happens if a horse doesn't cross the finish line?")</f>
        <v>A. What happens if a horse doesn't cross the finish line?</v>
      </c>
      <c r="H255" s="3" t="str">
        <f>IFERROR(__xludf.DUMMYFUNCTION("GOOGLETRANSLATE(C255, ""it"", ""en"")"),"A. The horse is excluded from the race B. The race continues without him C. The horse receives a warning D. The horse is penalized")</f>
        <v>A. The horse is excluded from the race B. The race continues without him C. The horse receives a warning D. The horse is penalized</v>
      </c>
      <c r="I255" s="3" t="str">
        <f>IFERROR(__xludf.DUMMYFUNCTION("GOOGLETRANSLATE(D255, ""it"", ""en"")"),"The race continues without him")</f>
        <v>The race continues without him</v>
      </c>
      <c r="J255" s="2"/>
      <c r="K255" s="2"/>
      <c r="L255" s="2"/>
      <c r="M255" s="2"/>
      <c r="N255" s="2"/>
      <c r="O255" s="2"/>
      <c r="P255" s="2"/>
      <c r="Q255" s="2"/>
      <c r="R255" s="2"/>
      <c r="S255" s="2"/>
      <c r="T255" s="2"/>
      <c r="U255" s="2"/>
      <c r="V255" s="2"/>
    </row>
    <row r="256" ht="22.5" customHeight="1">
      <c r="A256" s="3">
        <v>258.0</v>
      </c>
      <c r="B256" s="3" t="s">
        <v>2973</v>
      </c>
      <c r="C256" s="3" t="s">
        <v>2889</v>
      </c>
      <c r="D256" s="3" t="s">
        <v>2636</v>
      </c>
      <c r="E256" s="2"/>
      <c r="F256" s="3" t="str">
        <f>IFERROR(__xludf.DUMMYFUNCTION("GOOGLETRANSLATE(A256, ""it"", ""en"")"),"258")</f>
        <v>258</v>
      </c>
      <c r="G256" s="3" t="str">
        <f>IFERROR(__xludf.DUMMYFUNCTION("GOOGLETRANSLATE(B256, ""it"", ""en"")"),"A. What happens if a horse loses control before the finish line?")</f>
        <v>A. What happens if a horse loses control before the finish line?</v>
      </c>
      <c r="H256" s="3" t="str">
        <f>IFERROR(__xludf.DUMMYFUNCTION("GOOGLETRANSLATE(C256, ""it"", ""en"")"),"A. The horse is penalized B. The horse is disqualified C. The race continues without him D. The horse receives a warning")</f>
        <v>A. The horse is penalized B. The horse is disqualified C. The race continues without him D. The horse receives a warning</v>
      </c>
      <c r="I256" s="3" t="str">
        <f>IFERROR(__xludf.DUMMYFUNCTION("GOOGLETRANSLATE(D256, ""it"", ""en"")"),"The race continues without him")</f>
        <v>The race continues without him</v>
      </c>
      <c r="J256" s="2"/>
      <c r="K256" s="2"/>
      <c r="L256" s="2"/>
      <c r="M256" s="2"/>
      <c r="N256" s="2"/>
      <c r="O256" s="2"/>
      <c r="P256" s="2"/>
      <c r="Q256" s="2"/>
      <c r="R256" s="2"/>
      <c r="S256" s="2"/>
      <c r="T256" s="2"/>
      <c r="U256" s="2"/>
      <c r="V256" s="2"/>
    </row>
    <row r="257" ht="22.5" customHeight="1">
      <c r="A257" s="3">
        <v>259.0</v>
      </c>
      <c r="B257" s="3" t="s">
        <v>2929</v>
      </c>
      <c r="C257" s="3" t="s">
        <v>2745</v>
      </c>
      <c r="D257" s="3" t="s">
        <v>2559</v>
      </c>
      <c r="E257" s="2"/>
      <c r="F257" s="3" t="str">
        <f>IFERROR(__xludf.DUMMYFUNCTION("GOOGLETRANSLATE(A257, ""it"", ""en"")"),"259")</f>
        <v>259</v>
      </c>
      <c r="G257" s="3" t="str">
        <f>IFERROR(__xludf.DUMMYFUNCTION("GOOGLETRANSLATE(B257, ""it"", ""en"")"),"A. What happens if a horse doesn't finish in the order it was supposed to finish?")</f>
        <v>A. What happens if a horse doesn't finish in the order it was supposed to finish?</v>
      </c>
      <c r="H257" s="3" t="str">
        <f>IFERROR(__xludf.DUMMYFUNCTION("GOOGLETRANSLATE(C257, ""it"", ""en"")"),"A. The horse is penalized B. The horse receives a warning C. The race continues normally D. The horse is disqualified")</f>
        <v>A. The horse is penalized B. The horse receives a warning C. The race continues normally D. The horse is disqualified</v>
      </c>
      <c r="I257" s="3" t="str">
        <f>IFERROR(__xludf.DUMMYFUNCTION("GOOGLETRANSLATE(D257, ""it"", ""en"")"),"The horse is penalized")</f>
        <v>The horse is penalized</v>
      </c>
      <c r="J257" s="2"/>
      <c r="K257" s="2"/>
      <c r="L257" s="2"/>
      <c r="M257" s="2"/>
      <c r="N257" s="2"/>
      <c r="O257" s="2"/>
      <c r="P257" s="2"/>
      <c r="Q257" s="2"/>
      <c r="R257" s="2"/>
      <c r="S257" s="2"/>
      <c r="T257" s="2"/>
      <c r="U257" s="2"/>
      <c r="V257" s="2"/>
    </row>
    <row r="258" ht="22.5" customHeight="1">
      <c r="A258" s="3">
        <v>260.0</v>
      </c>
      <c r="B258" s="3" t="s">
        <v>2974</v>
      </c>
      <c r="C258" s="3" t="s">
        <v>2953</v>
      </c>
      <c r="D258" s="3" t="s">
        <v>2636</v>
      </c>
      <c r="E258" s="2"/>
      <c r="F258" s="3" t="str">
        <f>IFERROR(__xludf.DUMMYFUNCTION("GOOGLETRANSLATE(A258, ""it"", ""en"")"),"260")</f>
        <v>260</v>
      </c>
      <c r="G258" s="3" t="str">
        <f>IFERROR(__xludf.DUMMYFUNCTION("GOOGLETRANSLATE(B258, ""it"", ""en"")"),"A. What happens if a horse goes off the road during the race?")</f>
        <v>A. What happens if a horse goes off the road during the race?</v>
      </c>
      <c r="H258" s="3" t="str">
        <f>IFERROR(__xludf.DUMMYFUNCTION("GOOGLETRANSLATE(C258, ""it"", ""en"")"),"A. The race continues without him B. The horse is penalized C. The horse receives a warning D. The horse is disqualified")</f>
        <v>A. The race continues without him B. The horse is penalized C. The horse receives a warning D. The horse is disqualified</v>
      </c>
      <c r="I258" s="3" t="str">
        <f>IFERROR(__xludf.DUMMYFUNCTION("GOOGLETRANSLATE(D258, ""it"", ""en"")"),"The race continues without him")</f>
        <v>The race continues without him</v>
      </c>
      <c r="J258" s="2"/>
      <c r="K258" s="2"/>
      <c r="L258" s="2"/>
      <c r="M258" s="2"/>
      <c r="N258" s="2"/>
      <c r="O258" s="2"/>
      <c r="P258" s="2"/>
      <c r="Q258" s="2"/>
      <c r="R258" s="2"/>
      <c r="S258" s="2"/>
      <c r="T258" s="2"/>
      <c r="U258" s="2"/>
      <c r="V258" s="2"/>
    </row>
    <row r="259" ht="22.5" customHeight="1">
      <c r="A259" s="3">
        <v>261.0</v>
      </c>
      <c r="B259" s="3" t="s">
        <v>2975</v>
      </c>
      <c r="C259" s="3" t="s">
        <v>2631</v>
      </c>
      <c r="D259" s="3" t="s">
        <v>2559</v>
      </c>
      <c r="E259" s="2"/>
      <c r="F259" s="3" t="str">
        <f>IFERROR(__xludf.DUMMYFUNCTION("GOOGLETRANSLATE(A259, ""it"", ""en"")"),"261")</f>
        <v>261</v>
      </c>
      <c r="G259" s="3" t="str">
        <f>IFERROR(__xludf.DUMMYFUNCTION("GOOGLETRANSLATE(B259, ""it"", ""en"")"),"A. What happens if a horse goes the wrong way during a race?")</f>
        <v>A. What happens if a horse goes the wrong way during a race?</v>
      </c>
      <c r="H259" s="3" t="str">
        <f>IFERROR(__xludf.DUMMYFUNCTION("GOOGLETRANSLATE(C259, ""it"", ""en"")"),"A. The horse is penalized B. The horse is disqualified C. The race continues normally D. The horse receives a warning")</f>
        <v>A. The horse is penalized B. The horse is disqualified C. The race continues normally D. The horse receives a warning</v>
      </c>
      <c r="I259" s="3" t="str">
        <f>IFERROR(__xludf.DUMMYFUNCTION("GOOGLETRANSLATE(D259, ""it"", ""en"")"),"The horse is penalized")</f>
        <v>The horse is penalized</v>
      </c>
      <c r="J259" s="2"/>
      <c r="K259" s="2"/>
      <c r="L259" s="2"/>
      <c r="M259" s="2"/>
      <c r="N259" s="2"/>
      <c r="O259" s="2"/>
      <c r="P259" s="2"/>
      <c r="Q259" s="2"/>
      <c r="R259" s="2"/>
      <c r="S259" s="2"/>
      <c r="T259" s="2"/>
      <c r="U259" s="2"/>
      <c r="V259" s="2"/>
    </row>
    <row r="260" ht="22.5" customHeight="1">
      <c r="A260" s="3">
        <v>262.0</v>
      </c>
      <c r="B260" s="3" t="s">
        <v>2976</v>
      </c>
      <c r="C260" s="3" t="s">
        <v>2783</v>
      </c>
      <c r="D260" s="3" t="s">
        <v>2559</v>
      </c>
      <c r="E260" s="2"/>
      <c r="F260" s="3" t="str">
        <f>IFERROR(__xludf.DUMMYFUNCTION("GOOGLETRANSLATE(A260, ""it"", ""en"")"),"262")</f>
        <v>262</v>
      </c>
      <c r="G260" s="3" t="str">
        <f>IFERROR(__xludf.DUMMYFUNCTION("GOOGLETRANSLATE(B260, ""it"", ""en"")"),"A. What happens if a horse cuts a bend during the race?")</f>
        <v>A. What happens if a horse cuts a bend during the race?</v>
      </c>
      <c r="H260" s="3" t="str">
        <f>IFERROR(__xludf.DUMMYFUNCTION("GOOGLETRANSLATE(C260, ""it"", ""en"")"),"A. The horse is penalized B. The race continues normally C. The horse receives a warning D. The horse is disqualified")</f>
        <v>A. The horse is penalized B. The race continues normally C. The horse receives a warning D. The horse is disqualified</v>
      </c>
      <c r="I260" s="3" t="str">
        <f>IFERROR(__xludf.DUMMYFUNCTION("GOOGLETRANSLATE(D260, ""it"", ""en"")"),"The horse is penalized")</f>
        <v>The horse is penalized</v>
      </c>
      <c r="J260" s="2"/>
      <c r="K260" s="2"/>
      <c r="L260" s="2"/>
      <c r="M260" s="2"/>
      <c r="N260" s="2"/>
      <c r="O260" s="2"/>
      <c r="P260" s="2"/>
      <c r="Q260" s="2"/>
      <c r="R260" s="2"/>
      <c r="S260" s="2"/>
      <c r="T260" s="2"/>
      <c r="U260" s="2"/>
      <c r="V260" s="2"/>
    </row>
    <row r="261" ht="22.5" customHeight="1">
      <c r="A261" s="3">
        <v>263.0</v>
      </c>
      <c r="B261" s="3" t="s">
        <v>2977</v>
      </c>
      <c r="C261" s="3" t="s">
        <v>2783</v>
      </c>
      <c r="D261" s="3" t="s">
        <v>2559</v>
      </c>
      <c r="E261" s="2"/>
      <c r="F261" s="3" t="str">
        <f>IFERROR(__xludf.DUMMYFUNCTION("GOOGLETRANSLATE(A261, ""it"", ""en"")"),"263")</f>
        <v>263</v>
      </c>
      <c r="G261" s="3" t="str">
        <f>IFERROR(__xludf.DUMMYFUNCTION("GOOGLETRANSLATE(B261, ""it"", ""en"")"),"A. What happens if a horse doesn't start correctly at the starting signal?")</f>
        <v>A. What happens if a horse doesn't start correctly at the starting signal?</v>
      </c>
      <c r="H261" s="3" t="str">
        <f>IFERROR(__xludf.DUMMYFUNCTION("GOOGLETRANSLATE(C261, ""it"", ""en"")"),"A. The horse is penalized B. The race continues normally C. The horse receives a warning D. The horse is disqualified")</f>
        <v>A. The horse is penalized B. The race continues normally C. The horse receives a warning D. The horse is disqualified</v>
      </c>
      <c r="I261" s="3" t="str">
        <f>IFERROR(__xludf.DUMMYFUNCTION("GOOGLETRANSLATE(D261, ""it"", ""en"")"),"The horse is penalized")</f>
        <v>The horse is penalized</v>
      </c>
      <c r="J261" s="2"/>
      <c r="K261" s="2"/>
      <c r="L261" s="2"/>
      <c r="M261" s="2"/>
      <c r="N261" s="2"/>
      <c r="O261" s="2"/>
      <c r="P261" s="2"/>
      <c r="Q261" s="2"/>
      <c r="R261" s="2"/>
      <c r="S261" s="2"/>
      <c r="T261" s="2"/>
      <c r="U261" s="2"/>
      <c r="V261" s="2"/>
    </row>
    <row r="262" ht="22.5" customHeight="1">
      <c r="A262" s="3">
        <v>264.0</v>
      </c>
      <c r="B262" s="3" t="s">
        <v>2978</v>
      </c>
      <c r="C262" s="3" t="s">
        <v>2631</v>
      </c>
      <c r="D262" s="3" t="s">
        <v>2559</v>
      </c>
      <c r="E262" s="2"/>
      <c r="F262" s="3" t="str">
        <f>IFERROR(__xludf.DUMMYFUNCTION("GOOGLETRANSLATE(A262, ""it"", ""en"")"),"264")</f>
        <v>264</v>
      </c>
      <c r="G262" s="3" t="str">
        <f>IFERROR(__xludf.DUMMYFUNCTION("GOOGLETRANSLATE(B262, ""it"", ""en"")"),"A. What happens if a horse crosses the starting line too early?")</f>
        <v>A. What happens if a horse crosses the starting line too early?</v>
      </c>
      <c r="H262" s="3" t="str">
        <f>IFERROR(__xludf.DUMMYFUNCTION("GOOGLETRANSLATE(C262, ""it"", ""en"")"),"A. The horse is penalized B. The horse is disqualified C. The race continues normally D. The horse receives a warning")</f>
        <v>A. The horse is penalized B. The horse is disqualified C. The race continues normally D. The horse receives a warning</v>
      </c>
      <c r="I262" s="3" t="str">
        <f>IFERROR(__xludf.DUMMYFUNCTION("GOOGLETRANSLATE(D262, ""it"", ""en"")"),"The horse is penalized")</f>
        <v>The horse is penalized</v>
      </c>
      <c r="J262" s="2"/>
      <c r="K262" s="2"/>
      <c r="L262" s="2"/>
      <c r="M262" s="2"/>
      <c r="N262" s="2"/>
      <c r="O262" s="2"/>
      <c r="P262" s="2"/>
      <c r="Q262" s="2"/>
      <c r="R262" s="2"/>
      <c r="S262" s="2"/>
      <c r="T262" s="2"/>
      <c r="U262" s="2"/>
      <c r="V262" s="2"/>
    </row>
    <row r="263" ht="22.5" customHeight="1">
      <c r="A263" s="3">
        <v>265.0</v>
      </c>
      <c r="B263" s="3" t="s">
        <v>2946</v>
      </c>
      <c r="C263" s="3" t="s">
        <v>2705</v>
      </c>
      <c r="D263" s="3" t="s">
        <v>2575</v>
      </c>
      <c r="E263" s="2"/>
      <c r="F263" s="3" t="str">
        <f>IFERROR(__xludf.DUMMYFUNCTION("GOOGLETRANSLATE(A263, ""it"", ""en"")"),"265")</f>
        <v>265</v>
      </c>
      <c r="G263" s="3" t="str">
        <f>IFERROR(__xludf.DUMMYFUNCTION("GOOGLETRANSLATE(B263, ""it"", ""en"")"),"A. What happens if a horse is obstructed by spectators during the race?")</f>
        <v>A. What happens if a horse is obstructed by spectators during the race?</v>
      </c>
      <c r="H263" s="3" t="str">
        <f>IFERROR(__xludf.DUMMYFUNCTION("GOOGLETRANSLATE(C263, ""it"", ""en"")"),"A. The race continues normally B. The horse is penalized C. The horse receives a warning D. The horse is disqualified")</f>
        <v>A. The race continues normally B. The horse is penalized C. The horse receives a warning D. The horse is disqualified</v>
      </c>
      <c r="I263" s="3" t="str">
        <f>IFERROR(__xludf.DUMMYFUNCTION("GOOGLETRANSLATE(D263, ""it"", ""en"")"),"The race continues normally")</f>
        <v>The race continues normally</v>
      </c>
      <c r="J263" s="2"/>
      <c r="K263" s="2"/>
      <c r="L263" s="2"/>
      <c r="M263" s="2"/>
      <c r="N263" s="2"/>
      <c r="O263" s="2"/>
      <c r="P263" s="2"/>
      <c r="Q263" s="2"/>
      <c r="R263" s="2"/>
      <c r="S263" s="2"/>
      <c r="T263" s="2"/>
      <c r="U263" s="2"/>
      <c r="V263" s="2"/>
    </row>
    <row r="264" ht="22.5" customHeight="1">
      <c r="A264" s="3">
        <v>266.0</v>
      </c>
      <c r="B264" s="3" t="s">
        <v>2979</v>
      </c>
      <c r="C264" s="3" t="s">
        <v>2980</v>
      </c>
      <c r="D264" s="3" t="s">
        <v>2898</v>
      </c>
      <c r="E264" s="2"/>
      <c r="F264" s="3" t="str">
        <f>IFERROR(__xludf.DUMMYFUNCTION("GOOGLETRANSLATE(A264, ""it"", ""en"")"),"266")</f>
        <v>266</v>
      </c>
      <c r="G264" s="3" t="str">
        <f>IFERROR(__xludf.DUMMYFUNCTION("GOOGLETRANSLATE(B264, ""it"", ""en"")"),"A. What happens if a horse is injured during the race?")</f>
        <v>A. What happens if a horse is injured during the race?</v>
      </c>
      <c r="H264" s="3" t="str">
        <f>IFERROR(__xludf.DUMMYFUNCTION("GOOGLETRANSLATE(C264, ""it"", ""en"")"),"A. The horse is penalized B. The horse receives a warning C. The race continues without him D. The horse is disqualified")</f>
        <v>A. The horse is penalized B. The horse receives a warning C. The race continues without him D. The horse is disqualified</v>
      </c>
      <c r="I264" s="3" t="str">
        <f>IFERROR(__xludf.DUMMYFUNCTION("GOOGLETRANSLATE(D264, ""it"", ""en"")"),"The horse is excluded from the race")</f>
        <v>The horse is excluded from the race</v>
      </c>
      <c r="J264" s="2"/>
      <c r="K264" s="2"/>
      <c r="L264" s="2"/>
      <c r="M264" s="2"/>
      <c r="N264" s="2"/>
      <c r="O264" s="2"/>
      <c r="P264" s="2"/>
      <c r="Q264" s="2"/>
      <c r="R264" s="2"/>
      <c r="S264" s="2"/>
      <c r="T264" s="2"/>
      <c r="U264" s="2"/>
      <c r="V264" s="2"/>
    </row>
    <row r="265" ht="22.5" customHeight="1">
      <c r="A265" s="3">
        <v>267.0</v>
      </c>
      <c r="B265" s="3" t="s">
        <v>2981</v>
      </c>
      <c r="C265" s="3" t="s">
        <v>2897</v>
      </c>
      <c r="D265" s="3" t="s">
        <v>2636</v>
      </c>
      <c r="E265" s="2"/>
      <c r="F265" s="3" t="str">
        <f>IFERROR(__xludf.DUMMYFUNCTION("GOOGLETRANSLATE(A265, ""it"", ""en"")"),"267")</f>
        <v>267</v>
      </c>
      <c r="G265" s="3" t="str">
        <f>IFERROR(__xludf.DUMMYFUNCTION("GOOGLETRANSLATE(B265, ""it"", ""en"")"),"A. What happens if a horse is too tired to continue the race?")</f>
        <v>A. What happens if a horse is too tired to continue the race?</v>
      </c>
      <c r="H265" s="3" t="str">
        <f>IFERROR(__xludf.DUMMYFUNCTION("GOOGLETRANSLATE(C265, ""it"", ""en"")"),"A. The horse is excluded from the race B. The race continues without him C. The horse receives a warning D. The horse is penalized")</f>
        <v>A. The horse is excluded from the race B. The race continues without him C. The horse receives a warning D. The horse is penalized</v>
      </c>
      <c r="I265" s="3" t="str">
        <f>IFERROR(__xludf.DUMMYFUNCTION("GOOGLETRANSLATE(D265, ""it"", ""en"")"),"The race continues without him")</f>
        <v>The race continues without him</v>
      </c>
      <c r="J265" s="2"/>
      <c r="K265" s="2"/>
      <c r="L265" s="2"/>
      <c r="M265" s="2"/>
      <c r="N265" s="2"/>
      <c r="O265" s="2"/>
      <c r="P265" s="2"/>
      <c r="Q265" s="2"/>
      <c r="R265" s="2"/>
      <c r="S265" s="2"/>
      <c r="T265" s="2"/>
      <c r="U265" s="2"/>
      <c r="V265" s="2"/>
    </row>
    <row r="266" ht="22.5" customHeight="1">
      <c r="A266" s="3">
        <v>268.0</v>
      </c>
      <c r="B266" s="3" t="s">
        <v>2904</v>
      </c>
      <c r="C266" s="3" t="s">
        <v>2905</v>
      </c>
      <c r="D266" s="3" t="s">
        <v>2575</v>
      </c>
      <c r="E266" s="2"/>
      <c r="F266" s="3" t="str">
        <f>IFERROR(__xludf.DUMMYFUNCTION("GOOGLETRANSLATE(A266, ""it"", ""en"")"),"268")</f>
        <v>268</v>
      </c>
      <c r="G266" s="3" t="str">
        <f>IFERROR(__xludf.DUMMYFUNCTION("GOOGLETRANSLATE(B266, ""it"", ""en"")"),"A. What happens if two horses touch each other during a race?")</f>
        <v>A. What happens if two horses touch each other during a race?</v>
      </c>
      <c r="H266" s="3" t="str">
        <f>IFERROR(__xludf.DUMMYFUNCTION("GOOGLETRANSLATE(C266, ""it"", ""en"")"),"A. The race continues normally B. The horse that caused the contact is penalized C. The horse that was contacted is penalized D. Both horses are penalized")</f>
        <v>A. The race continues normally B. The horse that caused the contact is penalized C. The horse that was contacted is penalized D. Both horses are penalized</v>
      </c>
      <c r="I266" s="3" t="str">
        <f>IFERROR(__xludf.DUMMYFUNCTION("GOOGLETRANSLATE(D266, ""it"", ""en"")"),"The race continues normally")</f>
        <v>The race continues normally</v>
      </c>
      <c r="J266" s="2"/>
      <c r="K266" s="2"/>
      <c r="L266" s="2"/>
      <c r="M266" s="2"/>
      <c r="N266" s="2"/>
      <c r="O266" s="2"/>
      <c r="P266" s="2"/>
      <c r="Q266" s="2"/>
      <c r="R266" s="2"/>
      <c r="S266" s="2"/>
      <c r="T266" s="2"/>
      <c r="U266" s="2"/>
      <c r="V266" s="2"/>
    </row>
    <row r="267" ht="22.5" customHeight="1">
      <c r="A267" s="3">
        <v>269.0</v>
      </c>
      <c r="B267" s="3" t="s">
        <v>2982</v>
      </c>
      <c r="C267" s="3" t="s">
        <v>2783</v>
      </c>
      <c r="D267" s="3" t="s">
        <v>2559</v>
      </c>
      <c r="E267" s="2"/>
      <c r="F267" s="3" t="str">
        <f>IFERROR(__xludf.DUMMYFUNCTION("GOOGLETRANSLATE(A267, ""it"", ""en"")"),"269")</f>
        <v>269</v>
      </c>
      <c r="G267" s="3" t="str">
        <f>IFERROR(__xludf.DUMMYFUNCTION("GOOGLETRANSLATE(B267, ""it"", ""en"")"),"A. What happens if a horse takes a shortcut during the race?")</f>
        <v>A. What happens if a horse takes a shortcut during the race?</v>
      </c>
      <c r="H267" s="3" t="str">
        <f>IFERROR(__xludf.DUMMYFUNCTION("GOOGLETRANSLATE(C267, ""it"", ""en"")"),"A. The horse is penalized B. The race continues normally C. The horse receives a warning D. The horse is disqualified")</f>
        <v>A. The horse is penalized B. The race continues normally C. The horse receives a warning D. The horse is disqualified</v>
      </c>
      <c r="I267" s="3" t="str">
        <f>IFERROR(__xludf.DUMMYFUNCTION("GOOGLETRANSLATE(D267, ""it"", ""en"")"),"The horse is penalized")</f>
        <v>The horse is penalized</v>
      </c>
      <c r="J267" s="2"/>
      <c r="K267" s="2"/>
      <c r="L267" s="2"/>
      <c r="M267" s="2"/>
      <c r="N267" s="2"/>
      <c r="O267" s="2"/>
      <c r="P267" s="2"/>
      <c r="Q267" s="2"/>
      <c r="R267" s="2"/>
      <c r="S267" s="2"/>
      <c r="T267" s="2"/>
      <c r="U267" s="2"/>
      <c r="V267" s="2"/>
    </row>
    <row r="268" ht="22.5" customHeight="1">
      <c r="A268" s="3">
        <v>270.0</v>
      </c>
      <c r="B268" s="3" t="s">
        <v>2983</v>
      </c>
      <c r="C268" s="3" t="s">
        <v>2984</v>
      </c>
      <c r="D268" s="3" t="s">
        <v>2985</v>
      </c>
      <c r="E268" s="2"/>
      <c r="F268" s="3" t="str">
        <f>IFERROR(__xludf.DUMMYFUNCTION("GOOGLETRANSLATE(A268, ""it"", ""en"")"),"270")</f>
        <v>270</v>
      </c>
      <c r="G268" s="3" t="str">
        <f>IFERROR(__xludf.DUMMYFUNCTION("GOOGLETRANSLATE(B268, ""it"", ""en"")"),"A. If a horse crosses the finish line while another horse is still running, what happens?")</f>
        <v>A. If a horse crosses the finish line while another horse is still running, what happens?</v>
      </c>
      <c r="H268" s="3" t="str">
        <f>IFERROR(__xludf.DUMMYFUNCTION("GOOGLETRANSLATE(C268, ""it"", ""en"")"),"A. The horse that crosses the finish line prematurely is penalized. B. The race continues normally. C. The horse that finishes first wins. D. The horse that finishes first receives a warning.")</f>
        <v>A. The horse that crosses the finish line prematurely is penalized. B. The race continues normally. C. The horse that finishes first wins. D. The horse that finishes first receives a warning.</v>
      </c>
      <c r="I268" s="3" t="str">
        <f>IFERROR(__xludf.DUMMYFUNCTION("GOOGLETRANSLATE(D268, ""it"", ""en"")"),"The horse that crosses the finish line before the time is penalized")</f>
        <v>The horse that crosses the finish line before the time is penalized</v>
      </c>
      <c r="J268" s="2"/>
      <c r="K268" s="2"/>
      <c r="L268" s="2"/>
      <c r="M268" s="2"/>
      <c r="N268" s="2"/>
      <c r="O268" s="2"/>
      <c r="P268" s="2"/>
      <c r="Q268" s="2"/>
      <c r="R268" s="2"/>
      <c r="S268" s="2"/>
      <c r="T268" s="2"/>
      <c r="U268" s="2"/>
      <c r="V268" s="2"/>
    </row>
    <row r="269" ht="22.5" customHeight="1">
      <c r="A269" s="3">
        <v>271.0</v>
      </c>
      <c r="B269" s="3" t="s">
        <v>2986</v>
      </c>
      <c r="C269" s="3" t="s">
        <v>2783</v>
      </c>
      <c r="D269" s="3" t="s">
        <v>2575</v>
      </c>
      <c r="E269" s="2"/>
      <c r="F269" s="3" t="str">
        <f>IFERROR(__xludf.DUMMYFUNCTION("GOOGLETRANSLATE(A269, ""it"", ""en"")"),"271")</f>
        <v>271</v>
      </c>
      <c r="G269" s="3" t="str">
        <f>IFERROR(__xludf.DUMMYFUNCTION("GOOGLETRANSLATE(B269, ""it"", ""en"")"),"A. What happens if a horse starts late?")</f>
        <v>A. What happens if a horse starts late?</v>
      </c>
      <c r="H269" s="3" t="str">
        <f>IFERROR(__xludf.DUMMYFUNCTION("GOOGLETRANSLATE(C269, ""it"", ""en"")"),"A. The horse is penalized B. The race continues normally C. The horse receives a warning D. The horse is disqualified")</f>
        <v>A. The horse is penalized B. The race continues normally C. The horse receives a warning D. The horse is disqualified</v>
      </c>
      <c r="I269" s="3" t="str">
        <f>IFERROR(__xludf.DUMMYFUNCTION("GOOGLETRANSLATE(D269, ""it"", ""en"")"),"The race continues normally")</f>
        <v>The race continues normally</v>
      </c>
      <c r="J269" s="2"/>
      <c r="K269" s="2"/>
      <c r="L269" s="2"/>
      <c r="M269" s="2"/>
      <c r="N269" s="2"/>
      <c r="O269" s="2"/>
      <c r="P269" s="2"/>
      <c r="Q269" s="2"/>
      <c r="R269" s="2"/>
      <c r="S269" s="2"/>
      <c r="T269" s="2"/>
      <c r="U269" s="2"/>
      <c r="V269" s="2"/>
    </row>
    <row r="270" ht="22.5" customHeight="1">
      <c r="A270" s="3">
        <v>272.0</v>
      </c>
      <c r="B270" s="3" t="s">
        <v>2555</v>
      </c>
      <c r="C270" s="3" t="s">
        <v>2787</v>
      </c>
      <c r="D270" s="3" t="s">
        <v>2559</v>
      </c>
      <c r="E270" s="2"/>
      <c r="F270" s="3" t="str">
        <f>IFERROR(__xludf.DUMMYFUNCTION("GOOGLETRANSLATE(A270, ""it"", ""en"")"),"272")</f>
        <v>272</v>
      </c>
      <c r="G270" s="3" t="str">
        <f>IFERROR(__xludf.DUMMYFUNCTION("GOOGLETRANSLATE(B270, ""it"", ""en"")"),"A. What happens if a horse runs irregularly?")</f>
        <v>A. What happens if a horse runs irregularly?</v>
      </c>
      <c r="H270" s="3" t="str">
        <f>IFERROR(__xludf.DUMMYFUNCTION("GOOGLETRANSLATE(C270, ""it"", ""en"")"),"A. The horse is penalized B. The horse receives a warning C. The horse is disqualified D. The race continues normally")</f>
        <v>A. The horse is penalized B. The horse receives a warning C. The horse is disqualified D. The race continues normally</v>
      </c>
      <c r="I270" s="3" t="str">
        <f>IFERROR(__xludf.DUMMYFUNCTION("GOOGLETRANSLATE(D270, ""it"", ""en"")"),"The horse is penalized")</f>
        <v>The horse is penalized</v>
      </c>
      <c r="J270" s="2"/>
      <c r="K270" s="2"/>
      <c r="L270" s="2"/>
      <c r="M270" s="2"/>
      <c r="N270" s="2"/>
      <c r="O270" s="2"/>
      <c r="P270" s="2"/>
      <c r="Q270" s="2"/>
      <c r="R270" s="2"/>
      <c r="S270" s="2"/>
      <c r="T270" s="2"/>
      <c r="U270" s="2"/>
      <c r="V270" s="2"/>
    </row>
    <row r="271" ht="22.5" customHeight="1">
      <c r="A271" s="3">
        <v>273.0</v>
      </c>
      <c r="B271" s="3" t="s">
        <v>2987</v>
      </c>
      <c r="C271" s="3" t="s">
        <v>2783</v>
      </c>
      <c r="D271" s="3" t="s">
        <v>2575</v>
      </c>
      <c r="E271" s="2"/>
      <c r="F271" s="3" t="str">
        <f>IFERROR(__xludf.DUMMYFUNCTION("GOOGLETRANSLATE(A271, ""it"", ""en"")"),"273")</f>
        <v>273</v>
      </c>
      <c r="G271" s="3" t="str">
        <f>IFERROR(__xludf.DUMMYFUNCTION("GOOGLETRANSLATE(B271, ""it"", ""en"")"),"A. What happens if a horse touches the edge of the track during a race?")</f>
        <v>A. What happens if a horse touches the edge of the track during a race?</v>
      </c>
      <c r="H271" s="3" t="str">
        <f>IFERROR(__xludf.DUMMYFUNCTION("GOOGLETRANSLATE(C271, ""it"", ""en"")"),"A. The horse is penalized B. The race continues normally C. The horse receives a warning D. The horse is disqualified")</f>
        <v>A. The horse is penalized B. The race continues normally C. The horse receives a warning D. The horse is disqualified</v>
      </c>
      <c r="I271" s="3" t="str">
        <f>IFERROR(__xludf.DUMMYFUNCTION("GOOGLETRANSLATE(D271, ""it"", ""en"")"),"The race continues normally")</f>
        <v>The race continues normally</v>
      </c>
      <c r="J271" s="2"/>
      <c r="K271" s="2"/>
      <c r="L271" s="2"/>
      <c r="M271" s="2"/>
      <c r="N271" s="2"/>
      <c r="O271" s="2"/>
      <c r="P271" s="2"/>
      <c r="Q271" s="2"/>
      <c r="R271" s="2"/>
      <c r="S271" s="2"/>
      <c r="T271" s="2"/>
      <c r="U271" s="2"/>
      <c r="V271" s="2"/>
    </row>
    <row r="272" ht="22.5" customHeight="1">
      <c r="A272" s="3">
        <v>274.0</v>
      </c>
      <c r="B272" s="3" t="s">
        <v>2988</v>
      </c>
      <c r="C272" s="3" t="s">
        <v>2989</v>
      </c>
      <c r="D272" s="3" t="s">
        <v>2990</v>
      </c>
      <c r="E272" s="2"/>
      <c r="F272" s="3" t="str">
        <f>IFERROR(__xludf.DUMMYFUNCTION("GOOGLETRANSLATE(A272, ""it"", ""en"")"),"274")</f>
        <v>274</v>
      </c>
      <c r="G272" s="3" t="str">
        <f>IFERROR(__xludf.DUMMYFUNCTION("GOOGLETRANSLATE(B272, ""it"", ""en"")"),"A. If a horse comes too close to another horse and creates an obstacle, what happens?")</f>
        <v>A. If a horse comes too close to another horse and creates an obstacle, what happens?</v>
      </c>
      <c r="H272" s="3" t="str">
        <f>IFERROR(__xludf.DUMMYFUNCTION("GOOGLETRANSLATE(C272, ""it"", ""en"")"),"A. The horse that created the obstacle is penalized B. The horse that was hit by the obstacle is penalized C. The race continues normally D. Both horses are penalized")</f>
        <v>A. The horse that created the obstacle is penalized B. The horse that was hit by the obstacle is penalized C. The race continues normally D. Both horses are penalized</v>
      </c>
      <c r="I272" s="3" t="str">
        <f>IFERROR(__xludf.DUMMYFUNCTION("GOOGLETRANSLATE(D272, ""it"", ""en"")"),"The horse that created the obstacle is penalized")</f>
        <v>The horse that created the obstacle is penalized</v>
      </c>
      <c r="J272" s="2"/>
      <c r="K272" s="2"/>
      <c r="L272" s="2"/>
      <c r="M272" s="2"/>
      <c r="N272" s="2"/>
      <c r="O272" s="2"/>
      <c r="P272" s="2"/>
      <c r="Q272" s="2"/>
      <c r="R272" s="2"/>
      <c r="S272" s="2"/>
      <c r="T272" s="2"/>
      <c r="U272" s="2"/>
      <c r="V272" s="2"/>
    </row>
    <row r="273" ht="22.5" customHeight="1">
      <c r="A273" s="3">
        <v>276.0</v>
      </c>
      <c r="B273" s="3" t="s">
        <v>2991</v>
      </c>
      <c r="C273" s="3" t="s">
        <v>2787</v>
      </c>
      <c r="D273" s="3" t="s">
        <v>2559</v>
      </c>
      <c r="E273" s="2"/>
      <c r="F273" s="3" t="str">
        <f>IFERROR(__xludf.DUMMYFUNCTION("GOOGLETRANSLATE(A273, ""it"", ""en"")"),"276")</f>
        <v>276</v>
      </c>
      <c r="G273" s="3" t="str">
        <f>IFERROR(__xludf.DUMMYFUNCTION("GOOGLETRANSLATE(B273, ""it"", ""en"")"),"A. What happens if a horse doesn't respect the starting rules?")</f>
        <v>A. What happens if a horse doesn't respect the starting rules?</v>
      </c>
      <c r="H273" s="3" t="str">
        <f>IFERROR(__xludf.DUMMYFUNCTION("GOOGLETRANSLATE(C273, ""it"", ""en"")"),"A. The horse is penalized B. The horse receives a warning C. The horse is disqualified D. The race continues normally")</f>
        <v>A. The horse is penalized B. The horse receives a warning C. The horse is disqualified D. The race continues normally</v>
      </c>
      <c r="I273" s="3" t="str">
        <f>IFERROR(__xludf.DUMMYFUNCTION("GOOGLETRANSLATE(D273, ""it"", ""en"")"),"The horse is penalized")</f>
        <v>The horse is penalized</v>
      </c>
      <c r="J273" s="2"/>
      <c r="K273" s="2"/>
      <c r="L273" s="2"/>
      <c r="M273" s="2"/>
      <c r="N273" s="2"/>
      <c r="O273" s="2"/>
      <c r="P273" s="2"/>
      <c r="Q273" s="2"/>
      <c r="R273" s="2"/>
      <c r="S273" s="2"/>
      <c r="T273" s="2"/>
      <c r="U273" s="2"/>
      <c r="V273" s="2"/>
    </row>
    <row r="274" ht="22.5" customHeight="1">
      <c r="A274" s="3">
        <v>277.0</v>
      </c>
      <c r="B274" s="3" t="s">
        <v>2992</v>
      </c>
      <c r="C274" s="3" t="s">
        <v>2953</v>
      </c>
      <c r="D274" s="3" t="s">
        <v>2636</v>
      </c>
      <c r="E274" s="2"/>
      <c r="F274" s="3" t="str">
        <f>IFERROR(__xludf.DUMMYFUNCTION("GOOGLETRANSLATE(A274, ""it"", ""en"")"),"277")</f>
        <v>277</v>
      </c>
      <c r="G274" s="3" t="str">
        <f>IFERROR(__xludf.DUMMYFUNCTION("GOOGLETRANSLATE(B274, ""it"", ""en"")"),"A. What happens if a horse is accidentally pushed off the track?")</f>
        <v>A. What happens if a horse is accidentally pushed off the track?</v>
      </c>
      <c r="H274" s="3" t="str">
        <f>IFERROR(__xludf.DUMMYFUNCTION("GOOGLETRANSLATE(C274, ""it"", ""en"")"),"A. The race continues without him B. The horse is penalized C. The horse receives a warning D. The horse is disqualified")</f>
        <v>A. The race continues without him B. The horse is penalized C. The horse receives a warning D. The horse is disqualified</v>
      </c>
      <c r="I274" s="3" t="str">
        <f>IFERROR(__xludf.DUMMYFUNCTION("GOOGLETRANSLATE(D274, ""it"", ""en"")"),"The race continues without him")</f>
        <v>The race continues without him</v>
      </c>
      <c r="J274" s="2"/>
      <c r="K274" s="2"/>
      <c r="L274" s="2"/>
      <c r="M274" s="2"/>
      <c r="N274" s="2"/>
      <c r="O274" s="2"/>
      <c r="P274" s="2"/>
      <c r="Q274" s="2"/>
      <c r="R274" s="2"/>
      <c r="S274" s="2"/>
      <c r="T274" s="2"/>
      <c r="U274" s="2"/>
      <c r="V274" s="2"/>
    </row>
    <row r="275" ht="22.5" customHeight="1">
      <c r="A275" s="3">
        <v>278.0</v>
      </c>
      <c r="B275" s="3" t="s">
        <v>2993</v>
      </c>
      <c r="C275" s="3" t="s">
        <v>2828</v>
      </c>
      <c r="D275" s="3" t="s">
        <v>2636</v>
      </c>
      <c r="E275" s="2"/>
      <c r="F275" s="3" t="str">
        <f>IFERROR(__xludf.DUMMYFUNCTION("GOOGLETRANSLATE(A275, ""it"", ""en"")"),"278")</f>
        <v>278</v>
      </c>
      <c r="G275" s="3" t="str">
        <f>IFERROR(__xludf.DUMMYFUNCTION("GOOGLETRANSLATE(B275, ""it"", ""en"")"),"A. What happens if a horse loses control and goes off the track?")</f>
        <v>A. What happens if a horse loses control and goes off the track?</v>
      </c>
      <c r="H275" s="3" t="str">
        <f>IFERROR(__xludf.DUMMYFUNCTION("GOOGLETRANSLATE(C275, ""it"", ""en"")"),"A. The horse is penalized B. The race continues without him C. The horse receives a warning D. The horse is disqualified")</f>
        <v>A. The horse is penalized B. The race continues without him C. The horse receives a warning D. The horse is disqualified</v>
      </c>
      <c r="I275" s="3" t="str">
        <f>IFERROR(__xludf.DUMMYFUNCTION("GOOGLETRANSLATE(D275, ""it"", ""en"")"),"The race continues without him")</f>
        <v>The race continues without him</v>
      </c>
      <c r="J275" s="2"/>
      <c r="K275" s="2"/>
      <c r="L275" s="2"/>
      <c r="M275" s="2"/>
      <c r="N275" s="2"/>
      <c r="O275" s="2"/>
      <c r="P275" s="2"/>
      <c r="Q275" s="2"/>
      <c r="R275" s="2"/>
      <c r="S275" s="2"/>
      <c r="T275" s="2"/>
      <c r="U275" s="2"/>
      <c r="V275" s="2"/>
    </row>
    <row r="276" ht="22.5" customHeight="1">
      <c r="A276" s="3">
        <v>279.0</v>
      </c>
      <c r="B276" s="3" t="s">
        <v>2994</v>
      </c>
      <c r="C276" s="3" t="s">
        <v>2995</v>
      </c>
      <c r="D276" s="3" t="s">
        <v>2880</v>
      </c>
      <c r="E276" s="2"/>
      <c r="F276" s="3" t="str">
        <f>IFERROR(__xludf.DUMMYFUNCTION("GOOGLETRANSLATE(A276, ""it"", ""en"")"),"279")</f>
        <v>279</v>
      </c>
      <c r="G276" s="3" t="str">
        <f>IFERROR(__xludf.DUMMYFUNCTION("GOOGLETRANSLATE(B276, ""it"", ""en"")"),"A. If two horses cut the bend at the same time, what happens?")</f>
        <v>A. If two horses cut the bend at the same time, what happens?</v>
      </c>
      <c r="H276" s="3" t="str">
        <f>IFERROR(__xludf.DUMMYFUNCTION("GOOGLETRANSLATE(C276, ""it"", ""en"")"),"A. Both horses are penalized B. The horse that crossed first is penalized C. The race continues normally D. The horse that crossed faster is rewarded")</f>
        <v>A. Both horses are penalized B. The horse that crossed first is penalized C. The race continues normally D. The horse that crossed faster is rewarded</v>
      </c>
      <c r="I276" s="3" t="str">
        <f>IFERROR(__xludf.DUMMYFUNCTION("GOOGLETRANSLATE(D276, ""it"", ""en"")"),"Both horses are penalized")</f>
        <v>Both horses are penalized</v>
      </c>
      <c r="J276" s="2"/>
      <c r="K276" s="2"/>
      <c r="L276" s="2"/>
      <c r="M276" s="2"/>
      <c r="N276" s="2"/>
      <c r="O276" s="2"/>
      <c r="P276" s="2"/>
      <c r="Q276" s="2"/>
      <c r="R276" s="2"/>
      <c r="S276" s="2"/>
      <c r="T276" s="2"/>
      <c r="U276" s="2"/>
      <c r="V276" s="2"/>
    </row>
    <row r="277" ht="22.5" customHeight="1">
      <c r="A277" s="3">
        <v>280.0</v>
      </c>
      <c r="B277" s="3" t="s">
        <v>2996</v>
      </c>
      <c r="C277" s="3" t="s">
        <v>2997</v>
      </c>
      <c r="D277" s="3" t="s">
        <v>2898</v>
      </c>
      <c r="E277" s="2"/>
      <c r="F277" s="3" t="str">
        <f>IFERROR(__xludf.DUMMYFUNCTION("GOOGLETRANSLATE(A277, ""it"", ""en"")"),"280")</f>
        <v>280</v>
      </c>
      <c r="G277" s="3" t="str">
        <f>IFERROR(__xludf.DUMMYFUNCTION("GOOGLETRANSLATE(B277, ""it"", ""en"")"),"A. What happens if a horse withdraws from the race after completing the first lap?")</f>
        <v>A. What happens if a horse withdraws from the race after completing the first lap?</v>
      </c>
      <c r="H277" s="3" t="str">
        <f>IFERROR(__xludf.DUMMYFUNCTION("GOOGLETRANSLATE(C277, ""it"", ""en"")"),"A. The horse is excluded from the race B. The horse is penalized C. The horse receives a warning D. The race continues without him")</f>
        <v>A. The horse is excluded from the race B. The horse is penalized C. The horse receives a warning D. The race continues without him</v>
      </c>
      <c r="I277" s="3" t="str">
        <f>IFERROR(__xludf.DUMMYFUNCTION("GOOGLETRANSLATE(D277, ""it"", ""en"")"),"The horse is excluded from the race")</f>
        <v>The horse is excluded from the race</v>
      </c>
      <c r="J277" s="2"/>
      <c r="K277" s="2"/>
      <c r="L277" s="2"/>
      <c r="M277" s="2"/>
      <c r="N277" s="2"/>
      <c r="O277" s="2"/>
      <c r="P277" s="2"/>
      <c r="Q277" s="2"/>
      <c r="R277" s="2"/>
      <c r="S277" s="2"/>
      <c r="T277" s="2"/>
      <c r="U277" s="2"/>
      <c r="V277" s="2"/>
    </row>
    <row r="278" ht="22.5" customHeight="1">
      <c r="A278" s="3">
        <v>281.0</v>
      </c>
      <c r="B278" s="3" t="s">
        <v>2998</v>
      </c>
      <c r="C278" s="3" t="s">
        <v>2999</v>
      </c>
      <c r="D278" s="3" t="s">
        <v>2636</v>
      </c>
      <c r="E278" s="2"/>
      <c r="F278" s="3" t="str">
        <f>IFERROR(__xludf.DUMMYFUNCTION("GOOGLETRANSLATE(A278, ""it"", ""en"")"),"281")</f>
        <v>281</v>
      </c>
      <c r="G278" s="3" t="str">
        <f>IFERROR(__xludf.DUMMYFUNCTION("GOOGLETRANSLATE(B278, ""it"", ""en"")"),"A. What happens if a horse doesn't complete the race course?")</f>
        <v>A. What happens if a horse doesn't complete the race course?</v>
      </c>
      <c r="H278" s="3" t="str">
        <f>IFERROR(__xludf.DUMMYFUNCTION("GOOGLETRANSLATE(C278, ""it"", ""en"")"),"A. The horse is excluded from the race B. The race continues without him C. The horse is penalized D. The horse receives a warning")</f>
        <v>A. The horse is excluded from the race B. The race continues without him C. The horse is penalized D. The horse receives a warning</v>
      </c>
      <c r="I278" s="3" t="str">
        <f>IFERROR(__xludf.DUMMYFUNCTION("GOOGLETRANSLATE(D278, ""it"", ""en"")"),"The race continues without him")</f>
        <v>The race continues without him</v>
      </c>
      <c r="J278" s="2"/>
      <c r="K278" s="2"/>
      <c r="L278" s="2"/>
      <c r="M278" s="2"/>
      <c r="N278" s="2"/>
      <c r="O278" s="2"/>
      <c r="P278" s="2"/>
      <c r="Q278" s="2"/>
      <c r="R278" s="2"/>
      <c r="S278" s="2"/>
      <c r="T278" s="2"/>
      <c r="U278" s="2"/>
      <c r="V278" s="2"/>
    </row>
    <row r="279" ht="22.5" customHeight="1">
      <c r="A279" s="3">
        <v>282.0</v>
      </c>
      <c r="B279" s="3" t="s">
        <v>3000</v>
      </c>
      <c r="C279" s="3" t="s">
        <v>2783</v>
      </c>
      <c r="D279" s="3" t="s">
        <v>2559</v>
      </c>
      <c r="E279" s="2"/>
      <c r="F279" s="3" t="str">
        <f>IFERROR(__xludf.DUMMYFUNCTION("GOOGLETRANSLATE(A279, ""it"", ""en"")"),"282")</f>
        <v>282</v>
      </c>
      <c r="G279" s="3" t="str">
        <f>IFERROR(__xludf.DUMMYFUNCTION("GOOGLETRANSLATE(B279, ""it"", ""en"")"),"A. If a horse takes a shortcut to avoid an obstacle, what happens?")</f>
        <v>A. If a horse takes a shortcut to avoid an obstacle, what happens?</v>
      </c>
      <c r="H279" s="3" t="str">
        <f>IFERROR(__xludf.DUMMYFUNCTION("GOOGLETRANSLATE(C279, ""it"", ""en"")"),"A. The horse is penalized B. The race continues normally C. The horse receives a warning D. The horse is disqualified")</f>
        <v>A. The horse is penalized B. The race continues normally C. The horse receives a warning D. The horse is disqualified</v>
      </c>
      <c r="I279" s="3" t="str">
        <f>IFERROR(__xludf.DUMMYFUNCTION("GOOGLETRANSLATE(D279, ""it"", ""en"")"),"The horse is penalized")</f>
        <v>The horse is penalized</v>
      </c>
      <c r="J279" s="2"/>
      <c r="K279" s="2"/>
      <c r="L279" s="2"/>
      <c r="M279" s="2"/>
      <c r="N279" s="2"/>
      <c r="O279" s="2"/>
      <c r="P279" s="2"/>
      <c r="Q279" s="2"/>
      <c r="R279" s="2"/>
      <c r="S279" s="2"/>
      <c r="T279" s="2"/>
      <c r="U279" s="2"/>
      <c r="V279" s="2"/>
    </row>
    <row r="280" ht="22.5" customHeight="1">
      <c r="A280" s="3">
        <v>283.0</v>
      </c>
      <c r="B280" s="3" t="s">
        <v>3001</v>
      </c>
      <c r="C280" s="3" t="s">
        <v>2783</v>
      </c>
      <c r="D280" s="3" t="s">
        <v>2559</v>
      </c>
      <c r="E280" s="2"/>
      <c r="F280" s="3" t="str">
        <f>IFERROR(__xludf.DUMMYFUNCTION("GOOGLETRANSLATE(A280, ""it"", ""en"")"),"283")</f>
        <v>283</v>
      </c>
      <c r="G280" s="3" t="str">
        <f>IFERROR(__xludf.DUMMYFUNCTION("GOOGLETRANSLATE(B280, ""it"", ""en"")"),"A. What happens if a horse misses the starting line?")</f>
        <v>A. What happens if a horse misses the starting line?</v>
      </c>
      <c r="H280" s="3" t="str">
        <f>IFERROR(__xludf.DUMMYFUNCTION("GOOGLETRANSLATE(C280, ""it"", ""en"")"),"A. The horse is penalized B. The race continues normally C. The horse receives a warning D. The horse is disqualified")</f>
        <v>A. The horse is penalized B. The race continues normally C. The horse receives a warning D. The horse is disqualified</v>
      </c>
      <c r="I280" s="3" t="str">
        <f>IFERROR(__xludf.DUMMYFUNCTION("GOOGLETRANSLATE(D280, ""it"", ""en"")"),"The horse is penalized")</f>
        <v>The horse is penalized</v>
      </c>
      <c r="J280" s="2"/>
      <c r="K280" s="2"/>
      <c r="L280" s="2"/>
      <c r="M280" s="2"/>
      <c r="N280" s="2"/>
      <c r="O280" s="2"/>
      <c r="P280" s="2"/>
      <c r="Q280" s="2"/>
      <c r="R280" s="2"/>
      <c r="S280" s="2"/>
      <c r="T280" s="2"/>
      <c r="U280" s="2"/>
      <c r="V280" s="2"/>
    </row>
    <row r="281" ht="22.5" customHeight="1">
      <c r="A281" s="3">
        <v>284.0</v>
      </c>
      <c r="B281" s="3" t="s">
        <v>3002</v>
      </c>
      <c r="C281" s="3" t="s">
        <v>2631</v>
      </c>
      <c r="D281" s="3" t="s">
        <v>2559</v>
      </c>
      <c r="E281" s="2"/>
      <c r="F281" s="3" t="str">
        <f>IFERROR(__xludf.DUMMYFUNCTION("GOOGLETRANSLATE(A281, ""it"", ""en"")"),"284")</f>
        <v>284</v>
      </c>
      <c r="G281" s="3" t="str">
        <f>IFERROR(__xludf.DUMMYFUNCTION("GOOGLETRANSLATE(B281, ""it"", ""en"")"),"A. What happens if a horse doesn't run according to the rider's instructions?")</f>
        <v>A. What happens if a horse doesn't run according to the rider's instructions?</v>
      </c>
      <c r="H281" s="3" t="str">
        <f>IFERROR(__xludf.DUMMYFUNCTION("GOOGLETRANSLATE(C281, ""it"", ""en"")"),"A. The horse is penalized B. The horse is disqualified C. The race continues normally D. The horse receives a warning")</f>
        <v>A. The horse is penalized B. The horse is disqualified C. The race continues normally D. The horse receives a warning</v>
      </c>
      <c r="I281" s="3" t="str">
        <f>IFERROR(__xludf.DUMMYFUNCTION("GOOGLETRANSLATE(D281, ""it"", ""en"")"),"The horse is penalized")</f>
        <v>The horse is penalized</v>
      </c>
      <c r="J281" s="2"/>
      <c r="K281" s="2"/>
      <c r="L281" s="2"/>
      <c r="M281" s="2"/>
      <c r="N281" s="2"/>
      <c r="O281" s="2"/>
      <c r="P281" s="2"/>
      <c r="Q281" s="2"/>
      <c r="R281" s="2"/>
      <c r="S281" s="2"/>
      <c r="T281" s="2"/>
      <c r="U281" s="2"/>
      <c r="V281" s="2"/>
    </row>
    <row r="282" ht="22.5" customHeight="1">
      <c r="A282" s="3">
        <v>285.0</v>
      </c>
      <c r="B282" s="3" t="s">
        <v>3003</v>
      </c>
      <c r="C282" s="3" t="s">
        <v>3004</v>
      </c>
      <c r="D282" s="3" t="s">
        <v>3005</v>
      </c>
      <c r="E282" s="2"/>
      <c r="F282" s="3" t="str">
        <f>IFERROR(__xludf.DUMMYFUNCTION("GOOGLETRANSLATE(A282, ""it"", ""en"")"),"285")</f>
        <v>285</v>
      </c>
      <c r="G282" s="3" t="str">
        <f>IFERROR(__xludf.DUMMYFUNCTION("GOOGLETRANSLATE(B282, ""it"", ""en"")"),"A. What happens if a horse hits another during the race?")</f>
        <v>A. What happens if a horse hits another during the race?</v>
      </c>
      <c r="H282" s="3" t="str">
        <f>IFERROR(__xludf.DUMMYFUNCTION("GOOGLETRANSLATE(C282, ""it"", ""en"")"),"A. The horse that caused the contact is penalized B. The horse that was contacted receives a warning C. The race continues normally D. Both horses are penalized")</f>
        <v>A. The horse that caused the contact is penalized B. The horse that was contacted receives a warning C. The race continues normally D. Both horses are penalized</v>
      </c>
      <c r="I282" s="3" t="str">
        <f>IFERROR(__xludf.DUMMYFUNCTION("GOOGLETRANSLATE(D282, ""it"", ""en"")"),"The horse that caused the contact is penalized")</f>
        <v>The horse that caused the contact is penalized</v>
      </c>
      <c r="J282" s="2"/>
      <c r="K282" s="2"/>
      <c r="L282" s="2"/>
      <c r="M282" s="2"/>
      <c r="N282" s="2"/>
      <c r="O282" s="2"/>
      <c r="P282" s="2"/>
      <c r="Q282" s="2"/>
      <c r="R282" s="2"/>
      <c r="S282" s="2"/>
      <c r="T282" s="2"/>
      <c r="U282" s="2"/>
      <c r="V282" s="2"/>
    </row>
    <row r="283" ht="22.5" customHeight="1">
      <c r="A283" s="3">
        <v>286.0</v>
      </c>
      <c r="B283" s="3" t="s">
        <v>3006</v>
      </c>
      <c r="C283" s="3" t="s">
        <v>2745</v>
      </c>
      <c r="D283" s="3" t="s">
        <v>2559</v>
      </c>
      <c r="E283" s="2"/>
      <c r="F283" s="3" t="str">
        <f>IFERROR(__xludf.DUMMYFUNCTION("GOOGLETRANSLATE(A283, ""it"", ""en"")"),"286")</f>
        <v>286</v>
      </c>
      <c r="G283" s="3" t="str">
        <f>IFERROR(__xludf.DUMMYFUNCTION("GOOGLETRANSLATE(B283, ""it"", ""en"")"),"A. If a horse overtakes another horse in a dangerous way, what happens?")</f>
        <v>A. If a horse overtakes another horse in a dangerous way, what happens?</v>
      </c>
      <c r="H283" s="3" t="str">
        <f>IFERROR(__xludf.DUMMYFUNCTION("GOOGLETRANSLATE(C283, ""it"", ""en"")"),"A. The horse is penalized B. The horse receives a warning C. The race continues normally D. The horse is disqualified")</f>
        <v>A. The horse is penalized B. The horse receives a warning C. The race continues normally D. The horse is disqualified</v>
      </c>
      <c r="I283" s="3" t="str">
        <f>IFERROR(__xludf.DUMMYFUNCTION("GOOGLETRANSLATE(D283, ""it"", ""en"")"),"The horse is penalized")</f>
        <v>The horse is penalized</v>
      </c>
      <c r="J283" s="2"/>
      <c r="K283" s="2"/>
      <c r="L283" s="2"/>
      <c r="M283" s="2"/>
      <c r="N283" s="2"/>
      <c r="O283" s="2"/>
      <c r="P283" s="2"/>
      <c r="Q283" s="2"/>
      <c r="R283" s="2"/>
      <c r="S283" s="2"/>
      <c r="T283" s="2"/>
      <c r="U283" s="2"/>
      <c r="V283" s="2"/>
    </row>
    <row r="284" ht="22.5" customHeight="1">
      <c r="A284" s="3">
        <v>287.0</v>
      </c>
      <c r="B284" s="3" t="s">
        <v>3007</v>
      </c>
      <c r="C284" s="3" t="s">
        <v>2787</v>
      </c>
      <c r="D284" s="3" t="s">
        <v>2559</v>
      </c>
      <c r="E284" s="2"/>
      <c r="F284" s="3" t="str">
        <f>IFERROR(__xludf.DUMMYFUNCTION("GOOGLETRANSLATE(A284, ""it"", ""en"")"),"287")</f>
        <v>287</v>
      </c>
      <c r="G284" s="3" t="str">
        <f>IFERROR(__xludf.DUMMYFUNCTION("GOOGLETRANSLATE(B284, ""it"", ""en"")"),"A. What happens if a horse jumps a hurdle during a race?")</f>
        <v>A. What happens if a horse jumps a hurdle during a race?</v>
      </c>
      <c r="H284" s="3" t="str">
        <f>IFERROR(__xludf.DUMMYFUNCTION("GOOGLETRANSLATE(C284, ""it"", ""en"")"),"A. The horse is penalized B. The horse receives a warning C. The horse is disqualified D. The race continues normally")</f>
        <v>A. The horse is penalized B. The horse receives a warning C. The horse is disqualified D. The race continues normally</v>
      </c>
      <c r="I284" s="3" t="str">
        <f>IFERROR(__xludf.DUMMYFUNCTION("GOOGLETRANSLATE(D284, ""it"", ""en"")"),"The horse is penalized")</f>
        <v>The horse is penalized</v>
      </c>
      <c r="J284" s="2"/>
      <c r="K284" s="2"/>
      <c r="L284" s="2"/>
      <c r="M284" s="2"/>
      <c r="N284" s="2"/>
      <c r="O284" s="2"/>
      <c r="P284" s="2"/>
      <c r="Q284" s="2"/>
      <c r="R284" s="2"/>
      <c r="S284" s="2"/>
      <c r="T284" s="2"/>
      <c r="U284" s="2"/>
      <c r="V284" s="2"/>
    </row>
    <row r="285" ht="22.5" customHeight="1">
      <c r="A285" s="3">
        <v>288.0</v>
      </c>
      <c r="B285" s="3" t="s">
        <v>3008</v>
      </c>
      <c r="C285" s="3" t="s">
        <v>2631</v>
      </c>
      <c r="D285" s="3" t="s">
        <v>2559</v>
      </c>
      <c r="E285" s="2"/>
      <c r="F285" s="3" t="str">
        <f>IFERROR(__xludf.DUMMYFUNCTION("GOOGLETRANSLATE(A285, ""it"", ""en"")"),"288")</f>
        <v>288</v>
      </c>
      <c r="G285" s="3" t="str">
        <f>IFERROR(__xludf.DUMMYFUNCTION("GOOGLETRANSLATE(B285, ""it"", ""en"")"),"A. What happens if a horse touches the starting post?")</f>
        <v>A. What happens if a horse touches the starting post?</v>
      </c>
      <c r="H285" s="3" t="str">
        <f>IFERROR(__xludf.DUMMYFUNCTION("GOOGLETRANSLATE(C285, ""it"", ""en"")"),"A. The horse is penalized B. The horse is disqualified C. The race continues normally D. The horse receives a warning")</f>
        <v>A. The horse is penalized B. The horse is disqualified C. The race continues normally D. The horse receives a warning</v>
      </c>
      <c r="I285" s="3" t="str">
        <f>IFERROR(__xludf.DUMMYFUNCTION("GOOGLETRANSLATE(D285, ""it"", ""en"")"),"The horse is penalized")</f>
        <v>The horse is penalized</v>
      </c>
      <c r="J285" s="2"/>
      <c r="K285" s="2"/>
      <c r="L285" s="2"/>
      <c r="M285" s="2"/>
      <c r="N285" s="2"/>
      <c r="O285" s="2"/>
      <c r="P285" s="2"/>
      <c r="Q285" s="2"/>
      <c r="R285" s="2"/>
      <c r="S285" s="2"/>
      <c r="T285" s="2"/>
      <c r="U285" s="2"/>
      <c r="V285" s="2"/>
    </row>
    <row r="286" ht="22.5" customHeight="1">
      <c r="A286" s="3">
        <v>289.0</v>
      </c>
      <c r="B286" s="3" t="s">
        <v>3009</v>
      </c>
      <c r="C286" s="3" t="s">
        <v>3010</v>
      </c>
      <c r="D286" s="3" t="s">
        <v>2575</v>
      </c>
      <c r="E286" s="2"/>
      <c r="F286" s="3" t="str">
        <f>IFERROR(__xludf.DUMMYFUNCTION("GOOGLETRANSLATE(A286, ""it"", ""en"")"),"289")</f>
        <v>289</v>
      </c>
      <c r="G286" s="3" t="str">
        <f>IFERROR(__xludf.DUMMYFUNCTION("GOOGLETRANSLATE(B286, ""it"", ""en"")"),"A. What happens if a horse is accidentally hit by another horse?")</f>
        <v>A. What happens if a horse is accidentally hit by another horse?</v>
      </c>
      <c r="H286" s="3" t="str">
        <f>IFERROR(__xludf.DUMMYFUNCTION("GOOGLETRANSLATE(C286, ""it"", ""en"")"),"A. The race continues normally B. The horse that caused the hit is penalized C. The horse that was hit receives a warning D. The horse that was hit is penalized")</f>
        <v>A. The race continues normally B. The horse that caused the hit is penalized C. The horse that was hit receives a warning D. The horse that was hit is penalized</v>
      </c>
      <c r="I286" s="3" t="str">
        <f>IFERROR(__xludf.DUMMYFUNCTION("GOOGLETRANSLATE(D286, ""it"", ""en"")"),"The race continues normally")</f>
        <v>The race continues normally</v>
      </c>
      <c r="J286" s="2"/>
      <c r="K286" s="2"/>
      <c r="L286" s="2"/>
      <c r="M286" s="2"/>
      <c r="N286" s="2"/>
      <c r="O286" s="2"/>
      <c r="P286" s="2"/>
      <c r="Q286" s="2"/>
      <c r="R286" s="2"/>
      <c r="S286" s="2"/>
      <c r="T286" s="2"/>
      <c r="U286" s="2"/>
      <c r="V286" s="2"/>
    </row>
    <row r="287" ht="22.5" customHeight="1">
      <c r="A287" s="3">
        <v>290.0</v>
      </c>
      <c r="B287" s="3" t="s">
        <v>2967</v>
      </c>
      <c r="C287" s="3" t="s">
        <v>2953</v>
      </c>
      <c r="D287" s="3" t="s">
        <v>2636</v>
      </c>
      <c r="E287" s="2"/>
      <c r="F287" s="3" t="str">
        <f>IFERROR(__xludf.DUMMYFUNCTION("GOOGLETRANSLATE(A287, ""it"", ""en"")"),"290")</f>
        <v>290</v>
      </c>
      <c r="G287" s="3" t="str">
        <f>IFERROR(__xludf.DUMMYFUNCTION("GOOGLETRANSLATE(B287, ""it"", ""en"")"),"A. What happens if a horse loses its rider during the race?")</f>
        <v>A. What happens if a horse loses its rider during the race?</v>
      </c>
      <c r="H287" s="3" t="str">
        <f>IFERROR(__xludf.DUMMYFUNCTION("GOOGLETRANSLATE(C287, ""it"", ""en"")"),"A. The race continues without him B. The horse is penalized C. The horse receives a warning D. The horse is disqualified")</f>
        <v>A. The race continues without him B. The horse is penalized C. The horse receives a warning D. The horse is disqualified</v>
      </c>
      <c r="I287" s="3" t="str">
        <f>IFERROR(__xludf.DUMMYFUNCTION("GOOGLETRANSLATE(D287, ""it"", ""en"")"),"The race continues without him")</f>
        <v>The race continues without him</v>
      </c>
      <c r="J287" s="2"/>
      <c r="K287" s="2"/>
      <c r="L287" s="2"/>
      <c r="M287" s="2"/>
      <c r="N287" s="2"/>
      <c r="O287" s="2"/>
      <c r="P287" s="2"/>
      <c r="Q287" s="2"/>
      <c r="R287" s="2"/>
      <c r="S287" s="2"/>
      <c r="T287" s="2"/>
      <c r="U287" s="2"/>
      <c r="V287" s="2"/>
    </row>
    <row r="288" ht="22.5" customHeight="1">
      <c r="A288" s="3">
        <v>291.0</v>
      </c>
      <c r="B288" s="3" t="s">
        <v>3011</v>
      </c>
      <c r="C288" s="3" t="s">
        <v>2897</v>
      </c>
      <c r="D288" s="3" t="s">
        <v>2636</v>
      </c>
      <c r="E288" s="2"/>
      <c r="F288" s="3" t="str">
        <f>IFERROR(__xludf.DUMMYFUNCTION("GOOGLETRANSLATE(A288, ""it"", ""en"")"),"291")</f>
        <v>291</v>
      </c>
      <c r="G288" s="3" t="str">
        <f>IFERROR(__xludf.DUMMYFUNCTION("GOOGLETRANSLATE(B288, ""it"", ""en"")"),"A. What happens if a horse doesn't complete the course for health reasons?")</f>
        <v>A. What happens if a horse doesn't complete the course for health reasons?</v>
      </c>
      <c r="H288" s="3" t="str">
        <f>IFERROR(__xludf.DUMMYFUNCTION("GOOGLETRANSLATE(C288, ""it"", ""en"")"),"A. The horse is excluded from the race B. The race continues without him C. The horse receives a warning D. The horse is penalized")</f>
        <v>A. The horse is excluded from the race B. The race continues without him C. The horse receives a warning D. The horse is penalized</v>
      </c>
      <c r="I288" s="3" t="str">
        <f>IFERROR(__xludf.DUMMYFUNCTION("GOOGLETRANSLATE(D288, ""it"", ""en"")"),"The race continues without him")</f>
        <v>The race continues without him</v>
      </c>
      <c r="J288" s="2"/>
      <c r="K288" s="2"/>
      <c r="L288" s="2"/>
      <c r="M288" s="2"/>
      <c r="N288" s="2"/>
      <c r="O288" s="2"/>
      <c r="P288" s="2"/>
      <c r="Q288" s="2"/>
      <c r="R288" s="2"/>
      <c r="S288" s="2"/>
      <c r="T288" s="2"/>
      <c r="U288" s="2"/>
      <c r="V288" s="2"/>
    </row>
    <row r="289" ht="22.5" customHeight="1">
      <c r="A289" s="3">
        <v>292.0</v>
      </c>
      <c r="B289" s="3" t="s">
        <v>3012</v>
      </c>
      <c r="C289" s="3" t="s">
        <v>2828</v>
      </c>
      <c r="D289" s="3" t="s">
        <v>2636</v>
      </c>
      <c r="E289" s="2"/>
      <c r="F289" s="3" t="str">
        <f>IFERROR(__xludf.DUMMYFUNCTION("GOOGLETRANSLATE(A289, ""it"", ""en"")"),"292")</f>
        <v>292</v>
      </c>
      <c r="G289" s="3" t="str">
        <f>IFERROR(__xludf.DUMMYFUNCTION("GOOGLETRANSLATE(B289, ""it"", ""en"")"),"A. What happens if a horse misses the time limit for the race?")</f>
        <v>A. What happens if a horse misses the time limit for the race?</v>
      </c>
      <c r="H289" s="3" t="str">
        <f>IFERROR(__xludf.DUMMYFUNCTION("GOOGLETRANSLATE(C289, ""it"", ""en"")"),"A. The horse is penalized B. The race continues without him C. The horse receives a warning D. The horse is disqualified")</f>
        <v>A. The horse is penalized B. The race continues without him C. The horse receives a warning D. The horse is disqualified</v>
      </c>
      <c r="I289" s="3" t="str">
        <f>IFERROR(__xludf.DUMMYFUNCTION("GOOGLETRANSLATE(D289, ""it"", ""en"")"),"The race continues without him")</f>
        <v>The race continues without him</v>
      </c>
      <c r="J289" s="2"/>
      <c r="K289" s="2"/>
      <c r="L289" s="2"/>
      <c r="M289" s="2"/>
      <c r="N289" s="2"/>
      <c r="O289" s="2"/>
      <c r="P289" s="2"/>
      <c r="Q289" s="2"/>
      <c r="R289" s="2"/>
      <c r="S289" s="2"/>
      <c r="T289" s="2"/>
      <c r="U289" s="2"/>
      <c r="V289" s="2"/>
    </row>
    <row r="290" ht="22.5" customHeight="1">
      <c r="A290" s="3">
        <v>293.0</v>
      </c>
      <c r="B290" s="3" t="s">
        <v>3013</v>
      </c>
      <c r="C290" s="3" t="s">
        <v>2783</v>
      </c>
      <c r="D290" s="3" t="s">
        <v>2559</v>
      </c>
      <c r="E290" s="2"/>
      <c r="F290" s="3" t="str">
        <f>IFERROR(__xludf.DUMMYFUNCTION("GOOGLETRANSLATE(A290, ""it"", ""en"")"),"293")</f>
        <v>293</v>
      </c>
      <c r="G290" s="3" t="str">
        <f>IFERROR(__xludf.DUMMYFUNCTION("GOOGLETRANSLATE(B290, ""it"", ""en"")"),"A. What happens if a horse runs too fast compared to average?")</f>
        <v>A. What happens if a horse runs too fast compared to average?</v>
      </c>
      <c r="H290" s="3" t="str">
        <f>IFERROR(__xludf.DUMMYFUNCTION("GOOGLETRANSLATE(C290, ""it"", ""en"")"),"A. The horse is penalized B. The race continues normally C. The horse receives a warning D. The horse is disqualified")</f>
        <v>A. The horse is penalized B. The race continues normally C. The horse receives a warning D. The horse is disqualified</v>
      </c>
      <c r="I290" s="3" t="str">
        <f>IFERROR(__xludf.DUMMYFUNCTION("GOOGLETRANSLATE(D290, ""it"", ""en"")"),"The horse is penalized")</f>
        <v>The horse is penalized</v>
      </c>
      <c r="J290" s="2"/>
      <c r="K290" s="2"/>
      <c r="L290" s="2"/>
      <c r="M290" s="2"/>
      <c r="N290" s="2"/>
      <c r="O290" s="2"/>
      <c r="P290" s="2"/>
      <c r="Q290" s="2"/>
      <c r="R290" s="2"/>
      <c r="S290" s="2"/>
      <c r="T290" s="2"/>
      <c r="U290" s="2"/>
      <c r="V290" s="2"/>
    </row>
    <row r="291" ht="22.5" customHeight="1">
      <c r="A291" s="3">
        <v>294.0</v>
      </c>
      <c r="B291" s="3" t="s">
        <v>3014</v>
      </c>
      <c r="C291" s="3" t="s">
        <v>2783</v>
      </c>
      <c r="D291" s="3" t="s">
        <v>2559</v>
      </c>
      <c r="E291" s="2"/>
      <c r="F291" s="3" t="str">
        <f>IFERROR(__xludf.DUMMYFUNCTION("GOOGLETRANSLATE(A291, ""it"", ""en"")"),"294")</f>
        <v>294</v>
      </c>
      <c r="G291" s="3" t="str">
        <f>IFERROR(__xludf.DUMMYFUNCTION("GOOGLETRANSLATE(B291, ""it"", ""en"")"),"A. What happens if a horse changes lanes during the race for no reason?")</f>
        <v>A. What happens if a horse changes lanes during the race for no reason?</v>
      </c>
      <c r="H291" s="3" t="str">
        <f>IFERROR(__xludf.DUMMYFUNCTION("GOOGLETRANSLATE(C291, ""it"", ""en"")"),"A. The horse is penalized B. The race continues normally C. The horse receives a warning D. The horse is disqualified")</f>
        <v>A. The horse is penalized B. The race continues normally C. The horse receives a warning D. The horse is disqualified</v>
      </c>
      <c r="I291" s="3" t="str">
        <f>IFERROR(__xludf.DUMMYFUNCTION("GOOGLETRANSLATE(D291, ""it"", ""en"")"),"The horse is penalized")</f>
        <v>The horse is penalized</v>
      </c>
      <c r="J291" s="2"/>
      <c r="K291" s="2"/>
      <c r="L291" s="2"/>
      <c r="M291" s="2"/>
      <c r="N291" s="2"/>
      <c r="O291" s="2"/>
      <c r="P291" s="2"/>
      <c r="Q291" s="2"/>
      <c r="R291" s="2"/>
      <c r="S291" s="2"/>
      <c r="T291" s="2"/>
      <c r="U291" s="2"/>
      <c r="V291" s="2"/>
    </row>
    <row r="292" ht="22.5" customHeight="1">
      <c r="A292" s="3">
        <v>295.0</v>
      </c>
      <c r="B292" s="3" t="s">
        <v>3015</v>
      </c>
      <c r="C292" s="3" t="s">
        <v>3016</v>
      </c>
      <c r="D292" s="3" t="s">
        <v>2636</v>
      </c>
      <c r="E292" s="2"/>
      <c r="F292" s="3" t="str">
        <f>IFERROR(__xludf.DUMMYFUNCTION("GOOGLETRANSLATE(A292, ""it"", ""en"")"),"295")</f>
        <v>295</v>
      </c>
      <c r="G292" s="3" t="str">
        <f>IFERROR(__xludf.DUMMYFUNCTION("GOOGLETRANSLATE(B292, ""it"", ""en"")"),"A. What happens if a horse loses a shoe during the race?")</f>
        <v>A. What happens if a horse loses a shoe during the race?</v>
      </c>
      <c r="H292" s="3" t="str">
        <f>IFERROR(__xludf.DUMMYFUNCTION("GOOGLETRANSLATE(C292, ""it"", ""en"")"),"A. The horse is penalized B. The horse is excluded from the race C. The race continues without him D. The horse receives a warning")</f>
        <v>A. The horse is penalized B. The horse is excluded from the race C. The race continues without him D. The horse receives a warning</v>
      </c>
      <c r="I292" s="3" t="str">
        <f>IFERROR(__xludf.DUMMYFUNCTION("GOOGLETRANSLATE(D292, ""it"", ""en"")"),"The race continues without him")</f>
        <v>The race continues without him</v>
      </c>
      <c r="J292" s="2"/>
      <c r="K292" s="2"/>
      <c r="L292" s="2"/>
      <c r="M292" s="2"/>
      <c r="N292" s="2"/>
      <c r="O292" s="2"/>
      <c r="P292" s="2"/>
      <c r="Q292" s="2"/>
      <c r="R292" s="2"/>
      <c r="S292" s="2"/>
      <c r="T292" s="2"/>
      <c r="U292" s="2"/>
      <c r="V292" s="2"/>
    </row>
    <row r="293" ht="22.5" customHeight="1">
      <c r="A293" s="3">
        <v>296.0</v>
      </c>
      <c r="B293" s="3" t="s">
        <v>3017</v>
      </c>
      <c r="C293" s="3" t="s">
        <v>3018</v>
      </c>
      <c r="D293" s="3" t="s">
        <v>2655</v>
      </c>
      <c r="E293" s="2"/>
      <c r="F293" s="3" t="str">
        <f>IFERROR(__xludf.DUMMYFUNCTION("GOOGLETRANSLATE(A293, ""it"", ""en"")"),"296")</f>
        <v>296</v>
      </c>
      <c r="G293" s="3" t="str">
        <f>IFERROR(__xludf.DUMMYFUNCTION("GOOGLETRANSLATE(B293, ""it"", ""en"")"),"A. What happens if two horses cross the finish line together?")</f>
        <v>A. What happens if two horses cross the finish line together?</v>
      </c>
      <c r="H293" s="3" t="str">
        <f>IFERROR(__xludf.DUMMYFUNCTION("GOOGLETRANSLATE(C293, ""it"", ""en"")"),"A. Both horses are considered winners B. The race is re-run C. The horse that completes the fastest lap wins D. The horse that crosses the finish line first wins")</f>
        <v>A. Both horses are considered winners B. The race is re-run C. The horse that completes the fastest lap wins D. The horse that crosses the finish line first wins</v>
      </c>
      <c r="I293" s="3" t="str">
        <f>IFERROR(__xludf.DUMMYFUNCTION("GOOGLETRANSLATE(D293, ""it"", ""en"")"),"The race is repeated")</f>
        <v>The race is repeated</v>
      </c>
      <c r="J293" s="2"/>
      <c r="K293" s="2"/>
      <c r="L293" s="2"/>
      <c r="M293" s="2"/>
      <c r="N293" s="2"/>
      <c r="O293" s="2"/>
      <c r="P293" s="2"/>
      <c r="Q293" s="2"/>
      <c r="R293" s="2"/>
      <c r="S293" s="2"/>
      <c r="T293" s="2"/>
      <c r="U293" s="2"/>
      <c r="V293" s="2"/>
    </row>
    <row r="294" ht="22.5" customHeight="1">
      <c r="A294" s="3">
        <v>297.0</v>
      </c>
      <c r="B294" s="3" t="s">
        <v>3019</v>
      </c>
      <c r="C294" s="3" t="s">
        <v>2959</v>
      </c>
      <c r="D294" s="3" t="s">
        <v>2636</v>
      </c>
      <c r="E294" s="2"/>
      <c r="F294" s="3" t="str">
        <f>IFERROR(__xludf.DUMMYFUNCTION("GOOGLETRANSLATE(A294, ""it"", ""en"")"),"297")</f>
        <v>297</v>
      </c>
      <c r="G294" s="3" t="str">
        <f>IFERROR(__xludf.DUMMYFUNCTION("GOOGLETRANSLATE(B294, ""it"", ""en"")"),"A. What happens if a horse stops before the finish line for health reasons?")</f>
        <v>A. What happens if a horse stops before the finish line for health reasons?</v>
      </c>
      <c r="H294" s="3" t="str">
        <f>IFERROR(__xludf.DUMMYFUNCTION("GOOGLETRANSLATE(C294, ""it"", ""en"")"),"A. The race continues without him B. The horse is penalized C. The horse receives a warning D. The horse is excluded from the race")</f>
        <v>A. The race continues without him B. The horse is penalized C. The horse receives a warning D. The horse is excluded from the race</v>
      </c>
      <c r="I294" s="3" t="str">
        <f>IFERROR(__xludf.DUMMYFUNCTION("GOOGLETRANSLATE(D294, ""it"", ""en"")"),"The race continues without him")</f>
        <v>The race continues without him</v>
      </c>
      <c r="J294" s="2"/>
      <c r="K294" s="2"/>
      <c r="L294" s="2"/>
      <c r="M294" s="2"/>
      <c r="N294" s="2"/>
      <c r="O294" s="2"/>
      <c r="P294" s="2"/>
      <c r="Q294" s="2"/>
      <c r="R294" s="2"/>
      <c r="S294" s="2"/>
      <c r="T294" s="2"/>
      <c r="U294" s="2"/>
      <c r="V294" s="2"/>
    </row>
    <row r="295" ht="22.5" customHeight="1">
      <c r="A295" s="3">
        <v>298.0</v>
      </c>
      <c r="B295" s="3" t="s">
        <v>3020</v>
      </c>
      <c r="C295" s="3" t="s">
        <v>3021</v>
      </c>
      <c r="D295" s="3" t="s">
        <v>2540</v>
      </c>
      <c r="E295" s="2"/>
      <c r="F295" s="3" t="str">
        <f>IFERROR(__xludf.DUMMYFUNCTION("GOOGLETRANSLATE(A295, ""it"", ""en"")"),"298")</f>
        <v>298</v>
      </c>
      <c r="G295" s="3" t="str">
        <f>IFERROR(__xludf.DUMMYFUNCTION("GOOGLETRANSLATE(B295, ""it"", ""en"")"),"A. What happens if a horse runs without its rider?")</f>
        <v>A. What happens if a horse runs without its rider?</v>
      </c>
      <c r="H295" s="3" t="str">
        <f>IFERROR(__xludf.DUMMYFUNCTION("GOOGLETRANSLATE(C295, ""it"", ""en"")"),"A. The horse is disqualified B. The race continues normally C. The horse receives a warning D. The horse is penalized")</f>
        <v>A. The horse is disqualified B. The race continues normally C. The horse receives a warning D. The horse is penalized</v>
      </c>
      <c r="I295" s="3" t="str">
        <f>IFERROR(__xludf.DUMMYFUNCTION("GOOGLETRANSLATE(D295, ""it"", ""en"")"),"The horse is disqualified")</f>
        <v>The horse is disqualified</v>
      </c>
      <c r="J295" s="2"/>
      <c r="K295" s="2"/>
      <c r="L295" s="2"/>
      <c r="M295" s="2"/>
      <c r="N295" s="2"/>
      <c r="O295" s="2"/>
      <c r="P295" s="2"/>
      <c r="Q295" s="2"/>
      <c r="R295" s="2"/>
      <c r="S295" s="2"/>
      <c r="T295" s="2"/>
      <c r="U295" s="2"/>
      <c r="V295" s="2"/>
    </row>
    <row r="296" ht="22.5" customHeight="1">
      <c r="A296" s="3">
        <v>299.0</v>
      </c>
      <c r="B296" s="3" t="s">
        <v>3022</v>
      </c>
      <c r="C296" s="3" t="s">
        <v>2745</v>
      </c>
      <c r="D296" s="3" t="s">
        <v>2559</v>
      </c>
      <c r="E296" s="2"/>
      <c r="F296" s="3" t="str">
        <f>IFERROR(__xludf.DUMMYFUNCTION("GOOGLETRANSLATE(A296, ""it"", ""en"")"),"299")</f>
        <v>299</v>
      </c>
      <c r="G296" s="3" t="str">
        <f>IFERROR(__xludf.DUMMYFUNCTION("GOOGLETRANSLATE(B296, ""it"", ""en"")"),"A. What happens if a horse doesn't follow the starting rules?")</f>
        <v>A. What happens if a horse doesn't follow the starting rules?</v>
      </c>
      <c r="H296" s="3" t="str">
        <f>IFERROR(__xludf.DUMMYFUNCTION("GOOGLETRANSLATE(C296, ""it"", ""en"")"),"A. The horse is penalized B. The horse receives a warning C. The race continues normally D. The horse is disqualified")</f>
        <v>A. The horse is penalized B. The horse receives a warning C. The race continues normally D. The horse is disqualified</v>
      </c>
      <c r="I296" s="3" t="str">
        <f>IFERROR(__xludf.DUMMYFUNCTION("GOOGLETRANSLATE(D296, ""it"", ""en"")"),"The horse is penalized")</f>
        <v>The horse is penalized</v>
      </c>
      <c r="J296" s="2"/>
      <c r="K296" s="2"/>
      <c r="L296" s="2"/>
      <c r="M296" s="2"/>
      <c r="N296" s="2"/>
      <c r="O296" s="2"/>
      <c r="P296" s="2"/>
      <c r="Q296" s="2"/>
      <c r="R296" s="2"/>
      <c r="S296" s="2"/>
      <c r="T296" s="2"/>
      <c r="U296" s="2"/>
      <c r="V296" s="2"/>
    </row>
    <row r="297" ht="22.5" customHeight="1">
      <c r="A297" s="3">
        <v>300.0</v>
      </c>
      <c r="B297" s="3" t="s">
        <v>3023</v>
      </c>
      <c r="C297" s="3" t="s">
        <v>3024</v>
      </c>
      <c r="D297" s="3" t="s">
        <v>2559</v>
      </c>
      <c r="E297" s="2"/>
      <c r="F297" s="3" t="str">
        <f>IFERROR(__xludf.DUMMYFUNCTION("GOOGLETRANSLATE(A297, ""it"", ""en"")"),"300")</f>
        <v>300</v>
      </c>
      <c r="G297" s="3" t="str">
        <f>IFERROR(__xludf.DUMMYFUNCTION("GOOGLETRANSLATE(B297, ""it"", ""en"")"),"A. What happens if a horse wins but doesn't follow the rules during the race?")</f>
        <v>A. What happens if a horse wins but doesn't follow the rules during the race?</v>
      </c>
      <c r="H297" s="3" t="str">
        <f>IFERROR(__xludf.DUMMYFUNCTION("GOOGLETRANSLATE(C297, ""it"", ""en"")"),"A. The horse is penalized B. The victory is annulled C. The horse receives a warning D. The race continues normally")</f>
        <v>A. The horse is penalized B. The victory is annulled C. The horse receives a warning D. The race continues normally</v>
      </c>
      <c r="I297" s="3" t="str">
        <f>IFERROR(__xludf.DUMMYFUNCTION("GOOGLETRANSLATE(D297, ""it"", ""en"")"),"The horse is penalized")</f>
        <v>The horse is penalized</v>
      </c>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3025</v>
      </c>
      <c r="D1" s="1" t="s">
        <v>3</v>
      </c>
      <c r="E1" s="2"/>
      <c r="F1" s="1" t="s">
        <v>0</v>
      </c>
      <c r="G1" s="1" t="s">
        <v>4</v>
      </c>
      <c r="H1" s="1" t="s">
        <v>5</v>
      </c>
      <c r="I1" s="1" t="s">
        <v>6</v>
      </c>
      <c r="J1" s="2"/>
      <c r="K1" s="2"/>
      <c r="L1" s="2"/>
      <c r="M1" s="2"/>
      <c r="N1" s="2"/>
      <c r="O1" s="2"/>
      <c r="P1" s="2"/>
      <c r="Q1" s="2"/>
      <c r="R1" s="2"/>
      <c r="S1" s="2"/>
      <c r="T1" s="2"/>
      <c r="U1" s="2"/>
      <c r="V1" s="2"/>
      <c r="W1" s="2"/>
    </row>
    <row r="2" ht="22.5" customHeight="1">
      <c r="A2" s="3">
        <v>1.0</v>
      </c>
      <c r="B2" s="3" t="s">
        <v>3026</v>
      </c>
      <c r="C2" s="3" t="s">
        <v>3027</v>
      </c>
      <c r="D2" s="3" t="s">
        <v>3028</v>
      </c>
      <c r="E2" s="2"/>
      <c r="F2" s="3" t="str">
        <f>IFERROR(__xludf.DUMMYFUNCTION("GOOGLETRANSLATE(A2, ""it"", ""en"")"),"1")</f>
        <v>1</v>
      </c>
      <c r="G2" s="3" t="str">
        <f>IFERROR(__xludf.DUMMYFUNCTION("GOOGLETRANSLATE(B2, ""it"", ""en"")"),"What is the correct position when skiing downhill?")</f>
        <v>What is the correct position when skiing downhill?</v>
      </c>
      <c r="H2" s="3" t="str">
        <f>IFERROR(__xludf.DUMMYFUNCTION("GOOGLETRANSLATE(C2, ""it"", ""en"")"),"A. Straight and stiff B. Slightly bent with flexible knees C. Back leaning backwards D. Sitting on skis")</f>
        <v>A. Straight and stiff B. Slightly bent with flexible knees C. Back leaning backwards D. Sitting on skis</v>
      </c>
      <c r="I2" s="3" t="str">
        <f>IFERROR(__xludf.DUMMYFUNCTION("GOOGLETRANSLATE(D2, ""it"", ""en"")"),"Slightly bent with flexible knees")</f>
        <v>Slightly bent with flexible knees</v>
      </c>
      <c r="J2" s="2"/>
      <c r="K2" s="2"/>
      <c r="L2" s="2"/>
      <c r="M2" s="2"/>
      <c r="N2" s="2"/>
      <c r="O2" s="2"/>
      <c r="P2" s="2"/>
      <c r="Q2" s="2"/>
      <c r="R2" s="2"/>
      <c r="S2" s="2"/>
      <c r="T2" s="2"/>
      <c r="U2" s="2"/>
      <c r="V2" s="2"/>
      <c r="W2" s="2"/>
    </row>
    <row r="3" ht="22.5" customHeight="1">
      <c r="A3" s="3">
        <v>2.0</v>
      </c>
      <c r="B3" s="3" t="s">
        <v>3029</v>
      </c>
      <c r="C3" s="3" t="s">
        <v>3030</v>
      </c>
      <c r="D3" s="3" t="s">
        <v>3031</v>
      </c>
      <c r="E3" s="2"/>
      <c r="F3" s="3" t="str">
        <f>IFERROR(__xludf.DUMMYFUNCTION("GOOGLETRANSLATE(A3, ""it"", ""en"")"),"2")</f>
        <v>2</v>
      </c>
      <c r="G3" s="3" t="str">
        <f>IFERROR(__xludf.DUMMYFUNCTION("GOOGLETRANSLATE(B3, ""it"", ""en"")"),"What equipment is essential for mountain safety?")</f>
        <v>What equipment is essential for mountain safety?</v>
      </c>
      <c r="H3" s="3" t="str">
        <f>IFERROR(__xludf.DUMMYFUNCTION("GOOGLETRANSLATE(C3, ""it"", ""en"")"),"A. Headphones B. Protective mask C. First aid kit D. A thermos of tea")</f>
        <v>A. Headphones B. Protective mask C. First aid kit D. A thermos of tea</v>
      </c>
      <c r="I3" s="3" t="str">
        <f>IFERROR(__xludf.DUMMYFUNCTION("GOOGLETRANSLATE(D3, ""it"", ""en"")"),"First aid kit")</f>
        <v>First aid kit</v>
      </c>
      <c r="J3" s="2"/>
      <c r="K3" s="2"/>
      <c r="L3" s="2"/>
      <c r="M3" s="2"/>
      <c r="N3" s="2"/>
      <c r="O3" s="2"/>
      <c r="P3" s="2"/>
      <c r="Q3" s="2"/>
      <c r="R3" s="2"/>
      <c r="S3" s="2"/>
      <c r="T3" s="2"/>
      <c r="U3" s="2"/>
      <c r="V3" s="2"/>
      <c r="W3" s="2"/>
    </row>
    <row r="4" ht="22.5" customHeight="1">
      <c r="A4" s="3">
        <v>3.0</v>
      </c>
      <c r="B4" s="3" t="s">
        <v>3032</v>
      </c>
      <c r="C4" s="3" t="s">
        <v>3033</v>
      </c>
      <c r="D4" s="3" t="s">
        <v>3034</v>
      </c>
      <c r="E4" s="2"/>
      <c r="F4" s="3" t="str">
        <f>IFERROR(__xludf.DUMMYFUNCTION("GOOGLETRANSLATE(A4, ""it"", ""en"")"),"3")</f>
        <v>3</v>
      </c>
      <c r="G4" s="3" t="str">
        <f>IFERROR(__xludf.DUMMYFUNCTION("GOOGLETRANSLATE(B4, ""it"", ""en"")"),"What is the main function of metal-edged skis?")</f>
        <v>What is the main function of metal-edged skis?</v>
      </c>
      <c r="H4" s="3" t="str">
        <f>IFERROR(__xludf.DUMMYFUNCTION("GOOGLETRANSLATE(C4, ""it"", ""en"")"),"A. Decorate the skis B. Allow for faster gliding C. Provide grip on icy snow D. Increase the weight of the skis")</f>
        <v>A. Decorate the skis B. Allow for faster gliding C. Provide grip on icy snow D. Increase the weight of the skis</v>
      </c>
      <c r="I4" s="3" t="str">
        <f>IFERROR(__xludf.DUMMYFUNCTION("GOOGLETRANSLATE(D4, ""it"", ""en"")"),"Provide grip on icy snow")</f>
        <v>Provide grip on icy snow</v>
      </c>
      <c r="J4" s="2"/>
      <c r="K4" s="2"/>
      <c r="L4" s="2"/>
      <c r="M4" s="2"/>
      <c r="N4" s="2"/>
      <c r="O4" s="2"/>
      <c r="P4" s="2"/>
      <c r="Q4" s="2"/>
      <c r="R4" s="2"/>
      <c r="S4" s="2"/>
      <c r="T4" s="2"/>
      <c r="U4" s="2"/>
      <c r="V4" s="2"/>
      <c r="W4" s="2"/>
    </row>
    <row r="5" ht="22.5" customHeight="1">
      <c r="A5" s="3">
        <v>4.0</v>
      </c>
      <c r="B5" s="3" t="s">
        <v>3035</v>
      </c>
      <c r="C5" s="3" t="s">
        <v>3036</v>
      </c>
      <c r="D5" s="3" t="s">
        <v>3037</v>
      </c>
      <c r="E5" s="2"/>
      <c r="F5" s="3" t="str">
        <f>IFERROR(__xludf.DUMMYFUNCTION("GOOGLETRANSLATE(A5, ""it"", ""en"")"),"4")</f>
        <v>4</v>
      </c>
      <c r="G5" s="3" t="str">
        <f>IFERROR(__xludf.DUMMYFUNCTION("GOOGLETRANSLATE(B5, ""it"", ""en"")"),"What does a red flag next to the track mean?")</f>
        <v>What does a red flag next to the track mean?</v>
      </c>
      <c r="H5" s="3" t="str">
        <f>IFERROR(__xludf.DUMMYFUNCTION("GOOGLETRANSLATE(C5, ""it"", ""en"")"),"A. The slope is closed B. Dangerous weather conditions C. Descent for experts D. Area for beginners")</f>
        <v>A. The slope is closed B. Dangerous weather conditions C. Descent for experts D. Area for beginners</v>
      </c>
      <c r="I5" s="3" t="str">
        <f>IFERROR(__xludf.DUMMYFUNCTION("GOOGLETRANSLATE(D5, ""it"", ""en"")"),"The track is closed")</f>
        <v>The track is closed</v>
      </c>
      <c r="J5" s="2"/>
      <c r="K5" s="2"/>
      <c r="L5" s="2"/>
      <c r="M5" s="2"/>
      <c r="N5" s="2"/>
      <c r="O5" s="2"/>
      <c r="P5" s="2"/>
      <c r="Q5" s="2"/>
      <c r="R5" s="2"/>
      <c r="S5" s="2"/>
      <c r="T5" s="2"/>
      <c r="U5" s="2"/>
      <c r="V5" s="2"/>
      <c r="W5" s="2"/>
    </row>
    <row r="6" ht="22.5" customHeight="1">
      <c r="A6" s="3">
        <v>5.0</v>
      </c>
      <c r="B6" s="3" t="s">
        <v>3038</v>
      </c>
      <c r="C6" s="3" t="s">
        <v>3039</v>
      </c>
      <c r="D6" s="3" t="s">
        <v>3040</v>
      </c>
      <c r="E6" s="2"/>
      <c r="F6" s="3" t="str">
        <f>IFERROR(__xludf.DUMMYFUNCTION("GOOGLETRANSLATE(A6, ""it"", ""en"")"),"5")</f>
        <v>5</v>
      </c>
      <c r="G6" s="3" t="str">
        <f>IFERROR(__xludf.DUMMYFUNCTION("GOOGLETRANSLATE(B6, ""it"", ""en"")"),"What does a blue line on the track mean?")</f>
        <v>What does a blue line on the track mean?</v>
      </c>
      <c r="H6" s="3" t="str">
        <f>IFERROR(__xludf.DUMMYFUNCTION("GOOGLETRANSLATE(C6, ""it"", ""en"")"),"A. Indicates an easy trail B. Indicates a difficult trail C. Indicates a closed trail D. Indicates an off-piste trail")</f>
        <v>A. Indicates an easy trail B. Indicates a difficult trail C. Indicates a closed trail D. Indicates an off-piste trail</v>
      </c>
      <c r="I6" s="3" t="str">
        <f>IFERROR(__xludf.DUMMYFUNCTION("GOOGLETRANSLATE(D6, ""it"", ""en"")"),"Indicates an easy trail")</f>
        <v>Indicates an easy trail</v>
      </c>
      <c r="J6" s="2"/>
      <c r="K6" s="2"/>
      <c r="L6" s="2"/>
      <c r="M6" s="2"/>
      <c r="N6" s="2"/>
      <c r="O6" s="2"/>
      <c r="P6" s="2"/>
      <c r="Q6" s="2"/>
      <c r="R6" s="2"/>
      <c r="S6" s="2"/>
      <c r="T6" s="2"/>
      <c r="U6" s="2"/>
      <c r="V6" s="2"/>
      <c r="W6" s="2"/>
    </row>
    <row r="7" ht="22.5" customHeight="1">
      <c r="A7" s="3">
        <v>6.0</v>
      </c>
      <c r="B7" s="3" t="s">
        <v>3041</v>
      </c>
      <c r="C7" s="3" t="s">
        <v>3042</v>
      </c>
      <c r="D7" s="3" t="s">
        <v>3043</v>
      </c>
      <c r="E7" s="2"/>
      <c r="F7" s="3" t="str">
        <f>IFERROR(__xludf.DUMMYFUNCTION("GOOGLETRANSLATE(A7, ""it"", ""en"")"),"6")</f>
        <v>6</v>
      </c>
      <c r="G7" s="3" t="str">
        <f>IFERROR(__xludf.DUMMYFUNCTION("GOOGLETRANSLATE(B7, ""it"", ""en"")"),"What technique is used to slow down while skiing?")</f>
        <v>What technique is used to slow down while skiing?</v>
      </c>
      <c r="H7" s="3" t="str">
        <f>IFERROR(__xludf.DUMMYFUNCTION("GOOGLETRANSLATE(C7, ""it"", ""en"")"),"A. Egg position B. Parallel C. Snowplow D. Snake curve")</f>
        <v>A. Egg position B. Parallel C. Snowplow D. Snake curve</v>
      </c>
      <c r="I7" s="3" t="str">
        <f>IFERROR(__xludf.DUMMYFUNCTION("GOOGLETRANSLATE(D7, ""it"", ""en"")"),"Snowplow")</f>
        <v>Snowplow</v>
      </c>
      <c r="J7" s="2"/>
      <c r="K7" s="2"/>
      <c r="L7" s="2"/>
      <c r="M7" s="2"/>
      <c r="N7" s="2"/>
      <c r="O7" s="2"/>
      <c r="P7" s="2"/>
      <c r="Q7" s="2"/>
      <c r="R7" s="2"/>
      <c r="S7" s="2"/>
      <c r="T7" s="2"/>
      <c r="U7" s="2"/>
      <c r="V7" s="2"/>
      <c r="W7" s="2"/>
    </row>
    <row r="8" ht="22.5" customHeight="1">
      <c r="A8" s="3">
        <v>7.0</v>
      </c>
      <c r="B8" s="3" t="s">
        <v>3044</v>
      </c>
      <c r="C8" s="3" t="s">
        <v>3045</v>
      </c>
      <c r="D8" s="3" t="s">
        <v>3046</v>
      </c>
      <c r="E8" s="2"/>
      <c r="F8" s="3" t="str">
        <f>IFERROR(__xludf.DUMMYFUNCTION("GOOGLETRANSLATE(A8, ""it"", ""en"")"),"7")</f>
        <v>7</v>
      </c>
      <c r="G8" s="3" t="str">
        <f>IFERROR(__xludf.DUMMYFUNCTION("GOOGLETRANSLATE(B8, ""it"", ""en"")"),"What is the first step in tackling a steep slope?")</f>
        <v>What is the first step in tackling a steep slope?</v>
      </c>
      <c r="H8" s="3" t="str">
        <f>IFERROR(__xludf.DUMMYFUNCTION("GOOGLETRANSLATE(C8, ""it"", ""en"")"),"A. Launch directly B. Assess the slope and plan C. Remove skis and walk D. Ask for help from an expert")</f>
        <v>A. Launch directly B. Assess the slope and plan C. Remove skis and walk D. Ask for help from an expert</v>
      </c>
      <c r="I8" s="3" t="str">
        <f>IFERROR(__xludf.DUMMYFUNCTION("GOOGLETRANSLATE(D8, ""it"", ""en"")"),"Assess the slope and plan")</f>
        <v>Assess the slope and plan</v>
      </c>
      <c r="J8" s="2"/>
      <c r="K8" s="2"/>
      <c r="L8" s="2"/>
      <c r="M8" s="2"/>
      <c r="N8" s="2"/>
      <c r="O8" s="2"/>
      <c r="P8" s="2"/>
      <c r="Q8" s="2"/>
      <c r="R8" s="2"/>
      <c r="S8" s="2"/>
      <c r="T8" s="2"/>
      <c r="U8" s="2"/>
      <c r="V8" s="2"/>
      <c r="W8" s="2"/>
    </row>
    <row r="9" ht="22.5" customHeight="1">
      <c r="A9" s="3">
        <v>8.0</v>
      </c>
      <c r="B9" s="3" t="s">
        <v>3047</v>
      </c>
      <c r="C9" s="3" t="s">
        <v>3048</v>
      </c>
      <c r="D9" s="3" t="s">
        <v>3049</v>
      </c>
      <c r="E9" s="2"/>
      <c r="F9" s="3" t="str">
        <f>IFERROR(__xludf.DUMMYFUNCTION("GOOGLETRANSLATE(A9, ""it"", ""en"")"),"8")</f>
        <v>8</v>
      </c>
      <c r="G9" s="3" t="str">
        <f>IFERROR(__xludf.DUMMYFUNCTION("GOOGLETRANSLATE(B9, ""it"", ""en"")"),"What to do if your ski releases unexpectedly?")</f>
        <v>What to do if your ski releases unexpectedly?</v>
      </c>
      <c r="H9" s="3" t="str">
        <f>IFERROR(__xludf.DUMMYFUNCTION("GOOGLETRANSLATE(C9, ""it"", ""en"")"),"A. Continue with one ski B. Recover it and check the bindings C. Ask for a new ski D. Leave the slope immediately")</f>
        <v>A. Continue with one ski B. Recover it and check the bindings C. Ask for a new ski D. Leave the slope immediately</v>
      </c>
      <c r="I9" s="3" t="str">
        <f>IFERROR(__xludf.DUMMYFUNCTION("GOOGLETRANSLATE(D9, ""it"", ""en"")"),"Recover it and control the attacks")</f>
        <v>Recover it and control the attacks</v>
      </c>
      <c r="J9" s="2"/>
      <c r="K9" s="2"/>
      <c r="L9" s="2"/>
      <c r="M9" s="2"/>
      <c r="N9" s="2"/>
      <c r="O9" s="2"/>
      <c r="P9" s="2"/>
      <c r="Q9" s="2"/>
      <c r="R9" s="2"/>
      <c r="S9" s="2"/>
      <c r="T9" s="2"/>
      <c r="U9" s="2"/>
      <c r="V9" s="2"/>
      <c r="W9" s="2"/>
    </row>
    <row r="10" ht="22.5" customHeight="1">
      <c r="A10" s="3">
        <v>9.0</v>
      </c>
      <c r="B10" s="3" t="s">
        <v>3050</v>
      </c>
      <c r="C10" s="3" t="s">
        <v>3051</v>
      </c>
      <c r="D10" s="3" t="s">
        <v>3052</v>
      </c>
      <c r="E10" s="2"/>
      <c r="F10" s="3" t="str">
        <f>IFERROR(__xludf.DUMMYFUNCTION("GOOGLETRANSLATE(A10, ""it"", ""en"")"),"9")</f>
        <v>9</v>
      </c>
      <c r="G10" s="3" t="str">
        <f>IFERROR(__xludf.DUMMYFUNCTION("GOOGLETRANSLATE(B10, ""it"", ""en"")"),"What does an ""Experts Only"" sign mean?")</f>
        <v>What does an "Experts Only" sign mean?</v>
      </c>
      <c r="H10" s="3" t="str">
        <f>IFERROR(__xludf.DUMMYFUNCTION("GOOGLETRANSLATE(C10, ""it"", ""en"")"),"A. Simple track for beginners B. Area reserved for professional athletes C. Technical and challenging track D. Area reserved for staff")</f>
        <v>A. Simple track for beginners B. Area reserved for professional athletes C. Technical and challenging track D. Area reserved for staff</v>
      </c>
      <c r="I10" s="3" t="str">
        <f>IFERROR(__xludf.DUMMYFUNCTION("GOOGLETRANSLATE(D10, ""it"", ""en"")"),"Technical and challenging track")</f>
        <v>Technical and challenging track</v>
      </c>
      <c r="J10" s="2"/>
      <c r="K10" s="2"/>
      <c r="L10" s="2"/>
      <c r="M10" s="2"/>
      <c r="N10" s="2"/>
      <c r="O10" s="2"/>
      <c r="P10" s="2"/>
      <c r="Q10" s="2"/>
      <c r="R10" s="2"/>
      <c r="S10" s="2"/>
      <c r="T10" s="2"/>
      <c r="U10" s="2"/>
      <c r="V10" s="2"/>
      <c r="W10" s="2"/>
    </row>
    <row r="11" ht="22.5" customHeight="1">
      <c r="A11" s="3">
        <v>10.0</v>
      </c>
      <c r="B11" s="3" t="s">
        <v>3053</v>
      </c>
      <c r="C11" s="3" t="s">
        <v>3054</v>
      </c>
      <c r="D11" s="3" t="s">
        <v>3055</v>
      </c>
      <c r="E11" s="2"/>
      <c r="F11" s="3" t="str">
        <f>IFERROR(__xludf.DUMMYFUNCTION("GOOGLETRANSLATE(A11, ""it"", ""en"")"),"10")</f>
        <v>10</v>
      </c>
      <c r="G11" s="3" t="str">
        <f>IFERROR(__xludf.DUMMYFUNCTION("GOOGLETRANSLATE(B11, ""it"", ""en"")"),"What is the purpose of ski helmets?")</f>
        <v>What is the purpose of ski helmets?</v>
      </c>
      <c r="H11" s="3" t="str">
        <f>IFERROR(__xludf.DUMMYFUNCTION("GOOGLETRANSLATE(C11, ""it"", ""en"")"),"A. Keep your head warm B. Protect from impacts C. Aesthetic decoration D. Reduce speed")</f>
        <v>A. Keep your head warm B. Protect from impacts C. Aesthetic decoration D. Reduce speed</v>
      </c>
      <c r="I11" s="3" t="str">
        <f>IFERROR(__xludf.DUMMYFUNCTION("GOOGLETRANSLATE(D11, ""it"", ""en"")"),"Protect from impacts")</f>
        <v>Protect from impacts</v>
      </c>
      <c r="J11" s="2"/>
      <c r="K11" s="2"/>
      <c r="L11" s="2"/>
      <c r="M11" s="2"/>
      <c r="N11" s="2"/>
      <c r="O11" s="2"/>
      <c r="P11" s="2"/>
      <c r="Q11" s="2"/>
      <c r="R11" s="2"/>
      <c r="S11" s="2"/>
      <c r="T11" s="2"/>
      <c r="U11" s="2"/>
      <c r="V11" s="2"/>
      <c r="W11" s="2"/>
    </row>
    <row r="12" ht="22.5" customHeight="1">
      <c r="A12" s="3">
        <v>11.0</v>
      </c>
      <c r="B12" s="3" t="s">
        <v>3056</v>
      </c>
      <c r="C12" s="3" t="s">
        <v>3057</v>
      </c>
      <c r="D12" s="3" t="s">
        <v>3058</v>
      </c>
      <c r="E12" s="2"/>
      <c r="F12" s="3" t="str">
        <f>IFERROR(__xludf.DUMMYFUNCTION("GOOGLETRANSLATE(A12, ""it"", ""en"")"),"11")</f>
        <v>11</v>
      </c>
      <c r="G12" s="3" t="str">
        <f>IFERROR(__xludf.DUMMYFUNCTION("GOOGLETRANSLATE(B12, ""it"", ""en"")"),"What is the term used for a long, straight descent?")</f>
        <v>What is the term used for a long, straight descent?</v>
      </c>
      <c r="H12" s="3" t="str">
        <f>IFERROR(__xludf.DUMMYFUNCTION("GOOGLETRANSLATE(C12, ""it"", ""en"")"),"A. Green slope B. Carving C. Downhill slope D. Schuss")</f>
        <v>A. Green slope B. Carving C. Downhill slope D. Schuss</v>
      </c>
      <c r="I12" s="3" t="str">
        <f>IFERROR(__xludf.DUMMYFUNCTION("GOOGLETRANSLATE(D12, ""it"", ""en"")"),"Schuss")</f>
        <v>Schuss</v>
      </c>
      <c r="J12" s="2"/>
      <c r="K12" s="2"/>
      <c r="L12" s="2"/>
      <c r="M12" s="2"/>
      <c r="N12" s="2"/>
      <c r="O12" s="2"/>
      <c r="P12" s="2"/>
      <c r="Q12" s="2"/>
      <c r="R12" s="2"/>
      <c r="S12" s="2"/>
      <c r="T12" s="2"/>
      <c r="U12" s="2"/>
      <c r="V12" s="2"/>
      <c r="W12" s="2"/>
    </row>
    <row r="13" ht="22.5" customHeight="1">
      <c r="A13" s="3">
        <v>12.0</v>
      </c>
      <c r="B13" s="3" t="s">
        <v>3059</v>
      </c>
      <c r="C13" s="3" t="s">
        <v>3060</v>
      </c>
      <c r="D13" s="3" t="s">
        <v>3061</v>
      </c>
      <c r="E13" s="2"/>
      <c r="F13" s="3" t="str">
        <f>IFERROR(__xludf.DUMMYFUNCTION("GOOGLETRANSLATE(A13, ""it"", ""en"")"),"12")</f>
        <v>12</v>
      </c>
      <c r="G13" s="3" t="str">
        <f>IFERROR(__xludf.DUMMYFUNCTION("GOOGLETRANSLATE(B13, ""it"", ""en"")"),"What does a yellow flag on the track indicate?")</f>
        <v>What does a yellow flag on the track indicate?</v>
      </c>
      <c r="H13" s="3" t="str">
        <f>IFERROR(__xludf.DUMMYFUNCTION("GOOGLETRANSLATE(C13, ""it"", ""en"")"),"A. Slowdown area B. Avalanche danger C. Training area D. Start of the slope")</f>
        <v>A. Slowdown area B. Avalanche danger C. Training area D. Start of the slope</v>
      </c>
      <c r="I13" s="3" t="str">
        <f>IFERROR(__xludf.DUMMYFUNCTION("GOOGLETRANSLATE(D13, ""it"", ""en"")"),"Avalanche danger")</f>
        <v>Avalanche danger</v>
      </c>
      <c r="J13" s="2"/>
      <c r="K13" s="2"/>
      <c r="L13" s="2"/>
      <c r="M13" s="2"/>
      <c r="N13" s="2"/>
      <c r="O13" s="2"/>
      <c r="P13" s="2"/>
      <c r="Q13" s="2"/>
      <c r="R13" s="2"/>
      <c r="S13" s="2"/>
      <c r="T13" s="2"/>
      <c r="U13" s="2"/>
      <c r="V13" s="2"/>
      <c r="W13" s="2"/>
    </row>
    <row r="14" ht="22.5" customHeight="1">
      <c r="A14" s="3">
        <v>13.0</v>
      </c>
      <c r="B14" s="3" t="s">
        <v>3062</v>
      </c>
      <c r="C14" s="3" t="s">
        <v>3063</v>
      </c>
      <c r="D14" s="3" t="s">
        <v>3064</v>
      </c>
      <c r="E14" s="2"/>
      <c r="F14" s="3" t="str">
        <f>IFERROR(__xludf.DUMMYFUNCTION("GOOGLETRANSLATE(A14, ""it"", ""en"")"),"13")</f>
        <v>13</v>
      </c>
      <c r="G14" s="3" t="str">
        <f>IFERROR(__xludf.DUMMYFUNCTION("GOOGLETRANSLATE(B14, ""it"", ""en"")"),"When is it advisable to use mirrored ski goggles?")</f>
        <v>When is it advisable to use mirrored ski goggles?</v>
      </c>
      <c r="H14" s="3" t="str">
        <f>IFERROR(__xludf.DUMMYFUNCTION("GOOGLETRANSLATE(C14, ""it"", ""en"")"),"A. During heavy snowfall B. In bright sunny conditions C. On cloudy days D. During a windstorm")</f>
        <v>A. During heavy snowfall B. In bright sunny conditions C. On cloudy days D. During a windstorm</v>
      </c>
      <c r="I14" s="3" t="str">
        <f>IFERROR(__xludf.DUMMYFUNCTION("GOOGLETRANSLATE(D14, ""it"", ""en"")"),"In strong sunny conditions")</f>
        <v>In strong sunny conditions</v>
      </c>
      <c r="J14" s="2"/>
      <c r="K14" s="2"/>
      <c r="L14" s="2"/>
      <c r="M14" s="2"/>
      <c r="N14" s="2"/>
      <c r="O14" s="2"/>
      <c r="P14" s="2"/>
      <c r="Q14" s="2"/>
      <c r="R14" s="2"/>
      <c r="S14" s="2"/>
      <c r="T14" s="2"/>
      <c r="U14" s="2"/>
      <c r="V14" s="2"/>
      <c r="W14" s="2"/>
    </row>
    <row r="15" ht="22.5" customHeight="1">
      <c r="A15" s="3">
        <v>14.0</v>
      </c>
      <c r="B15" s="3" t="s">
        <v>3065</v>
      </c>
      <c r="C15" s="3" t="s">
        <v>3066</v>
      </c>
      <c r="D15" s="3" t="s">
        <v>3067</v>
      </c>
      <c r="E15" s="2"/>
      <c r="F15" s="3" t="str">
        <f>IFERROR(__xludf.DUMMYFUNCTION("GOOGLETRANSLATE(A15, ""it"", ""en"")"),"14")</f>
        <v>14</v>
      </c>
      <c r="G15" s="3" t="str">
        <f>IFERROR(__xludf.DUMMYFUNCTION("GOOGLETRANSLATE(B15, ""it"", ""en"")"),"What is the correct way to transport skis?")</f>
        <v>What is the correct way to transport skis?</v>
      </c>
      <c r="H15" s="3" t="str">
        <f>IFERROR(__xludf.DUMMYFUNCTION("GOOGLETRANSLATE(C15, ""it"", ""en"")"),"A. Carry them by the tips B. Place them crossed over your shoulders C. Tie them together and carry them over your shoulder D. Hold one ski in each hand")</f>
        <v>A. Carry them by the tips B. Place them crossed over your shoulders C. Tie them together and carry them over your shoulder D. Hold one ski in each hand</v>
      </c>
      <c r="I15" s="3" t="str">
        <f>IFERROR(__xludf.DUMMYFUNCTION("GOOGLETRANSLATE(D15, ""it"", ""en"")"),"Tie them together and carry them on your shoulder")</f>
        <v>Tie them together and carry them on your shoulder</v>
      </c>
      <c r="J15" s="2"/>
      <c r="K15" s="2"/>
      <c r="L15" s="2"/>
      <c r="M15" s="2"/>
      <c r="N15" s="2"/>
      <c r="O15" s="2"/>
      <c r="P15" s="2"/>
      <c r="Q15" s="2"/>
      <c r="R15" s="2"/>
      <c r="S15" s="2"/>
      <c r="T15" s="2"/>
      <c r="U15" s="2"/>
      <c r="V15" s="2"/>
      <c r="W15" s="2"/>
    </row>
    <row r="16" ht="22.5" customHeight="1">
      <c r="A16" s="3">
        <v>15.0</v>
      </c>
      <c r="B16" s="3" t="s">
        <v>3068</v>
      </c>
      <c r="C16" s="3" t="s">
        <v>3069</v>
      </c>
      <c r="D16" s="3" t="s">
        <v>3070</v>
      </c>
      <c r="E16" s="2"/>
      <c r="F16" s="3" t="str">
        <f>IFERROR(__xludf.DUMMYFUNCTION("GOOGLETRANSLATE(A16, ""it"", ""en"")"),"15")</f>
        <v>15</v>
      </c>
      <c r="G16" s="3" t="str">
        <f>IFERROR(__xludf.DUMMYFUNCTION("GOOGLETRANSLATE(B16, ""it"", ""en"")"),"What does a black trail on maps indicate?")</f>
        <v>What does a black trail on maps indicate?</v>
      </c>
      <c r="H16" s="3" t="str">
        <f>IFERROR(__xludf.DUMMYFUNCTION("GOOGLETRANSLATE(C16, ""it"", ""en"")"),"A. Beginner slope B. Medium difficulty slope C. Expert ski slope D. Snowboard slope")</f>
        <v>A. Beginner slope B. Medium difficulty slope C. Expert ski slope D. Snowboard slope</v>
      </c>
      <c r="I16" s="3" t="str">
        <f>IFERROR(__xludf.DUMMYFUNCTION("GOOGLETRANSLATE(D16, ""it"", ""en"")"),"Slope for expert skiers")</f>
        <v>Slope for expert skiers</v>
      </c>
      <c r="J16" s="2"/>
      <c r="K16" s="2"/>
      <c r="L16" s="2"/>
      <c r="M16" s="2"/>
      <c r="N16" s="2"/>
      <c r="O16" s="2"/>
      <c r="P16" s="2"/>
      <c r="Q16" s="2"/>
      <c r="R16" s="2"/>
      <c r="S16" s="2"/>
      <c r="T16" s="2"/>
      <c r="U16" s="2"/>
      <c r="V16" s="2"/>
      <c r="W16" s="2"/>
    </row>
    <row r="17" ht="22.5" customHeight="1">
      <c r="A17" s="3">
        <v>16.0</v>
      </c>
      <c r="B17" s="3" t="s">
        <v>3071</v>
      </c>
      <c r="C17" s="3" t="s">
        <v>3072</v>
      </c>
      <c r="D17" s="3" t="s">
        <v>3073</v>
      </c>
      <c r="E17" s="2"/>
      <c r="F17" s="3" t="str">
        <f>IFERROR(__xludf.DUMMYFUNCTION("GOOGLETRANSLATE(A17, ""it"", ""en"")"),"16")</f>
        <v>16</v>
      </c>
      <c r="G17" s="3" t="str">
        <f>IFERROR(__xludf.DUMMYFUNCTION("GOOGLETRANSLATE(B17, ""it"", ""en"")"),"What does a ""Freeride"" sign mean?")</f>
        <v>What does a "Freeride" sign mean?</v>
      </c>
      <c r="H17" s="3" t="str">
        <f>IFERROR(__xludf.DUMMYFUNCTION("GOOGLETRANSLATE(C17, ""it"", ""en"")"),"A. Beginners' area B. Dedicated snowboard slope C. Unprepared slope D. Walking trail")</f>
        <v>A. Beginners' area B. Dedicated snowboard slope C. Unprepared slope D. Walking trail</v>
      </c>
      <c r="I17" s="3" t="str">
        <f>IFERROR(__xludf.DUMMYFUNCTION("GOOGLETRANSLATE(D17, ""it"", ""en"")"),"Track without artificial preparation")</f>
        <v>Track without artificial preparation</v>
      </c>
      <c r="J17" s="2"/>
      <c r="K17" s="2"/>
      <c r="L17" s="2"/>
      <c r="M17" s="2"/>
      <c r="N17" s="2"/>
      <c r="O17" s="2"/>
      <c r="P17" s="2"/>
      <c r="Q17" s="2"/>
      <c r="R17" s="2"/>
      <c r="S17" s="2"/>
      <c r="T17" s="2"/>
      <c r="U17" s="2"/>
      <c r="V17" s="2"/>
      <c r="W17" s="2"/>
    </row>
    <row r="18" ht="22.5" customHeight="1">
      <c r="A18" s="3">
        <v>17.0</v>
      </c>
      <c r="B18" s="3" t="s">
        <v>3074</v>
      </c>
      <c r="C18" s="3" t="s">
        <v>3075</v>
      </c>
      <c r="D18" s="3" t="s">
        <v>3076</v>
      </c>
      <c r="E18" s="2"/>
      <c r="F18" s="3" t="str">
        <f>IFERROR(__xludf.DUMMYFUNCTION("GOOGLETRANSLATE(A18, ""it"", ""en"")"),"17")</f>
        <v>17</v>
      </c>
      <c r="G18" s="3" t="str">
        <f>IFERROR(__xludf.DUMMYFUNCTION("GOOGLETRANSLATE(B18, ""it"", ""en"")"),"What happens if you don't follow the track rules?")</f>
        <v>What happens if you don't follow the track rules?</v>
      </c>
      <c r="H18" s="3" t="str">
        <f>IFERROR(__xludf.DUMMYFUNCTION("GOOGLETRANSLATE(C18, ""it"", ""en"")"),"A. Nothing B. Danger to yourself and others C. You lose the right to ski D. You receive a fine")</f>
        <v>A. Nothing B. Danger to yourself and others C. You lose the right to ski D. You receive a fine</v>
      </c>
      <c r="I18" s="3" t="str">
        <f>IFERROR(__xludf.DUMMYFUNCTION("GOOGLETRANSLATE(D18, ""it"", ""en"")"),"Danger to self and others")</f>
        <v>Danger to self and others</v>
      </c>
      <c r="J18" s="2"/>
      <c r="K18" s="2"/>
      <c r="L18" s="2"/>
      <c r="M18" s="2"/>
      <c r="N18" s="2"/>
      <c r="O18" s="2"/>
      <c r="P18" s="2"/>
      <c r="Q18" s="2"/>
      <c r="R18" s="2"/>
      <c r="S18" s="2"/>
      <c r="T18" s="2"/>
      <c r="U18" s="2"/>
      <c r="V18" s="2"/>
      <c r="W18" s="2"/>
    </row>
    <row r="19" ht="22.5" customHeight="1">
      <c r="A19" s="3">
        <v>18.0</v>
      </c>
      <c r="B19" s="3" t="s">
        <v>3077</v>
      </c>
      <c r="C19" s="3" t="s">
        <v>3078</v>
      </c>
      <c r="D19" s="3" t="s">
        <v>3079</v>
      </c>
      <c r="E19" s="2"/>
      <c r="F19" s="3" t="str">
        <f>IFERROR(__xludf.DUMMYFUNCTION("GOOGLETRANSLATE(A19, ""it"", ""en"")"),"18")</f>
        <v>18</v>
      </c>
      <c r="G19" s="3" t="str">
        <f>IFERROR(__xludf.DUMMYFUNCTION("GOOGLETRANSLATE(B19, ""it"", ""en"")"),"When is it necessary to use crampons during a ski excursion?")</f>
        <v>When is it necessary to use crampons during a ski excursion?</v>
      </c>
      <c r="H19" s="3" t="str">
        <f>IFERROR(__xludf.DUMMYFUNCTION("GOOGLETRANSLATE(C19, ""it"", ""en"")"),"A. Always B. After the descent C. On icy and steep sections D. They are never necessary")</f>
        <v>A. Always B. After the descent C. On icy and steep sections D. They are never necessary</v>
      </c>
      <c r="I19" s="3" t="str">
        <f>IFERROR(__xludf.DUMMYFUNCTION("GOOGLETRANSLATE(D19, ""it"", ""en"")"),"On icy and steep sections")</f>
        <v>On icy and steep sections</v>
      </c>
      <c r="J19" s="2"/>
      <c r="K19" s="2"/>
      <c r="L19" s="2"/>
      <c r="M19" s="2"/>
      <c r="N19" s="2"/>
      <c r="O19" s="2"/>
      <c r="P19" s="2"/>
      <c r="Q19" s="2"/>
      <c r="R19" s="2"/>
      <c r="S19" s="2"/>
      <c r="T19" s="2"/>
      <c r="U19" s="2"/>
      <c r="V19" s="2"/>
      <c r="W19" s="2"/>
    </row>
    <row r="20" ht="22.5" customHeight="1">
      <c r="A20" s="3">
        <v>19.0</v>
      </c>
      <c r="B20" s="3" t="s">
        <v>3080</v>
      </c>
      <c r="C20" s="3" t="s">
        <v>3081</v>
      </c>
      <c r="D20" s="3" t="s">
        <v>3082</v>
      </c>
      <c r="E20" s="2"/>
      <c r="F20" s="3" t="str">
        <f>IFERROR(__xludf.DUMMYFUNCTION("GOOGLETRANSLATE(A20, ""it"", ""en"")"),"19")</f>
        <v>19</v>
      </c>
      <c r="G20" s="3" t="str">
        <f>IFERROR(__xludf.DUMMYFUNCTION("GOOGLETRANSLATE(B20, ""it"", ""en"")"),"What's best to do before a day of skiing?")</f>
        <v>What's best to do before a day of skiing?</v>
      </c>
      <c r="H20" s="3" t="str">
        <f>IFERROR(__xludf.DUMMYFUNCTION("GOOGLETRANSLATE(C20, ""it"", ""en"")"),"A. Stretch and warm up B. Wear your warmest clothing C. Reduce your fluid intake D. Start directly on a difficult track")</f>
        <v>A. Stretch and warm up B. Wear your warmest clothing C. Reduce your fluid intake D. Start directly on a difficult track</v>
      </c>
      <c r="I20" s="3" t="str">
        <f>IFERROR(__xludf.DUMMYFUNCTION("GOOGLETRANSLATE(D20, ""it"", ""en"")"),"Stretching and warming up")</f>
        <v>Stretching and warming up</v>
      </c>
      <c r="J20" s="2"/>
      <c r="K20" s="2"/>
      <c r="L20" s="2"/>
      <c r="M20" s="2"/>
      <c r="N20" s="2"/>
      <c r="O20" s="2"/>
      <c r="P20" s="2"/>
      <c r="Q20" s="2"/>
      <c r="R20" s="2"/>
      <c r="S20" s="2"/>
      <c r="T20" s="2"/>
      <c r="U20" s="2"/>
      <c r="V20" s="2"/>
      <c r="W20" s="2"/>
    </row>
    <row r="21" ht="22.5" customHeight="1">
      <c r="A21" s="3">
        <v>20.0</v>
      </c>
      <c r="B21" s="3" t="s">
        <v>3083</v>
      </c>
      <c r="C21" s="3" t="s">
        <v>3084</v>
      </c>
      <c r="D21" s="3" t="s">
        <v>3085</v>
      </c>
      <c r="E21" s="2"/>
      <c r="F21" s="3" t="str">
        <f>IFERROR(__xludf.DUMMYFUNCTION("GOOGLETRANSLATE(A21, ""it"", ""en"")"),"20")</f>
        <v>20</v>
      </c>
      <c r="G21" s="3" t="str">
        <f>IFERROR(__xludf.DUMMYFUNCTION("GOOGLETRANSLATE(B21, ""it"", ""en"")"),"What does a sign with two crossed skis indicate?")</f>
        <v>What does a sign with two crossed skis indicate?</v>
      </c>
      <c r="H21" s="3" t="str">
        <f>IFERROR(__xludf.DUMMYFUNCTION("GOOGLETRANSLATE(C21, ""it"", ""en"")"),"A. Danger zone B. Interrupted slope C. Skiers crossing D. Refreshment point")</f>
        <v>A. Danger zone B. Interrupted slope C. Skiers crossing D. Refreshment point</v>
      </c>
      <c r="I21" s="3" t="str">
        <f>IFERROR(__xludf.DUMMYFUNCTION("GOOGLETRANSLATE(D21, ""it"", ""en"")"),"Danger zone")</f>
        <v>Danger zone</v>
      </c>
      <c r="J21" s="2"/>
      <c r="K21" s="2"/>
      <c r="L21" s="2"/>
      <c r="M21" s="2"/>
      <c r="N21" s="2"/>
      <c r="O21" s="2"/>
      <c r="P21" s="2"/>
      <c r="Q21" s="2"/>
      <c r="R21" s="2"/>
      <c r="S21" s="2"/>
      <c r="T21" s="2"/>
      <c r="U21" s="2"/>
      <c r="V21" s="2"/>
      <c r="W21" s="2"/>
    </row>
    <row r="22" ht="22.5" customHeight="1">
      <c r="A22" s="3">
        <v>21.0</v>
      </c>
      <c r="B22" s="3" t="s">
        <v>3086</v>
      </c>
      <c r="C22" s="3" t="s">
        <v>3087</v>
      </c>
      <c r="D22" s="3" t="s">
        <v>3088</v>
      </c>
      <c r="E22" s="2"/>
      <c r="F22" s="3" t="str">
        <f>IFERROR(__xludf.DUMMYFUNCTION("GOOGLETRANSLATE(A22, ""it"", ""en"")"),"21")</f>
        <v>21</v>
      </c>
      <c r="G22" s="3" t="str">
        <f>IFERROR(__xludf.DUMMYFUNCTION("GOOGLETRANSLATE(B22, ""it"", ""en"")"),"How can you prevent frostbite while skiing?")</f>
        <v>How can you prevent frostbite while skiing?</v>
      </c>
      <c r="H22" s="3" t="str">
        <f>IFERROR(__xludf.DUMMYFUNCTION("GOOGLETRANSLATE(C22, ""it"", ""en"")"),"A. Remove gloves to warm your hands B. Use thin socks C. Wear appropriate clothing and take frequent breaks D. Accelerate to generate heat")</f>
        <v>A. Remove gloves to warm your hands B. Use thin socks C. Wear appropriate clothing and take frequent breaks D. Accelerate to generate heat</v>
      </c>
      <c r="I22" s="3" t="str">
        <f>IFERROR(__xludf.DUMMYFUNCTION("GOOGLETRANSLATE(D22, ""it"", ""en"")"),"Wear appropriate clothing and take frequent breaks")</f>
        <v>Wear appropriate clothing and take frequent breaks</v>
      </c>
      <c r="J22" s="2"/>
      <c r="K22" s="2"/>
      <c r="L22" s="2"/>
      <c r="M22" s="2"/>
      <c r="N22" s="2"/>
      <c r="O22" s="2"/>
      <c r="P22" s="2"/>
      <c r="Q22" s="2"/>
      <c r="R22" s="2"/>
      <c r="S22" s="2"/>
      <c r="T22" s="2"/>
      <c r="U22" s="2"/>
      <c r="V22" s="2"/>
      <c r="W22" s="2"/>
    </row>
    <row r="23" ht="22.5" customHeight="1">
      <c r="A23" s="3">
        <v>22.0</v>
      </c>
      <c r="B23" s="3" t="s">
        <v>3089</v>
      </c>
      <c r="C23" s="3" t="s">
        <v>3090</v>
      </c>
      <c r="D23" s="3" t="s">
        <v>3091</v>
      </c>
      <c r="E23" s="2"/>
      <c r="F23" s="3" t="str">
        <f>IFERROR(__xludf.DUMMYFUNCTION("GOOGLETRANSLATE(A23, ""it"", ""en"")"),"22")</f>
        <v>22</v>
      </c>
      <c r="G23" s="3" t="str">
        <f>IFERROR(__xludf.DUMMYFUNCTION("GOOGLETRANSLATE(B23, ""it"", ""en"")"),"What is the role of avalanche dogs in the mountains?")</f>
        <v>What is the role of avalanche dogs in the mountains?</v>
      </c>
      <c r="H23" s="3" t="str">
        <f>IFERROR(__xludf.DUMMYFUNCTION("GOOGLETRANSLATE(C23, ""it"", ""en"")"),"A. Pulling sleds B. Locating people under the snow C. Acting as a guide along trails D. Assisting beginner skiers")</f>
        <v>A. Pulling sleds B. Locating people under the snow C. Acting as a guide along trails D. Assisting beginner skiers</v>
      </c>
      <c r="I23" s="3" t="str">
        <f>IFERROR(__xludf.DUMMYFUNCTION("GOOGLETRANSLATE(D23, ""it"", ""en"")"),"Locating people under the snow")</f>
        <v>Locating people under the snow</v>
      </c>
      <c r="J23" s="2"/>
      <c r="K23" s="2"/>
      <c r="L23" s="2"/>
      <c r="M23" s="2"/>
      <c r="N23" s="2"/>
      <c r="O23" s="2"/>
      <c r="P23" s="2"/>
      <c r="Q23" s="2"/>
      <c r="R23" s="2"/>
      <c r="S23" s="2"/>
      <c r="T23" s="2"/>
      <c r="U23" s="2"/>
      <c r="V23" s="2"/>
      <c r="W23" s="2"/>
    </row>
    <row r="24" ht="22.5" customHeight="1">
      <c r="A24" s="3">
        <v>23.0</v>
      </c>
      <c r="B24" s="3" t="s">
        <v>3092</v>
      </c>
      <c r="C24" s="3" t="s">
        <v>3093</v>
      </c>
      <c r="D24" s="3" t="s">
        <v>3094</v>
      </c>
      <c r="E24" s="2"/>
      <c r="F24" s="3" t="str">
        <f>IFERROR(__xludf.DUMMYFUNCTION("GOOGLETRANSLATE(A24, ""it"", ""en"")"),"23")</f>
        <v>23</v>
      </c>
      <c r="G24" s="3" t="str">
        <f>IFERROR(__xludf.DUMMYFUNCTION("GOOGLETRANSLATE(B24, ""it"", ""en"")"),"What does it mean if a runway is marked ""closed""?")</f>
        <v>What does it mean if a runway is marked "closed"?</v>
      </c>
      <c r="H24" s="3" t="str">
        <f>IFERROR(__xludf.DUMMYFUNCTION("GOOGLETRANSLATE(C24, ""it"", ""en"")"),"A. Only experts can access it B. It is dangerous or impassable C. It is under maintenance D. It is dedicated to a private event")</f>
        <v>A. Only experts can access it B. It is dangerous or impassable C. It is under maintenance D. It is dedicated to a private event</v>
      </c>
      <c r="I24" s="3" t="str">
        <f>IFERROR(__xludf.DUMMYFUNCTION("GOOGLETRANSLATE(D24, ""it"", ""en"")"),"It is dangerous or impracticable")</f>
        <v>It is dangerous or impracticable</v>
      </c>
      <c r="J24" s="2"/>
      <c r="K24" s="2"/>
      <c r="L24" s="2"/>
      <c r="M24" s="2"/>
      <c r="N24" s="2"/>
      <c r="O24" s="2"/>
      <c r="P24" s="2"/>
      <c r="Q24" s="2"/>
      <c r="R24" s="2"/>
      <c r="S24" s="2"/>
      <c r="T24" s="2"/>
      <c r="U24" s="2"/>
      <c r="V24" s="2"/>
      <c r="W24" s="2"/>
    </row>
    <row r="25" ht="22.5" customHeight="1">
      <c r="A25" s="3">
        <v>24.0</v>
      </c>
      <c r="B25" s="3" t="s">
        <v>3095</v>
      </c>
      <c r="C25" s="3" t="s">
        <v>3096</v>
      </c>
      <c r="D25" s="3" t="s">
        <v>3097</v>
      </c>
      <c r="E25" s="2"/>
      <c r="F25" s="3" t="str">
        <f>IFERROR(__xludf.DUMMYFUNCTION("GOOGLETRANSLATE(A25, ""it"", ""en"")"),"24")</f>
        <v>24</v>
      </c>
      <c r="G25" s="3" t="str">
        <f>IFERROR(__xludf.DUMMYFUNCTION("GOOGLETRANSLATE(B25, ""it"", ""en"")"),"What should you do if you encounter a skier in difficulty?")</f>
        <v>What should you do if you encounter a skier in difficulty?</v>
      </c>
      <c r="H25" s="3" t="str">
        <f>IFERROR(__xludf.DUMMYFUNCTION("GOOGLETRANSLATE(C25, ""it"", ""en"")"),"A. Ignore it B. Call for help immediately C. Proceed with caution D. Provide assistance only if you know the person")</f>
        <v>A. Ignore it B. Call for help immediately C. Proceed with caution D. Provide assistance only if you know the person</v>
      </c>
      <c r="I25" s="3" t="str">
        <f>IFERROR(__xludf.DUMMYFUNCTION("GOOGLETRANSLATE(D25, ""it"", ""en"")"),"Call for help immediately")</f>
        <v>Call for help immediately</v>
      </c>
      <c r="J25" s="2"/>
      <c r="K25" s="2"/>
      <c r="L25" s="2"/>
      <c r="M25" s="2"/>
      <c r="N25" s="2"/>
      <c r="O25" s="2"/>
      <c r="P25" s="2"/>
      <c r="Q25" s="2"/>
      <c r="R25" s="2"/>
      <c r="S25" s="2"/>
      <c r="T25" s="2"/>
      <c r="U25" s="2"/>
      <c r="V25" s="2"/>
      <c r="W25" s="2"/>
    </row>
    <row r="26" ht="22.5" customHeight="1">
      <c r="A26" s="3">
        <v>25.0</v>
      </c>
      <c r="B26" s="3" t="s">
        <v>3098</v>
      </c>
      <c r="C26" s="3" t="s">
        <v>3099</v>
      </c>
      <c r="D26" s="3" t="s">
        <v>3100</v>
      </c>
      <c r="E26" s="2"/>
      <c r="F26" s="3" t="str">
        <f>IFERROR(__xludf.DUMMYFUNCTION("GOOGLETRANSLATE(A26, ""it"", ""en"")"),"25")</f>
        <v>25</v>
      </c>
      <c r="G26" s="3" t="str">
        <f>IFERROR(__xludf.DUMMYFUNCTION("GOOGLETRANSLATE(B26, ""it"", ""en"")"),"What to do if a storm starts while you're skiing?")</f>
        <v>What to do if a storm starts while you're skiing?</v>
      </c>
      <c r="H26" s="3" t="str">
        <f>IFERROR(__xludf.DUMMYFUNCTION("GOOGLETRANSLATE(C26, ""it"", ""en"")"),"A. Reach the highest point B. Take shelter immediately or go back downstream C. Ignore it and continue D. Call for help only if necessary")</f>
        <v>A. Reach the highest point B. Take shelter immediately or go back downstream C. Ignore it and continue D. Call for help only if necessary</v>
      </c>
      <c r="I26" s="3" t="str">
        <f>IFERROR(__xludf.DUMMYFUNCTION("GOOGLETRANSLATE(D26, ""it"", ""en"")"),"Take shelter immediately or return to the valley")</f>
        <v>Take shelter immediately or return to the valley</v>
      </c>
      <c r="J26" s="2"/>
      <c r="K26" s="2"/>
      <c r="L26" s="2"/>
      <c r="M26" s="2"/>
      <c r="N26" s="2"/>
      <c r="O26" s="2"/>
      <c r="P26" s="2"/>
      <c r="Q26" s="2"/>
      <c r="R26" s="2"/>
      <c r="S26" s="2"/>
      <c r="T26" s="2"/>
      <c r="U26" s="2"/>
      <c r="V26" s="2"/>
      <c r="W26" s="2"/>
    </row>
    <row r="27" ht="22.5" customHeight="1">
      <c r="A27" s="3">
        <v>26.0</v>
      </c>
      <c r="B27" s="3" t="s">
        <v>3101</v>
      </c>
      <c r="C27" s="3" t="s">
        <v>3102</v>
      </c>
      <c r="D27" s="3" t="s">
        <v>3103</v>
      </c>
      <c r="E27" s="2"/>
      <c r="F27" s="3" t="str">
        <f>IFERROR(__xludf.DUMMYFUNCTION("GOOGLETRANSLATE(A27, ""it"", ""en"")"),"26")</f>
        <v>26</v>
      </c>
      <c r="G27" s="3" t="str">
        <f>IFERROR(__xludf.DUMMYFUNCTION("GOOGLETRANSLATE(B27, ""it"", ""en"")"),"What is the name of the sharp turn technique used on downhills?")</f>
        <v>What is the name of the sharp turn technique used on downhills?</v>
      </c>
      <c r="H27" s="3" t="str">
        <f>IFERROR(__xludf.DUMMYFUNCTION("GOOGLETRANSLATE(C27, ""it"", ""en"")"),"A. Carving B. Slalom C. Freeride D. Schuss")</f>
        <v>A. Carving B. Slalom C. Freeride D. Schuss</v>
      </c>
      <c r="I27" s="3" t="str">
        <f>IFERROR(__xludf.DUMMYFUNCTION("GOOGLETRANSLATE(D27, ""it"", ""en"")"),"Slalom")</f>
        <v>Slalom</v>
      </c>
      <c r="J27" s="2"/>
      <c r="K27" s="2"/>
      <c r="L27" s="2"/>
      <c r="M27" s="2"/>
      <c r="N27" s="2"/>
      <c r="O27" s="2"/>
      <c r="P27" s="2"/>
      <c r="Q27" s="2"/>
      <c r="R27" s="2"/>
      <c r="S27" s="2"/>
      <c r="T27" s="2"/>
      <c r="U27" s="2"/>
      <c r="V27" s="2"/>
      <c r="W27" s="2"/>
    </row>
    <row r="28" ht="22.5" customHeight="1">
      <c r="A28" s="3">
        <v>27.0</v>
      </c>
      <c r="B28" s="3" t="s">
        <v>3104</v>
      </c>
      <c r="C28" s="3" t="s">
        <v>3105</v>
      </c>
      <c r="D28" s="3" t="s">
        <v>3106</v>
      </c>
      <c r="E28" s="2"/>
      <c r="F28" s="3" t="str">
        <f>IFERROR(__xludf.DUMMYFUNCTION("GOOGLETRANSLATE(A28, ""it"", ""en"")"),"27")</f>
        <v>27</v>
      </c>
      <c r="G28" s="3" t="str">
        <f>IFERROR(__xludf.DUMMYFUNCTION("GOOGLETRANSLATE(B28, ""it"", ""en"")"),"What should you do if you find ice on the trail?")</f>
        <v>What should you do if you find ice on the trail?</v>
      </c>
      <c r="H28" s="3" t="str">
        <f>IFERROR(__xludf.DUMMYFUNCTION("GOOGLETRANSLATE(C28, ""it"", ""en"")"),"A. Accelerate to pass quickly B. Avoid ice if possible C. Remove ice from skis D. Stop and turn back")</f>
        <v>A. Accelerate to pass quickly B. Avoid ice if possible C. Remove ice from skis D. Stop and turn back</v>
      </c>
      <c r="I28" s="3" t="str">
        <f>IFERROR(__xludf.DUMMYFUNCTION("GOOGLETRANSLATE(D28, ""it"", ""en"")"),"Avoid ice if possible")</f>
        <v>Avoid ice if possible</v>
      </c>
      <c r="J28" s="2"/>
      <c r="K28" s="2"/>
      <c r="L28" s="2"/>
      <c r="M28" s="2"/>
      <c r="N28" s="2"/>
      <c r="O28" s="2"/>
      <c r="P28" s="2"/>
      <c r="Q28" s="2"/>
      <c r="R28" s="2"/>
      <c r="S28" s="2"/>
      <c r="T28" s="2"/>
      <c r="U28" s="2"/>
      <c r="V28" s="2"/>
      <c r="W28" s="2"/>
    </row>
    <row r="29" ht="22.5" customHeight="1">
      <c r="A29" s="3">
        <v>28.0</v>
      </c>
      <c r="B29" s="3" t="s">
        <v>3107</v>
      </c>
      <c r="C29" s="3" t="s">
        <v>3108</v>
      </c>
      <c r="D29" s="3" t="s">
        <v>3109</v>
      </c>
      <c r="E29" s="2"/>
      <c r="F29" s="3" t="str">
        <f>IFERROR(__xludf.DUMMYFUNCTION("GOOGLETRANSLATE(A29, ""it"", ""en"")"),"28")</f>
        <v>28</v>
      </c>
      <c r="G29" s="3" t="str">
        <f>IFERROR(__xludf.DUMMYFUNCTION("GOOGLETRANSLATE(B29, ""it"", ""en"")"),"What is the correct way to wear a ski mask?")</f>
        <v>What is the correct way to wear a ski mask?</v>
      </c>
      <c r="H29" s="3" t="str">
        <f>IFERROR(__xludf.DUMMYFUNCTION("GOOGLETRANSLATE(C29, ""it"", ""en"")"),"A. Over the helmet and over the face B. Under the helmet and over the face C. Inside the helmet D. It is not necessary to wear it")</f>
        <v>A. Over the helmet and over the face B. Under the helmet and over the face C. Inside the helmet D. It is not necessary to wear it</v>
      </c>
      <c r="I29" s="3" t="str">
        <f>IFERROR(__xludf.DUMMYFUNCTION("GOOGLETRANSLATE(D29, ""it"", ""en"")"),"Above the helmet and above the face")</f>
        <v>Above the helmet and above the face</v>
      </c>
      <c r="J29" s="2"/>
      <c r="K29" s="2"/>
      <c r="L29" s="2"/>
      <c r="M29" s="2"/>
      <c r="N29" s="2"/>
      <c r="O29" s="2"/>
      <c r="P29" s="2"/>
      <c r="Q29" s="2"/>
      <c r="R29" s="2"/>
      <c r="S29" s="2"/>
      <c r="T29" s="2"/>
      <c r="U29" s="2"/>
      <c r="V29" s="2"/>
      <c r="W29" s="2"/>
    </row>
    <row r="30" ht="22.5" customHeight="1">
      <c r="A30" s="3">
        <v>29.0</v>
      </c>
      <c r="B30" s="3" t="s">
        <v>3110</v>
      </c>
      <c r="C30" s="3" t="s">
        <v>3111</v>
      </c>
      <c r="D30" s="3" t="s">
        <v>3112</v>
      </c>
      <c r="E30" s="2"/>
      <c r="F30" s="3" t="str">
        <f>IFERROR(__xludf.DUMMYFUNCTION("GOOGLETRANSLATE(A30, ""it"", ""en"")"),"29")</f>
        <v>29</v>
      </c>
      <c r="G30" s="3" t="str">
        <f>IFERROR(__xludf.DUMMYFUNCTION("GOOGLETRANSLATE(B30, ""it"", ""en"")"),"What is the sign of an impending avalanche?")</f>
        <v>What is the sign of an impending avalanche?</v>
      </c>
      <c r="H30" s="3" t="str">
        <f>IFERROR(__xludf.DUMMYFUNCTION("GOOGLETRANSLATE(C30, ""it"", ""en"")"),"A. Fresh snow on the slope B. Loud noise and cracks in the snow cover C. Poor visibility and wind D. A sudden change in temperature")</f>
        <v>A. Fresh snow on the slope B. Loud noise and cracks in the snow cover C. Poor visibility and wind D. A sudden change in temperature</v>
      </c>
      <c r="I30" s="3" t="str">
        <f>IFERROR(__xludf.DUMMYFUNCTION("GOOGLETRANSLATE(D30, ""it"", ""en"")"),"Loud noise and cracks in the snow cover")</f>
        <v>Loud noise and cracks in the snow cover</v>
      </c>
      <c r="J30" s="2"/>
      <c r="K30" s="2"/>
      <c r="L30" s="2"/>
      <c r="M30" s="2"/>
      <c r="N30" s="2"/>
      <c r="O30" s="2"/>
      <c r="P30" s="2"/>
      <c r="Q30" s="2"/>
      <c r="R30" s="2"/>
      <c r="S30" s="2"/>
      <c r="T30" s="2"/>
      <c r="U30" s="2"/>
      <c r="V30" s="2"/>
      <c r="W30" s="2"/>
    </row>
    <row r="31" ht="22.5" customHeight="1">
      <c r="A31" s="3">
        <v>30.0</v>
      </c>
      <c r="B31" s="3" t="s">
        <v>3113</v>
      </c>
      <c r="C31" s="3" t="s">
        <v>3114</v>
      </c>
      <c r="D31" s="3" t="s">
        <v>3115</v>
      </c>
      <c r="E31" s="2"/>
      <c r="F31" s="3" t="str">
        <f>IFERROR(__xludf.DUMMYFUNCTION("GOOGLETRANSLATE(A31, ""it"", ""en"")"),"30")</f>
        <v>30</v>
      </c>
      <c r="G31" s="3" t="str">
        <f>IFERROR(__xludf.DUMMYFUNCTION("GOOGLETRANSLATE(B31, ""it"", ""en"")"),"What does a sign with a green arrow indicate?")</f>
        <v>What does a sign with a green arrow indicate?</v>
      </c>
      <c r="H31" s="3" t="str">
        <f>IFERROR(__xludf.DUMMYFUNCTION("GOOGLETRANSLATE(C31, ""it"", ""en"")"),"A. Closed slope B. Beginner slope C. Snowboard area D. Steep slope")</f>
        <v>A. Closed slope B. Beginner slope C. Snowboard area D. Steep slope</v>
      </c>
      <c r="I31" s="3" t="str">
        <f>IFERROR(__xludf.DUMMYFUNCTION("GOOGLETRANSLATE(D31, ""it"", ""en"")"),"Beginner's slope")</f>
        <v>Beginner's slope</v>
      </c>
      <c r="J31" s="2"/>
      <c r="K31" s="2"/>
      <c r="L31" s="2"/>
      <c r="M31" s="2"/>
      <c r="N31" s="2"/>
      <c r="O31" s="2"/>
      <c r="P31" s="2"/>
      <c r="Q31" s="2"/>
      <c r="R31" s="2"/>
      <c r="S31" s="2"/>
      <c r="T31" s="2"/>
      <c r="U31" s="2"/>
      <c r="V31" s="2"/>
      <c r="W31" s="2"/>
    </row>
    <row r="32" ht="22.5" customHeight="1">
      <c r="A32" s="3">
        <v>31.0</v>
      </c>
      <c r="B32" s="3" t="s">
        <v>3116</v>
      </c>
      <c r="C32" s="3" t="s">
        <v>3117</v>
      </c>
      <c r="D32" s="3" t="s">
        <v>3118</v>
      </c>
      <c r="E32" s="2"/>
      <c r="F32" s="3" t="str">
        <f>IFERROR(__xludf.DUMMYFUNCTION("GOOGLETRANSLATE(A32, ""it"", ""en"")"),"31")</f>
        <v>31</v>
      </c>
      <c r="G32" s="3" t="str">
        <f>IFERROR(__xludf.DUMMYFUNCTION("GOOGLETRANSLATE(B32, ""it"", ""en"")"),"What is the meaning of an orange flag?")</f>
        <v>What is the meaning of an orange flag?</v>
      </c>
      <c r="H32" s="3" t="str">
        <f>IFERROR(__xludf.DUMMYFUNCTION("GOOGLETRANSLATE(C32, ""it"", ""en"")"),"A. Imminent danger zone B. Training area C. Beginners' sign D. Rest area")</f>
        <v>A. Imminent danger zone B. Training area C. Beginners' sign D. Rest area</v>
      </c>
      <c r="I32" s="3" t="str">
        <f>IFERROR(__xludf.DUMMYFUNCTION("GOOGLETRANSLATE(D32, ""it"", ""en"")"),"Imminent danger zone")</f>
        <v>Imminent danger zone</v>
      </c>
      <c r="J32" s="2"/>
      <c r="K32" s="2"/>
      <c r="L32" s="2"/>
      <c r="M32" s="2"/>
      <c r="N32" s="2"/>
      <c r="O32" s="2"/>
      <c r="P32" s="2"/>
      <c r="Q32" s="2"/>
      <c r="R32" s="2"/>
      <c r="S32" s="2"/>
      <c r="T32" s="2"/>
      <c r="U32" s="2"/>
      <c r="V32" s="2"/>
      <c r="W32" s="2"/>
    </row>
    <row r="33" ht="22.5" customHeight="1">
      <c r="A33" s="3">
        <v>32.0</v>
      </c>
      <c r="B33" s="3" t="s">
        <v>3119</v>
      </c>
      <c r="C33" s="3" t="s">
        <v>3120</v>
      </c>
      <c r="D33" s="3" t="s">
        <v>3121</v>
      </c>
      <c r="E33" s="2"/>
      <c r="F33" s="3" t="str">
        <f>IFERROR(__xludf.DUMMYFUNCTION("GOOGLETRANSLATE(A33, ""it"", ""en"")"),"32")</f>
        <v>32</v>
      </c>
      <c r="G33" s="3" t="str">
        <f>IFERROR(__xludf.DUMMYFUNCTION("GOOGLETRANSLATE(B33, ""it"", ""en"")"),"What to do if your ski boot comes loose while skiing?")</f>
        <v>What to do if your ski boot comes loose while skiing?</v>
      </c>
      <c r="H33" s="3" t="str">
        <f>IFERROR(__xludf.DUMMYFUNCTION("GOOGLETRANSLATE(C33, ""it"", ""en"")"),"A. Ignore it until the end of the descent B. Adjust it immediately to avoid risks C. Call for help D. Continue and adjust it downstream")</f>
        <v>A. Ignore it until the end of the descent B. Adjust it immediately to avoid risks C. Call for help D. Continue and adjust it downstream</v>
      </c>
      <c r="I33" s="3" t="str">
        <f>IFERROR(__xludf.DUMMYFUNCTION("GOOGLETRANSLATE(D33, ""it"", ""en"")"),"Adjust it immediately to avoid risks")</f>
        <v>Adjust it immediately to avoid risks</v>
      </c>
      <c r="J33" s="2"/>
      <c r="K33" s="2"/>
      <c r="L33" s="2"/>
      <c r="M33" s="2"/>
      <c r="N33" s="2"/>
      <c r="O33" s="2"/>
      <c r="P33" s="2"/>
      <c r="Q33" s="2"/>
      <c r="R33" s="2"/>
      <c r="S33" s="2"/>
      <c r="T33" s="2"/>
      <c r="U33" s="2"/>
      <c r="V33" s="2"/>
      <c r="W33" s="2"/>
    </row>
    <row r="34" ht="22.5" customHeight="1">
      <c r="A34" s="3">
        <v>33.0</v>
      </c>
      <c r="B34" s="3" t="s">
        <v>3122</v>
      </c>
      <c r="C34" s="3" t="s">
        <v>3123</v>
      </c>
      <c r="D34" s="3" t="s">
        <v>3124</v>
      </c>
      <c r="E34" s="2"/>
      <c r="F34" s="3" t="str">
        <f>IFERROR(__xludf.DUMMYFUNCTION("GOOGLETRANSLATE(A34, ""it"", ""en"")"),"33")</f>
        <v>33</v>
      </c>
      <c r="G34" s="3" t="str">
        <f>IFERROR(__xludf.DUMMYFUNCTION("GOOGLETRANSLATE(B34, ""it"", ""en"")"),"What happens if you ski outside the marked boundaries?")</f>
        <v>What happens if you ski outside the marked boundaries?</v>
      </c>
      <c r="H34" s="3" t="str">
        <f>IFERROR(__xludf.DUMMYFUNCTION("GOOGLETRANSLATE(C34, ""it"", ""en"")"),"A. You receive a fine B. You put your safety at risk C. You are banned from skiing for a day D. You receive assistance from an instructor")</f>
        <v>A. You receive a fine B. You put your safety at risk C. You are banned from skiing for a day D. You receive assistance from an instructor</v>
      </c>
      <c r="I34" s="3" t="str">
        <f>IFERROR(__xludf.DUMMYFUNCTION("GOOGLETRANSLATE(D34, ""it"", ""en"")"),"You put your safety at risk")</f>
        <v>You put your safety at risk</v>
      </c>
      <c r="J34" s="2"/>
      <c r="K34" s="2"/>
      <c r="L34" s="2"/>
      <c r="M34" s="2"/>
      <c r="N34" s="2"/>
      <c r="O34" s="2"/>
      <c r="P34" s="2"/>
      <c r="Q34" s="2"/>
      <c r="R34" s="2"/>
      <c r="S34" s="2"/>
      <c r="T34" s="2"/>
      <c r="U34" s="2"/>
      <c r="V34" s="2"/>
      <c r="W34" s="2"/>
    </row>
    <row r="35" ht="22.5" customHeight="1">
      <c r="A35" s="3">
        <v>34.0</v>
      </c>
      <c r="B35" s="3" t="s">
        <v>3125</v>
      </c>
      <c r="C35" s="3" t="s">
        <v>3126</v>
      </c>
      <c r="D35" s="3" t="s">
        <v>3127</v>
      </c>
      <c r="E35" s="2"/>
      <c r="F35" s="3" t="str">
        <f>IFERROR(__xludf.DUMMYFUNCTION("GOOGLETRANSLATE(A35, ""it"", ""en"")"),"34")</f>
        <v>34</v>
      </c>
      <c r="G35" s="3" t="str">
        <f>IFERROR(__xludf.DUMMYFUNCTION("GOOGLETRANSLATE(B35, ""it"", ""en"")"),"What equipment do you need for night skiing?")</f>
        <v>What equipment do you need for night skiing?</v>
      </c>
      <c r="H35" s="3" t="str">
        <f>IFERROR(__xludf.DUMMYFUNCTION("GOOGLETRANSLATE(C35, ""it"", ""en"")"),"A. Skis with built-in lights B. Reflective helmet C. Headlamp and reflective clothing D. A luminous watch")</f>
        <v>A. Skis with built-in lights B. Reflective helmet C. Headlamp and reflective clothing D. A luminous watch</v>
      </c>
      <c r="I35" s="3" t="str">
        <f>IFERROR(__xludf.DUMMYFUNCTION("GOOGLETRANSLATE(D35, ""it"", ""en"")"),"Headlamp and reflective clothing")</f>
        <v>Headlamp and reflective clothing</v>
      </c>
      <c r="J35" s="2"/>
      <c r="K35" s="2"/>
      <c r="L35" s="2"/>
      <c r="M35" s="2"/>
      <c r="N35" s="2"/>
      <c r="O35" s="2"/>
      <c r="P35" s="2"/>
      <c r="Q35" s="2"/>
      <c r="R35" s="2"/>
      <c r="S35" s="2"/>
      <c r="T35" s="2"/>
      <c r="U35" s="2"/>
      <c r="V35" s="2"/>
      <c r="W35" s="2"/>
    </row>
    <row r="36" ht="22.5" customHeight="1">
      <c r="A36" s="3">
        <v>35.0</v>
      </c>
      <c r="B36" s="3" t="s">
        <v>3128</v>
      </c>
      <c r="C36" s="3" t="s">
        <v>3129</v>
      </c>
      <c r="D36" s="3" t="s">
        <v>3130</v>
      </c>
      <c r="E36" s="2"/>
      <c r="F36" s="3" t="str">
        <f>IFERROR(__xludf.DUMMYFUNCTION("GOOGLETRANSLATE(A36, ""it"", ""en"")"),"35")</f>
        <v>35</v>
      </c>
      <c r="G36" s="3" t="str">
        <f>IFERROR(__xludf.DUMMYFUNCTION("GOOGLETRANSLATE(B36, ""it"", ""en"")"),"What should you do if you see someone fall on the track?")</f>
        <v>What should you do if you see someone fall on the track?</v>
      </c>
      <c r="H36" s="3" t="str">
        <f>IFERROR(__xludf.DUMMYFUNCTION("GOOGLETRANSLATE(C36, ""it"", ""en"")"),"A. Ignore him and continue B. Provide help if necessary C. Call for help only if serious D. Wait for him to get up")</f>
        <v>A. Ignore him and continue B. Provide help if necessary C. Call for help only if serious D. Wait for him to get up</v>
      </c>
      <c r="I36" s="3" t="str">
        <f>IFERROR(__xludf.DUMMYFUNCTION("GOOGLETRANSLATE(D36, ""it"", ""en"")"),"Provide assistance if needed")</f>
        <v>Provide assistance if needed</v>
      </c>
      <c r="J36" s="2"/>
      <c r="K36" s="2"/>
      <c r="L36" s="2"/>
      <c r="M36" s="2"/>
      <c r="N36" s="2"/>
      <c r="O36" s="2"/>
      <c r="P36" s="2"/>
      <c r="Q36" s="2"/>
      <c r="R36" s="2"/>
      <c r="S36" s="2"/>
      <c r="T36" s="2"/>
      <c r="U36" s="2"/>
      <c r="V36" s="2"/>
      <c r="W36" s="2"/>
    </row>
    <row r="37" ht="22.5" customHeight="1">
      <c r="A37" s="3">
        <v>36.0</v>
      </c>
      <c r="B37" s="3" t="s">
        <v>3131</v>
      </c>
      <c r="C37" s="3" t="s">
        <v>3132</v>
      </c>
      <c r="D37" s="3" t="s">
        <v>3133</v>
      </c>
      <c r="E37" s="2"/>
      <c r="F37" s="3" t="str">
        <f>IFERROR(__xludf.DUMMYFUNCTION("GOOGLETRANSLATE(A37, ""it"", ""en"")"),"36")</f>
        <v>36</v>
      </c>
      <c r="G37" s="3" t="str">
        <f>IFERROR(__xludf.DUMMYFUNCTION("GOOGLETRANSLATE(B37, ""it"", ""en"")"),"What does a sign with a red circle mean?")</f>
        <v>What does a sign with a red circle mean?</v>
      </c>
      <c r="H37" s="3" t="str">
        <f>IFERROR(__xludf.DUMMYFUNCTION("GOOGLETRANSLATE(C37, ""it"", ""en"")"),"A. Medium difficulty track B. Closed track C. Area reserved for experts D. Track with tight curves")</f>
        <v>A. Medium difficulty track B. Closed track C. Area reserved for experts D. Track with tight curves</v>
      </c>
      <c r="I37" s="3" t="str">
        <f>IFERROR(__xludf.DUMMYFUNCTION("GOOGLETRANSLATE(D37, ""it"", ""en"")"),"Medium difficulty track")</f>
        <v>Medium difficulty track</v>
      </c>
      <c r="J37" s="2"/>
      <c r="K37" s="2"/>
      <c r="L37" s="2"/>
      <c r="M37" s="2"/>
      <c r="N37" s="2"/>
      <c r="O37" s="2"/>
      <c r="P37" s="2"/>
      <c r="Q37" s="2"/>
      <c r="R37" s="2"/>
      <c r="S37" s="2"/>
      <c r="T37" s="2"/>
      <c r="U37" s="2"/>
      <c r="V37" s="2"/>
      <c r="W37" s="2"/>
    </row>
    <row r="38" ht="22.5" customHeight="1">
      <c r="A38" s="3">
        <v>37.0</v>
      </c>
      <c r="B38" s="3" t="s">
        <v>3134</v>
      </c>
      <c r="C38" s="3" t="s">
        <v>3135</v>
      </c>
      <c r="D38" s="3" t="s">
        <v>3136</v>
      </c>
      <c r="E38" s="2"/>
      <c r="F38" s="3" t="str">
        <f>IFERROR(__xludf.DUMMYFUNCTION("GOOGLETRANSLATE(A38, ""it"", ""en"")"),"37")</f>
        <v>37</v>
      </c>
      <c r="G38" s="3" t="str">
        <f>IFERROR(__xludf.DUMMYFUNCTION("GOOGLETRANSLATE(B38, ""it"", ""en"")"),"What is the correct way to stop when going downhill?")</f>
        <v>What is the correct way to stop when going downhill?</v>
      </c>
      <c r="H38" s="3" t="str">
        <f>IFERROR(__xludf.DUMMYFUNCTION("GOOGLETRANSLATE(C38, ""it"", ""en"")"),"A. Sharp turn and snowplow B. Simply fall C. Straight position without turning D. U-turn with acceleration")</f>
        <v>A. Sharp turn and snowplow B. Simply fall C. Straight position without turning D. U-turn with acceleration</v>
      </c>
      <c r="I38" s="3" t="str">
        <f>IFERROR(__xludf.DUMMYFUNCTION("GOOGLETRANSLATE(D38, ""it"", ""en"")"),"Sharp curve and snowplow")</f>
        <v>Sharp curve and snowplow</v>
      </c>
      <c r="J38" s="2"/>
      <c r="K38" s="2"/>
      <c r="L38" s="2"/>
      <c r="M38" s="2"/>
      <c r="N38" s="2"/>
      <c r="O38" s="2"/>
      <c r="P38" s="2"/>
      <c r="Q38" s="2"/>
      <c r="R38" s="2"/>
      <c r="S38" s="2"/>
      <c r="T38" s="2"/>
      <c r="U38" s="2"/>
      <c r="V38" s="2"/>
      <c r="W38" s="2"/>
    </row>
    <row r="39" ht="22.5" customHeight="1">
      <c r="A39" s="3">
        <v>38.0</v>
      </c>
      <c r="B39" s="3" t="s">
        <v>3137</v>
      </c>
      <c r="C39" s="3" t="s">
        <v>3138</v>
      </c>
      <c r="D39" s="3" t="s">
        <v>3139</v>
      </c>
      <c r="E39" s="2"/>
      <c r="F39" s="3" t="str">
        <f>IFERROR(__xludf.DUMMYFUNCTION("GOOGLETRANSLATE(A39, ""it"", ""en"")"),"38")</f>
        <v>38</v>
      </c>
      <c r="G39" s="3" t="str">
        <f>IFERROR(__xludf.DUMMYFUNCTION("GOOGLETRANSLATE(B39, ""it"", ""en"")"),"What to do if the temperature suddenly drops?")</f>
        <v>What to do if the temperature suddenly drops?</v>
      </c>
      <c r="H39" s="3" t="str">
        <f>IFERROR(__xludf.DUMMYFUNCTION("GOOGLETRANSLATE(C39, ""it"", ""en"")"),"A. Wear extra layers B. Remove your jacket C. Accelerate to generate heat D. Stop and stretch")</f>
        <v>A. Wear extra layers B. Remove your jacket C. Accelerate to generate heat D. Stop and stretch</v>
      </c>
      <c r="I39" s="3" t="str">
        <f>IFERROR(__xludf.DUMMYFUNCTION("GOOGLETRANSLATE(D39, ""it"", ""en"")"),"Wear extra layers")</f>
        <v>Wear extra layers</v>
      </c>
      <c r="J39" s="2"/>
      <c r="K39" s="2"/>
      <c r="L39" s="2"/>
      <c r="M39" s="2"/>
      <c r="N39" s="2"/>
      <c r="O39" s="2"/>
      <c r="P39" s="2"/>
      <c r="Q39" s="2"/>
      <c r="R39" s="2"/>
      <c r="S39" s="2"/>
      <c r="T39" s="2"/>
      <c r="U39" s="2"/>
      <c r="V39" s="2"/>
      <c r="W39" s="2"/>
    </row>
    <row r="40" ht="22.5" customHeight="1">
      <c r="A40" s="3">
        <v>39.0</v>
      </c>
      <c r="B40" s="3" t="s">
        <v>3140</v>
      </c>
      <c r="C40" s="3" t="s">
        <v>3141</v>
      </c>
      <c r="D40" s="3" t="s">
        <v>3142</v>
      </c>
      <c r="E40" s="2"/>
      <c r="F40" s="3" t="str">
        <f>IFERROR(__xludf.DUMMYFUNCTION("GOOGLETRANSLATE(A40, ""it"", ""en"")"),"39")</f>
        <v>39</v>
      </c>
      <c r="G40" s="3" t="str">
        <f>IFERROR(__xludf.DUMMYFUNCTION("GOOGLETRANSLATE(B40, ""it"", ""en"")"),"How important is good visibility when skiing?")</f>
        <v>How important is good visibility when skiing?</v>
      </c>
      <c r="H40" s="3" t="str">
        <f>IFERROR(__xludf.DUMMYFUNCTION("GOOGLETRANSLATE(C40, ""it"", ""en"")"),"A. It allows you to ski faster B. It reduces the risk of accidents C. It is only necessary for beginners D. It is only useful for enjoying the view")</f>
        <v>A. It allows you to ski faster B. It reduces the risk of accidents C. It is only necessary for beginners D. It is only useful for enjoying the view</v>
      </c>
      <c r="I40" s="3" t="str">
        <f>IFERROR(__xludf.DUMMYFUNCTION("GOOGLETRANSLATE(D40, ""it"", ""en"")"),"Reduces the risk of accidents")</f>
        <v>Reduces the risk of accidents</v>
      </c>
      <c r="J40" s="2"/>
      <c r="K40" s="2"/>
      <c r="L40" s="2"/>
      <c r="M40" s="2"/>
      <c r="N40" s="2"/>
      <c r="O40" s="2"/>
      <c r="P40" s="2"/>
      <c r="Q40" s="2"/>
      <c r="R40" s="2"/>
      <c r="S40" s="2"/>
      <c r="T40" s="2"/>
      <c r="U40" s="2"/>
      <c r="V40" s="2"/>
      <c r="W40" s="2"/>
    </row>
    <row r="41" ht="22.5" customHeight="1">
      <c r="A41" s="3">
        <v>40.0</v>
      </c>
      <c r="B41" s="3" t="s">
        <v>3143</v>
      </c>
      <c r="C41" s="3" t="s">
        <v>3144</v>
      </c>
      <c r="D41" s="3" t="s">
        <v>3145</v>
      </c>
      <c r="E41" s="2"/>
      <c r="F41" s="3" t="str">
        <f>IFERROR(__xludf.DUMMYFUNCTION("GOOGLETRANSLATE(A41, ""it"", ""en"")"),"40")</f>
        <v>40</v>
      </c>
      <c r="G41" s="3" t="str">
        <f>IFERROR(__xludf.DUMMYFUNCTION("GOOGLETRANSLATE(B41, ""it"", ""en"")"),"How can you improve your balance on skis?")</f>
        <v>How can you improve your balance on skis?</v>
      </c>
      <c r="H41" s="3" t="str">
        <f>IFERROR(__xludf.DUMMYFUNCTION("GOOGLETRANSLATE(C41, ""it"", ""en"")"),"A. Skiing without poles B. Focusing on speed C. Keeping your knees straight D. Using wide boots")</f>
        <v>A. Skiing without poles B. Focusing on speed C. Keeping your knees straight D. Using wide boots</v>
      </c>
      <c r="I41" s="3" t="str">
        <f>IFERROR(__xludf.DUMMYFUNCTION("GOOGLETRANSLATE(D41, ""it"", ""en"")"),"Skiing without poles")</f>
        <v>Skiing without poles</v>
      </c>
      <c r="J41" s="2"/>
      <c r="K41" s="2"/>
      <c r="L41" s="2"/>
      <c r="M41" s="2"/>
      <c r="N41" s="2"/>
      <c r="O41" s="2"/>
      <c r="P41" s="2"/>
      <c r="Q41" s="2"/>
      <c r="R41" s="2"/>
      <c r="S41" s="2"/>
      <c r="T41" s="2"/>
      <c r="U41" s="2"/>
      <c r="V41" s="2"/>
      <c r="W41" s="2"/>
    </row>
    <row r="42" ht="22.5" customHeight="1">
      <c r="A42" s="3">
        <v>41.0</v>
      </c>
      <c r="B42" s="3" t="s">
        <v>3146</v>
      </c>
      <c r="C42" s="3" t="s">
        <v>3147</v>
      </c>
      <c r="D42" s="3" t="s">
        <v>3148</v>
      </c>
      <c r="E42" s="2"/>
      <c r="F42" s="3" t="str">
        <f>IFERROR(__xludf.DUMMYFUNCTION("GOOGLETRANSLATE(A42, ""it"", ""en"")"),"41")</f>
        <v>41</v>
      </c>
      <c r="G42" s="3" t="str">
        <f>IFERROR(__xludf.DUMMYFUNCTION("GOOGLETRANSLATE(B42, ""it"", ""en"")"),"What does a dotted line on the runway map indicate?")</f>
        <v>What does a dotted line on the runway map indicate?</v>
      </c>
      <c r="H42" s="3" t="str">
        <f>IFERROR(__xludf.DUMMYFUNCTION("GOOGLETRANSLATE(C42, ""it"", ""en"")"),"A. Intermediate level trail B. Off-piste trail C. Ungroomed trail D. Edge of trail")</f>
        <v>A. Intermediate level trail B. Off-piste trail C. Ungroomed trail D. Edge of trail</v>
      </c>
      <c r="I42" s="3" t="str">
        <f>IFERROR(__xludf.DUMMYFUNCTION("GOOGLETRANSLATE(D42, ""it"", ""en"")"),"Unbeaten track")</f>
        <v>Unbeaten track</v>
      </c>
      <c r="J42" s="2"/>
      <c r="K42" s="2"/>
      <c r="L42" s="2"/>
      <c r="M42" s="2"/>
      <c r="N42" s="2"/>
      <c r="O42" s="2"/>
      <c r="P42" s="2"/>
      <c r="Q42" s="2"/>
      <c r="R42" s="2"/>
      <c r="S42" s="2"/>
      <c r="T42" s="2"/>
      <c r="U42" s="2"/>
      <c r="V42" s="2"/>
      <c r="W42" s="2"/>
    </row>
    <row r="43" ht="22.5" customHeight="1">
      <c r="A43" s="3">
        <v>42.0</v>
      </c>
      <c r="B43" s="3" t="s">
        <v>3149</v>
      </c>
      <c r="C43" s="3" t="s">
        <v>3150</v>
      </c>
      <c r="D43" s="3" t="s">
        <v>3151</v>
      </c>
      <c r="E43" s="2"/>
      <c r="F43" s="3" t="str">
        <f>IFERROR(__xludf.DUMMYFUNCTION("GOOGLETRANSLATE(A43, ""it"", ""en"")"),"42")</f>
        <v>42</v>
      </c>
      <c r="G43" s="3" t="str">
        <f>IFERROR(__xludf.DUMMYFUNCTION("GOOGLETRANSLATE(B43, ""it"", ""en"")"),"What to do if you encounter fresh snow while skiing?")</f>
        <v>What to do if you encounter fresh snow while skiing?</v>
      </c>
      <c r="H43" s="3" t="str">
        <f>IFERROR(__xludf.DUMMYFUNCTION("GOOGLETRANSLATE(C43, ""it"", ""en"")"),"A. Change direction and go back B. Adjust your weight for better control C. Ignore it and continue as usual D. Stop and wait")</f>
        <v>A. Change direction and go back B. Adjust your weight for better control C. Ignore it and continue as usual D. Stop and wait</v>
      </c>
      <c r="I43" s="3" t="str">
        <f>IFERROR(__xludf.DUMMYFUNCTION("GOOGLETRANSLATE(D43, ""it"", ""en"")"),"Adjust your weight for better control")</f>
        <v>Adjust your weight for better control</v>
      </c>
      <c r="J43" s="2"/>
      <c r="K43" s="2"/>
      <c r="L43" s="2"/>
      <c r="M43" s="2"/>
      <c r="N43" s="2"/>
      <c r="O43" s="2"/>
      <c r="P43" s="2"/>
      <c r="Q43" s="2"/>
      <c r="R43" s="2"/>
      <c r="S43" s="2"/>
      <c r="T43" s="2"/>
      <c r="U43" s="2"/>
      <c r="V43" s="2"/>
      <c r="W43" s="2"/>
    </row>
    <row r="44" ht="22.5" customHeight="1">
      <c r="A44" s="3">
        <v>43.0</v>
      </c>
      <c r="B44" s="3" t="s">
        <v>3152</v>
      </c>
      <c r="C44" s="3" t="s">
        <v>3153</v>
      </c>
      <c r="D44" s="3" t="s">
        <v>3154</v>
      </c>
      <c r="E44" s="2"/>
      <c r="F44" s="3" t="str">
        <f>IFERROR(__xludf.DUMMYFUNCTION("GOOGLETRANSLATE(A44, ""it"", ""en"")"),"43")</f>
        <v>43</v>
      </c>
      <c r="G44" s="3" t="str">
        <f>IFERROR(__xludf.DUMMYFUNCTION("GOOGLETRANSLATE(B44, ""it"", ""en"")"),"What is the goal of carving?")</f>
        <v>What is the goal of carving?</v>
      </c>
      <c r="H44" s="3" t="str">
        <f>IFERROR(__xludf.DUMMYFUNCTION("GOOGLETRANSLATE(C44, ""it"", ""en"")"),"A. Create wide, smooth turns B. Ski in a straight line C. Create tight, precise turns D. Decelerate quickly")</f>
        <v>A. Create wide, smooth turns B. Ski in a straight line C. Create tight, precise turns D. Decelerate quickly</v>
      </c>
      <c r="I44" s="3" t="str">
        <f>IFERROR(__xludf.DUMMYFUNCTION("GOOGLETRANSLATE(D44, ""it"", ""en"")"),"Create wide, soft curves")</f>
        <v>Create wide, soft curves</v>
      </c>
      <c r="J44" s="2"/>
      <c r="K44" s="2"/>
      <c r="L44" s="2"/>
      <c r="M44" s="2"/>
      <c r="N44" s="2"/>
      <c r="O44" s="2"/>
      <c r="P44" s="2"/>
      <c r="Q44" s="2"/>
      <c r="R44" s="2"/>
      <c r="S44" s="2"/>
      <c r="T44" s="2"/>
      <c r="U44" s="2"/>
      <c r="V44" s="2"/>
      <c r="W44" s="2"/>
    </row>
    <row r="45" ht="22.5" customHeight="1">
      <c r="A45" s="3">
        <v>44.0</v>
      </c>
      <c r="B45" s="3" t="s">
        <v>3155</v>
      </c>
      <c r="C45" s="3" t="s">
        <v>3156</v>
      </c>
      <c r="D45" s="3" t="s">
        <v>3157</v>
      </c>
      <c r="E45" s="2"/>
      <c r="F45" s="3" t="str">
        <f>IFERROR(__xludf.DUMMYFUNCTION("GOOGLETRANSLATE(A45, ""it"", ""en"")"),"44")</f>
        <v>44</v>
      </c>
      <c r="G45" s="3" t="str">
        <f>IFERROR(__xludf.DUMMYFUNCTION("GOOGLETRANSLATE(B45, ""it"", ""en"")"),"What does a ""Slow Zone"" sign mean?")</f>
        <v>What does a "Slow Zone" sign mean?</v>
      </c>
      <c r="H45" s="3" t="str">
        <f>IFERROR(__xludf.DUMMYFUNCTION("GOOGLETRANSLATE(C45, ""it"", ""en"")"),"A. Beginner slope B. Mandatory slow-down area C. Family slope D. Learning area")</f>
        <v>A. Beginner slope B. Mandatory slow-down area C. Family slope D. Learning area</v>
      </c>
      <c r="I45" s="3" t="str">
        <f>IFERROR(__xludf.DUMMYFUNCTION("GOOGLETRANSLATE(D45, ""it"", ""en"")"),"Mandatory slowdown area")</f>
        <v>Mandatory slowdown area</v>
      </c>
      <c r="J45" s="2"/>
      <c r="K45" s="2"/>
      <c r="L45" s="2"/>
      <c r="M45" s="2"/>
      <c r="N45" s="2"/>
      <c r="O45" s="2"/>
      <c r="P45" s="2"/>
      <c r="Q45" s="2"/>
      <c r="R45" s="2"/>
      <c r="S45" s="2"/>
      <c r="T45" s="2"/>
      <c r="U45" s="2"/>
      <c r="V45" s="2"/>
      <c r="W45" s="2"/>
    </row>
    <row r="46" ht="22.5" customHeight="1">
      <c r="A46" s="3">
        <v>45.0</v>
      </c>
      <c r="B46" s="3" t="s">
        <v>3158</v>
      </c>
      <c r="C46" s="3" t="s">
        <v>3159</v>
      </c>
      <c r="D46" s="3" t="s">
        <v>3160</v>
      </c>
      <c r="E46" s="2"/>
      <c r="F46" s="3" t="str">
        <f>IFERROR(__xludf.DUMMYFUNCTION("GOOGLETRANSLATE(A46, ""it"", ""en"")"),"45")</f>
        <v>45</v>
      </c>
      <c r="G46" s="3" t="str">
        <f>IFERROR(__xludf.DUMMYFUNCTION("GOOGLETRANSLATE(B46, ""it"", ""en"")"),"What to do if your ski gets stuck in the snow?")</f>
        <v>What to do if your ski gets stuck in the snow?</v>
      </c>
      <c r="H46" s="3" t="str">
        <f>IFERROR(__xludf.DUMMYFUNCTION("GOOGLETRANSLATE(C46, ""it"", ""en"")"),"A. Force the ski to free it B. Use poles to help C. Call for help D. Wait for someone to free it")</f>
        <v>A. Force the ski to free it B. Use poles to help C. Call for help D. Wait for someone to free it</v>
      </c>
      <c r="I46" s="3" t="str">
        <f>IFERROR(__xludf.DUMMYFUNCTION("GOOGLETRANSLATE(D46, ""it"", ""en"")"),"Using sticks for help")</f>
        <v>Using sticks for help</v>
      </c>
      <c r="J46" s="2"/>
      <c r="K46" s="2"/>
      <c r="L46" s="2"/>
      <c r="M46" s="2"/>
      <c r="N46" s="2"/>
      <c r="O46" s="2"/>
      <c r="P46" s="2"/>
      <c r="Q46" s="2"/>
      <c r="R46" s="2"/>
      <c r="S46" s="2"/>
      <c r="T46" s="2"/>
      <c r="U46" s="2"/>
      <c r="V46" s="2"/>
      <c r="W46" s="2"/>
    </row>
    <row r="47" ht="22.5" customHeight="1">
      <c r="A47" s="3">
        <v>46.0</v>
      </c>
      <c r="B47" s="3" t="s">
        <v>3161</v>
      </c>
      <c r="C47" s="3" t="s">
        <v>3162</v>
      </c>
      <c r="D47" s="3" t="s">
        <v>3163</v>
      </c>
      <c r="E47" s="2"/>
      <c r="F47" s="3" t="str">
        <f>IFERROR(__xludf.DUMMYFUNCTION("GOOGLETRANSLATE(A47, ""it"", ""en"")"),"46")</f>
        <v>46</v>
      </c>
      <c r="G47" s="3" t="str">
        <f>IFERROR(__xludf.DUMMYFUNCTION("GOOGLETRANSLATE(B47, ""it"", ""en"")"),"What does a blue flag next to the runway indicate?")</f>
        <v>What does a blue flag next to the runway indicate?</v>
      </c>
      <c r="H47" s="3" t="str">
        <f>IFERROR(__xludf.DUMMYFUNCTION("GOOGLETRANSLATE(C47, ""it"", ""en"")"),"A. Perfect weather conditions B. Snowboard area C. Safe and easy slope D. No-entry area")</f>
        <v>A. Perfect weather conditions B. Snowboard area C. Safe and easy slope D. No-entry area</v>
      </c>
      <c r="I47" s="3" t="str">
        <f>IFERROR(__xludf.DUMMYFUNCTION("GOOGLETRANSLATE(D47, ""it"", ""en"")"),"Safe and easy track")</f>
        <v>Safe and easy track</v>
      </c>
      <c r="J47" s="2"/>
      <c r="K47" s="2"/>
      <c r="L47" s="2"/>
      <c r="M47" s="2"/>
      <c r="N47" s="2"/>
      <c r="O47" s="2"/>
      <c r="P47" s="2"/>
      <c r="Q47" s="2"/>
      <c r="R47" s="2"/>
      <c r="S47" s="2"/>
      <c r="T47" s="2"/>
      <c r="U47" s="2"/>
      <c r="V47" s="2"/>
      <c r="W47" s="2"/>
    </row>
    <row r="48" ht="22.5" customHeight="1">
      <c r="A48" s="3">
        <v>47.0</v>
      </c>
      <c r="B48" s="3" t="s">
        <v>3164</v>
      </c>
      <c r="C48" s="3" t="s">
        <v>3165</v>
      </c>
      <c r="D48" s="3" t="s">
        <v>3166</v>
      </c>
      <c r="E48" s="2"/>
      <c r="F48" s="3" t="str">
        <f>IFERROR(__xludf.DUMMYFUNCTION("GOOGLETRANSLATE(A48, ""it"", ""en"")"),"47")</f>
        <v>47</v>
      </c>
      <c r="G48" s="3" t="str">
        <f>IFERROR(__xludf.DUMMYFUNCTION("GOOGLETRANSLATE(B48, ""it"", ""en"")"),"How can you avoid overloading your knees while skiing?")</f>
        <v>How can you avoid overloading your knees while skiing?</v>
      </c>
      <c r="H48" s="3" t="str">
        <f>IFERROR(__xludf.DUMMYFUNCTION("GOOGLETRANSLATE(C48, ""it"", ""en"")"),"A. Extend your legs as far as possible B. Maintain a central and flexible position C. Avoid bends D. Take frequent breaks")</f>
        <v>A. Extend your legs as far as possible B. Maintain a central and flexible position C. Avoid bends D. Take frequent breaks</v>
      </c>
      <c r="I48" s="3" t="str">
        <f>IFERROR(__xludf.DUMMYFUNCTION("GOOGLETRANSLATE(D48, ""it"", ""en"")"),"Maintain a central and flexible position")</f>
        <v>Maintain a central and flexible position</v>
      </c>
      <c r="J48" s="2"/>
      <c r="K48" s="2"/>
      <c r="L48" s="2"/>
      <c r="M48" s="2"/>
      <c r="N48" s="2"/>
      <c r="O48" s="2"/>
      <c r="P48" s="2"/>
      <c r="Q48" s="2"/>
      <c r="R48" s="2"/>
      <c r="S48" s="2"/>
      <c r="T48" s="2"/>
      <c r="U48" s="2"/>
      <c r="V48" s="2"/>
      <c r="W48" s="2"/>
    </row>
    <row r="49" ht="22.5" customHeight="1">
      <c r="A49" s="3">
        <v>48.0</v>
      </c>
      <c r="B49" s="3" t="s">
        <v>3167</v>
      </c>
      <c r="C49" s="3" t="s">
        <v>3168</v>
      </c>
      <c r="D49" s="3" t="s">
        <v>3169</v>
      </c>
      <c r="E49" s="2"/>
      <c r="F49" s="3" t="str">
        <f>IFERROR(__xludf.DUMMYFUNCTION("GOOGLETRANSLATE(A49, ""it"", ""en"")"),"48")</f>
        <v>48</v>
      </c>
      <c r="G49" s="3" t="str">
        <f>IFERROR(__xludf.DUMMYFUNCTION("GOOGLETRANSLATE(B49, ""it"", ""en"")"),"What is the first sign of hypothermia while skiing?")</f>
        <v>What is the first sign of hypothermia while skiing?</v>
      </c>
      <c r="H49" s="3" t="str">
        <f>IFERROR(__xludf.DUMMYFUNCTION("GOOGLETRANSLATE(C49, ""it"", ""en"")"),"A. Sudden sensation of heat B. Mental confusion and chills C. Loss of sensation in the hands D. Blurred vision")</f>
        <v>A. Sudden sensation of heat B. Mental confusion and chills C. Loss of sensation in the hands D. Blurred vision</v>
      </c>
      <c r="I49" s="3" t="str">
        <f>IFERROR(__xludf.DUMMYFUNCTION("GOOGLETRANSLATE(D49, ""it"", ""en"")"),"Mental confusion and chills")</f>
        <v>Mental confusion and chills</v>
      </c>
      <c r="J49" s="2"/>
      <c r="K49" s="2"/>
      <c r="L49" s="2"/>
      <c r="M49" s="2"/>
      <c r="N49" s="2"/>
      <c r="O49" s="2"/>
      <c r="P49" s="2"/>
      <c r="Q49" s="2"/>
      <c r="R49" s="2"/>
      <c r="S49" s="2"/>
      <c r="T49" s="2"/>
      <c r="U49" s="2"/>
      <c r="V49" s="2"/>
      <c r="W49" s="2"/>
    </row>
    <row r="50" ht="22.5" customHeight="1">
      <c r="A50" s="3">
        <v>49.0</v>
      </c>
      <c r="B50" s="3" t="s">
        <v>3170</v>
      </c>
      <c r="C50" s="3" t="s">
        <v>3171</v>
      </c>
      <c r="D50" s="3" t="s">
        <v>3172</v>
      </c>
      <c r="E50" s="2"/>
      <c r="F50" s="3" t="str">
        <f>IFERROR(__xludf.DUMMYFUNCTION("GOOGLETRANSLATE(A50, ""it"", ""en"")"),"49")</f>
        <v>49</v>
      </c>
      <c r="G50" s="3" t="str">
        <f>IFERROR(__xludf.DUMMYFUNCTION("GOOGLETRANSLATE(B50, ""it"", ""en"")"),"What does a yellow triangle warning mean?")</f>
        <v>What does a yellow triangle warning mean?</v>
      </c>
      <c r="H50" s="3" t="str">
        <f>IFERROR(__xludf.DUMMYFUNCTION("GOOGLETRANSLATE(C50, ""it"", ""en"")"),"A. Heavy traffic area B. Beginners' area C. Rockfall danger area D. Sledding area")</f>
        <v>A. Heavy traffic area B. Beginners' area C. Rockfall danger area D. Sledding area</v>
      </c>
      <c r="I50" s="3" t="str">
        <f>IFERROR(__xludf.DUMMYFUNCTION("GOOGLETRANSLATE(D50, ""it"", ""en"")"),"Rockfall danger zone")</f>
        <v>Rockfall danger zone</v>
      </c>
      <c r="J50" s="2"/>
      <c r="K50" s="2"/>
      <c r="L50" s="2"/>
      <c r="M50" s="2"/>
      <c r="N50" s="2"/>
      <c r="O50" s="2"/>
      <c r="P50" s="2"/>
      <c r="Q50" s="2"/>
      <c r="R50" s="2"/>
      <c r="S50" s="2"/>
      <c r="T50" s="2"/>
      <c r="U50" s="2"/>
      <c r="V50" s="2"/>
      <c r="W50" s="2"/>
    </row>
    <row r="51" ht="22.5" customHeight="1">
      <c r="A51" s="3">
        <v>50.0</v>
      </c>
      <c r="B51" s="3" t="s">
        <v>3173</v>
      </c>
      <c r="C51" s="3" t="s">
        <v>3174</v>
      </c>
      <c r="D51" s="3" t="s">
        <v>3175</v>
      </c>
      <c r="E51" s="2"/>
      <c r="F51" s="3" t="str">
        <f>IFERROR(__xludf.DUMMYFUNCTION("GOOGLETRANSLATE(A51, ""it"", ""en"")"),"50")</f>
        <v>50</v>
      </c>
      <c r="G51" s="3" t="str">
        <f>IFERROR(__xludf.DUMMYFUNCTION("GOOGLETRANSLATE(B51, ""it"", ""en"")"),"What's the best time to stop for a break?")</f>
        <v>What's the best time to stop for a break?</v>
      </c>
      <c r="H51" s="3" t="str">
        <f>IFERROR(__xludf.DUMMYFUNCTION("GOOGLETRANSLATE(C51, ""it"", ""en"")"),"A. When you are tired B. Every two descents independently C. When others do it D. Every time you reach a refreshment point")</f>
        <v>A. When you are tired B. Every two descents independently C. When others do it D. Every time you reach a refreshment point</v>
      </c>
      <c r="I51" s="3" t="str">
        <f>IFERROR(__xludf.DUMMYFUNCTION("GOOGLETRANSLATE(D51, ""it"", ""en"")"),"When you are tired")</f>
        <v>When you are tired</v>
      </c>
      <c r="J51" s="2"/>
      <c r="K51" s="2"/>
      <c r="L51" s="2"/>
      <c r="M51" s="2"/>
      <c r="N51" s="2"/>
      <c r="O51" s="2"/>
      <c r="P51" s="2"/>
      <c r="Q51" s="2"/>
      <c r="R51" s="2"/>
      <c r="S51" s="2"/>
      <c r="T51" s="2"/>
      <c r="U51" s="2"/>
      <c r="V51" s="2"/>
      <c r="W51" s="2"/>
    </row>
    <row r="52" ht="22.5" customHeight="1">
      <c r="A52" s="3">
        <v>51.0</v>
      </c>
      <c r="B52" s="3" t="s">
        <v>3176</v>
      </c>
      <c r="C52" s="3" t="s">
        <v>3177</v>
      </c>
      <c r="D52" s="3" t="s">
        <v>3178</v>
      </c>
      <c r="E52" s="2"/>
      <c r="F52" s="3" t="str">
        <f>IFERROR(__xludf.DUMMYFUNCTION("GOOGLETRANSLATE(A52, ""it"", ""en"")"),"51")</f>
        <v>51</v>
      </c>
      <c r="G52" s="3" t="str">
        <f>IFERROR(__xludf.DUMMYFUNCTION("GOOGLETRANSLATE(B52, ""it"", ""en"")"),"What's the best way to take a sharp corner at speed?")</f>
        <v>What's the best way to take a sharp corner at speed?</v>
      </c>
      <c r="H52" s="3" t="str">
        <f>IFERROR(__xludf.DUMMYFUNCTION("GOOGLETRANSLATE(C52, ""it"", ""en"")"),"A. Reduce speed and lean B. Accelerate to complete the turn C. Keep your skis straight D. Use your poles to push yourself")</f>
        <v>A. Reduce speed and lean B. Accelerate to complete the turn C. Keep your skis straight D. Use your poles to push yourself</v>
      </c>
      <c r="I52" s="3" t="str">
        <f>IFERROR(__xludf.DUMMYFUNCTION("GOOGLETRANSLATE(D52, ""it"", ""en"")"),"Reduce speed and lean over")</f>
        <v>Reduce speed and lean over</v>
      </c>
      <c r="J52" s="2"/>
      <c r="K52" s="2"/>
      <c r="L52" s="2"/>
      <c r="M52" s="2"/>
      <c r="N52" s="2"/>
      <c r="O52" s="2"/>
      <c r="P52" s="2"/>
      <c r="Q52" s="2"/>
      <c r="R52" s="2"/>
      <c r="S52" s="2"/>
      <c r="T52" s="2"/>
      <c r="U52" s="2"/>
      <c r="V52" s="2"/>
      <c r="W52" s="2"/>
    </row>
    <row r="53" ht="22.5" customHeight="1">
      <c r="A53" s="3">
        <v>52.0</v>
      </c>
      <c r="B53" s="3" t="s">
        <v>3179</v>
      </c>
      <c r="C53" s="3" t="s">
        <v>3180</v>
      </c>
      <c r="D53" s="3" t="s">
        <v>3181</v>
      </c>
      <c r="E53" s="2"/>
      <c r="F53" s="3" t="str">
        <f>IFERROR(__xludf.DUMMYFUNCTION("GOOGLETRANSLATE(A53, ""it"", ""en"")"),"52")</f>
        <v>52</v>
      </c>
      <c r="G53" s="3" t="str">
        <f>IFERROR(__xludf.DUMMYFUNCTION("GOOGLETRANSLATE(B53, ""it"", ""en"")"),"What does a ""Dangerous Off-Track"" warning mean?")</f>
        <v>What does a "Dangerous Off-Track" warning mean?</v>
      </c>
      <c r="H53" s="3" t="str">
        <f>IFERROR(__xludf.DUMMYFUNCTION("GOOGLETRANSLATE(C53, ""it"", ""en"")"),"A. Safe area for experts B. Area prohibited to skiers C. Area with fresh snow D. Difficult but accessible slope")</f>
        <v>A. Safe area for experts B. Area prohibited to skiers C. Area with fresh snow D. Difficult but accessible slope</v>
      </c>
      <c r="I53" s="3" t="str">
        <f>IFERROR(__xludf.DUMMYFUNCTION("GOOGLETRANSLATE(D53, ""it"", ""en"")"),"Skier-free zone")</f>
        <v>Skier-free zone</v>
      </c>
      <c r="J53" s="2"/>
      <c r="K53" s="2"/>
      <c r="L53" s="2"/>
      <c r="M53" s="2"/>
      <c r="N53" s="2"/>
      <c r="O53" s="2"/>
      <c r="P53" s="2"/>
      <c r="Q53" s="2"/>
      <c r="R53" s="2"/>
      <c r="S53" s="2"/>
      <c r="T53" s="2"/>
      <c r="U53" s="2"/>
      <c r="V53" s="2"/>
      <c r="W53" s="2"/>
    </row>
    <row r="54" ht="22.5" customHeight="1">
      <c r="A54" s="3">
        <v>53.0</v>
      </c>
      <c r="B54" s="3" t="s">
        <v>3182</v>
      </c>
      <c r="C54" s="3" t="s">
        <v>3183</v>
      </c>
      <c r="D54" s="3" t="s">
        <v>3184</v>
      </c>
      <c r="E54" s="2"/>
      <c r="F54" s="3" t="str">
        <f>IFERROR(__xludf.DUMMYFUNCTION("GOOGLETRANSLATE(A54, ""it"", ""en"")"),"53")</f>
        <v>53</v>
      </c>
      <c r="G54" s="3" t="str">
        <f>IFERROR(__xludf.DUMMYFUNCTION("GOOGLETRANSLATE(B54, ""it"", ""en"")"),"What to do if you lose control while descending?")</f>
        <v>What to do if you lose control while descending?</v>
      </c>
      <c r="H54" s="3" t="str">
        <f>IFERROR(__xludf.DUMMYFUNCTION("GOOGLETRANSLATE(C54, ""it"", ""en"")"),"A. Falling intentionally to stop yourself B. Accelerating to regain control C. Using poles to brake D. Shouting to warn others")</f>
        <v>A. Falling intentionally to stop yourself B. Accelerating to regain control C. Using poles to brake D. Shouting to warn others</v>
      </c>
      <c r="I54" s="3" t="str">
        <f>IFERROR(__xludf.DUMMYFUNCTION("GOOGLETRANSLATE(D54, ""it"", ""en"")"),"Fall intentionally to stop yourself")</f>
        <v>Fall intentionally to stop yourself</v>
      </c>
      <c r="J54" s="2"/>
      <c r="K54" s="2"/>
      <c r="L54" s="2"/>
      <c r="M54" s="2"/>
      <c r="N54" s="2"/>
      <c r="O54" s="2"/>
      <c r="P54" s="2"/>
      <c r="Q54" s="2"/>
      <c r="R54" s="2"/>
      <c r="S54" s="2"/>
      <c r="T54" s="2"/>
      <c r="U54" s="2"/>
      <c r="V54" s="2"/>
      <c r="W54" s="2"/>
    </row>
    <row r="55" ht="22.5" customHeight="1">
      <c r="A55" s="3">
        <v>54.0</v>
      </c>
      <c r="B55" s="3" t="s">
        <v>3185</v>
      </c>
      <c r="C55" s="3" t="s">
        <v>3186</v>
      </c>
      <c r="D55" s="3" t="s">
        <v>3187</v>
      </c>
      <c r="E55" s="2"/>
      <c r="F55" s="3" t="str">
        <f>IFERROR(__xludf.DUMMYFUNCTION("GOOGLETRANSLATE(A55, ""it"", ""en"")"),"54")</f>
        <v>54</v>
      </c>
      <c r="G55" s="3" t="str">
        <f>IFERROR(__xludf.DUMMYFUNCTION("GOOGLETRANSLATE(B55, ""it"", ""en"")"),"What is the advantage of skiing in organized groups?")</f>
        <v>What is the advantage of skiing in organized groups?</v>
      </c>
      <c r="H55" s="3" t="str">
        <f>IFERROR(__xludf.DUMMYFUNCTION("GOOGLETRANSLATE(C55, ""it"", ""en"")"),"A. More fun B. Greater safety C. Greater speed D. Ability to compete")</f>
        <v>A. More fun B. Greater safety C. Greater speed D. Ability to compete</v>
      </c>
      <c r="I55" s="3" t="str">
        <f>IFERROR(__xludf.DUMMYFUNCTION("GOOGLETRANSLATE(D55, ""it"", ""en"")"),"Greater security")</f>
        <v>Greater security</v>
      </c>
      <c r="J55" s="2"/>
      <c r="K55" s="2"/>
      <c r="L55" s="2"/>
      <c r="M55" s="2"/>
      <c r="N55" s="2"/>
      <c r="O55" s="2"/>
      <c r="P55" s="2"/>
      <c r="Q55" s="2"/>
      <c r="R55" s="2"/>
      <c r="S55" s="2"/>
      <c r="T55" s="2"/>
      <c r="U55" s="2"/>
      <c r="V55" s="2"/>
      <c r="W55" s="2"/>
    </row>
    <row r="56" ht="22.5" customHeight="1">
      <c r="A56" s="3">
        <v>55.0</v>
      </c>
      <c r="B56" s="3" t="s">
        <v>3188</v>
      </c>
      <c r="C56" s="3" t="s">
        <v>3189</v>
      </c>
      <c r="D56" s="3" t="s">
        <v>3190</v>
      </c>
      <c r="E56" s="2"/>
      <c r="F56" s="3" t="str">
        <f>IFERROR(__xludf.DUMMYFUNCTION("GOOGLETRANSLATE(A56, ""it"", ""en"")"),"55")</f>
        <v>55</v>
      </c>
      <c r="G56" s="3" t="str">
        <f>IFERROR(__xludf.DUMMYFUNCTION("GOOGLETRANSLATE(B56, ""it"", ""en"")"),"When is it most important to stretch?")</f>
        <v>When is it most important to stretch?</v>
      </c>
      <c r="H56" s="3" t="str">
        <f>IFERROR(__xludf.DUMMYFUNCTION("GOOGLETRANSLATE(C56, ""it"", ""en"")"),"A. After a long descent B. Before starting to ski C. When you are tired D. Before a break")</f>
        <v>A. After a long descent B. Before starting to ski C. When you are tired D. Before a break</v>
      </c>
      <c r="I56" s="3" t="str">
        <f>IFERROR(__xludf.DUMMYFUNCTION("GOOGLETRANSLATE(D56, ""it"", ""en"")"),"Before you start skiing")</f>
        <v>Before you start skiing</v>
      </c>
      <c r="J56" s="2"/>
      <c r="K56" s="2"/>
      <c r="L56" s="2"/>
      <c r="M56" s="2"/>
      <c r="N56" s="2"/>
      <c r="O56" s="2"/>
      <c r="P56" s="2"/>
      <c r="Q56" s="2"/>
      <c r="R56" s="2"/>
      <c r="S56" s="2"/>
      <c r="T56" s="2"/>
      <c r="U56" s="2"/>
      <c r="V56" s="2"/>
      <c r="W56" s="2"/>
    </row>
    <row r="57" ht="22.5" customHeight="1">
      <c r="A57" s="3">
        <v>56.0</v>
      </c>
      <c r="B57" s="3" t="s">
        <v>3191</v>
      </c>
      <c r="C57" s="3" t="s">
        <v>3192</v>
      </c>
      <c r="D57" s="3" t="s">
        <v>3193</v>
      </c>
      <c r="E57" s="2"/>
      <c r="F57" s="3" t="str">
        <f>IFERROR(__xludf.DUMMYFUNCTION("GOOGLETRANSLATE(A57, ""it"", ""en"")"),"56")</f>
        <v>56</v>
      </c>
      <c r="G57" s="3" t="str">
        <f>IFERROR(__xludf.DUMMYFUNCTION("GOOGLETRANSLATE(B57, ""it"", ""en"")"),"What to do if the wind suddenly increases while you are skiing?")</f>
        <v>What to do if the wind suddenly increases while you are skiing?</v>
      </c>
      <c r="H57" s="3" t="str">
        <f>IFERROR(__xludf.DUMMYFUNCTION("GOOGLETRANSLATE(C57, ""it"", ""en"")"),"A. Slow down and pay attention B. Accelerate to complete the descent C. Ignore it and continue D. Get into an aerodynamic position")</f>
        <v>A. Slow down and pay attention B. Accelerate to complete the descent C. Ignore it and continue D. Get into an aerodynamic position</v>
      </c>
      <c r="I57" s="3" t="str">
        <f>IFERROR(__xludf.DUMMYFUNCTION("GOOGLETRANSLATE(D57, ""it"", ""en"")"),"Slow down and pay attention")</f>
        <v>Slow down and pay attention</v>
      </c>
      <c r="J57" s="2"/>
      <c r="K57" s="2"/>
      <c r="L57" s="2"/>
      <c r="M57" s="2"/>
      <c r="N57" s="2"/>
      <c r="O57" s="2"/>
      <c r="P57" s="2"/>
      <c r="Q57" s="2"/>
      <c r="R57" s="2"/>
      <c r="S57" s="2"/>
      <c r="T57" s="2"/>
      <c r="U57" s="2"/>
      <c r="V57" s="2"/>
      <c r="W57" s="2"/>
    </row>
    <row r="58" ht="22.5" customHeight="1">
      <c r="A58" s="3">
        <v>57.0</v>
      </c>
      <c r="B58" s="3" t="s">
        <v>3194</v>
      </c>
      <c r="C58" s="3" t="s">
        <v>3195</v>
      </c>
      <c r="D58" s="3" t="s">
        <v>3196</v>
      </c>
      <c r="E58" s="2"/>
      <c r="F58" s="3" t="str">
        <f>IFERROR(__xludf.DUMMYFUNCTION("GOOGLETRANSLATE(A58, ""it"", ""en"")"),"57")</f>
        <v>57</v>
      </c>
      <c r="G58" s="3" t="str">
        <f>IFERROR(__xludf.DUMMYFUNCTION("GOOGLETRANSLATE(B58, ""it"", ""en"")"),"What does a sign with a black arrow indicate?")</f>
        <v>What does a sign with a black arrow indicate?</v>
      </c>
      <c r="H58" s="3" t="str">
        <f>IFERROR(__xludf.DUMMYFUNCTION("GOOGLETRANSLATE(C58, ""it"", ""en"")"),"A. Track reserved for snowboarders B. Track for advanced skiers C. Track closed to the public D. Alternative route")</f>
        <v>A. Track reserved for snowboarders B. Track for advanced skiers C. Track closed to the public D. Alternative route</v>
      </c>
      <c r="I58" s="3" t="str">
        <f>IFERROR(__xludf.DUMMYFUNCTION("GOOGLETRANSLATE(D58, ""it"", ""en"")"),"Slope for advanced skiers")</f>
        <v>Slope for advanced skiers</v>
      </c>
      <c r="J58" s="2"/>
      <c r="K58" s="2"/>
      <c r="L58" s="2"/>
      <c r="M58" s="2"/>
      <c r="N58" s="2"/>
      <c r="O58" s="2"/>
      <c r="P58" s="2"/>
      <c r="Q58" s="2"/>
      <c r="R58" s="2"/>
      <c r="S58" s="2"/>
      <c r="T58" s="2"/>
      <c r="U58" s="2"/>
      <c r="V58" s="2"/>
      <c r="W58" s="2"/>
    </row>
    <row r="59" ht="22.5" customHeight="1">
      <c r="A59" s="3">
        <v>58.0</v>
      </c>
      <c r="B59" s="3" t="s">
        <v>3197</v>
      </c>
      <c r="C59" s="3" t="s">
        <v>3198</v>
      </c>
      <c r="D59" s="3" t="s">
        <v>3199</v>
      </c>
      <c r="E59" s="2"/>
      <c r="F59" s="3" t="str">
        <f>IFERROR(__xludf.DUMMYFUNCTION("GOOGLETRANSLATE(A59, ""it"", ""en"")"),"58")</f>
        <v>58</v>
      </c>
      <c r="G59" s="3" t="str">
        <f>IFERROR(__xludf.DUMMYFUNCTION("GOOGLETRANSLATE(B59, ""it"", ""en"")"),"What to do if you encounter a bumpy area on the trail?")</f>
        <v>What to do if you encounter a bumpy area on the trail?</v>
      </c>
      <c r="H59" s="3" t="str">
        <f>IFERROR(__xludf.DUMMYFUNCTION("GOOGLETRANSLATE(C59, ""it"", ""en"")"),"A. Avoid it and change route B. Increase speed to quickly overtake it C. Slow down and adapt your movement D. Remove your skis and walk")</f>
        <v>A. Avoid it and change route B. Increase speed to quickly overtake it C. Slow down and adapt your movement D. Remove your skis and walk</v>
      </c>
      <c r="I59" s="3" t="str">
        <f>IFERROR(__xludf.DUMMYFUNCTION("GOOGLETRANSLATE(D59, ""it"", ""en"")"),"Slow down and adapt the movement")</f>
        <v>Slow down and adapt the movement</v>
      </c>
      <c r="J59" s="2"/>
      <c r="K59" s="2"/>
      <c r="L59" s="2"/>
      <c r="M59" s="2"/>
      <c r="N59" s="2"/>
      <c r="O59" s="2"/>
      <c r="P59" s="2"/>
      <c r="Q59" s="2"/>
      <c r="R59" s="2"/>
      <c r="S59" s="2"/>
      <c r="T59" s="2"/>
      <c r="U59" s="2"/>
      <c r="V59" s="2"/>
      <c r="W59" s="2"/>
    </row>
    <row r="60" ht="22.5" customHeight="1">
      <c r="A60" s="3">
        <v>59.0</v>
      </c>
      <c r="B60" s="3" t="s">
        <v>3200</v>
      </c>
      <c r="C60" s="3" t="s">
        <v>3201</v>
      </c>
      <c r="D60" s="3" t="s">
        <v>3202</v>
      </c>
      <c r="E60" s="2"/>
      <c r="F60" s="3" t="str">
        <f>IFERROR(__xludf.DUMMYFUNCTION("GOOGLETRANSLATE(A60, ""it"", ""en"")"),"59")</f>
        <v>59</v>
      </c>
      <c r="G60" s="3" t="str">
        <f>IFERROR(__xludf.DUMMYFUNCTION("GOOGLETRANSLATE(B60, ""it"", ""en"")"),"What is the technique of keeping the skis parallel while descending called?")</f>
        <v>What is the technique of keeping the skis parallel while descending called?</v>
      </c>
      <c r="H60" s="3" t="str">
        <f>IFERROR(__xludf.DUMMYFUNCTION("GOOGLETRANSLATE(C60, ""it"", ""en"")"),"A. Slalom B. Carving C. Parallel position D. Freeride")</f>
        <v>A. Slalom B. Carving C. Parallel position D. Freeride</v>
      </c>
      <c r="I60" s="3" t="str">
        <f>IFERROR(__xludf.DUMMYFUNCTION("GOOGLETRANSLATE(D60, ""it"", ""en"")"),"Parallel position")</f>
        <v>Parallel position</v>
      </c>
      <c r="J60" s="2"/>
      <c r="K60" s="2"/>
      <c r="L60" s="2"/>
      <c r="M60" s="2"/>
      <c r="N60" s="2"/>
      <c r="O60" s="2"/>
      <c r="P60" s="2"/>
      <c r="Q60" s="2"/>
      <c r="R60" s="2"/>
      <c r="S60" s="2"/>
      <c r="T60" s="2"/>
      <c r="U60" s="2"/>
      <c r="V60" s="2"/>
      <c r="W60" s="2"/>
    </row>
    <row r="61" ht="22.5" customHeight="1">
      <c r="A61" s="3">
        <v>60.0</v>
      </c>
      <c r="B61" s="3" t="s">
        <v>3203</v>
      </c>
      <c r="C61" s="3" t="s">
        <v>3204</v>
      </c>
      <c r="D61" s="3" t="s">
        <v>3205</v>
      </c>
      <c r="E61" s="2"/>
      <c r="F61" s="3" t="str">
        <f>IFERROR(__xludf.DUMMYFUNCTION("GOOGLETRANSLATE(A61, ""it"", ""en"")"),"60")</f>
        <v>60</v>
      </c>
      <c r="G61" s="3" t="str">
        <f>IFERROR(__xludf.DUMMYFUNCTION("GOOGLETRANSLATE(B61, ""it"", ""en"")"),"What is the importance of a waterproof jacket when skiing?")</f>
        <v>What is the importance of a waterproof jacket when skiing?</v>
      </c>
      <c r="H61" s="3" t="str">
        <f>IFERROR(__xludf.DUMMYFUNCTION("GOOGLETRANSLATE(C61, ""it"", ""en"")"),"A. Keeps you dry and warm B. Helps you ski faster C. Only for photos D. Not necessary")</f>
        <v>A. Keeps you dry and warm B. Helps you ski faster C. Only for photos D. Not necessary</v>
      </c>
      <c r="I61" s="3" t="str">
        <f>IFERROR(__xludf.DUMMYFUNCTION("GOOGLETRANSLATE(D61, ""it"", ""en"")"),"Keeps you dry and warm")</f>
        <v>Keeps you dry and warm</v>
      </c>
      <c r="J61" s="2"/>
      <c r="K61" s="2"/>
      <c r="L61" s="2"/>
      <c r="M61" s="2"/>
      <c r="N61" s="2"/>
      <c r="O61" s="2"/>
      <c r="P61" s="2"/>
      <c r="Q61" s="2"/>
      <c r="R61" s="2"/>
      <c r="S61" s="2"/>
      <c r="T61" s="2"/>
      <c r="U61" s="2"/>
      <c r="V61" s="2"/>
      <c r="W61" s="2"/>
    </row>
    <row r="62" ht="22.5" customHeight="1">
      <c r="A62" s="3">
        <v>61.0</v>
      </c>
      <c r="B62" s="3" t="s">
        <v>3206</v>
      </c>
      <c r="C62" s="3" t="s">
        <v>3207</v>
      </c>
      <c r="D62" s="3" t="s">
        <v>3208</v>
      </c>
      <c r="E62" s="2"/>
      <c r="F62" s="3" t="str">
        <f>IFERROR(__xludf.DUMMYFUNCTION("GOOGLETRANSLATE(A62, ""it"", ""en"")"),"61")</f>
        <v>61</v>
      </c>
      <c r="G62" s="3" t="str">
        <f>IFERROR(__xludf.DUMMYFUNCTION("GOOGLETRANSLATE(B62, ""it"", ""en"")"),"What to do if you lose a glove while skiing?")</f>
        <v>What to do if you lose a glove while skiing?</v>
      </c>
      <c r="H62" s="3" t="str">
        <f>IFERROR(__xludf.DUMMYFUNCTION("GOOGLETRANSLATE(C62, ""it"", ""en"")"),"A. Continue without it B. Retrieve it immediately C. Ask someone to help you D. Use a spare you have with you")</f>
        <v>A. Continue without it B. Retrieve it immediately C. Ask someone to help you D. Use a spare you have with you</v>
      </c>
      <c r="I62" s="3" t="str">
        <f>IFERROR(__xludf.DUMMYFUNCTION("GOOGLETRANSLATE(D62, ""it"", ""en"")"),"Recover it immediately")</f>
        <v>Recover it immediately</v>
      </c>
      <c r="J62" s="2"/>
      <c r="K62" s="2"/>
      <c r="L62" s="2"/>
      <c r="M62" s="2"/>
      <c r="N62" s="2"/>
      <c r="O62" s="2"/>
      <c r="P62" s="2"/>
      <c r="Q62" s="2"/>
      <c r="R62" s="2"/>
      <c r="S62" s="2"/>
      <c r="T62" s="2"/>
      <c r="U62" s="2"/>
      <c r="V62" s="2"/>
      <c r="W62" s="2"/>
    </row>
    <row r="63" ht="22.5" customHeight="1">
      <c r="A63" s="3">
        <v>62.0</v>
      </c>
      <c r="B63" s="3" t="s">
        <v>3209</v>
      </c>
      <c r="C63" s="3" t="s">
        <v>3210</v>
      </c>
      <c r="D63" s="3" t="s">
        <v>3211</v>
      </c>
      <c r="E63" s="2"/>
      <c r="F63" s="3" t="str">
        <f>IFERROR(__xludf.DUMMYFUNCTION("GOOGLETRANSLATE(A63, ""it"", ""en"")"),"62")</f>
        <v>62</v>
      </c>
      <c r="G63" s="3" t="str">
        <f>IFERROR(__xludf.DUMMYFUNCTION("GOOGLETRANSLATE(B63, ""it"", ""en"")"),"What does an ""Avalanche Area"" sign mean?")</f>
        <v>What does an "Avalanche Area" sign mean?</v>
      </c>
      <c r="H63" s="3" t="str">
        <f>IFERROR(__xludf.DUMMYFUNCTION("GOOGLETRANSLATE(C63, ""it"", ""en"")"),"A. Expert area B. Skiing is not permitted in that area C. Safe area if followed carefully D. Track with compact snow")</f>
        <v>A. Expert area B. Skiing is not permitted in that area C. Safe area if followed carefully D. Track with compact snow</v>
      </c>
      <c r="I63" s="3" t="str">
        <f>IFERROR(__xludf.DUMMYFUNCTION("GOOGLETRANSLATE(D63, ""it"", ""en"")"),"Skiing is not permitted in that area")</f>
        <v>Skiing is not permitted in that area</v>
      </c>
      <c r="J63" s="2"/>
      <c r="K63" s="2"/>
      <c r="L63" s="2"/>
      <c r="M63" s="2"/>
      <c r="N63" s="2"/>
      <c r="O63" s="2"/>
      <c r="P63" s="2"/>
      <c r="Q63" s="2"/>
      <c r="R63" s="2"/>
      <c r="S63" s="2"/>
      <c r="T63" s="2"/>
      <c r="U63" s="2"/>
      <c r="V63" s="2"/>
      <c r="W63" s="2"/>
    </row>
    <row r="64" ht="22.5" customHeight="1">
      <c r="A64" s="3">
        <v>63.0</v>
      </c>
      <c r="B64" s="3" t="s">
        <v>3212</v>
      </c>
      <c r="C64" s="3" t="s">
        <v>3213</v>
      </c>
      <c r="D64" s="3" t="s">
        <v>3214</v>
      </c>
      <c r="E64" s="2"/>
      <c r="F64" s="3" t="str">
        <f>IFERROR(__xludf.DUMMYFUNCTION("GOOGLETRANSLATE(A64, ""it"", ""en"")"),"63")</f>
        <v>63</v>
      </c>
      <c r="G64" s="3" t="str">
        <f>IFERROR(__xludf.DUMMYFUNCTION("GOOGLETRANSLATE(B64, ""it"", ""en"")"),"What's the best way to manage fatigue during a long day of skiing?")</f>
        <v>What's the best way to manage fatigue during a long day of skiing?</v>
      </c>
      <c r="H64" s="3" t="str">
        <f>IFERROR(__xludf.DUMMYFUNCTION("GOOGLETRANSLATE(C64, ""it"", ""en"")"),"A. Drink plenty of water and take breaks B. Keep going to get used to it C. Move on to more difficult trails D. Eat a heavy meal for lunch")</f>
        <v>A. Drink plenty of water and take breaks B. Keep going to get used to it C. Move on to more difficult trails D. Eat a heavy meal for lunch</v>
      </c>
      <c r="I64" s="3" t="str">
        <f>IFERROR(__xludf.DUMMYFUNCTION("GOOGLETRANSLATE(D64, ""it"", ""en"")"),"Drink plenty of water and take breaks")</f>
        <v>Drink plenty of water and take breaks</v>
      </c>
      <c r="J64" s="2"/>
      <c r="K64" s="2"/>
      <c r="L64" s="2"/>
      <c r="M64" s="2"/>
      <c r="N64" s="2"/>
      <c r="O64" s="2"/>
      <c r="P64" s="2"/>
      <c r="Q64" s="2"/>
      <c r="R64" s="2"/>
      <c r="S64" s="2"/>
      <c r="T64" s="2"/>
      <c r="U64" s="2"/>
      <c r="V64" s="2"/>
      <c r="W64" s="2"/>
    </row>
    <row r="65" ht="22.5" customHeight="1">
      <c r="A65" s="3">
        <v>64.0</v>
      </c>
      <c r="B65" s="3" t="s">
        <v>3215</v>
      </c>
      <c r="C65" s="3" t="s">
        <v>3216</v>
      </c>
      <c r="D65" s="3" t="s">
        <v>3217</v>
      </c>
      <c r="E65" s="2"/>
      <c r="F65" s="3" t="str">
        <f>IFERROR(__xludf.DUMMYFUNCTION("GOOGLETRANSLATE(A65, ""it"", ""en"")"),"64")</f>
        <v>64</v>
      </c>
      <c r="G65" s="3" t="str">
        <f>IFERROR(__xludf.DUMMYFUNCTION("GOOGLETRANSLATE(B65, ""it"", ""en"")"),"What to do if your helmet comes loose while skiing?")</f>
        <v>What to do if your helmet comes loose while skiing?</v>
      </c>
      <c r="H65" s="3" t="str">
        <f>IFERROR(__xludf.DUMMYFUNCTION("GOOGLETRANSLATE(C65, ""it"", ""en"")"),"A. Put it back immediately B. Stop to adjust it C. Ignore it until the end of the descent D. Ask someone to help you")</f>
        <v>A. Put it back immediately B. Stop to adjust it C. Ignore it until the end of the descent D. Ask someone to help you</v>
      </c>
      <c r="I65" s="3" t="str">
        <f>IFERROR(__xludf.DUMMYFUNCTION("GOOGLETRANSLATE(D65, ""it"", ""en"")"),"Stop to adjust it")</f>
        <v>Stop to adjust it</v>
      </c>
      <c r="J65" s="2"/>
      <c r="K65" s="2"/>
      <c r="L65" s="2"/>
      <c r="M65" s="2"/>
      <c r="N65" s="2"/>
      <c r="O65" s="2"/>
      <c r="P65" s="2"/>
      <c r="Q65" s="2"/>
      <c r="R65" s="2"/>
      <c r="S65" s="2"/>
      <c r="T65" s="2"/>
      <c r="U65" s="2"/>
      <c r="V65" s="2"/>
      <c r="W65" s="2"/>
    </row>
    <row r="66" ht="22.5" customHeight="1">
      <c r="A66" s="3">
        <v>65.0</v>
      </c>
      <c r="B66" s="3" t="s">
        <v>3218</v>
      </c>
      <c r="C66" s="3" t="s">
        <v>3219</v>
      </c>
      <c r="D66" s="3" t="s">
        <v>3220</v>
      </c>
      <c r="E66" s="2"/>
      <c r="F66" s="3" t="str">
        <f>IFERROR(__xludf.DUMMYFUNCTION("GOOGLETRANSLATE(A66, ""it"", ""en"")"),"65")</f>
        <v>65</v>
      </c>
      <c r="G66" s="3" t="str">
        <f>IFERROR(__xludf.DUMMYFUNCTION("GOOGLETRANSLATE(B66, ""it"", ""en"")"),"How can you improve your technique on steep slopes?")</f>
        <v>How can you improve your technique on steep slopes?</v>
      </c>
      <c r="H66" s="3" t="str">
        <f>IFERROR(__xludf.DUMMYFUNCTION("GOOGLETRANSLATE(C66, ""it"", ""en"")"),"A. Avoiding them and staying on easier slopes B. Approaching them slowly and carefully C. Accelerating to maintain balance D. Using only poles")</f>
        <v>A. Avoiding them and staying on easier slopes B. Approaching them slowly and carefully C. Accelerating to maintain balance D. Using only poles</v>
      </c>
      <c r="I66" s="3" t="str">
        <f>IFERROR(__xludf.DUMMYFUNCTION("GOOGLETRANSLATE(D66, ""it"", ""en"")"),"Approaching them slowly and with caution")</f>
        <v>Approaching them slowly and with caution</v>
      </c>
      <c r="J66" s="2"/>
      <c r="K66" s="2"/>
      <c r="L66" s="2"/>
      <c r="M66" s="2"/>
      <c r="N66" s="2"/>
      <c r="O66" s="2"/>
      <c r="P66" s="2"/>
      <c r="Q66" s="2"/>
      <c r="R66" s="2"/>
      <c r="S66" s="2"/>
      <c r="T66" s="2"/>
      <c r="U66" s="2"/>
      <c r="V66" s="2"/>
      <c r="W66" s="2"/>
    </row>
    <row r="67" ht="22.5" customHeight="1">
      <c r="A67" s="3">
        <v>66.0</v>
      </c>
      <c r="B67" s="3" t="s">
        <v>3221</v>
      </c>
      <c r="C67" s="3" t="s">
        <v>3222</v>
      </c>
      <c r="D67" s="3" t="s">
        <v>3223</v>
      </c>
      <c r="E67" s="2"/>
      <c r="F67" s="3" t="str">
        <f>IFERROR(__xludf.DUMMYFUNCTION("GOOGLETRANSLATE(A67, ""it"", ""en"")"),"66")</f>
        <v>66</v>
      </c>
      <c r="G67" s="3" t="str">
        <f>IFERROR(__xludf.DUMMYFUNCTION("GOOGLETRANSLATE(B67, ""it"", ""en"")"),"What does a sign with a green cross indicate?")</f>
        <v>What does a sign with a green cross indicate?</v>
      </c>
      <c r="H67" s="3" t="str">
        <f>IFERROR(__xludf.DUMMYFUNCTION("GOOGLETRANSLATE(C67, ""it"", ""en"")"),"A. Refreshment point B. Medical center or first aid C. Safe area D. Easy trail")</f>
        <v>A. Refreshment point B. Medical center or first aid C. Safe area D. Easy trail</v>
      </c>
      <c r="I67" s="3" t="str">
        <f>IFERROR(__xludf.DUMMYFUNCTION("GOOGLETRANSLATE(D67, ""it"", ""en"")"),"Medical center or first aid")</f>
        <v>Medical center or first aid</v>
      </c>
      <c r="J67" s="2"/>
      <c r="K67" s="2"/>
      <c r="L67" s="2"/>
      <c r="M67" s="2"/>
      <c r="N67" s="2"/>
      <c r="O67" s="2"/>
      <c r="P67" s="2"/>
      <c r="Q67" s="2"/>
      <c r="R67" s="2"/>
      <c r="S67" s="2"/>
      <c r="T67" s="2"/>
      <c r="U67" s="2"/>
      <c r="V67" s="2"/>
      <c r="W67" s="2"/>
    </row>
    <row r="68" ht="22.5" customHeight="1">
      <c r="A68" s="3">
        <v>67.0</v>
      </c>
      <c r="B68" s="3" t="s">
        <v>3224</v>
      </c>
      <c r="C68" s="3" t="s">
        <v>3225</v>
      </c>
      <c r="D68" s="3" t="s">
        <v>3226</v>
      </c>
      <c r="E68" s="2"/>
      <c r="F68" s="3" t="str">
        <f>IFERROR(__xludf.DUMMYFUNCTION("GOOGLETRANSLATE(A68, ""it"", ""en"")"),"67")</f>
        <v>67</v>
      </c>
      <c r="G68" s="3" t="str">
        <f>IFERROR(__xludf.DUMMYFUNCTION("GOOGLETRANSLATE(B68, ""it"", ""en"")"),"What is the technique of jumping small ramps on the track called?")</f>
        <v>What is the technique of jumping small ramps on the track called?</v>
      </c>
      <c r="H68" s="3" t="str">
        <f>IFERROR(__xludf.DUMMYFUNCTION("GOOGLETRANSLATE(C68, ""it"", ""en"")"),"A. Freeride B. Slalom C. Technical jumping D. Schuss")</f>
        <v>A. Freeride B. Slalom C. Technical jumping D. Schuss</v>
      </c>
      <c r="I68" s="3" t="str">
        <f>IFERROR(__xludf.DUMMYFUNCTION("GOOGLETRANSLATE(D68, ""it"", ""en"")"),"Technical jump")</f>
        <v>Technical jump</v>
      </c>
      <c r="J68" s="2"/>
      <c r="K68" s="2"/>
      <c r="L68" s="2"/>
      <c r="M68" s="2"/>
      <c r="N68" s="2"/>
      <c r="O68" s="2"/>
      <c r="P68" s="2"/>
      <c r="Q68" s="2"/>
      <c r="R68" s="2"/>
      <c r="S68" s="2"/>
      <c r="T68" s="2"/>
      <c r="U68" s="2"/>
      <c r="V68" s="2"/>
      <c r="W68" s="2"/>
    </row>
    <row r="69" ht="22.5" customHeight="1">
      <c r="A69" s="3">
        <v>68.0</v>
      </c>
      <c r="B69" s="3" t="s">
        <v>3227</v>
      </c>
      <c r="C69" s="3" t="s">
        <v>3228</v>
      </c>
      <c r="D69" s="3" t="s">
        <v>3229</v>
      </c>
      <c r="E69" s="2"/>
      <c r="F69" s="3" t="str">
        <f>IFERROR(__xludf.DUMMYFUNCTION("GOOGLETRANSLATE(A69, ""it"", ""en"")"),"68")</f>
        <v>68</v>
      </c>
      <c r="G69" s="3" t="str">
        <f>IFERROR(__xludf.DUMMYFUNCTION("GOOGLETRANSLATE(B69, ""it"", ""en"")"),"What to do if you encounter deep snow on the descent?")</f>
        <v>What to do if you encounter deep snow on the descent?</v>
      </c>
      <c r="H69" s="3" t="str">
        <f>IFERROR(__xludf.DUMMYFUNCTION("GOOGLETRANSLATE(C69, ""it"", ""en"")"),"A. Slow down and shift your weight back B. Speed ​​up to get past her C. Use only your poles D. Turn more")</f>
        <v>A. Slow down and shift your weight back B. Speed ​​up to get past her C. Use only your poles D. Turn more</v>
      </c>
      <c r="I69" s="3" t="str">
        <f>IFERROR(__xludf.DUMMYFUNCTION("GOOGLETRANSLATE(D69, ""it"", ""en"")"),"Slow down and shift your weight back")</f>
        <v>Slow down and shift your weight back</v>
      </c>
      <c r="J69" s="2"/>
      <c r="K69" s="2"/>
      <c r="L69" s="2"/>
      <c r="M69" s="2"/>
      <c r="N69" s="2"/>
      <c r="O69" s="2"/>
      <c r="P69" s="2"/>
      <c r="Q69" s="2"/>
      <c r="R69" s="2"/>
      <c r="S69" s="2"/>
      <c r="T69" s="2"/>
      <c r="U69" s="2"/>
      <c r="V69" s="2"/>
      <c r="W69" s="2"/>
    </row>
    <row r="70" ht="22.5" customHeight="1">
      <c r="A70" s="3">
        <v>69.0</v>
      </c>
      <c r="B70" s="3" t="s">
        <v>3230</v>
      </c>
      <c r="C70" s="3" t="s">
        <v>3231</v>
      </c>
      <c r="D70" s="3" t="s">
        <v>3232</v>
      </c>
      <c r="E70" s="2"/>
      <c r="F70" s="3" t="str">
        <f>IFERROR(__xludf.DUMMYFUNCTION("GOOGLETRANSLATE(A70, ""it"", ""en"")"),"69")</f>
        <v>69</v>
      </c>
      <c r="G70" s="3" t="str">
        <f>IFERROR(__xludf.DUMMYFUNCTION("GOOGLETRANSLATE(B70, ""it"", ""en"")"),"What is the first step to avoid accidents on the track?")</f>
        <v>What is the first step to avoid accidents on the track?</v>
      </c>
      <c r="H70" s="3" t="str">
        <f>IFERROR(__xludf.DUMMYFUNCTION("GOOGLETRANSLATE(C70, ""it"", ""en"")"),"A. Be the fastest B. Follow the rules of the slope C. Ignore other skiers D. Avoid the most difficult slopes")</f>
        <v>A. Be the fastest B. Follow the rules of the slope C. Ignore other skiers D. Avoid the most difficult slopes</v>
      </c>
      <c r="I70" s="3" t="str">
        <f>IFERROR(__xludf.DUMMYFUNCTION("GOOGLETRANSLATE(D70, ""it"", ""en"")"),"Follow the rules of the track")</f>
        <v>Follow the rules of the track</v>
      </c>
      <c r="J70" s="2"/>
      <c r="K70" s="2"/>
      <c r="L70" s="2"/>
      <c r="M70" s="2"/>
      <c r="N70" s="2"/>
      <c r="O70" s="2"/>
      <c r="P70" s="2"/>
      <c r="Q70" s="2"/>
      <c r="R70" s="2"/>
      <c r="S70" s="2"/>
      <c r="T70" s="2"/>
      <c r="U70" s="2"/>
      <c r="V70" s="2"/>
      <c r="W70" s="2"/>
    </row>
    <row r="71" ht="22.5" customHeight="1">
      <c r="A71" s="3">
        <v>70.0</v>
      </c>
      <c r="B71" s="3" t="s">
        <v>3233</v>
      </c>
      <c r="C71" s="3" t="s">
        <v>3234</v>
      </c>
      <c r="D71" s="3" t="s">
        <v>3235</v>
      </c>
      <c r="E71" s="2"/>
      <c r="F71" s="3" t="str">
        <f>IFERROR(__xludf.DUMMYFUNCTION("GOOGLETRANSLATE(A71, ""it"", ""en"")"),"70")</f>
        <v>70</v>
      </c>
      <c r="G71" s="3" t="str">
        <f>IFERROR(__xludf.DUMMYFUNCTION("GOOGLETRANSLATE(B71, ""it"", ""en"")"),"What does it mean if you see a ""Mandatory Exit"" sign?")</f>
        <v>What does it mean if you see a "Mandatory Exit" sign?</v>
      </c>
      <c r="H71" s="3" t="str">
        <f>IFERROR(__xludf.DUMMYFUNCTION("GOOGLETRANSLATE(C71, ""it"", ""en"")"),"A. Heavy traffic area B. Area closed to the public C. You have to change slopes D. Beginner slope")</f>
        <v>A. Heavy traffic area B. Area closed to the public C. You have to change slopes D. Beginner slope</v>
      </c>
      <c r="I71" s="3" t="str">
        <f>IFERROR(__xludf.DUMMYFUNCTION("GOOGLETRANSLATE(D71, ""it"", ""en"")"),"You have to change track")</f>
        <v>You have to change track</v>
      </c>
      <c r="J71" s="2"/>
      <c r="K71" s="2"/>
      <c r="L71" s="2"/>
      <c r="M71" s="2"/>
      <c r="N71" s="2"/>
      <c r="O71" s="2"/>
      <c r="P71" s="2"/>
      <c r="Q71" s="2"/>
      <c r="R71" s="2"/>
      <c r="S71" s="2"/>
      <c r="T71" s="2"/>
      <c r="U71" s="2"/>
      <c r="V71" s="2"/>
      <c r="W71" s="2"/>
    </row>
    <row r="72" ht="22.5" customHeight="1">
      <c r="A72" s="3">
        <v>71.0</v>
      </c>
      <c r="B72" s="3" t="s">
        <v>3236</v>
      </c>
      <c r="C72" s="3" t="s">
        <v>3237</v>
      </c>
      <c r="D72" s="3" t="s">
        <v>3238</v>
      </c>
      <c r="E72" s="2"/>
      <c r="F72" s="3" t="str">
        <f>IFERROR(__xludf.DUMMYFUNCTION("GOOGLETRANSLATE(A72, ""it"", ""en"")"),"71")</f>
        <v>71</v>
      </c>
      <c r="G72" s="3" t="str">
        <f>IFERROR(__xludf.DUMMYFUNCTION("GOOGLETRANSLATE(B72, ""it"", ""en"")"),"How can you prevent snow from getting into your boots?")</f>
        <v>How can you prevent snow from getting into your boots?</v>
      </c>
      <c r="H72" s="3" t="str">
        <f>IFERROR(__xludf.DUMMYFUNCTION("GOOGLETRANSLATE(C72, ""it"", ""en"")"),"A. Use waterproof gaiters B. Wear thick socks C. Keep your boots looser D. There is no way around it")</f>
        <v>A. Use waterproof gaiters B. Wear thick socks C. Keep your boots looser D. There is no way around it</v>
      </c>
      <c r="I72" s="3" t="str">
        <f>IFERROR(__xludf.DUMMYFUNCTION("GOOGLETRANSLATE(D72, ""it"", ""en"")"),"Use waterproof gaiters")</f>
        <v>Use waterproof gaiters</v>
      </c>
      <c r="J72" s="2"/>
      <c r="K72" s="2"/>
      <c r="L72" s="2"/>
      <c r="M72" s="2"/>
      <c r="N72" s="2"/>
      <c r="O72" s="2"/>
      <c r="P72" s="2"/>
      <c r="Q72" s="2"/>
      <c r="R72" s="2"/>
      <c r="S72" s="2"/>
      <c r="T72" s="2"/>
      <c r="U72" s="2"/>
      <c r="V72" s="2"/>
      <c r="W72" s="2"/>
    </row>
    <row r="73" ht="22.5" customHeight="1">
      <c r="A73" s="3">
        <v>72.0</v>
      </c>
      <c r="B73" s="3" t="s">
        <v>3239</v>
      </c>
      <c r="C73" s="3" t="s">
        <v>3240</v>
      </c>
      <c r="D73" s="3" t="s">
        <v>3241</v>
      </c>
      <c r="E73" s="2"/>
      <c r="F73" s="3" t="str">
        <f>IFERROR(__xludf.DUMMYFUNCTION("GOOGLETRANSLATE(A73, ""it"", ""en"")"),"72")</f>
        <v>72</v>
      </c>
      <c r="G73" s="3" t="str">
        <f>IFERROR(__xludf.DUMMYFUNCTION("GOOGLETRANSLATE(B73, ""it"", ""en"")"),"What to do if you have difficulty seeing because of fog?")</f>
        <v>What to do if you have difficulty seeing because of fog?</v>
      </c>
      <c r="H73" s="3" t="str">
        <f>IFERROR(__xludf.DUMMYFUNCTION("GOOGLETRANSLATE(C73, ""it"", ""en"")"),"A. Wear glasses with suitable lenses B. Remove the glasses C. Continue without doing anything D. Ask an instructor for help")</f>
        <v>A. Wear glasses with suitable lenses B. Remove the glasses C. Continue without doing anything D. Ask an instructor for help</v>
      </c>
      <c r="I73" s="3" t="str">
        <f>IFERROR(__xludf.DUMMYFUNCTION("GOOGLETRANSLATE(D73, ""it"", ""en"")"),"Wear glasses with suitable lenses")</f>
        <v>Wear glasses with suitable lenses</v>
      </c>
      <c r="J73" s="2"/>
      <c r="K73" s="2"/>
      <c r="L73" s="2"/>
      <c r="M73" s="2"/>
      <c r="N73" s="2"/>
      <c r="O73" s="2"/>
      <c r="P73" s="2"/>
      <c r="Q73" s="2"/>
      <c r="R73" s="2"/>
      <c r="S73" s="2"/>
      <c r="T73" s="2"/>
      <c r="U73" s="2"/>
      <c r="V73" s="2"/>
      <c r="W73" s="2"/>
    </row>
    <row r="74" ht="22.5" customHeight="1">
      <c r="A74" s="3">
        <v>73.0</v>
      </c>
      <c r="B74" s="3" t="s">
        <v>3242</v>
      </c>
      <c r="C74" s="3" t="s">
        <v>3243</v>
      </c>
      <c r="D74" s="3" t="s">
        <v>3244</v>
      </c>
      <c r="E74" s="2"/>
      <c r="F74" s="3" t="str">
        <f>IFERROR(__xludf.DUMMYFUNCTION("GOOGLETRANSLATE(A74, ""it"", ""en"")"),"73")</f>
        <v>73</v>
      </c>
      <c r="G74" s="3" t="str">
        <f>IFERROR(__xludf.DUMMYFUNCTION("GOOGLETRANSLATE(B74, ""it"", ""en"")"),"How can you identify a trail suitable for beginners?")</f>
        <v>How can you identify a trail suitable for beginners?</v>
      </c>
      <c r="H74" s="3" t="str">
        <f>IFERROR(__xludf.DUMMYFUNCTION("GOOGLETRANSLATE(C74, ""it"", ""en"")"),"A. From the blue color on the map B. From the presence of humps C. From the length of the runway D. From the lack of steep curves")</f>
        <v>A. From the blue color on the map B. From the presence of humps C. From the length of the runway D. From the lack of steep curves</v>
      </c>
      <c r="I74" s="3" t="str">
        <f>IFERROR(__xludf.DUMMYFUNCTION("GOOGLETRANSLATE(D74, ""it"", ""en"")"),"From the blue color on the map")</f>
        <v>From the blue color on the map</v>
      </c>
      <c r="J74" s="2"/>
      <c r="K74" s="2"/>
      <c r="L74" s="2"/>
      <c r="M74" s="2"/>
      <c r="N74" s="2"/>
      <c r="O74" s="2"/>
      <c r="P74" s="2"/>
      <c r="Q74" s="2"/>
      <c r="R74" s="2"/>
      <c r="S74" s="2"/>
      <c r="T74" s="2"/>
      <c r="U74" s="2"/>
      <c r="V74" s="2"/>
      <c r="W74" s="2"/>
    </row>
    <row r="75" ht="22.5" customHeight="1">
      <c r="A75" s="3">
        <v>74.0</v>
      </c>
      <c r="B75" s="3" t="s">
        <v>3245</v>
      </c>
      <c r="C75" s="3" t="s">
        <v>3246</v>
      </c>
      <c r="D75" s="3" t="s">
        <v>3247</v>
      </c>
      <c r="E75" s="2"/>
      <c r="F75" s="3" t="str">
        <f>IFERROR(__xludf.DUMMYFUNCTION("GOOGLETRANSLATE(A75, ""it"", ""en"")"),"74")</f>
        <v>74</v>
      </c>
      <c r="G75" s="3" t="str">
        <f>IFERROR(__xludf.DUMMYFUNCTION("GOOGLETRANSLATE(B75, ""it"", ""en"")"),"What to do if you find a part of the track very narrow?")</f>
        <v>What to do if you find a part of the track very narrow?</v>
      </c>
      <c r="H75" s="3" t="str">
        <f>IFERROR(__xludf.DUMMYFUNCTION("GOOGLETRANSLATE(C75, ""it"", ""en"")"),"A. Slow down and get off carefully B. Speed ​​up to cross it quickly C. Use poles to push yourself D. Don't get off in that part")</f>
        <v>A. Slow down and get off carefully B. Speed ​​up to cross it quickly C. Use poles to push yourself D. Don't get off in that part</v>
      </c>
      <c r="I75" s="3" t="str">
        <f>IFERROR(__xludf.DUMMYFUNCTION("GOOGLETRANSLATE(D75, ""it"", ""en"")"),"Slow down and descend with caution")</f>
        <v>Slow down and descend with caution</v>
      </c>
      <c r="J75" s="2"/>
      <c r="K75" s="2"/>
      <c r="L75" s="2"/>
      <c r="M75" s="2"/>
      <c r="N75" s="2"/>
      <c r="O75" s="2"/>
      <c r="P75" s="2"/>
      <c r="Q75" s="2"/>
      <c r="R75" s="2"/>
      <c r="S75" s="2"/>
      <c r="T75" s="2"/>
      <c r="U75" s="2"/>
      <c r="V75" s="2"/>
      <c r="W75" s="2"/>
    </row>
    <row r="76" ht="22.5" customHeight="1">
      <c r="A76" s="3">
        <v>75.0</v>
      </c>
      <c r="B76" s="3" t="s">
        <v>3248</v>
      </c>
      <c r="C76" s="3" t="s">
        <v>3249</v>
      </c>
      <c r="D76" s="3" t="s">
        <v>3250</v>
      </c>
      <c r="E76" s="2"/>
      <c r="F76" s="3" t="str">
        <f>IFERROR(__xludf.DUMMYFUNCTION("GOOGLETRANSLATE(A76, ""it"", ""en"")"),"75")</f>
        <v>75</v>
      </c>
      <c r="G76" s="3" t="str">
        <f>IFERROR(__xludf.DUMMYFUNCTION("GOOGLETRANSLATE(B76, ""it"", ""en"")"),"How can you improve your downhill speed?")</f>
        <v>How can you improve your downhill speed?</v>
      </c>
      <c r="H76" s="3" t="str">
        <f>IFERROR(__xludf.DUMMYFUNCTION("GOOGLETRANSLATE(C76, ""it"", ""en"")"),"A. Maintaining an aerodynamic position B. Turning more C. Using shorter poles D. Reducing the weight of the equipment")</f>
        <v>A. Maintaining an aerodynamic position B. Turning more C. Using shorter poles D. Reducing the weight of the equipment</v>
      </c>
      <c r="I76" s="3" t="str">
        <f>IFERROR(__xludf.DUMMYFUNCTION("GOOGLETRANSLATE(D76, ""it"", ""en"")"),"Keeping an aerodynamic position")</f>
        <v>Keeping an aerodynamic position</v>
      </c>
      <c r="J76" s="2"/>
      <c r="K76" s="2"/>
      <c r="L76" s="2"/>
      <c r="M76" s="2"/>
      <c r="N76" s="2"/>
      <c r="O76" s="2"/>
      <c r="P76" s="2"/>
      <c r="Q76" s="2"/>
      <c r="R76" s="2"/>
      <c r="S76" s="2"/>
      <c r="T76" s="2"/>
      <c r="U76" s="2"/>
      <c r="V76" s="2"/>
      <c r="W76" s="2"/>
    </row>
    <row r="77" ht="22.5" customHeight="1">
      <c r="A77" s="3">
        <v>76.0</v>
      </c>
      <c r="B77" s="3" t="s">
        <v>3251</v>
      </c>
      <c r="C77" s="3" t="s">
        <v>3252</v>
      </c>
      <c r="D77" s="3" t="s">
        <v>3253</v>
      </c>
      <c r="E77" s="2"/>
      <c r="F77" s="3" t="str">
        <f>IFERROR(__xludf.DUMMYFUNCTION("GOOGLETRANSLATE(A77, ""it"", ""en"")"),"76")</f>
        <v>76</v>
      </c>
      <c r="G77" s="3" t="str">
        <f>IFERROR(__xludf.DUMMYFUNCTION("GOOGLETRANSLATE(B77, ""it"", ""en"")"),"What to do if you hear the sound of an approaching avalanche?")</f>
        <v>What to do if you hear the sound of an approaching avalanche?</v>
      </c>
      <c r="H77" s="3" t="str">
        <f>IFERROR(__xludf.DUMMYFUNCTION("GOOGLETRANSLATE(C77, ""it"", ""en"")"),"A. Escape sideways to a safe area B. Accelerate to descend faster C. Stop and remain still D. Shout for help")</f>
        <v>A. Escape sideways to a safe area B. Accelerate to descend faster C. Stop and remain still D. Shout for help</v>
      </c>
      <c r="I77" s="3" t="str">
        <f>IFERROR(__xludf.DUMMYFUNCTION("GOOGLETRANSLATE(D77, ""it"", ""en"")"),"Flee sideways to a safe area")</f>
        <v>Flee sideways to a safe area</v>
      </c>
      <c r="J77" s="2"/>
      <c r="K77" s="2"/>
      <c r="L77" s="2"/>
      <c r="M77" s="2"/>
      <c r="N77" s="2"/>
      <c r="O77" s="2"/>
      <c r="P77" s="2"/>
      <c r="Q77" s="2"/>
      <c r="R77" s="2"/>
      <c r="S77" s="2"/>
      <c r="T77" s="2"/>
      <c r="U77" s="2"/>
      <c r="V77" s="2"/>
      <c r="W77" s="2"/>
    </row>
    <row r="78" ht="22.5" customHeight="1">
      <c r="A78" s="3">
        <v>77.0</v>
      </c>
      <c r="B78" s="3" t="s">
        <v>3254</v>
      </c>
      <c r="C78" s="3" t="s">
        <v>3255</v>
      </c>
      <c r="D78" s="3" t="s">
        <v>3256</v>
      </c>
      <c r="E78" s="2"/>
      <c r="F78" s="3" t="str">
        <f>IFERROR(__xludf.DUMMYFUNCTION("GOOGLETRANSLATE(A78, ""it"", ""en"")"),"77")</f>
        <v>77</v>
      </c>
      <c r="G78" s="3" t="str">
        <f>IFERROR(__xludf.DUMMYFUNCTION("GOOGLETRANSLATE(B78, ""it"", ""en"")"),"What to do if your ski comes off during a descent?")</f>
        <v>What to do if your ski comes off during a descent?</v>
      </c>
      <c r="H78" s="3" t="str">
        <f>IFERROR(__xludf.DUMMYFUNCTION("GOOGLETRANSLATE(C78, ""it"", ""en"")"),"A. Continue with only one ski B. Stop immediately and recover it C. Ask a nearby skier for help D. Remove the other ski as well")</f>
        <v>A. Continue with only one ski B. Stop immediately and recover it C. Ask a nearby skier for help D. Remove the other ski as well</v>
      </c>
      <c r="I78" s="3" t="str">
        <f>IFERROR(__xludf.DUMMYFUNCTION("GOOGLETRANSLATE(D78, ""it"", ""en"")"),"Stop immediately and recover it")</f>
        <v>Stop immediately and recover it</v>
      </c>
      <c r="J78" s="2"/>
      <c r="K78" s="2"/>
      <c r="L78" s="2"/>
      <c r="M78" s="2"/>
      <c r="N78" s="2"/>
      <c r="O78" s="2"/>
      <c r="P78" s="2"/>
      <c r="Q78" s="2"/>
      <c r="R78" s="2"/>
      <c r="S78" s="2"/>
      <c r="T78" s="2"/>
      <c r="U78" s="2"/>
      <c r="V78" s="2"/>
      <c r="W78" s="2"/>
    </row>
    <row r="79" ht="22.5" customHeight="1">
      <c r="A79" s="3">
        <v>78.0</v>
      </c>
      <c r="B79" s="3" t="s">
        <v>3257</v>
      </c>
      <c r="C79" s="3" t="s">
        <v>3258</v>
      </c>
      <c r="D79" s="3" t="s">
        <v>3259</v>
      </c>
      <c r="E79" s="2"/>
      <c r="F79" s="3" t="str">
        <f>IFERROR(__xludf.DUMMYFUNCTION("GOOGLETRANSLATE(A79, ""it"", ""en"")"),"78")</f>
        <v>78</v>
      </c>
      <c r="G79" s="3" t="str">
        <f>IFERROR(__xludf.DUMMYFUNCTION("GOOGLETRANSLATE(B79, ""it"", ""en"")"),"What does a sign with a snow symbol and an arrow mean?")</f>
        <v>What does a sign with a snow symbol and an arrow mean?</v>
      </c>
      <c r="H79" s="3" t="str">
        <f>IFERROR(__xludf.DUMMYFUNCTION("GOOGLETRANSLATE(C79, ""it"", ""en"")"),"A. Area with fresh snow B. Track closed due to snow C. Area at risk of ice D. Alternative route")</f>
        <v>A. Area with fresh snow B. Track closed due to snow C. Area at risk of ice D. Alternative route</v>
      </c>
      <c r="I79" s="3" t="str">
        <f>IFERROR(__xludf.DUMMYFUNCTION("GOOGLETRANSLATE(D79, ""it"", ""en"")"),"Area with fresh snow")</f>
        <v>Area with fresh snow</v>
      </c>
      <c r="J79" s="2"/>
      <c r="K79" s="2"/>
      <c r="L79" s="2"/>
      <c r="M79" s="2"/>
      <c r="N79" s="2"/>
      <c r="O79" s="2"/>
      <c r="P79" s="2"/>
      <c r="Q79" s="2"/>
      <c r="R79" s="2"/>
      <c r="S79" s="2"/>
      <c r="T79" s="2"/>
      <c r="U79" s="2"/>
      <c r="V79" s="2"/>
      <c r="W79" s="2"/>
    </row>
    <row r="80" ht="22.5" customHeight="1">
      <c r="A80" s="3">
        <v>79.0</v>
      </c>
      <c r="B80" s="3" t="s">
        <v>3260</v>
      </c>
      <c r="C80" s="3" t="s">
        <v>3261</v>
      </c>
      <c r="D80" s="3" t="s">
        <v>3262</v>
      </c>
      <c r="E80" s="2"/>
      <c r="F80" s="3" t="str">
        <f>IFERROR(__xludf.DUMMYFUNCTION("GOOGLETRANSLATE(A80, ""it"", ""en"")"),"79")</f>
        <v>79</v>
      </c>
      <c r="G80" s="3" t="str">
        <f>IFERROR(__xludf.DUMMYFUNCTION("GOOGLETRANSLATE(B80, ""it"", ""en"")"),"How can you avoid muscle fatigue while skiing?")</f>
        <v>How can you avoid muscle fatigue while skiing?</v>
      </c>
      <c r="H80" s="3" t="str">
        <f>IFERROR(__xludf.DUMMYFUNCTION("GOOGLETRANSLATE(C80, ""it"", ""en"")"),"A. Taking regular breaks and hydrating yourself B. Pushing yourself beyond your limits C. Avoiding easier slopes D. Skiing only at speed")</f>
        <v>A. Taking regular breaks and hydrating yourself B. Pushing yourself beyond your limits C. Avoiding easier slopes D. Skiing only at speed</v>
      </c>
      <c r="I80" s="3" t="str">
        <f>IFERROR(__xludf.DUMMYFUNCTION("GOOGLETRANSLATE(D80, ""it"", ""en"")"),"Take regular breaks and hydrate yourself")</f>
        <v>Take regular breaks and hydrate yourself</v>
      </c>
      <c r="J80" s="2"/>
      <c r="K80" s="2"/>
      <c r="L80" s="2"/>
      <c r="M80" s="2"/>
      <c r="N80" s="2"/>
      <c r="O80" s="2"/>
      <c r="P80" s="2"/>
      <c r="Q80" s="2"/>
      <c r="R80" s="2"/>
      <c r="S80" s="2"/>
      <c r="T80" s="2"/>
      <c r="U80" s="2"/>
      <c r="V80" s="2"/>
      <c r="W80" s="2"/>
    </row>
    <row r="81" ht="22.5" customHeight="1">
      <c r="A81" s="3">
        <v>80.0</v>
      </c>
      <c r="B81" s="3" t="s">
        <v>3263</v>
      </c>
      <c r="C81" s="3" t="s">
        <v>3264</v>
      </c>
      <c r="D81" s="3" t="s">
        <v>3265</v>
      </c>
      <c r="E81" s="2"/>
      <c r="F81" s="3" t="str">
        <f>IFERROR(__xludf.DUMMYFUNCTION("GOOGLETRANSLATE(A81, ""it"", ""en"")"),"80")</f>
        <v>80</v>
      </c>
      <c r="G81" s="3" t="str">
        <f>IFERROR(__xludf.DUMMYFUNCTION("GOOGLETRANSLATE(B81, ""it"", ""en"")"),"What to do if your pole breaks while skiing?")</f>
        <v>What to do if your pole breaks while skiing?</v>
      </c>
      <c r="H81" s="3" t="str">
        <f>IFERROR(__xludf.DUMMYFUNCTION("GOOGLETRANSLATE(C81, ""it"", ""en"")"),"A. Continue without the pole B. Retrieve it and stop C. Stop and look for a replacement D. Ask for help")</f>
        <v>A. Continue without the pole B. Retrieve it and stop C. Stop and look for a replacement D. Ask for help</v>
      </c>
      <c r="I81" s="3" t="str">
        <f>IFERROR(__xludf.DUMMYFUNCTION("GOOGLETRANSLATE(D81, ""it"", ""en"")"),"Continue without a stick")</f>
        <v>Continue without a stick</v>
      </c>
      <c r="J81" s="2"/>
      <c r="K81" s="2"/>
      <c r="L81" s="2"/>
      <c r="M81" s="2"/>
      <c r="N81" s="2"/>
      <c r="O81" s="2"/>
      <c r="P81" s="2"/>
      <c r="Q81" s="2"/>
      <c r="R81" s="2"/>
      <c r="S81" s="2"/>
      <c r="T81" s="2"/>
      <c r="U81" s="2"/>
      <c r="V81" s="2"/>
      <c r="W81" s="2"/>
    </row>
    <row r="82" ht="22.5" customHeight="1">
      <c r="A82" s="3">
        <v>81.0</v>
      </c>
      <c r="B82" s="3" t="s">
        <v>3266</v>
      </c>
      <c r="C82" s="3" t="s">
        <v>3267</v>
      </c>
      <c r="D82" s="3" t="s">
        <v>3268</v>
      </c>
      <c r="E82" s="2"/>
      <c r="F82" s="3" t="str">
        <f>IFERROR(__xludf.DUMMYFUNCTION("GOOGLETRANSLATE(A82, ""it"", ""en"")"),"81")</f>
        <v>81</v>
      </c>
      <c r="G82" s="3" t="str">
        <f>IFERROR(__xludf.DUMMYFUNCTION("GOOGLETRANSLATE(B82, ""it"", ""en"")"),"What does a sign with a large red ""X"" on the runway indicate?")</f>
        <v>What does a sign with a large red "X" on the runway indicate?</v>
      </c>
      <c r="H82" s="3" t="str">
        <f>IFERROR(__xludf.DUMMYFUNCTION("GOOGLETRANSLATE(C82, ""it"", ""en"")"),"A. Danger zone B. Closed track C. Area reserved for experts D. Ungroomed area")</f>
        <v>A. Danger zone B. Closed track C. Area reserved for experts D. Ungroomed area</v>
      </c>
      <c r="I82" s="3" t="str">
        <f>IFERROR(__xludf.DUMMYFUNCTION("GOOGLETRANSLATE(D82, ""it"", ""en"")"),"Track closed")</f>
        <v>Track closed</v>
      </c>
      <c r="J82" s="2"/>
      <c r="K82" s="2"/>
      <c r="L82" s="2"/>
      <c r="M82" s="2"/>
      <c r="N82" s="2"/>
      <c r="O82" s="2"/>
      <c r="P82" s="2"/>
      <c r="Q82" s="2"/>
      <c r="R82" s="2"/>
      <c r="S82" s="2"/>
      <c r="T82" s="2"/>
      <c r="U82" s="2"/>
      <c r="V82" s="2"/>
      <c r="W82" s="2"/>
    </row>
    <row r="83" ht="22.5" customHeight="1">
      <c r="A83" s="3">
        <v>82.0</v>
      </c>
      <c r="B83" s="3" t="s">
        <v>3269</v>
      </c>
      <c r="C83" s="3" t="s">
        <v>3270</v>
      </c>
      <c r="D83" s="3" t="s">
        <v>3271</v>
      </c>
      <c r="E83" s="2"/>
      <c r="F83" s="3" t="str">
        <f>IFERROR(__xludf.DUMMYFUNCTION("GOOGLETRANSLATE(A83, ""it"", ""en"")"),"82")</f>
        <v>82</v>
      </c>
      <c r="G83" s="3" t="str">
        <f>IFERROR(__xludf.DUMMYFUNCTION("GOOGLETRANSLATE(B83, ""it"", ""en"")"),"What to do if you find yourself in an area with strong winds and snow?")</f>
        <v>What to do if you find yourself in an area with strong winds and snow?</v>
      </c>
      <c r="H83" s="3" t="str">
        <f>IFERROR(__xludf.DUMMYFUNCTION("GOOGLETRANSLATE(C83, ""it"", ""en"")"),"A. Proceed calmly and seek shelter B. Accelerate to finish the route C. Ignore and continue D. Call for help immediately")</f>
        <v>A. Proceed calmly and seek shelter B. Accelerate to finish the route C. Ignore and continue D. Call for help immediately</v>
      </c>
      <c r="I83" s="3" t="str">
        <f>IFERROR(__xludf.DUMMYFUNCTION("GOOGLETRANSLATE(D83, ""it"", ""en"")"),"Proceed calmly and seek shelter.")</f>
        <v>Proceed calmly and seek shelter.</v>
      </c>
      <c r="J83" s="2"/>
      <c r="K83" s="2"/>
      <c r="L83" s="2"/>
      <c r="M83" s="2"/>
      <c r="N83" s="2"/>
      <c r="O83" s="2"/>
      <c r="P83" s="2"/>
      <c r="Q83" s="2"/>
      <c r="R83" s="2"/>
      <c r="S83" s="2"/>
      <c r="T83" s="2"/>
      <c r="U83" s="2"/>
      <c r="V83" s="2"/>
      <c r="W83" s="2"/>
    </row>
    <row r="84" ht="22.5" customHeight="1">
      <c r="A84" s="3">
        <v>83.0</v>
      </c>
      <c r="B84" s="3" t="s">
        <v>3272</v>
      </c>
      <c r="C84" s="3" t="s">
        <v>3273</v>
      </c>
      <c r="D84" s="3" t="s">
        <v>3274</v>
      </c>
      <c r="E84" s="2"/>
      <c r="F84" s="3" t="str">
        <f>IFERROR(__xludf.DUMMYFUNCTION("GOOGLETRANSLATE(A84, ""it"", ""en"")"),"83")</f>
        <v>83</v>
      </c>
      <c r="G84" s="3" t="str">
        <f>IFERROR(__xludf.DUMMYFUNCTION("GOOGLETRANSLATE(B84, ""it"", ""en"")"),"What does a wavy line on the path indicate?")</f>
        <v>What does a wavy line on the path indicate?</v>
      </c>
      <c r="H84" s="3" t="str">
        <f>IFERROR(__xludf.DUMMYFUNCTION("GOOGLETRANSLATE(C84, ""it"", ""en"")"),"A. Compact snow area B. Beginner area C. Mogul area D. Danger area")</f>
        <v>A. Compact snow area B. Beginner area C. Mogul area D. Danger area</v>
      </c>
      <c r="I84" s="3" t="str">
        <f>IFERROR(__xludf.DUMMYFUNCTION("GOOGLETRANSLATE(D84, ""it"", ""en"")"),"Area with humps")</f>
        <v>Area with humps</v>
      </c>
      <c r="J84" s="2"/>
      <c r="K84" s="2"/>
      <c r="L84" s="2"/>
      <c r="M84" s="2"/>
      <c r="N84" s="2"/>
      <c r="O84" s="2"/>
      <c r="P84" s="2"/>
      <c r="Q84" s="2"/>
      <c r="R84" s="2"/>
      <c r="S84" s="2"/>
      <c r="T84" s="2"/>
      <c r="U84" s="2"/>
      <c r="V84" s="2"/>
      <c r="W84" s="2"/>
    </row>
    <row r="85" ht="22.5" customHeight="1">
      <c r="A85" s="3">
        <v>84.0</v>
      </c>
      <c r="B85" s="3" t="s">
        <v>3275</v>
      </c>
      <c r="C85" s="3" t="s">
        <v>3276</v>
      </c>
      <c r="D85" s="3" t="s">
        <v>3277</v>
      </c>
      <c r="E85" s="2"/>
      <c r="F85" s="3" t="str">
        <f>IFERROR(__xludf.DUMMYFUNCTION("GOOGLETRANSLATE(A85, ""it"", ""en"")"),"84")</f>
        <v>84</v>
      </c>
      <c r="G85" s="3" t="str">
        <f>IFERROR(__xludf.DUMMYFUNCTION("GOOGLETRANSLATE(B85, ""it"", ""en"")"),"How can you improve your safety on crowded slopes?")</f>
        <v>How can you improve your safety on crowded slopes?</v>
      </c>
      <c r="H85" s="3" t="str">
        <f>IFERROR(__xludf.DUMMYFUNCTION("GOOGLETRANSLATE(C85, ""it"", ""en"")"),"A. Avoid difficult slopes B. Maintain a controlled speed C. Overtake others quickly D. Ignore other skiers")</f>
        <v>A. Avoid difficult slopes B. Maintain a controlled speed C. Overtake others quickly D. Ignore other skiers</v>
      </c>
      <c r="I85" s="3" t="str">
        <f>IFERROR(__xludf.DUMMYFUNCTION("GOOGLETRANSLATE(D85, ""it"", ""en"")"),"Maintain a controlled speed")</f>
        <v>Maintain a controlled speed</v>
      </c>
      <c r="J85" s="2"/>
      <c r="K85" s="2"/>
      <c r="L85" s="2"/>
      <c r="M85" s="2"/>
      <c r="N85" s="2"/>
      <c r="O85" s="2"/>
      <c r="P85" s="2"/>
      <c r="Q85" s="2"/>
      <c r="R85" s="2"/>
      <c r="S85" s="2"/>
      <c r="T85" s="2"/>
      <c r="U85" s="2"/>
      <c r="V85" s="2"/>
      <c r="W85" s="2"/>
    </row>
    <row r="86" ht="22.5" customHeight="1">
      <c r="A86" s="3">
        <v>85.0</v>
      </c>
      <c r="B86" s="3" t="s">
        <v>3278</v>
      </c>
      <c r="C86" s="3" t="s">
        <v>3279</v>
      </c>
      <c r="D86" s="3" t="s">
        <v>3280</v>
      </c>
      <c r="E86" s="2"/>
      <c r="F86" s="3" t="str">
        <f>IFERROR(__xludf.DUMMYFUNCTION("GOOGLETRANSLATE(A86, ""it"", ""en"")"),"85")</f>
        <v>85</v>
      </c>
      <c r="G86" s="3" t="str">
        <f>IFERROR(__xludf.DUMMYFUNCTION("GOOGLETRANSLATE(B86, ""it"", ""en"")"),"What is the main function of a ski backpack?")</f>
        <v>What is the main function of a ski backpack?</v>
      </c>
      <c r="H86" s="3" t="str">
        <f>IFERROR(__xludf.DUMMYFUNCTION("GOOGLETRANSLATE(C86, ""it"", ""en"")"),"A. Carry food and water B. Contain emergency equipment C. Serve as a balance weight D. Hold personal items")</f>
        <v>A. Carry food and water B. Contain emergency equipment C. Serve as a balance weight D. Hold personal items</v>
      </c>
      <c r="I86" s="3" t="str">
        <f>IFERROR(__xludf.DUMMYFUNCTION("GOOGLETRANSLATE(D86, ""it"", ""en"")"),"Contain emergency equipment")</f>
        <v>Contain emergency equipment</v>
      </c>
      <c r="J86" s="2"/>
      <c r="K86" s="2"/>
      <c r="L86" s="2"/>
      <c r="M86" s="2"/>
      <c r="N86" s="2"/>
      <c r="O86" s="2"/>
      <c r="P86" s="2"/>
      <c r="Q86" s="2"/>
      <c r="R86" s="2"/>
      <c r="S86" s="2"/>
      <c r="T86" s="2"/>
      <c r="U86" s="2"/>
      <c r="V86" s="2"/>
      <c r="W86" s="2"/>
    </row>
    <row r="87" ht="22.5" customHeight="1">
      <c r="A87" s="3">
        <v>86.0</v>
      </c>
      <c r="B87" s="3" t="s">
        <v>3281</v>
      </c>
      <c r="C87" s="3" t="s">
        <v>3282</v>
      </c>
      <c r="D87" s="3" t="s">
        <v>3283</v>
      </c>
      <c r="E87" s="2"/>
      <c r="F87" s="3" t="str">
        <f>IFERROR(__xludf.DUMMYFUNCTION("GOOGLETRANSLATE(A87, ""it"", ""en"")"),"86")</f>
        <v>86</v>
      </c>
      <c r="G87" s="3" t="str">
        <f>IFERROR(__xludf.DUMMYFUNCTION("GOOGLETRANSLATE(B87, ""it"", ""en"")"),"What to do if your helmet fogs up?")</f>
        <v>What to do if your helmet fogs up?</v>
      </c>
      <c r="H87" s="3" t="str">
        <f>IFERROR(__xludf.DUMMYFUNCTION("GOOGLETRANSLATE(C87, ""it"", ""en"")"),"A. Continue anyway B. Lift the visor and clean it C. Ask an expert for help D. Ignore it and continue")</f>
        <v>A. Continue anyway B. Lift the visor and clean it C. Ask an expert for help D. Ignore it and continue</v>
      </c>
      <c r="I87" s="3" t="str">
        <f>IFERROR(__xludf.DUMMYFUNCTION("GOOGLETRANSLATE(D87, ""it"", ""en"")"),"Lift the visor and clean it")</f>
        <v>Lift the visor and clean it</v>
      </c>
      <c r="J87" s="2"/>
      <c r="K87" s="2"/>
      <c r="L87" s="2"/>
      <c r="M87" s="2"/>
      <c r="N87" s="2"/>
      <c r="O87" s="2"/>
      <c r="P87" s="2"/>
      <c r="Q87" s="2"/>
      <c r="R87" s="2"/>
      <c r="S87" s="2"/>
      <c r="T87" s="2"/>
      <c r="U87" s="2"/>
      <c r="V87" s="2"/>
      <c r="W87" s="2"/>
    </row>
    <row r="88" ht="22.5" customHeight="1">
      <c r="A88" s="3">
        <v>87.0</v>
      </c>
      <c r="B88" s="3" t="s">
        <v>3284</v>
      </c>
      <c r="C88" s="3" t="s">
        <v>3285</v>
      </c>
      <c r="D88" s="3" t="s">
        <v>3286</v>
      </c>
      <c r="E88" s="2"/>
      <c r="F88" s="3" t="str">
        <f>IFERROR(__xludf.DUMMYFUNCTION("GOOGLETRANSLATE(A88, ""it"", ""en"")"),"87")</f>
        <v>87</v>
      </c>
      <c r="G88" s="3" t="str">
        <f>IFERROR(__xludf.DUMMYFUNCTION("GOOGLETRANSLATE(B88, ""it"", ""en"")"),"What does a ""Restricted Area"" sign mean?")</f>
        <v>What does a "Restricted Area" sign mean?</v>
      </c>
      <c r="H88" s="3" t="str">
        <f>IFERROR(__xludf.DUMMYFUNCTION("GOOGLETRANSLATE(C88, ""it"", ""en"")"),"A. Beginners' slope B. Area closed to the public C. Area for experts D. Training area")</f>
        <v>A. Beginners' slope B. Area closed to the public C. Area for experts D. Training area</v>
      </c>
      <c r="I88" s="3" t="str">
        <f>IFERROR(__xludf.DUMMYFUNCTION("GOOGLETRANSLATE(D88, ""it"", ""en"")"),"Area closed to the public")</f>
        <v>Area closed to the public</v>
      </c>
      <c r="J88" s="2"/>
      <c r="K88" s="2"/>
      <c r="L88" s="2"/>
      <c r="M88" s="2"/>
      <c r="N88" s="2"/>
      <c r="O88" s="2"/>
      <c r="P88" s="2"/>
      <c r="Q88" s="2"/>
      <c r="R88" s="2"/>
      <c r="S88" s="2"/>
      <c r="T88" s="2"/>
      <c r="U88" s="2"/>
      <c r="V88" s="2"/>
      <c r="W88" s="2"/>
    </row>
    <row r="89" ht="22.5" customHeight="1">
      <c r="A89" s="3">
        <v>88.0</v>
      </c>
      <c r="B89" s="3" t="s">
        <v>3287</v>
      </c>
      <c r="C89" s="3" t="s">
        <v>3288</v>
      </c>
      <c r="D89" s="3" t="s">
        <v>3289</v>
      </c>
      <c r="E89" s="2"/>
      <c r="F89" s="3" t="str">
        <f>IFERROR(__xludf.DUMMYFUNCTION("GOOGLETRANSLATE(A89, ""it"", ""en"")"),"88")</f>
        <v>88</v>
      </c>
      <c r="G89" s="3" t="str">
        <f>IFERROR(__xludf.DUMMYFUNCTION("GOOGLETRANSLATE(B89, ""it"", ""en"")"),"What to do if your hands start to freeze?")</f>
        <v>What to do if your hands start to freeze?</v>
      </c>
      <c r="H89" s="3" t="str">
        <f>IFERROR(__xludf.DUMMYFUNCTION("GOOGLETRANSLATE(C89, ""it"", ""en"")"),"A. Move them quickly and warm them B. Ignore it and continue C. Call for immediate help D. Remove gloves")</f>
        <v>A. Move them quickly and warm them B. Ignore it and continue C. Call for immediate help D. Remove gloves</v>
      </c>
      <c r="I89" s="3" t="str">
        <f>IFERROR(__xludf.DUMMYFUNCTION("GOOGLETRANSLATE(D89, ""it"", ""en"")"),"Move them quickly and heat them")</f>
        <v>Move them quickly and heat them</v>
      </c>
      <c r="J89" s="2"/>
      <c r="K89" s="2"/>
      <c r="L89" s="2"/>
      <c r="M89" s="2"/>
      <c r="N89" s="2"/>
      <c r="O89" s="2"/>
      <c r="P89" s="2"/>
      <c r="Q89" s="2"/>
      <c r="R89" s="2"/>
      <c r="S89" s="2"/>
      <c r="T89" s="2"/>
      <c r="U89" s="2"/>
      <c r="V89" s="2"/>
      <c r="W89" s="2"/>
    </row>
    <row r="90" ht="22.5" customHeight="1">
      <c r="A90" s="3">
        <v>89.0</v>
      </c>
      <c r="B90" s="3" t="s">
        <v>3290</v>
      </c>
      <c r="C90" s="3" t="s">
        <v>3291</v>
      </c>
      <c r="D90" s="3" t="s">
        <v>3085</v>
      </c>
      <c r="E90" s="2"/>
      <c r="F90" s="3" t="str">
        <f>IFERROR(__xludf.DUMMYFUNCTION("GOOGLETRANSLATE(A90, ""it"", ""en"")"),"89")</f>
        <v>89</v>
      </c>
      <c r="G90" s="3" t="str">
        <f>IFERROR(__xludf.DUMMYFUNCTION("GOOGLETRANSLATE(B90, ""it"", ""en"")"),"What does a triangle with an exclamation point on the track indicate?")</f>
        <v>What does a triangle with an exclamation point on the track indicate?</v>
      </c>
      <c r="H90" s="3" t="str">
        <f>IFERROR(__xludf.DUMMYFUNCTION("GOOGLETRANSLATE(C90, ""it"", ""en"")"),"A. Danger zone B. Beginner zone C. Prohibited zone D. Fresh snow zone")</f>
        <v>A. Danger zone B. Beginner zone C. Prohibited zone D. Fresh snow zone</v>
      </c>
      <c r="I90" s="3" t="str">
        <f>IFERROR(__xludf.DUMMYFUNCTION("GOOGLETRANSLATE(D90, ""it"", ""en"")"),"Danger zone")</f>
        <v>Danger zone</v>
      </c>
      <c r="J90" s="2"/>
      <c r="K90" s="2"/>
      <c r="L90" s="2"/>
      <c r="M90" s="2"/>
      <c r="N90" s="2"/>
      <c r="O90" s="2"/>
      <c r="P90" s="2"/>
      <c r="Q90" s="2"/>
      <c r="R90" s="2"/>
      <c r="S90" s="2"/>
      <c r="T90" s="2"/>
      <c r="U90" s="2"/>
      <c r="V90" s="2"/>
      <c r="W90" s="2"/>
    </row>
    <row r="91" ht="22.5" customHeight="1">
      <c r="A91" s="3">
        <v>90.0</v>
      </c>
      <c r="B91" s="3" t="s">
        <v>3292</v>
      </c>
      <c r="C91" s="3" t="s">
        <v>3293</v>
      </c>
      <c r="D91" s="3" t="s">
        <v>3294</v>
      </c>
      <c r="E91" s="2"/>
      <c r="F91" s="3" t="str">
        <f>IFERROR(__xludf.DUMMYFUNCTION("GOOGLETRANSLATE(A91, ""it"", ""en"")"),"90")</f>
        <v>90</v>
      </c>
      <c r="G91" s="3" t="str">
        <f>IFERROR(__xludf.DUMMYFUNCTION("GOOGLETRANSLATE(B91, ""it"", ""en"")"),"How can you avoid falling at a crowded intersection?")</f>
        <v>How can you avoid falling at a crowded intersection?</v>
      </c>
      <c r="H91" s="3" t="str">
        <f>IFERROR(__xludf.DUMMYFUNCTION("GOOGLETRANSLATE(C91, ""it"", ""en"")"),"A. Accelerate to pass him quickly B. Observe others and slow down C. Take an alternative route D. Ignore others and continue")</f>
        <v>A. Accelerate to pass him quickly B. Observe others and slow down C. Take an alternative route D. Ignore others and continue</v>
      </c>
      <c r="I91" s="3" t="str">
        <f>IFERROR(__xludf.DUMMYFUNCTION("GOOGLETRANSLATE(D91, ""it"", ""en"")"),"Observe others and slow down")</f>
        <v>Observe others and slow down</v>
      </c>
      <c r="J91" s="2"/>
      <c r="K91" s="2"/>
      <c r="L91" s="2"/>
      <c r="M91" s="2"/>
      <c r="N91" s="2"/>
      <c r="O91" s="2"/>
      <c r="P91" s="2"/>
      <c r="Q91" s="2"/>
      <c r="R91" s="2"/>
      <c r="S91" s="2"/>
      <c r="T91" s="2"/>
      <c r="U91" s="2"/>
      <c r="V91" s="2"/>
      <c r="W91" s="2"/>
    </row>
    <row r="92" ht="22.5" customHeight="1">
      <c r="A92" s="3">
        <v>91.0</v>
      </c>
      <c r="B92" s="3" t="s">
        <v>3295</v>
      </c>
      <c r="C92" s="3" t="s">
        <v>3296</v>
      </c>
      <c r="D92" s="3" t="s">
        <v>3190</v>
      </c>
      <c r="E92" s="2"/>
      <c r="F92" s="3" t="str">
        <f>IFERROR(__xludf.DUMMYFUNCTION("GOOGLETRANSLATE(A92, ""it"", ""en"")"),"91")</f>
        <v>91</v>
      </c>
      <c r="G92" s="3" t="str">
        <f>IFERROR(__xludf.DUMMYFUNCTION("GOOGLETRANSLATE(B92, ""it"", ""en"")"),"When is the right time to adjust your boots?")</f>
        <v>When is the right time to adjust your boots?</v>
      </c>
      <c r="H92" s="3" t="str">
        <f>IFERROR(__xludf.DUMMYFUNCTION("GOOGLETRANSLATE(C92, ""it"", ""en"")"),"A. Before you start skiing B. After your first run C. When you feel discomfort D. After a break")</f>
        <v>A. Before you start skiing B. After your first run C. When you feel discomfort D. After a break</v>
      </c>
      <c r="I92" s="3" t="str">
        <f>IFERROR(__xludf.DUMMYFUNCTION("GOOGLETRANSLATE(D92, ""it"", ""en"")"),"Before you start skiing")</f>
        <v>Before you start skiing</v>
      </c>
      <c r="J92" s="2"/>
      <c r="K92" s="2"/>
      <c r="L92" s="2"/>
      <c r="M92" s="2"/>
      <c r="N92" s="2"/>
      <c r="O92" s="2"/>
      <c r="P92" s="2"/>
      <c r="Q92" s="2"/>
      <c r="R92" s="2"/>
      <c r="S92" s="2"/>
      <c r="T92" s="2"/>
      <c r="U92" s="2"/>
      <c r="V92" s="2"/>
      <c r="W92" s="2"/>
    </row>
    <row r="93" ht="22.5" customHeight="1">
      <c r="A93" s="3">
        <v>92.0</v>
      </c>
      <c r="B93" s="3" t="s">
        <v>3297</v>
      </c>
      <c r="C93" s="3" t="s">
        <v>3298</v>
      </c>
      <c r="D93" s="3" t="s">
        <v>3299</v>
      </c>
      <c r="E93" s="2"/>
      <c r="F93" s="3" t="str">
        <f>IFERROR(__xludf.DUMMYFUNCTION("GOOGLETRANSLATE(A93, ""it"", ""en"")"),"92")</f>
        <v>92</v>
      </c>
      <c r="G93" s="3" t="str">
        <f>IFERROR(__xludf.DUMMYFUNCTION("GOOGLETRANSLATE(B93, ""it"", ""en"")"),"What to do if your ski gets caught on a fence?")</f>
        <v>What to do if your ski gets caught on a fence?</v>
      </c>
      <c r="H93" s="3" t="str">
        <f>IFERROR(__xludf.DUMMYFUNCTION("GOOGLETRANSLATE(C93, ""it"", ""en"")"),"A. Call for help B. Remove it calmly C. Ignore it and continue D. Leave the ski and walk back")</f>
        <v>A. Call for help B. Remove it calmly C. Ignore it and continue D. Leave the ski and walk back</v>
      </c>
      <c r="I93" s="3" t="str">
        <f>IFERROR(__xludf.DUMMYFUNCTION("GOOGLETRANSLATE(D93, ""it"", ""en"")"),"Remove it calmly")</f>
        <v>Remove it calmly</v>
      </c>
      <c r="J93" s="2"/>
      <c r="K93" s="2"/>
      <c r="L93" s="2"/>
      <c r="M93" s="2"/>
      <c r="N93" s="2"/>
      <c r="O93" s="2"/>
      <c r="P93" s="2"/>
      <c r="Q93" s="2"/>
      <c r="R93" s="2"/>
      <c r="S93" s="2"/>
      <c r="T93" s="2"/>
      <c r="U93" s="2"/>
      <c r="V93" s="2"/>
      <c r="W93" s="2"/>
    </row>
    <row r="94" ht="22.5" customHeight="1">
      <c r="A94" s="3">
        <v>93.0</v>
      </c>
      <c r="B94" s="3" t="s">
        <v>3300</v>
      </c>
      <c r="C94" s="3" t="s">
        <v>3301</v>
      </c>
      <c r="D94" s="3" t="s">
        <v>3302</v>
      </c>
      <c r="E94" s="2"/>
      <c r="F94" s="3" t="str">
        <f>IFERROR(__xludf.DUMMYFUNCTION("GOOGLETRANSLATE(A94, ""it"", ""en"")"),"93")</f>
        <v>93</v>
      </c>
      <c r="G94" s="3" t="str">
        <f>IFERROR(__xludf.DUMMYFUNCTION("GOOGLETRANSLATE(B94, ""it"", ""en"")"),"What to do if a storm catches you on the trail?")</f>
        <v>What to do if a storm catches you on the trail?</v>
      </c>
      <c r="H94" s="3" t="str">
        <f>IFERROR(__xludf.DUMMYFUNCTION("GOOGLETRANSLATE(C94, ""it"", ""en"")"),"A. Seek shelter immediately B. Accelerate to reach base C. Stop and wait for help D. Shout to warn others")</f>
        <v>A. Seek shelter immediately B. Accelerate to reach base C. Stop and wait for help D. Shout to warn others</v>
      </c>
      <c r="I94" s="3" t="str">
        <f>IFERROR(__xludf.DUMMYFUNCTION("GOOGLETRANSLATE(D94, ""it"", ""en"")"),"Seek shelter immediately")</f>
        <v>Seek shelter immediately</v>
      </c>
      <c r="J94" s="2"/>
      <c r="K94" s="2"/>
      <c r="L94" s="2"/>
      <c r="M94" s="2"/>
      <c r="N94" s="2"/>
      <c r="O94" s="2"/>
      <c r="P94" s="2"/>
      <c r="Q94" s="2"/>
      <c r="R94" s="2"/>
      <c r="S94" s="2"/>
      <c r="T94" s="2"/>
      <c r="U94" s="2"/>
      <c r="V94" s="2"/>
      <c r="W94" s="2"/>
    </row>
    <row r="95" ht="22.5" customHeight="1">
      <c r="A95" s="3">
        <v>94.0</v>
      </c>
      <c r="B95" s="3" t="s">
        <v>3303</v>
      </c>
      <c r="C95" s="3" t="s">
        <v>3304</v>
      </c>
      <c r="D95" s="3" t="s">
        <v>3305</v>
      </c>
      <c r="E95" s="2"/>
      <c r="F95" s="3" t="str">
        <f>IFERROR(__xludf.DUMMYFUNCTION("GOOGLETRANSLATE(A95, ""it"", ""en"")"),"94")</f>
        <v>94</v>
      </c>
      <c r="G95" s="3" t="str">
        <f>IFERROR(__xludf.DUMMYFUNCTION("GOOGLETRANSLATE(B95, ""it"", ""en"")"),"What is the best way to prevent injuries?")</f>
        <v>What is the best way to prevent injuries?</v>
      </c>
      <c r="H95" s="3" t="str">
        <f>IFERROR(__xludf.DUMMYFUNCTION("GOOGLETRANSLATE(C95, ""it"", ""en"")"),"A. Avoid difficult slopes B. Use appropriate equipment C. Do not take breaks D. Follow experienced skiers")</f>
        <v>A. Avoid difficult slopes B. Use appropriate equipment C. Do not take breaks D. Follow experienced skiers</v>
      </c>
      <c r="I95" s="3" t="str">
        <f>IFERROR(__xludf.DUMMYFUNCTION("GOOGLETRANSLATE(D95, ""it"", ""en"")"),"Use appropriate equipment")</f>
        <v>Use appropriate equipment</v>
      </c>
      <c r="J95" s="2"/>
      <c r="K95" s="2"/>
      <c r="L95" s="2"/>
      <c r="M95" s="2"/>
      <c r="N95" s="2"/>
      <c r="O95" s="2"/>
      <c r="P95" s="2"/>
      <c r="Q95" s="2"/>
      <c r="R95" s="2"/>
      <c r="S95" s="2"/>
      <c r="T95" s="2"/>
      <c r="U95" s="2"/>
      <c r="V95" s="2"/>
      <c r="W95" s="2"/>
    </row>
    <row r="96" ht="22.5" customHeight="1">
      <c r="A96" s="3">
        <v>95.0</v>
      </c>
      <c r="B96" s="3" t="s">
        <v>3306</v>
      </c>
      <c r="C96" s="3" t="s">
        <v>3307</v>
      </c>
      <c r="D96" s="3" t="s">
        <v>3308</v>
      </c>
      <c r="E96" s="2"/>
      <c r="F96" s="3" t="str">
        <f>IFERROR(__xludf.DUMMYFUNCTION("GOOGLETRANSLATE(A96, ""it"", ""en"")"),"95")</f>
        <v>95</v>
      </c>
      <c r="G96" s="3" t="str">
        <f>IFERROR(__xludf.DUMMYFUNCTION("GOOGLETRANSLATE(B96, ""it"", ""en"")"),"What to do if your GPS watch runs out of battery?")</f>
        <v>What to do if your GPS watch runs out of battery?</v>
      </c>
      <c r="H96" s="3" t="str">
        <f>IFERROR(__xludf.DUMMYFUNCTION("GOOGLETRANSLATE(C96, ""it"", ""en"")"),"A. Ignore it and continue B. Use a paper map C. Ask someone for directions D. Stop the descent")</f>
        <v>A. Ignore it and continue B. Use a paper map C. Ask someone for directions D. Stop the descent</v>
      </c>
      <c r="I96" s="3" t="str">
        <f>IFERROR(__xludf.DUMMYFUNCTION("GOOGLETRANSLATE(D96, ""it"", ""en"")"),"Using a paper map")</f>
        <v>Using a paper map</v>
      </c>
      <c r="J96" s="2"/>
      <c r="K96" s="2"/>
      <c r="L96" s="2"/>
      <c r="M96" s="2"/>
      <c r="N96" s="2"/>
      <c r="O96" s="2"/>
      <c r="P96" s="2"/>
      <c r="Q96" s="2"/>
      <c r="R96" s="2"/>
      <c r="S96" s="2"/>
      <c r="T96" s="2"/>
      <c r="U96" s="2"/>
      <c r="V96" s="2"/>
      <c r="W96" s="2"/>
    </row>
    <row r="97" ht="22.5" customHeight="1">
      <c r="A97" s="3">
        <v>96.0</v>
      </c>
      <c r="B97" s="3" t="s">
        <v>3309</v>
      </c>
      <c r="C97" s="3" t="s">
        <v>3310</v>
      </c>
      <c r="D97" s="3" t="s">
        <v>3311</v>
      </c>
      <c r="E97" s="2"/>
      <c r="F97" s="3" t="str">
        <f>IFERROR(__xludf.DUMMYFUNCTION("GOOGLETRANSLATE(A97, ""it"", ""en"")"),"96")</f>
        <v>96</v>
      </c>
      <c r="G97" s="3" t="str">
        <f>IFERROR(__xludf.DUMMYFUNCTION("GOOGLETRANSLATE(B97, ""it"", ""en"")"),"What does a sign with a chair and arrow symbol mean?")</f>
        <v>What does a sign with a chair and arrow symbol mean?</v>
      </c>
      <c r="H97" s="3" t="str">
        <f>IFERROR(__xludf.DUMMYFUNCTION("GOOGLETRANSLATE(C97, ""it"", ""en"")"),"A. Refreshment area B. Chairlift station C. Rest area D. Beginner slope")</f>
        <v>A. Refreshment area B. Chairlift station C. Rest area D. Beginner slope</v>
      </c>
      <c r="I97" s="3" t="str">
        <f>IFERROR(__xludf.DUMMYFUNCTION("GOOGLETRANSLATE(D97, ""it"", ""en"")"),"Chairlift station")</f>
        <v>Chairlift station</v>
      </c>
      <c r="J97" s="2"/>
      <c r="K97" s="2"/>
      <c r="L97" s="2"/>
      <c r="M97" s="2"/>
      <c r="N97" s="2"/>
      <c r="O97" s="2"/>
      <c r="P97" s="2"/>
      <c r="Q97" s="2"/>
      <c r="R97" s="2"/>
      <c r="S97" s="2"/>
      <c r="T97" s="2"/>
      <c r="U97" s="2"/>
      <c r="V97" s="2"/>
      <c r="W97" s="2"/>
    </row>
    <row r="98" ht="22.5" customHeight="1">
      <c r="A98" s="3">
        <v>97.0</v>
      </c>
      <c r="B98" s="3" t="s">
        <v>3312</v>
      </c>
      <c r="C98" s="3" t="s">
        <v>3313</v>
      </c>
      <c r="D98" s="3" t="s">
        <v>3314</v>
      </c>
      <c r="E98" s="2"/>
      <c r="F98" s="3" t="str">
        <f>IFERROR(__xludf.DUMMYFUNCTION("GOOGLETRANSLATE(A98, ""it"", ""en"")"),"97")</f>
        <v>97</v>
      </c>
      <c r="G98" s="3" t="str">
        <f>IFERROR(__xludf.DUMMYFUNCTION("GOOGLETRANSLATE(B98, ""it"", ""en"")"),"What is the name of the device that helps you stay located in the event of an avalanche?")</f>
        <v>What is the name of the device that helps you stay located in the event of an avalanche?</v>
      </c>
      <c r="H98" s="3" t="str">
        <f>IFERROR(__xludf.DUMMYFUNCTION("GOOGLETRANSLATE(C98, ""it"", ""en"")"),"A. GPS B. ARVA C. Emergency beacon D. Pole")</f>
        <v>A. GPS B. ARVA C. Emergency beacon D. Pole</v>
      </c>
      <c r="I98" s="3" t="str">
        <f>IFERROR(__xludf.DUMMYFUNCTION("GOOGLETRANSLATE(D98, ""it"", ""en"")"),"ARVA")</f>
        <v>ARVA</v>
      </c>
      <c r="J98" s="2"/>
      <c r="K98" s="2"/>
      <c r="L98" s="2"/>
      <c r="M98" s="2"/>
      <c r="N98" s="2"/>
      <c r="O98" s="2"/>
      <c r="P98" s="2"/>
      <c r="Q98" s="2"/>
      <c r="R98" s="2"/>
      <c r="S98" s="2"/>
      <c r="T98" s="2"/>
      <c r="U98" s="2"/>
      <c r="V98" s="2"/>
      <c r="W98" s="2"/>
    </row>
    <row r="99" ht="22.5" customHeight="1">
      <c r="A99" s="3">
        <v>98.0</v>
      </c>
      <c r="B99" s="3" t="s">
        <v>3315</v>
      </c>
      <c r="C99" s="3" t="s">
        <v>3316</v>
      </c>
      <c r="D99" s="3" t="s">
        <v>3317</v>
      </c>
      <c r="E99" s="2"/>
      <c r="F99" s="3" t="str">
        <f>IFERROR(__xludf.DUMMYFUNCTION("GOOGLETRANSLATE(A99, ""it"", ""en"")"),"98")</f>
        <v>98</v>
      </c>
      <c r="G99" s="3" t="str">
        <f>IFERROR(__xludf.DUMMYFUNCTION("GOOGLETRANSLATE(B99, ""it"", ""en"")"),"What to do if part of the trail becomes icy?")</f>
        <v>What to do if part of the trail becomes icy?</v>
      </c>
      <c r="H99" s="3" t="str">
        <f>IFERROR(__xludf.DUMMYFUNCTION("GOOGLETRANSLATE(C99, ""it"", ""en"")"),"A. Slow down and shift your weight forward B. Accelerate to pass it C. Turn sharply to avoid it D. Remove your skis")</f>
        <v>A. Slow down and shift your weight forward B. Accelerate to pass it C. Turn sharply to avoid it D. Remove your skis</v>
      </c>
      <c r="I99" s="3" t="str">
        <f>IFERROR(__xludf.DUMMYFUNCTION("GOOGLETRANSLATE(D99, ""it"", ""en"")"),"Slow down and shift your weight forward")</f>
        <v>Slow down and shift your weight forward</v>
      </c>
      <c r="J99" s="2"/>
      <c r="K99" s="2"/>
      <c r="L99" s="2"/>
      <c r="M99" s="2"/>
      <c r="N99" s="2"/>
      <c r="O99" s="2"/>
      <c r="P99" s="2"/>
      <c r="Q99" s="2"/>
      <c r="R99" s="2"/>
      <c r="S99" s="2"/>
      <c r="T99" s="2"/>
      <c r="U99" s="2"/>
      <c r="V99" s="2"/>
      <c r="W99" s="2"/>
    </row>
    <row r="100" ht="22.5" customHeight="1">
      <c r="A100" s="3">
        <v>99.0</v>
      </c>
      <c r="B100" s="3" t="s">
        <v>3318</v>
      </c>
      <c r="C100" s="3" t="s">
        <v>3319</v>
      </c>
      <c r="D100" s="3" t="s">
        <v>3320</v>
      </c>
      <c r="E100" s="2"/>
      <c r="F100" s="3" t="str">
        <f>IFERROR(__xludf.DUMMYFUNCTION("GOOGLETRANSLATE(A100, ""it"", ""en"")"),"99")</f>
        <v>99</v>
      </c>
      <c r="G100" s="3" t="str">
        <f>IFERROR(__xludf.DUMMYFUNCTION("GOOGLETRANSLATE(B100, ""it"", ""en"")"),"What does a white flag with a red border indicate?")</f>
        <v>What does a white flag with a red border indicate?</v>
      </c>
      <c r="H100" s="3" t="str">
        <f>IFERROR(__xludf.DUMMYFUNCTION("GOOGLETRANSLATE(C100, ""it"", ""en"")"),"A. Safe area for skiing B. Area closed due to danger C. Emergency area D. Piste with difficult conditions")</f>
        <v>A. Safe area for skiing B. Area closed due to danger C. Emergency area D. Piste with difficult conditions</v>
      </c>
      <c r="I100" s="3" t="str">
        <f>IFERROR(__xludf.DUMMYFUNCTION("GOOGLETRANSLATE(D100, ""it"", ""en"")"),"Area closed due to danger")</f>
        <v>Area closed due to danger</v>
      </c>
      <c r="J100" s="2"/>
      <c r="K100" s="2"/>
      <c r="L100" s="2"/>
      <c r="M100" s="2"/>
      <c r="N100" s="2"/>
      <c r="O100" s="2"/>
      <c r="P100" s="2"/>
      <c r="Q100" s="2"/>
      <c r="R100" s="2"/>
      <c r="S100" s="2"/>
      <c r="T100" s="2"/>
      <c r="U100" s="2"/>
      <c r="V100" s="2"/>
      <c r="W100" s="2"/>
    </row>
    <row r="101" ht="22.5" customHeight="1">
      <c r="A101" s="3">
        <v>100.0</v>
      </c>
      <c r="B101" s="3" t="s">
        <v>3321</v>
      </c>
      <c r="C101" s="3" t="s">
        <v>3322</v>
      </c>
      <c r="D101" s="3" t="s">
        <v>3323</v>
      </c>
      <c r="E101" s="2"/>
      <c r="F101" s="3" t="str">
        <f>IFERROR(__xludf.DUMMYFUNCTION("GOOGLETRANSLATE(A101, ""it"", ""en"")"),"100")</f>
        <v>100</v>
      </c>
      <c r="G101" s="3" t="str">
        <f>IFERROR(__xludf.DUMMYFUNCTION("GOOGLETRANSLATE(B101, ""it"", ""en"")"),"How can you improve your jumping technique?")</f>
        <v>How can you improve your jumping technique?</v>
      </c>
      <c r="H101" s="3" t="str">
        <f>IFERROR(__xludf.DUMMYFUNCTION("GOOGLETRANSLATE(C101, ""it"", ""en"")"),"A. Avoiding difficult jumps B. Practicing on smaller ramps C. Following experienced skiers D. Using poles for propulsion")</f>
        <v>A. Avoiding difficult jumps B. Practicing on smaller ramps C. Following experienced skiers D. Using poles for propulsion</v>
      </c>
      <c r="I101" s="3" t="str">
        <f>IFERROR(__xludf.DUMMYFUNCTION("GOOGLETRANSLATE(D101, ""it"", ""en"")"),"Practicing on smaller ramps")</f>
        <v>Practicing on smaller ramps</v>
      </c>
      <c r="J101" s="2"/>
      <c r="K101" s="2"/>
      <c r="L101" s="2"/>
      <c r="M101" s="2"/>
      <c r="N101" s="2"/>
      <c r="O101" s="2"/>
      <c r="P101" s="2"/>
      <c r="Q101" s="2"/>
      <c r="R101" s="2"/>
      <c r="S101" s="2"/>
      <c r="T101" s="2"/>
      <c r="U101" s="2"/>
      <c r="V101" s="2"/>
      <c r="W101" s="2"/>
    </row>
    <row r="102" ht="22.5" customHeight="1">
      <c r="A102" s="3">
        <v>101.0</v>
      </c>
      <c r="B102" s="3" t="s">
        <v>3324</v>
      </c>
      <c r="C102" s="3" t="s">
        <v>3325</v>
      </c>
      <c r="D102" s="3" t="s">
        <v>3326</v>
      </c>
      <c r="E102" s="2"/>
      <c r="F102" s="3" t="str">
        <f>IFERROR(__xludf.DUMMYFUNCTION("GOOGLETRANSLATE(A102, ""it"", ""en"")"),"101")</f>
        <v>101</v>
      </c>
      <c r="G102" s="3" t="str">
        <f>IFERROR(__xludf.DUMMYFUNCTION("GOOGLETRANSLATE(B102, ""it"", ""en"")"),"What to do if you encounter a track with many sharp bends?")</f>
        <v>What to do if you encounter a track with many sharp bends?</v>
      </c>
      <c r="H102" s="3" t="str">
        <f>IFERROR(__xludf.DUMMYFUNCTION("GOOGLETRANSLATE(C102, ""it"", ""en"")"),"A. Pick up speed before each curve B. Slow down and maintain control C. Avoid it and take an alternative route D. Use poles to brake")</f>
        <v>A. Pick up speed before each curve B. Slow down and maintain control C. Avoid it and take an alternative route D. Use poles to brake</v>
      </c>
      <c r="I102" s="3" t="str">
        <f>IFERROR(__xludf.DUMMYFUNCTION("GOOGLETRANSLATE(D102, ""it"", ""en"")"),"Slow down and stay in control")</f>
        <v>Slow down and stay in control</v>
      </c>
      <c r="J102" s="2"/>
      <c r="K102" s="2"/>
      <c r="L102" s="2"/>
      <c r="M102" s="2"/>
      <c r="N102" s="2"/>
      <c r="O102" s="2"/>
      <c r="P102" s="2"/>
      <c r="Q102" s="2"/>
      <c r="R102" s="2"/>
      <c r="S102" s="2"/>
      <c r="T102" s="2"/>
      <c r="U102" s="2"/>
      <c r="V102" s="2"/>
      <c r="W102" s="2"/>
    </row>
    <row r="103" ht="22.5" customHeight="1">
      <c r="A103" s="3">
        <v>102.0</v>
      </c>
      <c r="B103" s="3" t="s">
        <v>3327</v>
      </c>
      <c r="C103" s="3" t="s">
        <v>3328</v>
      </c>
      <c r="D103" s="3" t="s">
        <v>3329</v>
      </c>
      <c r="E103" s="2"/>
      <c r="F103" s="3" t="str">
        <f>IFERROR(__xludf.DUMMYFUNCTION("GOOGLETRANSLATE(A103, ""it"", ""en"")"),"102")</f>
        <v>102</v>
      </c>
      <c r="G103" s="3" t="str">
        <f>IFERROR(__xludf.DUMMYFUNCTION("GOOGLETRANSLATE(B103, ""it"", ""en"")"),"What does a sign with a red ""H"" mean?")</f>
        <v>What does a sign with a red "H" mean?</v>
      </c>
      <c r="H103" s="3" t="str">
        <f>IFERROR(__xludf.DUMMYFUNCTION("GOOGLETRANSLATE(C103, ""it"", ""en"")"),"A. Emergency area B. First aid area C. Refreshment point D. Air rescue area")</f>
        <v>A. Emergency area B. First aid area C. Refreshment point D. Air rescue area</v>
      </c>
      <c r="I103" s="3" t="str">
        <f>IFERROR(__xludf.DUMMYFUNCTION("GOOGLETRANSLATE(D103, ""it"", ""en"")"),"Air rescue area")</f>
        <v>Air rescue area</v>
      </c>
      <c r="J103" s="2"/>
      <c r="K103" s="2"/>
      <c r="L103" s="2"/>
      <c r="M103" s="2"/>
      <c r="N103" s="2"/>
      <c r="O103" s="2"/>
      <c r="P103" s="2"/>
      <c r="Q103" s="2"/>
      <c r="R103" s="2"/>
      <c r="S103" s="2"/>
      <c r="T103" s="2"/>
      <c r="U103" s="2"/>
      <c r="V103" s="2"/>
      <c r="W103" s="2"/>
    </row>
    <row r="104" ht="22.5" customHeight="1">
      <c r="A104" s="3">
        <v>103.0</v>
      </c>
      <c r="B104" s="3" t="s">
        <v>3330</v>
      </c>
      <c r="C104" s="3" t="s">
        <v>3331</v>
      </c>
      <c r="D104" s="3" t="s">
        <v>3332</v>
      </c>
      <c r="E104" s="2"/>
      <c r="F104" s="3" t="str">
        <f>IFERROR(__xludf.DUMMYFUNCTION("GOOGLETRANSLATE(A104, ""it"", ""en"")"),"103")</f>
        <v>103</v>
      </c>
      <c r="G104" s="3" t="str">
        <f>IFERROR(__xludf.DUMMYFUNCTION("GOOGLETRANSLATE(B104, ""it"", ""en"")"),"How can you tell if a trail is open?")</f>
        <v>How can you tell if a trail is open?</v>
      </c>
      <c r="H104" s="3" t="str">
        <f>IFERROR(__xludf.DUMMYFUNCTION("GOOGLETRANSLATE(C104, ""it"", ""en"")"),"A. By checking the signs B. By asking an expert skier C. By trying it out directly D. By following the trail map")</f>
        <v>A. By checking the signs B. By asking an expert skier C. By trying it out directly D. By following the trail map</v>
      </c>
      <c r="I104" s="3" t="str">
        <f>IFERROR(__xludf.DUMMYFUNCTION("GOOGLETRANSLATE(D104, ""it"", ""en"")"),"Checking the signs")</f>
        <v>Checking the signs</v>
      </c>
      <c r="J104" s="2"/>
      <c r="K104" s="2"/>
      <c r="L104" s="2"/>
      <c r="M104" s="2"/>
      <c r="N104" s="2"/>
      <c r="O104" s="2"/>
      <c r="P104" s="2"/>
      <c r="Q104" s="2"/>
      <c r="R104" s="2"/>
      <c r="S104" s="2"/>
      <c r="T104" s="2"/>
      <c r="U104" s="2"/>
      <c r="V104" s="2"/>
      <c r="W104" s="2"/>
    </row>
    <row r="105" ht="22.5" customHeight="1">
      <c r="A105" s="3">
        <v>104.0</v>
      </c>
      <c r="B105" s="3" t="s">
        <v>3333</v>
      </c>
      <c r="C105" s="3" t="s">
        <v>3334</v>
      </c>
      <c r="D105" s="3" t="s">
        <v>3335</v>
      </c>
      <c r="E105" s="2"/>
      <c r="F105" s="3" t="str">
        <f>IFERROR(__xludf.DUMMYFUNCTION("GOOGLETRANSLATE(A105, ""it"", ""en"")"),"104")</f>
        <v>104</v>
      </c>
      <c r="G105" s="3" t="str">
        <f>IFERROR(__xludf.DUMMYFUNCTION("GOOGLETRANSLATE(B105, ""it"", ""en"")"),"What to do if your ski bends or deforms?")</f>
        <v>What to do if your ski bends or deforms?</v>
      </c>
      <c r="H105" s="3" t="str">
        <f>IFERROR(__xludf.DUMMYFUNCTION("GOOGLETRANSLATE(C105, ""it"", ""en"")"),"A. Continue and check later B. Stop and have it checked C. Ignore it and continue D. Get help immediately")</f>
        <v>A. Continue and check later B. Stop and have it checked C. Ignore it and continue D. Get help immediately</v>
      </c>
      <c r="I105" s="3" t="str">
        <f>IFERROR(__xludf.DUMMYFUNCTION("GOOGLETRANSLATE(D105, ""it"", ""en"")"),"Stop and get it checked out")</f>
        <v>Stop and get it checked out</v>
      </c>
      <c r="J105" s="2"/>
      <c r="K105" s="2"/>
      <c r="L105" s="2"/>
      <c r="M105" s="2"/>
      <c r="N105" s="2"/>
      <c r="O105" s="2"/>
      <c r="P105" s="2"/>
      <c r="Q105" s="2"/>
      <c r="R105" s="2"/>
      <c r="S105" s="2"/>
      <c r="T105" s="2"/>
      <c r="U105" s="2"/>
      <c r="V105" s="2"/>
      <c r="W105" s="2"/>
    </row>
    <row r="106" ht="22.5" customHeight="1">
      <c r="A106" s="3">
        <v>105.0</v>
      </c>
      <c r="B106" s="3" t="s">
        <v>3336</v>
      </c>
      <c r="C106" s="3" t="s">
        <v>3337</v>
      </c>
      <c r="D106" s="3" t="s">
        <v>3338</v>
      </c>
      <c r="E106" s="2"/>
      <c r="F106" s="3" t="str">
        <f>IFERROR(__xludf.DUMMYFUNCTION("GOOGLETRANSLATE(A106, ""it"", ""en"")"),"105")</f>
        <v>105</v>
      </c>
      <c r="G106" s="3" t="str">
        <f>IFERROR(__xludf.DUMMYFUNCTION("GOOGLETRANSLATE(B106, ""it"", ""en"")"),"What does a yellow flag next to the track mean?")</f>
        <v>What does a yellow flag next to the track mean?</v>
      </c>
      <c r="H106" s="3" t="str">
        <f>IFERROR(__xludf.DUMMYFUNCTION("GOOGLETRANSLATE(C106, ""it"", ""en"")"),"A. High wind zone B. Expert zone C. Avalanche danger zone D. Beginner zone")</f>
        <v>A. High wind zone B. Expert zone C. Avalanche danger zone D. Beginner zone</v>
      </c>
      <c r="I106" s="3" t="str">
        <f>IFERROR(__xludf.DUMMYFUNCTION("GOOGLETRANSLATE(D106, ""it"", ""en"")"),"Avalanche danger zone")</f>
        <v>Avalanche danger zone</v>
      </c>
      <c r="J106" s="2"/>
      <c r="K106" s="2"/>
      <c r="L106" s="2"/>
      <c r="M106" s="2"/>
      <c r="N106" s="2"/>
      <c r="O106" s="2"/>
      <c r="P106" s="2"/>
      <c r="Q106" s="2"/>
      <c r="R106" s="2"/>
      <c r="S106" s="2"/>
      <c r="T106" s="2"/>
      <c r="U106" s="2"/>
      <c r="V106" s="2"/>
      <c r="W106" s="2"/>
    </row>
    <row r="107" ht="22.5" customHeight="1">
      <c r="A107" s="3">
        <v>106.0</v>
      </c>
      <c r="B107" s="3" t="s">
        <v>3339</v>
      </c>
      <c r="C107" s="3" t="s">
        <v>3340</v>
      </c>
      <c r="D107" s="3" t="s">
        <v>3341</v>
      </c>
      <c r="E107" s="2"/>
      <c r="F107" s="3" t="str">
        <f>IFERROR(__xludf.DUMMYFUNCTION("GOOGLETRANSLATE(A107, ""it"", ""en"")"),"106")</f>
        <v>106</v>
      </c>
      <c r="G107" s="3" t="str">
        <f>IFERROR(__xludf.DUMMYFUNCTION("GOOGLETRANSLATE(B107, ""it"", ""en"")"),"What to do if you feel like you're losing control on a curve?")</f>
        <v>What to do if you feel like you're losing control on a curve?</v>
      </c>
      <c r="H107" s="3" t="str">
        <f>IFERROR(__xludf.DUMMYFUNCTION("GOOGLETRANSLATE(C107, ""it"", ""en"")"),"A. Reduce speed and regain balance B. Accelerate to complete the turn C. Use poles to brake D. Fall to stop")</f>
        <v>A. Reduce speed and regain balance B. Accelerate to complete the turn C. Use poles to brake D. Fall to stop</v>
      </c>
      <c r="I107" s="3" t="str">
        <f>IFERROR(__xludf.DUMMYFUNCTION("GOOGLETRANSLATE(D107, ""it"", ""en"")"),"Reduce speed and regain balance")</f>
        <v>Reduce speed and regain balance</v>
      </c>
      <c r="J107" s="2"/>
      <c r="K107" s="2"/>
      <c r="L107" s="2"/>
      <c r="M107" s="2"/>
      <c r="N107" s="2"/>
      <c r="O107" s="2"/>
      <c r="P107" s="2"/>
      <c r="Q107" s="2"/>
      <c r="R107" s="2"/>
      <c r="S107" s="2"/>
      <c r="T107" s="2"/>
      <c r="U107" s="2"/>
      <c r="V107" s="2"/>
      <c r="W107" s="2"/>
    </row>
    <row r="108" ht="22.5" customHeight="1">
      <c r="A108" s="3">
        <v>107.0</v>
      </c>
      <c r="B108" s="3" t="s">
        <v>3342</v>
      </c>
      <c r="C108" s="3" t="s">
        <v>3343</v>
      </c>
      <c r="D108" s="3" t="s">
        <v>3344</v>
      </c>
      <c r="E108" s="2"/>
      <c r="F108" s="3" t="str">
        <f>IFERROR(__xludf.DUMMYFUNCTION("GOOGLETRANSLATE(A108, ""it"", ""en"")"),"107")</f>
        <v>107</v>
      </c>
      <c r="G108" s="3" t="str">
        <f>IFERROR(__xludf.DUMMYFUNCTION("GOOGLETRANSLATE(B108, ""it"", ""en"")"),"What to do if you see someone fall badly on the slopes?")</f>
        <v>What to do if you see someone fall badly on the slopes?</v>
      </c>
      <c r="H108" s="3" t="str">
        <f>IFERROR(__xludf.DUMMYFUNCTION("GOOGLETRANSLATE(C108, ""it"", ""en"")"),"A. Call for help immediately B. Continue and notify the base C. Stop to help him directly D. Ignore and continue")</f>
        <v>A. Call for help immediately B. Continue and notify the base C. Stop to help him directly D. Ignore and continue</v>
      </c>
      <c r="I108" s="3" t="str">
        <f>IFERROR(__xludf.DUMMYFUNCTION("GOOGLETRANSLATE(D108, ""it"", ""en"")"),"Call for help immediately")</f>
        <v>Call for help immediately</v>
      </c>
      <c r="J108" s="2"/>
      <c r="K108" s="2"/>
      <c r="L108" s="2"/>
      <c r="M108" s="2"/>
      <c r="N108" s="2"/>
      <c r="O108" s="2"/>
      <c r="P108" s="2"/>
      <c r="Q108" s="2"/>
      <c r="R108" s="2"/>
      <c r="S108" s="2"/>
      <c r="T108" s="2"/>
      <c r="U108" s="2"/>
      <c r="V108" s="2"/>
      <c r="W108" s="2"/>
    </row>
    <row r="109" ht="22.5" customHeight="1">
      <c r="A109" s="3">
        <v>108.0</v>
      </c>
      <c r="B109" s="3" t="s">
        <v>3345</v>
      </c>
      <c r="C109" s="3" t="s">
        <v>3346</v>
      </c>
      <c r="D109" s="3" t="s">
        <v>3347</v>
      </c>
      <c r="E109" s="2"/>
      <c r="F109" s="3" t="str">
        <f>IFERROR(__xludf.DUMMYFUNCTION("GOOGLETRANSLATE(A109, ""it"", ""en"")"),"108")</f>
        <v>108</v>
      </c>
      <c r="G109" s="3" t="str">
        <f>IFERROR(__xludf.DUMMYFUNCTION("GOOGLETRANSLATE(B109, ""it"", ""en"")"),"What is the lateral movement used to ski up a hill called?")</f>
        <v>What is the lateral movement used to ski up a hill called?</v>
      </c>
      <c r="H109" s="3" t="str">
        <f>IFERROR(__xludf.DUMMYFUNCTION("GOOGLETRANSLATE(C109, ""it"", ""en"")"),"A. Side slide B. Herringbone step C. Slalom D. Carving")</f>
        <v>A. Side slide B. Herringbone step C. Slalom D. Carving</v>
      </c>
      <c r="I109" s="3" t="str">
        <f>IFERROR(__xludf.DUMMYFUNCTION("GOOGLETRANSLATE(D109, ""it"", ""en"")"),"Herringbone step")</f>
        <v>Herringbone step</v>
      </c>
      <c r="J109" s="2"/>
      <c r="K109" s="2"/>
      <c r="L109" s="2"/>
      <c r="M109" s="2"/>
      <c r="N109" s="2"/>
      <c r="O109" s="2"/>
      <c r="P109" s="2"/>
      <c r="Q109" s="2"/>
      <c r="R109" s="2"/>
      <c r="S109" s="2"/>
      <c r="T109" s="2"/>
      <c r="U109" s="2"/>
      <c r="V109" s="2"/>
      <c r="W109" s="2"/>
    </row>
    <row r="110" ht="22.5" customHeight="1">
      <c r="A110" s="3">
        <v>109.0</v>
      </c>
      <c r="B110" s="3" t="s">
        <v>3161</v>
      </c>
      <c r="C110" s="3" t="s">
        <v>3348</v>
      </c>
      <c r="D110" s="3" t="s">
        <v>3349</v>
      </c>
      <c r="E110" s="2"/>
      <c r="F110" s="3" t="str">
        <f>IFERROR(__xludf.DUMMYFUNCTION("GOOGLETRANSLATE(A110, ""it"", ""en"")"),"109")</f>
        <v>109</v>
      </c>
      <c r="G110" s="3" t="str">
        <f>IFERROR(__xludf.DUMMYFUNCTION("GOOGLETRANSLATE(B110, ""it"", ""en"")"),"What does a blue flag next to the runway indicate?")</f>
        <v>What does a blue flag next to the runway indicate?</v>
      </c>
      <c r="H110" s="3" t="str">
        <f>IFERROR(__xludf.DUMMYFUNCTION("GOOGLETRANSLATE(C110, ""it"", ""en"")"),"A. Beginners' area B. Reserved area C. Experts' area D. Fresh snow area")</f>
        <v>A. Beginners' area B. Reserved area C. Experts' area D. Fresh snow area</v>
      </c>
      <c r="I110" s="3" t="str">
        <f>IFERROR(__xludf.DUMMYFUNCTION("GOOGLETRANSLATE(D110, ""it"", ""en"")"),"Beginners' area")</f>
        <v>Beginners' area</v>
      </c>
      <c r="J110" s="2"/>
      <c r="K110" s="2"/>
      <c r="L110" s="2"/>
      <c r="M110" s="2"/>
      <c r="N110" s="2"/>
      <c r="O110" s="2"/>
      <c r="P110" s="2"/>
      <c r="Q110" s="2"/>
      <c r="R110" s="2"/>
      <c r="S110" s="2"/>
      <c r="T110" s="2"/>
      <c r="U110" s="2"/>
      <c r="V110" s="2"/>
      <c r="W110" s="2"/>
    </row>
    <row r="111" ht="22.5" customHeight="1">
      <c r="A111" s="3">
        <v>110.0</v>
      </c>
      <c r="B111" s="3" t="s">
        <v>3350</v>
      </c>
      <c r="C111" s="3" t="s">
        <v>3351</v>
      </c>
      <c r="D111" s="3" t="s">
        <v>3352</v>
      </c>
      <c r="E111" s="2"/>
      <c r="F111" s="3" t="str">
        <f>IFERROR(__xludf.DUMMYFUNCTION("GOOGLETRANSLATE(A111, ""it"", ""en"")"),"110")</f>
        <v>110</v>
      </c>
      <c r="G111" s="3" t="str">
        <f>IFERROR(__xludf.DUMMYFUNCTION("GOOGLETRANSLATE(B111, ""it"", ""en"")"),"What to do if you encounter a completely icy trail?")</f>
        <v>What to do if you encounter a completely icy trail?</v>
      </c>
      <c r="H111" s="3" t="str">
        <f>IFERROR(__xludf.DUMMYFUNCTION("GOOGLETRANSLATE(C111, ""it"", ""en"")"),"A. Slow down and proceed with caution B. Accelerate to pass it more quickly C. Avoid it altogether D. Walk along the edge")</f>
        <v>A. Slow down and proceed with caution B. Accelerate to pass it more quickly C. Avoid it altogether D. Walk along the edge</v>
      </c>
      <c r="I111" s="3" t="str">
        <f>IFERROR(__xludf.DUMMYFUNCTION("GOOGLETRANSLATE(D111, ""it"", ""en"")"),"Slow down and proceed with caution")</f>
        <v>Slow down and proceed with caution</v>
      </c>
      <c r="J111" s="2"/>
      <c r="K111" s="2"/>
      <c r="L111" s="2"/>
      <c r="M111" s="2"/>
      <c r="N111" s="2"/>
      <c r="O111" s="2"/>
      <c r="P111" s="2"/>
      <c r="Q111" s="2"/>
      <c r="R111" s="2"/>
      <c r="S111" s="2"/>
      <c r="T111" s="2"/>
      <c r="U111" s="2"/>
      <c r="V111" s="2"/>
      <c r="W111" s="2"/>
    </row>
    <row r="112" ht="22.5" customHeight="1">
      <c r="A112" s="3">
        <v>111.0</v>
      </c>
      <c r="B112" s="3" t="s">
        <v>3353</v>
      </c>
      <c r="C112" s="3" t="s">
        <v>3354</v>
      </c>
      <c r="D112" s="3" t="s">
        <v>3355</v>
      </c>
      <c r="E112" s="2"/>
      <c r="F112" s="3" t="str">
        <f>IFERROR(__xludf.DUMMYFUNCTION("GOOGLETRANSLATE(A112, ""it"", ""en"")"),"111")</f>
        <v>111</v>
      </c>
      <c r="G112" s="3" t="str">
        <f>IFERROR(__xludf.DUMMYFUNCTION("GOOGLETRANSLATE(B112, ""it"", ""en"")"),"What is the technique for stopping by turning your skis sideways called?")</f>
        <v>What is the technique for stopping by turning your skis sideways called?</v>
      </c>
      <c r="H112" s="3" t="str">
        <f>IFERROR(__xludf.DUMMYFUNCTION("GOOGLETRANSLATE(C112, ""it"", ""en"")"),"A. Lateral stop B. Diagonal stop C. Snowplow stop D. Parallel stop")</f>
        <v>A. Lateral stop B. Diagonal stop C. Snowplow stop D. Parallel stop</v>
      </c>
      <c r="I112" s="3" t="str">
        <f>IFERROR(__xludf.DUMMYFUNCTION("GOOGLETRANSLATE(D112, ""it"", ""en"")"),"Stop snowplows")</f>
        <v>Stop snowplows</v>
      </c>
      <c r="J112" s="2"/>
      <c r="K112" s="2"/>
      <c r="L112" s="2"/>
      <c r="M112" s="2"/>
      <c r="N112" s="2"/>
      <c r="O112" s="2"/>
      <c r="P112" s="2"/>
      <c r="Q112" s="2"/>
      <c r="R112" s="2"/>
      <c r="S112" s="2"/>
      <c r="T112" s="2"/>
      <c r="U112" s="2"/>
      <c r="V112" s="2"/>
      <c r="W112" s="2"/>
    </row>
    <row r="113" ht="22.5" customHeight="1">
      <c r="A113" s="3">
        <v>112.0</v>
      </c>
      <c r="B113" s="3" t="s">
        <v>3356</v>
      </c>
      <c r="C113" s="3" t="s">
        <v>3357</v>
      </c>
      <c r="D113" s="3" t="s">
        <v>3358</v>
      </c>
      <c r="E113" s="2"/>
      <c r="F113" s="3" t="str">
        <f>IFERROR(__xludf.DUMMYFUNCTION("GOOGLETRANSLATE(A113, ""it"", ""en"")"),"112")</f>
        <v>112</v>
      </c>
      <c r="G113" s="3" t="str">
        <f>IFERROR(__xludf.DUMMYFUNCTION("GOOGLETRANSLATE(B113, ""it"", ""en"")"),"What to do if your clothes get wet while skiing?")</f>
        <v>What to do if your clothes get wet while skiing?</v>
      </c>
      <c r="H113" s="3" t="str">
        <f>IFERROR(__xludf.DUMMYFUNCTION("GOOGLETRANSLATE(C113, ""it"", ""en"")"),"A. Continue skiing B. Dry it as soon as possible C. Stop and remove it D. Ignore it and continue")</f>
        <v>A. Continue skiing B. Dry it as soon as possible C. Stop and remove it D. Ignore it and continue</v>
      </c>
      <c r="I113" s="3" t="str">
        <f>IFERROR(__xludf.DUMMYFUNCTION("GOOGLETRANSLATE(D113, ""it"", ""en"")"),"Dry it as soon as possible")</f>
        <v>Dry it as soon as possible</v>
      </c>
      <c r="J113" s="2"/>
      <c r="K113" s="2"/>
      <c r="L113" s="2"/>
      <c r="M113" s="2"/>
      <c r="N113" s="2"/>
      <c r="O113" s="2"/>
      <c r="P113" s="2"/>
      <c r="Q113" s="2"/>
      <c r="R113" s="2"/>
      <c r="S113" s="2"/>
      <c r="T113" s="2"/>
      <c r="U113" s="2"/>
      <c r="V113" s="2"/>
      <c r="W113" s="2"/>
    </row>
    <row r="114" ht="22.5" customHeight="1">
      <c r="A114" s="3">
        <v>113.0</v>
      </c>
      <c r="B114" s="3" t="s">
        <v>3113</v>
      </c>
      <c r="C114" s="3" t="s">
        <v>3359</v>
      </c>
      <c r="D114" s="3" t="s">
        <v>3360</v>
      </c>
      <c r="E114" s="2"/>
      <c r="F114" s="3" t="str">
        <f>IFERROR(__xludf.DUMMYFUNCTION("GOOGLETRANSLATE(A114, ""it"", ""en"")"),"113")</f>
        <v>113</v>
      </c>
      <c r="G114" s="3" t="str">
        <f>IFERROR(__xludf.DUMMYFUNCTION("GOOGLETRANSLATE(B114, ""it"", ""en"")"),"What does a sign with a green arrow indicate?")</f>
        <v>What does a sign with a green arrow indicate?</v>
      </c>
      <c r="H114" s="3" t="str">
        <f>IFERROR(__xludf.DUMMYFUNCTION("GOOGLETRANSLATE(C114, ""it"", ""en"")"),"A. Easy route B. Alternative route C. Prohibited area D. Intermediate route")</f>
        <v>A. Easy route B. Alternative route C. Prohibited area D. Intermediate route</v>
      </c>
      <c r="I114" s="3" t="str">
        <f>IFERROR(__xludf.DUMMYFUNCTION("GOOGLETRANSLATE(D114, ""it"", ""en"")"),"Easy route")</f>
        <v>Easy route</v>
      </c>
      <c r="J114" s="2"/>
      <c r="K114" s="2"/>
      <c r="L114" s="2"/>
      <c r="M114" s="2"/>
      <c r="N114" s="2"/>
      <c r="O114" s="2"/>
      <c r="P114" s="2"/>
      <c r="Q114" s="2"/>
      <c r="R114" s="2"/>
      <c r="S114" s="2"/>
      <c r="T114" s="2"/>
      <c r="U114" s="2"/>
      <c r="V114" s="2"/>
      <c r="W114" s="2"/>
    </row>
    <row r="115" ht="22.5" customHeight="1">
      <c r="A115" s="3">
        <v>114.0</v>
      </c>
      <c r="B115" s="3" t="s">
        <v>3361</v>
      </c>
      <c r="C115" s="3" t="s">
        <v>3362</v>
      </c>
      <c r="D115" s="3" t="s">
        <v>3259</v>
      </c>
      <c r="E115" s="2"/>
      <c r="F115" s="3" t="str">
        <f>IFERROR(__xludf.DUMMYFUNCTION("GOOGLETRANSLATE(A115, ""it"", ""en"")"),"114")</f>
        <v>114</v>
      </c>
      <c r="G115" s="3" t="str">
        <f>IFERROR(__xludf.DUMMYFUNCTION("GOOGLETRANSLATE(B115, ""it"", ""en"")"),"What does the snowflake symbol on a sign mean?")</f>
        <v>What does the snowflake symbol on a sign mean?</v>
      </c>
      <c r="H115" s="3" t="str">
        <f>IFERROR(__xludf.DUMMYFUNCTION("GOOGLETRANSLATE(C115, ""it"", ""en"")"),"A. Avalanche risk area B. Fresh snow area C. Expert area D. Icy area")</f>
        <v>A. Avalanche risk area B. Fresh snow area C. Expert area D. Icy area</v>
      </c>
      <c r="I115" s="3" t="str">
        <f>IFERROR(__xludf.DUMMYFUNCTION("GOOGLETRANSLATE(D115, ""it"", ""en"")"),"Area with fresh snow")</f>
        <v>Area with fresh snow</v>
      </c>
      <c r="J115" s="2"/>
      <c r="K115" s="2"/>
      <c r="L115" s="2"/>
      <c r="M115" s="2"/>
      <c r="N115" s="2"/>
      <c r="O115" s="2"/>
      <c r="P115" s="2"/>
      <c r="Q115" s="2"/>
      <c r="R115" s="2"/>
      <c r="S115" s="2"/>
      <c r="T115" s="2"/>
      <c r="U115" s="2"/>
      <c r="V115" s="2"/>
      <c r="W115" s="2"/>
    </row>
    <row r="116" ht="22.5" customHeight="1">
      <c r="A116" s="3">
        <v>115.0</v>
      </c>
      <c r="B116" s="3" t="s">
        <v>3363</v>
      </c>
      <c r="C116" s="3" t="s">
        <v>3364</v>
      </c>
      <c r="D116" s="3" t="s">
        <v>3365</v>
      </c>
      <c r="E116" s="2"/>
      <c r="F116" s="3" t="str">
        <f>IFERROR(__xludf.DUMMYFUNCTION("GOOGLETRANSLATE(A116, ""it"", ""en"")"),"115")</f>
        <v>115</v>
      </c>
      <c r="G116" s="3" t="str">
        <f>IFERROR(__xludf.DUMMYFUNCTION("GOOGLETRANSLATE(B116, ""it"", ""en"")"),"What to do if you can't see well because of the snow?")</f>
        <v>What to do if you can't see well because of the snow?</v>
      </c>
      <c r="H116" s="3" t="str">
        <f>IFERROR(__xludf.DUMMYFUNCTION("GOOGLETRANSLATE(C116, ""it"", ""en"")"),"A. Stop and clean your goggles B. Continue skiing slowly C. Remove your goggles D. Ignore the problem")</f>
        <v>A. Stop and clean your goggles B. Continue skiing slowly C. Remove your goggles D. Ignore the problem</v>
      </c>
      <c r="I116" s="3" t="str">
        <f>IFERROR(__xludf.DUMMYFUNCTION("GOOGLETRANSLATE(D116, ""it"", ""en"")"),"Stop and clean your glasses")</f>
        <v>Stop and clean your glasses</v>
      </c>
      <c r="J116" s="2"/>
      <c r="K116" s="2"/>
      <c r="L116" s="2"/>
      <c r="M116" s="2"/>
      <c r="N116" s="2"/>
      <c r="O116" s="2"/>
      <c r="P116" s="2"/>
      <c r="Q116" s="2"/>
      <c r="R116" s="2"/>
      <c r="S116" s="2"/>
      <c r="T116" s="2"/>
      <c r="U116" s="2"/>
      <c r="V116" s="2"/>
      <c r="W116" s="2"/>
    </row>
    <row r="117" ht="22.5" customHeight="1">
      <c r="A117" s="3">
        <v>116.0</v>
      </c>
      <c r="B117" s="3" t="s">
        <v>3366</v>
      </c>
      <c r="C117" s="3" t="s">
        <v>3367</v>
      </c>
      <c r="D117" s="3" t="s">
        <v>3368</v>
      </c>
      <c r="E117" s="2"/>
      <c r="F117" s="3" t="str">
        <f>IFERROR(__xludf.DUMMYFUNCTION("GOOGLETRANSLATE(A117, ""it"", ""en"")"),"116")</f>
        <v>116</v>
      </c>
      <c r="G117" s="3" t="str">
        <f>IFERROR(__xludf.DUMMYFUNCTION("GOOGLETRANSLATE(B117, ""it"", ""en"")"),"What to do if you lose the reference ball on the track?")</f>
        <v>What to do if you lose the reference ball on the track?</v>
      </c>
      <c r="H117" s="3" t="str">
        <f>IFERROR(__xludf.DUMMYFUNCTION("GOOGLETRANSLATE(C117, ""it"", ""en"")"),"A. Continue without it B. Report the problem C. Stop and ask for help D. Follow the main route")</f>
        <v>A. Continue without it B. Report the problem C. Stop and ask for help D. Follow the main route</v>
      </c>
      <c r="I117" s="3" t="str">
        <f>IFERROR(__xludf.DUMMYFUNCTION("GOOGLETRANSLATE(D117, ""it"", ""en"")"),"Stop and ask for help")</f>
        <v>Stop and ask for help</v>
      </c>
      <c r="J117" s="2"/>
      <c r="K117" s="2"/>
      <c r="L117" s="2"/>
      <c r="M117" s="2"/>
      <c r="N117" s="2"/>
      <c r="O117" s="2"/>
      <c r="P117" s="2"/>
      <c r="Q117" s="2"/>
      <c r="R117" s="2"/>
      <c r="S117" s="2"/>
      <c r="T117" s="2"/>
      <c r="U117" s="2"/>
      <c r="V117" s="2"/>
      <c r="W117" s="2"/>
    </row>
    <row r="118" ht="22.5" customHeight="1">
      <c r="A118" s="3">
        <v>117.0</v>
      </c>
      <c r="B118" s="3" t="s">
        <v>3369</v>
      </c>
      <c r="C118" s="3" t="s">
        <v>3370</v>
      </c>
      <c r="D118" s="3" t="s">
        <v>3371</v>
      </c>
      <c r="E118" s="2"/>
      <c r="F118" s="3" t="str">
        <f>IFERROR(__xludf.DUMMYFUNCTION("GOOGLETRANSLATE(A118, ""it"", ""en"")"),"117")</f>
        <v>117</v>
      </c>
      <c r="G118" s="3" t="str">
        <f>IFERROR(__xludf.DUMMYFUNCTION("GOOGLETRANSLATE(B118, ""it"", ""en"")"),"What does a sign with a shovel symbol mean?")</f>
        <v>What does a sign with a shovel symbol mean?</v>
      </c>
      <c r="H118" s="3" t="str">
        <f>IFERROR(__xludf.DUMMYFUNCTION("GOOGLETRANSLATE(C118, ""it"", ""en"")"),"A. Avalanche danger zone B. Work zone on the slope C. Emergency zone D. Expert zone")</f>
        <v>A. Avalanche danger zone B. Work zone on the slope C. Emergency zone D. Expert zone</v>
      </c>
      <c r="I118" s="3" t="str">
        <f>IFERROR(__xludf.DUMMYFUNCTION("GOOGLETRANSLATE(D118, ""it"", ""en"")"),"Work area on the runway")</f>
        <v>Work area on the runway</v>
      </c>
      <c r="J118" s="2"/>
      <c r="K118" s="2"/>
      <c r="L118" s="2"/>
      <c r="M118" s="2"/>
      <c r="N118" s="2"/>
      <c r="O118" s="2"/>
      <c r="P118" s="2"/>
      <c r="Q118" s="2"/>
      <c r="R118" s="2"/>
      <c r="S118" s="2"/>
      <c r="T118" s="2"/>
      <c r="U118" s="2"/>
      <c r="V118" s="2"/>
      <c r="W118" s="2"/>
    </row>
    <row r="119" ht="22.5" customHeight="1">
      <c r="A119" s="3">
        <v>118.0</v>
      </c>
      <c r="B119" s="3" t="s">
        <v>3372</v>
      </c>
      <c r="C119" s="3" t="s">
        <v>3373</v>
      </c>
      <c r="D119" s="3" t="s">
        <v>3374</v>
      </c>
      <c r="E119" s="2"/>
      <c r="F119" s="3" t="str">
        <f>IFERROR(__xludf.DUMMYFUNCTION("GOOGLETRANSLATE(A119, ""it"", ""en"")"),"118")</f>
        <v>118</v>
      </c>
      <c r="G119" s="3" t="str">
        <f>IFERROR(__xludf.DUMMYFUNCTION("GOOGLETRANSLATE(B119, ""it"", ""en"")"),"What to do if your legs start shaking while skiing?")</f>
        <v>What to do if your legs start shaking while skiing?</v>
      </c>
      <c r="H119" s="3" t="str">
        <f>IFERROR(__xludf.DUMMYFUNCTION("GOOGLETRANSLATE(C119, ""it"", ""en"")"),"A. Continue to get used to it B. Stop and rest C. Speed ​​up to reduce fatigue D. Ignore it and continue")</f>
        <v>A. Continue to get used to it B. Stop and rest C. Speed ​​up to reduce fatigue D. Ignore it and continue</v>
      </c>
      <c r="I119" s="3" t="str">
        <f>IFERROR(__xludf.DUMMYFUNCTION("GOOGLETRANSLATE(D119, ""it"", ""en"")"),"Stop and rest")</f>
        <v>Stop and rest</v>
      </c>
      <c r="J119" s="2"/>
      <c r="K119" s="2"/>
      <c r="L119" s="2"/>
      <c r="M119" s="2"/>
      <c r="N119" s="2"/>
      <c r="O119" s="2"/>
      <c r="P119" s="2"/>
      <c r="Q119" s="2"/>
      <c r="R119" s="2"/>
      <c r="S119" s="2"/>
      <c r="T119" s="2"/>
      <c r="U119" s="2"/>
      <c r="V119" s="2"/>
      <c r="W119" s="2"/>
    </row>
    <row r="120" ht="22.5" customHeight="1">
      <c r="A120" s="3">
        <v>119.0</v>
      </c>
      <c r="B120" s="3" t="s">
        <v>3146</v>
      </c>
      <c r="C120" s="3" t="s">
        <v>3375</v>
      </c>
      <c r="D120" s="3" t="s">
        <v>3376</v>
      </c>
      <c r="E120" s="2"/>
      <c r="F120" s="3" t="str">
        <f>IFERROR(__xludf.DUMMYFUNCTION("GOOGLETRANSLATE(A120, ""it"", ""en"")"),"119")</f>
        <v>119</v>
      </c>
      <c r="G120" s="3" t="str">
        <f>IFERROR(__xludf.DUMMYFUNCTION("GOOGLETRANSLATE(B120, ""it"", ""en"")"),"What does a dotted line on the runway map indicate?")</f>
        <v>What does a dotted line on the runway map indicate?</v>
      </c>
      <c r="H120" s="3" t="str">
        <f>IFERROR(__xludf.DUMMYFUNCTION("GOOGLETRANSLATE(C120, ""it"", ""en"")"),"A. Closed route B. Difficult route C. Alternative route D. Expert route")</f>
        <v>A. Closed route B. Difficult route C. Alternative route D. Expert route</v>
      </c>
      <c r="I120" s="3" t="str">
        <f>IFERROR(__xludf.DUMMYFUNCTION("GOOGLETRANSLATE(D120, ""it"", ""en"")"),"Alternative route")</f>
        <v>Alternative route</v>
      </c>
      <c r="J120" s="2"/>
      <c r="K120" s="2"/>
      <c r="L120" s="2"/>
      <c r="M120" s="2"/>
      <c r="N120" s="2"/>
      <c r="O120" s="2"/>
      <c r="P120" s="2"/>
      <c r="Q120" s="2"/>
      <c r="R120" s="2"/>
      <c r="S120" s="2"/>
      <c r="T120" s="2"/>
      <c r="U120" s="2"/>
      <c r="V120" s="2"/>
      <c r="W120" s="2"/>
    </row>
    <row r="121" ht="22.5" customHeight="1">
      <c r="A121" s="3">
        <v>120.0</v>
      </c>
      <c r="B121" s="3" t="s">
        <v>3377</v>
      </c>
      <c r="C121" s="3" t="s">
        <v>3378</v>
      </c>
      <c r="D121" s="3" t="s">
        <v>3379</v>
      </c>
      <c r="E121" s="2"/>
      <c r="F121" s="3" t="str">
        <f>IFERROR(__xludf.DUMMYFUNCTION("GOOGLETRANSLATE(A121, ""it"", ""en"")"),"120")</f>
        <v>120</v>
      </c>
      <c r="G121" s="3" t="str">
        <f>IFERROR(__xludf.DUMMYFUNCTION("GOOGLETRANSLATE(B121, ""it"", ""en"")"),"How can you reduce the risk of knee injuries while skiing?")</f>
        <v>How can you reduce the risk of knee injuries while skiing?</v>
      </c>
      <c r="H121" s="3" t="str">
        <f>IFERROR(__xludf.DUMMYFUNCTION("GOOGLETRANSLATE(C121, ""it"", ""en"")"),"A. Avoiding curves B. Wearing protection C. Picking up speed D. Using narrower boots")</f>
        <v>A. Avoiding curves B. Wearing protection C. Picking up speed D. Using narrower boots</v>
      </c>
      <c r="I121" s="3" t="str">
        <f>IFERROR(__xludf.DUMMYFUNCTION("GOOGLETRANSLATE(D121, ""it"", ""en"")"),"Wearing protection")</f>
        <v>Wearing protection</v>
      </c>
      <c r="J121" s="2"/>
      <c r="K121" s="2"/>
      <c r="L121" s="2"/>
      <c r="M121" s="2"/>
      <c r="N121" s="2"/>
      <c r="O121" s="2"/>
      <c r="P121" s="2"/>
      <c r="Q121" s="2"/>
      <c r="R121" s="2"/>
      <c r="S121" s="2"/>
      <c r="T121" s="2"/>
      <c r="U121" s="2"/>
      <c r="V121" s="2"/>
      <c r="W121" s="2"/>
    </row>
    <row r="122" ht="22.5" customHeight="1">
      <c r="A122" s="3">
        <v>121.0</v>
      </c>
      <c r="B122" s="3" t="s">
        <v>3380</v>
      </c>
      <c r="C122" s="3" t="s">
        <v>3381</v>
      </c>
      <c r="D122" s="3" t="s">
        <v>3382</v>
      </c>
      <c r="E122" s="2"/>
      <c r="F122" s="3" t="str">
        <f>IFERROR(__xludf.DUMMYFUNCTION("GOOGLETRANSLATE(A122, ""it"", ""en"")"),"121")</f>
        <v>121</v>
      </c>
      <c r="G122" s="3" t="str">
        <f>IFERROR(__xludf.DUMMYFUNCTION("GOOGLETRANSLATE(B122, ""it"", ""en"")"),"What to do if your backpack comes off during a descent?")</f>
        <v>What to do if your backpack comes off during a descent?</v>
      </c>
      <c r="H122" s="3" t="str">
        <f>IFERROR(__xludf.DUMMYFUNCTION("GOOGLETRANSLATE(C122, ""it"", ""en"")"),"A. Ignore it and continue B. Stop and fix it C. Call for help D. Leave it on the runway")</f>
        <v>A. Ignore it and continue B. Stop and fix it C. Call for help D. Leave it on the runway</v>
      </c>
      <c r="I122" s="3" t="str">
        <f>IFERROR(__xludf.DUMMYFUNCTION("GOOGLETRANSLATE(D122, ""it"", ""en"")"),"Stop and fix it")</f>
        <v>Stop and fix it</v>
      </c>
      <c r="J122" s="2"/>
      <c r="K122" s="2"/>
      <c r="L122" s="2"/>
      <c r="M122" s="2"/>
      <c r="N122" s="2"/>
      <c r="O122" s="2"/>
      <c r="P122" s="2"/>
      <c r="Q122" s="2"/>
      <c r="R122" s="2"/>
      <c r="S122" s="2"/>
      <c r="T122" s="2"/>
      <c r="U122" s="2"/>
      <c r="V122" s="2"/>
      <c r="W122" s="2"/>
    </row>
    <row r="123" ht="22.5" customHeight="1">
      <c r="A123" s="3">
        <v>122.0</v>
      </c>
      <c r="B123" s="3" t="s">
        <v>3383</v>
      </c>
      <c r="C123" s="3" t="s">
        <v>3384</v>
      </c>
      <c r="D123" s="3" t="s">
        <v>3338</v>
      </c>
      <c r="E123" s="2"/>
      <c r="F123" s="3" t="str">
        <f>IFERROR(__xludf.DUMMYFUNCTION("GOOGLETRANSLATE(A123, ""it"", ""en"")"),"122")</f>
        <v>122</v>
      </c>
      <c r="G123" s="3" t="str">
        <f>IFERROR(__xludf.DUMMYFUNCTION("GOOGLETRANSLATE(B123, ""it"", ""en"")"),"What does a sign with a yellow triangle and a skiing figure mean?")</f>
        <v>What does a sign with a yellow triangle and a skiing figure mean?</v>
      </c>
      <c r="H123" s="3" t="str">
        <f>IFERROR(__xludf.DUMMYFUNCTION("GOOGLETRANSLATE(C123, ""it"", ""en"")"),"A. Expert area B. Beginner area C. Fresh snow area D. Avalanche danger area")</f>
        <v>A. Expert area B. Beginner area C. Fresh snow area D. Avalanche danger area</v>
      </c>
      <c r="I123" s="3" t="str">
        <f>IFERROR(__xludf.DUMMYFUNCTION("GOOGLETRANSLATE(D123, ""it"", ""en"")"),"Avalanche danger zone")</f>
        <v>Avalanche danger zone</v>
      </c>
      <c r="J123" s="2"/>
      <c r="K123" s="2"/>
      <c r="L123" s="2"/>
      <c r="M123" s="2"/>
      <c r="N123" s="2"/>
      <c r="O123" s="2"/>
      <c r="P123" s="2"/>
      <c r="Q123" s="2"/>
      <c r="R123" s="2"/>
      <c r="S123" s="2"/>
      <c r="T123" s="2"/>
      <c r="U123" s="2"/>
      <c r="V123" s="2"/>
      <c r="W123" s="2"/>
    </row>
    <row r="124" ht="22.5" customHeight="1">
      <c r="A124" s="3">
        <v>123.0</v>
      </c>
      <c r="B124" s="3" t="s">
        <v>3385</v>
      </c>
      <c r="C124" s="3" t="s">
        <v>3386</v>
      </c>
      <c r="D124" s="3" t="s">
        <v>3387</v>
      </c>
      <c r="E124" s="2"/>
      <c r="F124" s="3" t="str">
        <f>IFERROR(__xludf.DUMMYFUNCTION("GOOGLETRANSLATE(A124, ""it"", ""en"")"),"123")</f>
        <v>123</v>
      </c>
      <c r="G124" s="3" t="str">
        <f>IFERROR(__xludf.DUMMYFUNCTION("GOOGLETRANSLATE(B124, ""it"", ""en"")"),"What is the name of the device used to climb a slope?")</f>
        <v>What is the name of the device used to climb a slope?</v>
      </c>
      <c r="H124" s="3" t="str">
        <f>IFERROR(__xludf.DUMMYFUNCTION("GOOGLETRANSLATE(C124, ""it"", ""en"")"),"A. Magic carpet B. Chairlift C. Ski lift D. Cabin")</f>
        <v>A. Magic carpet B. Chairlift C. Ski lift D. Cabin</v>
      </c>
      <c r="I124" s="3" t="str">
        <f>IFERROR(__xludf.DUMMYFUNCTION("GOOGLETRANSLATE(D124, ""it"", ""en"")"),"Ski lift")</f>
        <v>Ski lift</v>
      </c>
      <c r="J124" s="2"/>
      <c r="K124" s="2"/>
      <c r="L124" s="2"/>
      <c r="M124" s="2"/>
      <c r="N124" s="2"/>
      <c r="O124" s="2"/>
      <c r="P124" s="2"/>
      <c r="Q124" s="2"/>
      <c r="R124" s="2"/>
      <c r="S124" s="2"/>
      <c r="T124" s="2"/>
      <c r="U124" s="2"/>
      <c r="V124" s="2"/>
      <c r="W124" s="2"/>
    </row>
    <row r="125" ht="22.5" customHeight="1">
      <c r="A125" s="3">
        <v>124.0</v>
      </c>
      <c r="B125" s="3" t="s">
        <v>3388</v>
      </c>
      <c r="C125" s="3" t="s">
        <v>3389</v>
      </c>
      <c r="D125" s="3" t="s">
        <v>3390</v>
      </c>
      <c r="E125" s="2"/>
      <c r="F125" s="3" t="str">
        <f>IFERROR(__xludf.DUMMYFUNCTION("GOOGLETRANSLATE(A125, ""it"", ""en"")"),"124")</f>
        <v>124</v>
      </c>
      <c r="G125" s="3" t="str">
        <f>IFERROR(__xludf.DUMMYFUNCTION("GOOGLETRANSLATE(B125, ""it"", ""en"")"),"What to do if your skis don't glide well on the snow?")</f>
        <v>What to do if your skis don't glide well on the snow?</v>
      </c>
      <c r="H125" s="3" t="str">
        <f>IFERROR(__xludf.DUMMYFUNCTION("GOOGLETRANSLATE(C125, ""it"", ""en"")"),"A. Increase speed B. Wax your skis C. Use poles D. Ask for a check-up")</f>
        <v>A. Increase speed B. Wax your skis C. Use poles D. Ask for a check-up</v>
      </c>
      <c r="I125" s="3" t="str">
        <f>IFERROR(__xludf.DUMMYFUNCTION("GOOGLETRANSLATE(D125, ""it"", ""en"")"),"Applying wax to skis")</f>
        <v>Applying wax to skis</v>
      </c>
      <c r="J125" s="2"/>
      <c r="K125" s="2"/>
      <c r="L125" s="2"/>
      <c r="M125" s="2"/>
      <c r="N125" s="2"/>
      <c r="O125" s="2"/>
      <c r="P125" s="2"/>
      <c r="Q125" s="2"/>
      <c r="R125" s="2"/>
      <c r="S125" s="2"/>
      <c r="T125" s="2"/>
      <c r="U125" s="2"/>
      <c r="V125" s="2"/>
      <c r="W125" s="2"/>
    </row>
    <row r="126" ht="22.5" customHeight="1">
      <c r="A126" s="3">
        <v>125.0</v>
      </c>
      <c r="B126" s="3" t="s">
        <v>3391</v>
      </c>
      <c r="C126" s="3" t="s">
        <v>3392</v>
      </c>
      <c r="D126" s="3" t="s">
        <v>3393</v>
      </c>
      <c r="E126" s="2"/>
      <c r="F126" s="3" t="str">
        <f>IFERROR(__xludf.DUMMYFUNCTION("GOOGLETRANSLATE(A126, ""it"", ""en"")"),"125")</f>
        <v>125</v>
      </c>
      <c r="G126" s="3" t="str">
        <f>IFERROR(__xludf.DUMMYFUNCTION("GOOGLETRANSLATE(B126, ""it"", ""en"")"),"What to do if you hear a suspicious noise coming from your boots?")</f>
        <v>What to do if you hear a suspicious noise coming from your boots?</v>
      </c>
      <c r="H126" s="3" t="str">
        <f>IFERROR(__xludf.DUMMYFUNCTION("GOOGLETRANSLATE(C126, ""it"", ""en"")"),"A. Ignore it and continue B. Ask an expert for help C. Stop and check them D. Adjust them and continue")</f>
        <v>A. Ignore it and continue B. Ask an expert for help C. Stop and check them D. Adjust them and continue</v>
      </c>
      <c r="I126" s="3" t="str">
        <f>IFERROR(__xludf.DUMMYFUNCTION("GOOGLETRANSLATE(D126, ""it"", ""en"")"),"Stop and check them")</f>
        <v>Stop and check them</v>
      </c>
      <c r="J126" s="2"/>
      <c r="K126" s="2"/>
      <c r="L126" s="2"/>
      <c r="M126" s="2"/>
      <c r="N126" s="2"/>
      <c r="O126" s="2"/>
      <c r="P126" s="2"/>
      <c r="Q126" s="2"/>
      <c r="R126" s="2"/>
      <c r="S126" s="2"/>
      <c r="T126" s="2"/>
      <c r="U126" s="2"/>
      <c r="V126" s="2"/>
      <c r="W126" s="2"/>
    </row>
    <row r="127" ht="22.5" customHeight="1">
      <c r="A127" s="3">
        <v>126.0</v>
      </c>
      <c r="B127" s="3" t="s">
        <v>3394</v>
      </c>
      <c r="C127" s="3" t="s">
        <v>3395</v>
      </c>
      <c r="D127" s="3" t="s">
        <v>3396</v>
      </c>
      <c r="E127" s="2"/>
      <c r="F127" s="3" t="str">
        <f>IFERROR(__xludf.DUMMYFUNCTION("GOOGLETRANSLATE(A127, ""it"", ""en"")"),"126")</f>
        <v>126</v>
      </c>
      <c r="G127" s="3" t="str">
        <f>IFERROR(__xludf.DUMMYFUNCTION("GOOGLETRANSLATE(B127, ""it"", ""en"")"),"How can you improve your balance while skiing?")</f>
        <v>How can you improve your balance while skiing?</v>
      </c>
      <c r="H127" s="3" t="str">
        <f>IFERROR(__xludf.DUMMYFUNCTION("GOOGLETRANSLATE(C127, ""it"", ""en"")"),"A. Turning more often B. Using longer poles C. Training leg strength D. Keeping skis parallel")</f>
        <v>A. Turning more often B. Using longer poles C. Training leg strength D. Keeping skis parallel</v>
      </c>
      <c r="I127" s="3" t="str">
        <f>IFERROR(__xludf.DUMMYFUNCTION("GOOGLETRANSLATE(D127, ""it"", ""en"")"),"Keeping the skis parallel")</f>
        <v>Keeping the skis parallel</v>
      </c>
      <c r="J127" s="2"/>
      <c r="K127" s="2"/>
      <c r="L127" s="2"/>
      <c r="M127" s="2"/>
      <c r="N127" s="2"/>
      <c r="O127" s="2"/>
      <c r="P127" s="2"/>
      <c r="Q127" s="2"/>
      <c r="R127" s="2"/>
      <c r="S127" s="2"/>
      <c r="T127" s="2"/>
      <c r="U127" s="2"/>
      <c r="V127" s="2"/>
      <c r="W127" s="2"/>
    </row>
    <row r="128" ht="22.5" customHeight="1">
      <c r="A128" s="3">
        <v>127.0</v>
      </c>
      <c r="B128" s="3" t="s">
        <v>3397</v>
      </c>
      <c r="C128" s="3" t="s">
        <v>3398</v>
      </c>
      <c r="D128" s="3" t="s">
        <v>3399</v>
      </c>
      <c r="E128" s="2"/>
      <c r="F128" s="3" t="str">
        <f>IFERROR(__xludf.DUMMYFUNCTION("GOOGLETRANSLATE(A128, ""it"", ""en"")"),"127")</f>
        <v>127</v>
      </c>
      <c r="G128" s="3" t="str">
        <f>IFERROR(__xludf.DUMMYFUNCTION("GOOGLETRANSLATE(B128, ""it"", ""en"")"),"What does a red cross on a runway indicate?")</f>
        <v>What does a red cross on a runway indicate?</v>
      </c>
      <c r="H128" s="3" t="str">
        <f>IFERROR(__xludf.DUMMYFUNCTION("GOOGLETRANSLATE(C128, ""it"", ""en"")"),"A. Emergency point B. Forbidden area C. Medium difficulty slope D. Beginner area")</f>
        <v>A. Emergency point B. Forbidden area C. Medium difficulty slope D. Beginner area</v>
      </c>
      <c r="I128" s="3" t="str">
        <f>IFERROR(__xludf.DUMMYFUNCTION("GOOGLETRANSLATE(D128, ""it"", ""en"")"),"Emergency point")</f>
        <v>Emergency point</v>
      </c>
      <c r="J128" s="2"/>
      <c r="K128" s="2"/>
      <c r="L128" s="2"/>
      <c r="M128" s="2"/>
      <c r="N128" s="2"/>
      <c r="O128" s="2"/>
      <c r="P128" s="2"/>
      <c r="Q128" s="2"/>
      <c r="R128" s="2"/>
      <c r="S128" s="2"/>
      <c r="T128" s="2"/>
      <c r="U128" s="2"/>
      <c r="V128" s="2"/>
      <c r="W128" s="2"/>
    </row>
    <row r="129" ht="22.5" customHeight="1">
      <c r="A129" s="3">
        <v>128.0</v>
      </c>
      <c r="B129" s="3" t="s">
        <v>3400</v>
      </c>
      <c r="C129" s="3" t="s">
        <v>3401</v>
      </c>
      <c r="D129" s="3" t="s">
        <v>3402</v>
      </c>
      <c r="E129" s="2"/>
      <c r="F129" s="3" t="str">
        <f>IFERROR(__xludf.DUMMYFUNCTION("GOOGLETRANSLATE(A129, ""it"", ""en"")"),"128")</f>
        <v>128</v>
      </c>
      <c r="G129" s="3" t="str">
        <f>IFERROR(__xludf.DUMMYFUNCTION("GOOGLETRANSLATE(B129, ""it"", ""en"")"),"What to do if you can't keep up with the group's pace?")</f>
        <v>What to do if you can't keep up with the group's pace?</v>
      </c>
      <c r="H129" s="3" t="str">
        <f>IFERROR(__xludf.DUMMYFUNCTION("GOOGLETRANSLATE(C129, ""it"", ""en"")"),"A. Speed ​​up to catch up with them B. Slow down and warn them C. Take an alternative route D. Stop and wait for help")</f>
        <v>A. Speed ​​up to catch up with them B. Slow down and warn them C. Take an alternative route D. Stop and wait for help</v>
      </c>
      <c r="I129" s="3" t="str">
        <f>IFERROR(__xludf.DUMMYFUNCTION("GOOGLETRANSLATE(D129, ""it"", ""en"")"),"Slow down and warn")</f>
        <v>Slow down and warn</v>
      </c>
      <c r="J129" s="2"/>
      <c r="K129" s="2"/>
      <c r="L129" s="2"/>
      <c r="M129" s="2"/>
      <c r="N129" s="2"/>
      <c r="O129" s="2"/>
      <c r="P129" s="2"/>
      <c r="Q129" s="2"/>
      <c r="R129" s="2"/>
      <c r="S129" s="2"/>
      <c r="T129" s="2"/>
      <c r="U129" s="2"/>
      <c r="V129" s="2"/>
      <c r="W129" s="2"/>
    </row>
    <row r="130" ht="22.5" customHeight="1">
      <c r="A130" s="3">
        <v>129.0</v>
      </c>
      <c r="B130" s="3" t="s">
        <v>3403</v>
      </c>
      <c r="C130" s="3" t="s">
        <v>3404</v>
      </c>
      <c r="D130" s="3" t="s">
        <v>3405</v>
      </c>
      <c r="E130" s="2"/>
      <c r="F130" s="3" t="str">
        <f>IFERROR(__xludf.DUMMYFUNCTION("GOOGLETRANSLATE(A130, ""it"", ""en"")"),"129")</f>
        <v>129</v>
      </c>
      <c r="G130" s="3" t="str">
        <f>IFERROR(__xludf.DUMMYFUNCTION("GOOGLETRANSLATE(B130, ""it"", ""en"")"),"What to do if you encounter a section of the trail covered in rocks?")</f>
        <v>What to do if you encounter a section of the trail covered in rocks?</v>
      </c>
      <c r="H130" s="3" t="str">
        <f>IFERROR(__xludf.DUMMYFUNCTION("GOOGLETRANSLATE(C130, ""it"", ""en"")"),"A. Pass it carefully B. Avoid that area C. Accelerate to skip it D. Use your poles to support yourself")</f>
        <v>A. Pass it carefully B. Avoid that area C. Accelerate to skip it D. Use your poles to support yourself</v>
      </c>
      <c r="I130" s="3" t="str">
        <f>IFERROR(__xludf.DUMMYFUNCTION("GOOGLETRANSLATE(D130, ""it"", ""en"")"),"Avoid that area")</f>
        <v>Avoid that area</v>
      </c>
      <c r="J130" s="2"/>
      <c r="K130" s="2"/>
      <c r="L130" s="2"/>
      <c r="M130" s="2"/>
      <c r="N130" s="2"/>
      <c r="O130" s="2"/>
      <c r="P130" s="2"/>
      <c r="Q130" s="2"/>
      <c r="R130" s="2"/>
      <c r="S130" s="2"/>
      <c r="T130" s="2"/>
      <c r="U130" s="2"/>
      <c r="V130" s="2"/>
      <c r="W130" s="2"/>
    </row>
    <row r="131" ht="22.5" customHeight="1">
      <c r="A131" s="3">
        <v>130.0</v>
      </c>
      <c r="B131" s="3" t="s">
        <v>3406</v>
      </c>
      <c r="C131" s="3" t="s">
        <v>3407</v>
      </c>
      <c r="D131" s="3" t="s">
        <v>3408</v>
      </c>
      <c r="E131" s="2"/>
      <c r="F131" s="3" t="str">
        <f>IFERROR(__xludf.DUMMYFUNCTION("GOOGLETRANSLATE(A131, ""it"", ""en"")"),"130")</f>
        <v>130</v>
      </c>
      <c r="G131" s="3" t="str">
        <f>IFERROR(__xludf.DUMMYFUNCTION("GOOGLETRANSLATE(B131, ""it"", ""en"")"),"How can you tell if a trail is well-groomed?")</f>
        <v>How can you tell if a trail is well-groomed?</v>
      </c>
      <c r="H131" s="3" t="str">
        <f>IFERROR(__xludf.DUMMYFUNCTION("GOOGLETRANSLATE(C131, ""it"", ""en"")"),"A. Checking the signs B. Observing them before going down C. Following an expert D. Asking other skiers")</f>
        <v>A. Checking the signs B. Observing them before going down C. Following an expert D. Asking other skiers</v>
      </c>
      <c r="I131" s="3" t="str">
        <f>IFERROR(__xludf.DUMMYFUNCTION("GOOGLETRANSLATE(D131, ""it"", ""en"")"),"Looking at her before going down")</f>
        <v>Looking at her before going down</v>
      </c>
      <c r="J131" s="2"/>
      <c r="K131" s="2"/>
      <c r="L131" s="2"/>
      <c r="M131" s="2"/>
      <c r="N131" s="2"/>
      <c r="O131" s="2"/>
      <c r="P131" s="2"/>
      <c r="Q131" s="2"/>
      <c r="R131" s="2"/>
      <c r="S131" s="2"/>
      <c r="T131" s="2"/>
      <c r="U131" s="2"/>
      <c r="V131" s="2"/>
      <c r="W131" s="2"/>
    </row>
    <row r="132" ht="22.5" customHeight="1">
      <c r="A132" s="3">
        <v>131.0</v>
      </c>
      <c r="B132" s="3" t="s">
        <v>3409</v>
      </c>
      <c r="C132" s="3" t="s">
        <v>3410</v>
      </c>
      <c r="D132" s="3" t="s">
        <v>3411</v>
      </c>
      <c r="E132" s="2"/>
      <c r="F132" s="3" t="str">
        <f>IFERROR(__xludf.DUMMYFUNCTION("GOOGLETRANSLATE(A132, ""it"", ""en"")"),"131")</f>
        <v>131</v>
      </c>
      <c r="G132" s="3" t="str">
        <f>IFERROR(__xludf.DUMMYFUNCTION("GOOGLETRANSLATE(B132, ""it"", ""en"")"),"What does a symbol of crossed skis on a sign mean?")</f>
        <v>What does a symbol of crossed skis on a sign mean?</v>
      </c>
      <c r="H132" s="3" t="str">
        <f>IFERROR(__xludf.DUMMYFUNCTION("GOOGLETRANSLATE(C132, ""it"", ""en"")"),"A. Skiing prohibited area B. Expert area C. Closed area D. Snowboard slope")</f>
        <v>A. Skiing prohibited area B. Expert area C. Closed area D. Snowboard slope</v>
      </c>
      <c r="I132" s="3" t="str">
        <f>IFERROR(__xludf.DUMMYFUNCTION("GOOGLETRANSLATE(D132, ""it"", ""en"")"),"Closed area")</f>
        <v>Closed area</v>
      </c>
      <c r="J132" s="2"/>
      <c r="K132" s="2"/>
      <c r="L132" s="2"/>
      <c r="M132" s="2"/>
      <c r="N132" s="2"/>
      <c r="O132" s="2"/>
      <c r="P132" s="2"/>
      <c r="Q132" s="2"/>
      <c r="R132" s="2"/>
      <c r="S132" s="2"/>
      <c r="T132" s="2"/>
      <c r="U132" s="2"/>
      <c r="V132" s="2"/>
      <c r="W132" s="2"/>
    </row>
    <row r="133" ht="22.5" customHeight="1">
      <c r="A133" s="3">
        <v>132.0</v>
      </c>
      <c r="B133" s="3" t="s">
        <v>3412</v>
      </c>
      <c r="C133" s="3" t="s">
        <v>3413</v>
      </c>
      <c r="D133" s="3" t="s">
        <v>3414</v>
      </c>
      <c r="E133" s="2"/>
      <c r="F133" s="3" t="str">
        <f>IFERROR(__xludf.DUMMYFUNCTION("GOOGLETRANSLATE(A133, ""it"", ""en"")"),"132")</f>
        <v>132</v>
      </c>
      <c r="G133" s="3" t="str">
        <f>IFERROR(__xludf.DUMMYFUNCTION("GOOGLETRANSLATE(B133, ""it"", ""en"")"),"What to do if you realize you're going the wrong way?")</f>
        <v>What to do if you realize you're going the wrong way?</v>
      </c>
      <c r="H133" s="3" t="str">
        <f>IFERROR(__xludf.DUMMYFUNCTION("GOOGLETRANSLATE(C133, ""it"", ""en"")"),"A. Continue to the end of the runway B. Reverse course immediately C. Stop and orient yourself D. Call for help")</f>
        <v>A. Continue to the end of the runway B. Reverse course immediately C. Stop and orient yourself D. Call for help</v>
      </c>
      <c r="I133" s="3" t="str">
        <f>IFERROR(__xludf.DUMMYFUNCTION("GOOGLETRANSLATE(D133, ""it"", ""en"")"),"Stop and get your bearings")</f>
        <v>Stop and get your bearings</v>
      </c>
      <c r="J133" s="2"/>
      <c r="K133" s="2"/>
      <c r="L133" s="2"/>
      <c r="M133" s="2"/>
      <c r="N133" s="2"/>
      <c r="O133" s="2"/>
      <c r="P133" s="2"/>
      <c r="Q133" s="2"/>
      <c r="R133" s="2"/>
      <c r="S133" s="2"/>
      <c r="T133" s="2"/>
      <c r="U133" s="2"/>
      <c r="V133" s="2"/>
      <c r="W133" s="2"/>
    </row>
    <row r="134" ht="22.5" customHeight="1">
      <c r="A134" s="3">
        <v>133.0</v>
      </c>
      <c r="B134" s="3" t="s">
        <v>3415</v>
      </c>
      <c r="C134" s="3" t="s">
        <v>3416</v>
      </c>
      <c r="D134" s="3" t="s">
        <v>3326</v>
      </c>
      <c r="E134" s="2"/>
      <c r="F134" s="3" t="str">
        <f>IFERROR(__xludf.DUMMYFUNCTION("GOOGLETRANSLATE(A134, ""it"", ""en"")"),"133")</f>
        <v>133</v>
      </c>
      <c r="G134" s="3" t="str">
        <f>IFERROR(__xludf.DUMMYFUNCTION("GOOGLETRANSLATE(B134, ""it"", ""en"")"),"What to do if you encounter a very narrow stretch of track?")</f>
        <v>What to do if you encounter a very narrow stretch of track?</v>
      </c>
      <c r="H134" s="3" t="str">
        <f>IFERROR(__xludf.DUMMYFUNCTION("GOOGLETRANSLATE(C134, ""it"", ""en"")"),"A. Pass it quickly B. Slow down and maintain control C. Use poles to push yourself D. Avoid it completely")</f>
        <v>A. Pass it quickly B. Slow down and maintain control C. Use poles to push yourself D. Avoid it completely</v>
      </c>
      <c r="I134" s="3" t="str">
        <f>IFERROR(__xludf.DUMMYFUNCTION("GOOGLETRANSLATE(D134, ""it"", ""en"")"),"Slow down and stay in control")</f>
        <v>Slow down and stay in control</v>
      </c>
      <c r="J134" s="2"/>
      <c r="K134" s="2"/>
      <c r="L134" s="2"/>
      <c r="M134" s="2"/>
      <c r="N134" s="2"/>
      <c r="O134" s="2"/>
      <c r="P134" s="2"/>
      <c r="Q134" s="2"/>
      <c r="R134" s="2"/>
      <c r="S134" s="2"/>
      <c r="T134" s="2"/>
      <c r="U134" s="2"/>
      <c r="V134" s="2"/>
      <c r="W134" s="2"/>
    </row>
    <row r="135" ht="22.5" customHeight="1">
      <c r="A135" s="3">
        <v>134.0</v>
      </c>
      <c r="B135" s="3" t="s">
        <v>3417</v>
      </c>
      <c r="C135" s="3" t="s">
        <v>3418</v>
      </c>
      <c r="D135" s="3" t="s">
        <v>3419</v>
      </c>
      <c r="E135" s="2"/>
      <c r="F135" s="3" t="str">
        <f>IFERROR(__xludf.DUMMYFUNCTION("GOOGLETRANSLATE(A135, ""it"", ""en"")"),"134")</f>
        <v>134</v>
      </c>
      <c r="G135" s="3" t="str">
        <f>IFERROR(__xludf.DUMMYFUNCTION("GOOGLETRANSLATE(B135, ""it"", ""en"")"),"What does a sign that says ""Technical Zone"" mean?")</f>
        <v>What does a sign that says "Technical Zone" mean?</v>
      </c>
      <c r="H135" s="3" t="str">
        <f>IFERROR(__xludf.DUMMYFUNCTION("GOOGLETRANSLATE(C135, ""it"", ""en"")"),"A. Beginners' area B. Training area C. Experts' area D. Closed track")</f>
        <v>A. Beginners' area B. Training area C. Experts' area D. Closed track</v>
      </c>
      <c r="I135" s="3" t="str">
        <f>IFERROR(__xludf.DUMMYFUNCTION("GOOGLETRANSLATE(D135, ""it"", ""en"")"),"Training area")</f>
        <v>Training area</v>
      </c>
      <c r="J135" s="2"/>
      <c r="K135" s="2"/>
      <c r="L135" s="2"/>
      <c r="M135" s="2"/>
      <c r="N135" s="2"/>
      <c r="O135" s="2"/>
      <c r="P135" s="2"/>
      <c r="Q135" s="2"/>
      <c r="R135" s="2"/>
      <c r="S135" s="2"/>
      <c r="T135" s="2"/>
      <c r="U135" s="2"/>
      <c r="V135" s="2"/>
      <c r="W135" s="2"/>
    </row>
    <row r="136" ht="22.5" customHeight="1">
      <c r="A136" s="3">
        <v>135.0</v>
      </c>
      <c r="B136" s="3" t="s">
        <v>3420</v>
      </c>
      <c r="C136" s="3" t="s">
        <v>3421</v>
      </c>
      <c r="D136" s="3" t="s">
        <v>3422</v>
      </c>
      <c r="E136" s="2"/>
      <c r="F136" s="3" t="str">
        <f>IFERROR(__xludf.DUMMYFUNCTION("GOOGLETRANSLATE(A136, ""it"", ""en"")"),"135")</f>
        <v>135</v>
      </c>
      <c r="G136" s="3" t="str">
        <f>IFERROR(__xludf.DUMMYFUNCTION("GOOGLETRANSLATE(B136, ""it"", ""en"")"),"How can you protect your equipment during transport?")</f>
        <v>How can you protect your equipment during transport?</v>
      </c>
      <c r="H136" s="3" t="str">
        <f>IFERROR(__xludf.DUMMYFUNCTION("GOOGLETRANSLATE(C136, ""it"", ""en"")"),"A. Use a protective case B. Tie it tightly C. Wrap it in a cloth D. Carry it separately")</f>
        <v>A. Use a protective case B. Tie it tightly C. Wrap it in a cloth D. Carry it separately</v>
      </c>
      <c r="I136" s="3" t="str">
        <f>IFERROR(__xludf.DUMMYFUNCTION("GOOGLETRANSLATE(D136, ""it"", ""en"")"),"Use a protective case")</f>
        <v>Use a protective case</v>
      </c>
      <c r="J136" s="2"/>
      <c r="K136" s="2"/>
      <c r="L136" s="2"/>
      <c r="M136" s="2"/>
      <c r="N136" s="2"/>
      <c r="O136" s="2"/>
      <c r="P136" s="2"/>
      <c r="Q136" s="2"/>
      <c r="R136" s="2"/>
      <c r="S136" s="2"/>
      <c r="T136" s="2"/>
      <c r="U136" s="2"/>
      <c r="V136" s="2"/>
      <c r="W136" s="2"/>
    </row>
    <row r="137" ht="22.5" customHeight="1">
      <c r="A137" s="3">
        <v>136.0</v>
      </c>
      <c r="B137" s="3" t="s">
        <v>3423</v>
      </c>
      <c r="C137" s="3" t="s">
        <v>3424</v>
      </c>
      <c r="D137" s="3" t="s">
        <v>3425</v>
      </c>
      <c r="E137" s="2"/>
      <c r="F137" s="3" t="str">
        <f>IFERROR(__xludf.DUMMYFUNCTION("GOOGLETRANSLATE(A137, ""it"", ""en"")"),"136")</f>
        <v>136</v>
      </c>
      <c r="G137" s="3" t="str">
        <f>IFERROR(__xludf.DUMMYFUNCTION("GOOGLETRANSLATE(B137, ""it"", ""en"")"),"What to do if the snow on the slope becomes very soft?")</f>
        <v>What to do if the snow on the slope becomes very soft?</v>
      </c>
      <c r="H137" s="3" t="str">
        <f>IFERROR(__xludf.DUMMYFUNCTION("GOOGLETRANSLATE(C137, ""it"", ""en"")"),"A. Speed ​​up to cross it B. Slow down and adapt your movements C. Use only the poles to push yourself D. Stop and change course")</f>
        <v>A. Speed ​​up to cross it B. Slow down and adapt your movements C. Use only the poles to push yourself D. Stop and change course</v>
      </c>
      <c r="I137" s="3" t="str">
        <f>IFERROR(__xludf.DUMMYFUNCTION("GOOGLETRANSLATE(D137, ""it"", ""en"")"),"Slow down and adapt your movements")</f>
        <v>Slow down and adapt your movements</v>
      </c>
      <c r="J137" s="2"/>
      <c r="K137" s="2"/>
      <c r="L137" s="2"/>
      <c r="M137" s="2"/>
      <c r="N137" s="2"/>
      <c r="O137" s="2"/>
      <c r="P137" s="2"/>
      <c r="Q137" s="2"/>
      <c r="R137" s="2"/>
      <c r="S137" s="2"/>
      <c r="T137" s="2"/>
      <c r="U137" s="2"/>
      <c r="V137" s="2"/>
      <c r="W137" s="2"/>
    </row>
    <row r="138" ht="22.5" customHeight="1">
      <c r="A138" s="3">
        <v>137.0</v>
      </c>
      <c r="B138" s="3" t="s">
        <v>3426</v>
      </c>
      <c r="C138" s="3" t="s">
        <v>3427</v>
      </c>
      <c r="D138" s="3" t="s">
        <v>3428</v>
      </c>
      <c r="E138" s="2"/>
      <c r="F138" s="3" t="str">
        <f>IFERROR(__xludf.DUMMYFUNCTION("GOOGLETRANSLATE(A138, ""it"", ""en"")"),"137")</f>
        <v>137</v>
      </c>
      <c r="G138" s="3" t="str">
        <f>IFERROR(__xludf.DUMMYFUNCTION("GOOGLETRANSLATE(B138, ""it"", ""en"")"),"What does a sign with an arrow and a number of kilometers mean?")</f>
        <v>What does a sign with an arrow and a number of kilometers mean?</v>
      </c>
      <c r="H138" s="3" t="str">
        <f>IFERROR(__xludf.DUMMYFUNCTION("GOOGLETRANSLATE(C138, ""it"", ""en"")"),"A. Indicates the remaining distance B. Indicates the maximum speed allowed C. Indicates the difficulty level D. Indicates the length of the track")</f>
        <v>A. Indicates the remaining distance B. Indicates the maximum speed allowed C. Indicates the difficulty level D. Indicates the length of the track</v>
      </c>
      <c r="I138" s="3" t="str">
        <f>IFERROR(__xludf.DUMMYFUNCTION("GOOGLETRANSLATE(D138, ""it"", ""en"")"),"Indicates the remaining distance")</f>
        <v>Indicates the remaining distance</v>
      </c>
      <c r="J138" s="2"/>
      <c r="K138" s="2"/>
      <c r="L138" s="2"/>
      <c r="M138" s="2"/>
      <c r="N138" s="2"/>
      <c r="O138" s="2"/>
      <c r="P138" s="2"/>
      <c r="Q138" s="2"/>
      <c r="R138" s="2"/>
      <c r="S138" s="2"/>
      <c r="T138" s="2"/>
      <c r="U138" s="2"/>
      <c r="V138" s="2"/>
      <c r="W138" s="2"/>
    </row>
    <row r="139" ht="22.5" customHeight="1">
      <c r="A139" s="3">
        <v>138.0</v>
      </c>
      <c r="B139" s="3" t="s">
        <v>3429</v>
      </c>
      <c r="C139" s="3" t="s">
        <v>3430</v>
      </c>
      <c r="D139" s="3" t="s">
        <v>3431</v>
      </c>
      <c r="E139" s="2"/>
      <c r="F139" s="3" t="str">
        <f>IFERROR(__xludf.DUMMYFUNCTION("GOOGLETRANSLATE(A139, ""it"", ""en"")"),"138")</f>
        <v>138</v>
      </c>
      <c r="G139" s="3" t="str">
        <f>IFERROR(__xludf.DUMMYFUNCTION("GOOGLETRANSLATE(B139, ""it"", ""en"")"),"How can you avoid losing control on a steep slope?")</f>
        <v>How can you avoid losing control on a steep slope?</v>
      </c>
      <c r="H139" s="3" t="str">
        <f>IFERROR(__xludf.DUMMYFUNCTION("GOOGLETRANSLATE(C139, ""it"", ""en"")"),"A. Turning frequently B. Maintaining a constant speed C. Using only one pole D. Stopping frequently")</f>
        <v>A. Turning frequently B. Maintaining a constant speed C. Using only one pole D. Stopping frequently</v>
      </c>
      <c r="I139" s="3" t="str">
        <f>IFERROR(__xludf.DUMMYFUNCTION("GOOGLETRANSLATE(D139, ""it"", ""en"")"),"Bending frequently")</f>
        <v>Bending frequently</v>
      </c>
      <c r="J139" s="2"/>
      <c r="K139" s="2"/>
      <c r="L139" s="2"/>
      <c r="M139" s="2"/>
      <c r="N139" s="2"/>
      <c r="O139" s="2"/>
      <c r="P139" s="2"/>
      <c r="Q139" s="2"/>
      <c r="R139" s="2"/>
      <c r="S139" s="2"/>
      <c r="T139" s="2"/>
      <c r="U139" s="2"/>
      <c r="V139" s="2"/>
      <c r="W139" s="2"/>
    </row>
    <row r="140" ht="22.5" customHeight="1">
      <c r="A140" s="3">
        <v>139.0</v>
      </c>
      <c r="B140" s="3" t="s">
        <v>3432</v>
      </c>
      <c r="C140" s="3" t="s">
        <v>3433</v>
      </c>
      <c r="D140" s="3" t="s">
        <v>3434</v>
      </c>
      <c r="E140" s="2"/>
      <c r="F140" s="3" t="str">
        <f>IFERROR(__xludf.DUMMYFUNCTION("GOOGLETRANSLATE(A140, ""it"", ""en"")"),"139")</f>
        <v>139</v>
      </c>
      <c r="G140" s="3" t="str">
        <f>IFERROR(__xludf.DUMMYFUNCTION("GOOGLETRANSLATE(B140, ""it"", ""en"")"),"What to do if you find a crack in your ski?")</f>
        <v>What to do if you find a crack in your ski?</v>
      </c>
      <c r="H140" s="3" t="str">
        <f>IFERROR(__xludf.DUMMYFUNCTION("GOOGLETRANSLATE(C140, ""it"", ""en"")"),"A. Continue with caution B. Stop immediately and have it checked C. Ignore the problem D. Apply tape")</f>
        <v>A. Continue with caution B. Stop immediately and have it checked C. Ignore the problem D. Apply tape</v>
      </c>
      <c r="I140" s="3" t="str">
        <f>IFERROR(__xludf.DUMMYFUNCTION("GOOGLETRANSLATE(D140, ""it"", ""en"")"),"Stop immediately and have it checked")</f>
        <v>Stop immediately and have it checked</v>
      </c>
      <c r="J140" s="2"/>
      <c r="K140" s="2"/>
      <c r="L140" s="2"/>
      <c r="M140" s="2"/>
      <c r="N140" s="2"/>
      <c r="O140" s="2"/>
      <c r="P140" s="2"/>
      <c r="Q140" s="2"/>
      <c r="R140" s="2"/>
      <c r="S140" s="2"/>
      <c r="T140" s="2"/>
      <c r="U140" s="2"/>
      <c r="V140" s="2"/>
      <c r="W140" s="2"/>
    </row>
    <row r="141" ht="22.5" customHeight="1">
      <c r="A141" s="3">
        <v>140.0</v>
      </c>
      <c r="B141" s="3" t="s">
        <v>3435</v>
      </c>
      <c r="C141" s="3" t="s">
        <v>3436</v>
      </c>
      <c r="D141" s="3" t="s">
        <v>3437</v>
      </c>
      <c r="E141" s="2"/>
      <c r="F141" s="3" t="str">
        <f>IFERROR(__xludf.DUMMYFUNCTION("GOOGLETRANSLATE(A141, ""it"", ""en"")"),"140")</f>
        <v>140</v>
      </c>
      <c r="G141" s="3" t="str">
        <f>IFERROR(__xludf.DUMMYFUNCTION("GOOGLETRANSLATE(B141, ""it"", ""en"")"),"What does a sign with an avalanche symbol mean?")</f>
        <v>What does a sign with an avalanche symbol mean?</v>
      </c>
      <c r="H141" s="3" t="str">
        <f>IFERROR(__xludf.DUMMYFUNCTION("GOOGLETRANSLATE(C141, ""it"", ""en"")"),"A. Area with avalanche danger B. Area closed due to fresh snow C. Area reserved for experts D. Area with compact snow")</f>
        <v>A. Area with avalanche danger B. Area closed due to fresh snow C. Area reserved for experts D. Area with compact snow</v>
      </c>
      <c r="I141" s="3" t="str">
        <f>IFERROR(__xludf.DUMMYFUNCTION("GOOGLETRANSLATE(D141, ""it"", ""en"")"),"Avalanche danger area")</f>
        <v>Avalanche danger area</v>
      </c>
      <c r="J141" s="2"/>
      <c r="K141" s="2"/>
      <c r="L141" s="2"/>
      <c r="M141" s="2"/>
      <c r="N141" s="2"/>
      <c r="O141" s="2"/>
      <c r="P141" s="2"/>
      <c r="Q141" s="2"/>
      <c r="R141" s="2"/>
      <c r="S141" s="2"/>
      <c r="T141" s="2"/>
      <c r="U141" s="2"/>
      <c r="V141" s="2"/>
      <c r="W141" s="2"/>
    </row>
    <row r="142" ht="22.5" customHeight="1">
      <c r="A142" s="3">
        <v>141.0</v>
      </c>
      <c r="B142" s="3" t="s">
        <v>3438</v>
      </c>
      <c r="C142" s="3" t="s">
        <v>3439</v>
      </c>
      <c r="D142" s="3" t="s">
        <v>3440</v>
      </c>
      <c r="E142" s="2"/>
      <c r="F142" s="3" t="str">
        <f>IFERROR(__xludf.DUMMYFUNCTION("GOOGLETRANSLATE(A142, ""it"", ""en"")"),"141")</f>
        <v>141</v>
      </c>
      <c r="G142" s="3" t="str">
        <f>IFERROR(__xludf.DUMMYFUNCTION("GOOGLETRANSLATE(B142, ""it"", ""en"")"),"What to do if your visor breaks while skiing?")</f>
        <v>What to do if your visor breaks while skiing?</v>
      </c>
      <c r="H142" s="3" t="str">
        <f>IFERROR(__xludf.DUMMYFUNCTION("GOOGLETRANSLATE(C142, ""it"", ""en"")"),"A. Continue without a visor B. Stop and replace it C. Use sunglasses D. Ignore the problem")</f>
        <v>A. Continue without a visor B. Stop and replace it C. Use sunglasses D. Ignore the problem</v>
      </c>
      <c r="I142" s="3" t="str">
        <f>IFERROR(__xludf.DUMMYFUNCTION("GOOGLETRANSLATE(D142, ""it"", ""en"")"),"Stop and replace it")</f>
        <v>Stop and replace it</v>
      </c>
      <c r="J142" s="2"/>
      <c r="K142" s="2"/>
      <c r="L142" s="2"/>
      <c r="M142" s="2"/>
      <c r="N142" s="2"/>
      <c r="O142" s="2"/>
      <c r="P142" s="2"/>
      <c r="Q142" s="2"/>
      <c r="R142" s="2"/>
      <c r="S142" s="2"/>
      <c r="T142" s="2"/>
      <c r="U142" s="2"/>
      <c r="V142" s="2"/>
      <c r="W142" s="2"/>
    </row>
    <row r="143" ht="22.5" customHeight="1">
      <c r="A143" s="3">
        <v>142.0</v>
      </c>
      <c r="B143" s="3" t="s">
        <v>3441</v>
      </c>
      <c r="C143" s="3" t="s">
        <v>3442</v>
      </c>
      <c r="D143" s="3" t="s">
        <v>3443</v>
      </c>
      <c r="E143" s="2"/>
      <c r="F143" s="3" t="str">
        <f>IFERROR(__xludf.DUMMYFUNCTION("GOOGLETRANSLATE(A143, ""it"", ""en"")"),"142")</f>
        <v>142</v>
      </c>
      <c r="G143" s="3" t="str">
        <f>IFERROR(__xludf.DUMMYFUNCTION("GOOGLETRANSLATE(B143, ""it"", ""en"")"),"What does a red flag next to the track indicate?")</f>
        <v>What does a red flag next to the track indicate?</v>
      </c>
      <c r="H143" s="3" t="str">
        <f>IFERROR(__xludf.DUMMYFUNCTION("GOOGLETRANSLATE(C143, ""it"", ""en"")"),"A. Prohibited area B. Risk area C. Expert area D. Closed track")</f>
        <v>A. Prohibited area B. Risk area C. Expert area D. Closed track</v>
      </c>
      <c r="I143" s="3" t="str">
        <f>IFERROR(__xludf.DUMMYFUNCTION("GOOGLETRANSLATE(D143, ""it"", ""en"")"),"Expert area")</f>
        <v>Expert area</v>
      </c>
      <c r="J143" s="2"/>
      <c r="K143" s="2"/>
      <c r="L143" s="2"/>
      <c r="M143" s="2"/>
      <c r="N143" s="2"/>
      <c r="O143" s="2"/>
      <c r="P143" s="2"/>
      <c r="Q143" s="2"/>
      <c r="R143" s="2"/>
      <c r="S143" s="2"/>
      <c r="T143" s="2"/>
      <c r="U143" s="2"/>
      <c r="V143" s="2"/>
      <c r="W143" s="2"/>
    </row>
    <row r="144" ht="22.5" customHeight="1">
      <c r="A144" s="3">
        <v>143.0</v>
      </c>
      <c r="B144" s="3" t="s">
        <v>3444</v>
      </c>
      <c r="C144" s="3" t="s">
        <v>3445</v>
      </c>
      <c r="D144" s="3" t="s">
        <v>3446</v>
      </c>
      <c r="E144" s="2"/>
      <c r="F144" s="3" t="str">
        <f>IFERROR(__xludf.DUMMYFUNCTION("GOOGLETRANSLATE(A144, ""it"", ""en"")"),"143")</f>
        <v>143</v>
      </c>
      <c r="G144" s="3" t="str">
        <f>IFERROR(__xludf.DUMMYFUNCTION("GOOGLETRANSLATE(B144, ""it"", ""en"")"),"What to do if you feel pain in your ankles while skiing?")</f>
        <v>What to do if you feel pain in your ankles while skiing?</v>
      </c>
      <c r="H144" s="3" t="str">
        <f>IFERROR(__xludf.DUMMYFUNCTION("GOOGLETRANSLATE(C144, ""it"", ""en"")"),"A. Loosen your boots and continue B. Stop and adjust your boots C. Ignore the pain D. Call for help")</f>
        <v>A. Loosen your boots and continue B. Stop and adjust your boots C. Ignore the pain D. Call for help</v>
      </c>
      <c r="I144" s="3" t="str">
        <f>IFERROR(__xludf.DUMMYFUNCTION("GOOGLETRANSLATE(D144, ""it"", ""en"")"),"Stop and adjust your boots")</f>
        <v>Stop and adjust your boots</v>
      </c>
      <c r="J144" s="2"/>
      <c r="K144" s="2"/>
      <c r="L144" s="2"/>
      <c r="M144" s="2"/>
      <c r="N144" s="2"/>
      <c r="O144" s="2"/>
      <c r="P144" s="2"/>
      <c r="Q144" s="2"/>
      <c r="R144" s="2"/>
      <c r="S144" s="2"/>
      <c r="T144" s="2"/>
      <c r="U144" s="2"/>
      <c r="V144" s="2"/>
      <c r="W144" s="2"/>
    </row>
    <row r="145" ht="22.5" customHeight="1">
      <c r="A145" s="3">
        <v>144.0</v>
      </c>
      <c r="B145" s="3" t="s">
        <v>3447</v>
      </c>
      <c r="C145" s="3" t="s">
        <v>3448</v>
      </c>
      <c r="D145" s="3" t="s">
        <v>3449</v>
      </c>
      <c r="E145" s="2"/>
      <c r="F145" s="3" t="str">
        <f>IFERROR(__xludf.DUMMYFUNCTION("GOOGLETRANSLATE(A145, ""it"", ""en"")"),"144")</f>
        <v>144</v>
      </c>
      <c r="G145" s="3" t="str">
        <f>IFERROR(__xludf.DUMMYFUNCTION("GOOGLETRANSLATE(B145, ""it"", ""en"")"),"What does the glass symbol on a sign mean?")</f>
        <v>What does the glass symbol on a sign mean?</v>
      </c>
      <c r="H145" s="3" t="str">
        <f>IFERROR(__xludf.DUMMYFUNCTION("GOOGLETRANSLATE(C145, ""it"", ""en"")"),"A. Refreshment area B. Area prohibited to skiers C. Area for experts D. Area with difficult conditions")</f>
        <v>A. Refreshment area B. Area prohibited to skiers C. Area for experts D. Area with difficult conditions</v>
      </c>
      <c r="I145" s="3" t="str">
        <f>IFERROR(__xludf.DUMMYFUNCTION("GOOGLETRANSLATE(D145, ""it"", ""en"")"),"Refreshment area")</f>
        <v>Refreshment area</v>
      </c>
      <c r="J145" s="2"/>
      <c r="K145" s="2"/>
      <c r="L145" s="2"/>
      <c r="M145" s="2"/>
      <c r="N145" s="2"/>
      <c r="O145" s="2"/>
      <c r="P145" s="2"/>
      <c r="Q145" s="2"/>
      <c r="R145" s="2"/>
      <c r="S145" s="2"/>
      <c r="T145" s="2"/>
      <c r="U145" s="2"/>
      <c r="V145" s="2"/>
      <c r="W145" s="2"/>
    </row>
    <row r="146" ht="22.5" customHeight="1">
      <c r="A146" s="3">
        <v>145.0</v>
      </c>
      <c r="B146" s="3" t="s">
        <v>3450</v>
      </c>
      <c r="C146" s="3" t="s">
        <v>3451</v>
      </c>
      <c r="D146" s="3" t="s">
        <v>3452</v>
      </c>
      <c r="E146" s="2"/>
      <c r="F146" s="3" t="str">
        <f>IFERROR(__xludf.DUMMYFUNCTION("GOOGLETRANSLATE(A146, ""it"", ""en"")"),"145")</f>
        <v>145</v>
      </c>
      <c r="G146" s="3" t="str">
        <f>IFERROR(__xludf.DUMMYFUNCTION("GOOGLETRANSLATE(B146, ""it"", ""en"")"),"What to do if you encounter an area with poor visibility?")</f>
        <v>What to do if you encounter an area with poor visibility?</v>
      </c>
      <c r="H146" s="3" t="str">
        <f>IFERROR(__xludf.DUMMYFUNCTION("GOOGLETRANSLATE(C146, ""it"", ""en"")"),"A. Slow down and use caution B. Speed ​​up to pass her C. Follow another skier D. Call for help")</f>
        <v>A. Slow down and use caution B. Speed ​​up to pass her C. Follow another skier D. Call for help</v>
      </c>
      <c r="I146" s="3" t="str">
        <f>IFERROR(__xludf.DUMMYFUNCTION("GOOGLETRANSLATE(D146, ""it"", ""en"")"),"Slow down and use caution")</f>
        <v>Slow down and use caution</v>
      </c>
      <c r="J146" s="2"/>
      <c r="K146" s="2"/>
      <c r="L146" s="2"/>
      <c r="M146" s="2"/>
      <c r="N146" s="2"/>
      <c r="O146" s="2"/>
      <c r="P146" s="2"/>
      <c r="Q146" s="2"/>
      <c r="R146" s="2"/>
      <c r="S146" s="2"/>
      <c r="T146" s="2"/>
      <c r="U146" s="2"/>
      <c r="V146" s="2"/>
      <c r="W146" s="2"/>
    </row>
    <row r="147" ht="22.5" customHeight="1">
      <c r="A147" s="3">
        <v>146.0</v>
      </c>
      <c r="B147" s="3" t="s">
        <v>3453</v>
      </c>
      <c r="C147" s="3" t="s">
        <v>3454</v>
      </c>
      <c r="D147" s="3" t="s">
        <v>3455</v>
      </c>
      <c r="E147" s="2"/>
      <c r="F147" s="3" t="str">
        <f>IFERROR(__xludf.DUMMYFUNCTION("GOOGLETRANSLATE(A147, ""it"", ""en"")"),"146")</f>
        <v>146</v>
      </c>
      <c r="G147" s="3" t="str">
        <f>IFERROR(__xludf.DUMMYFUNCTION("GOOGLETRANSLATE(B147, ""it"", ""en"")"),"What does the symbol of a falling skier on a sign mean?")</f>
        <v>What does the symbol of a falling skier on a sign mean?</v>
      </c>
      <c r="H147" s="3" t="str">
        <f>IFERROR(__xludf.DUMMYFUNCTION("GOOGLETRANSLATE(C147, ""it"", ""en"")"),"A. Beginner area B. Danger area C. Soft snow area D. Ice area")</f>
        <v>A. Beginner area B. Danger area C. Soft snow area D. Ice area</v>
      </c>
      <c r="I147" s="3" t="str">
        <f>IFERROR(__xludf.DUMMYFUNCTION("GOOGLETRANSLATE(D147, ""it"", ""en"")"),"Danger zone")</f>
        <v>Danger zone</v>
      </c>
      <c r="J147" s="2"/>
      <c r="K147" s="2"/>
      <c r="L147" s="2"/>
      <c r="M147" s="2"/>
      <c r="N147" s="2"/>
      <c r="O147" s="2"/>
      <c r="P147" s="2"/>
      <c r="Q147" s="2"/>
      <c r="R147" s="2"/>
      <c r="S147" s="2"/>
      <c r="T147" s="2"/>
      <c r="U147" s="2"/>
      <c r="V147" s="2"/>
      <c r="W147" s="2"/>
    </row>
    <row r="148" ht="22.5" customHeight="1">
      <c r="A148" s="3">
        <v>147.0</v>
      </c>
      <c r="B148" s="3" t="s">
        <v>3456</v>
      </c>
      <c r="C148" s="3" t="s">
        <v>3457</v>
      </c>
      <c r="D148" s="3" t="s">
        <v>3458</v>
      </c>
      <c r="E148" s="2"/>
      <c r="F148" s="3" t="str">
        <f>IFERROR(__xludf.DUMMYFUNCTION("GOOGLETRANSLATE(A148, ""it"", ""en"")"),"147")</f>
        <v>147</v>
      </c>
      <c r="G148" s="3" t="str">
        <f>IFERROR(__xludf.DUMMYFUNCTION("GOOGLETRANSLATE(B148, ""it"", ""en"")"),"What to do if your pole gets stuck in a barrier?")</f>
        <v>What to do if your pole gets stuck in a barrier?</v>
      </c>
      <c r="H148" s="3" t="str">
        <f>IFERROR(__xludf.DUMMYFUNCTION("GOOGLETRANSLATE(C148, ""it"", ""en"")"),"A. Pull it hard B. Stop and remove it calmly C. Continue without it D. Call for help")</f>
        <v>A. Pull it hard B. Stop and remove it calmly C. Continue without it D. Call for help</v>
      </c>
      <c r="I148" s="3" t="str">
        <f>IFERROR(__xludf.DUMMYFUNCTION("GOOGLETRANSLATE(D148, ""it"", ""en"")"),"Stop and remove it calmly")</f>
        <v>Stop and remove it calmly</v>
      </c>
      <c r="J148" s="2"/>
      <c r="K148" s="2"/>
      <c r="L148" s="2"/>
      <c r="M148" s="2"/>
      <c r="N148" s="2"/>
      <c r="O148" s="2"/>
      <c r="P148" s="2"/>
      <c r="Q148" s="2"/>
      <c r="R148" s="2"/>
      <c r="S148" s="2"/>
      <c r="T148" s="2"/>
      <c r="U148" s="2"/>
      <c r="V148" s="2"/>
      <c r="W148" s="2"/>
    </row>
    <row r="149" ht="22.5" customHeight="1">
      <c r="A149" s="3">
        <v>148.0</v>
      </c>
      <c r="B149" s="3" t="s">
        <v>3459</v>
      </c>
      <c r="C149" s="3" t="s">
        <v>3460</v>
      </c>
      <c r="D149" s="3" t="s">
        <v>3335</v>
      </c>
      <c r="E149" s="2"/>
      <c r="F149" s="3" t="str">
        <f>IFERROR(__xludf.DUMMYFUNCTION("GOOGLETRANSLATE(A149, ""it"", ""en"")"),"148")</f>
        <v>148</v>
      </c>
      <c r="G149" s="3" t="str">
        <f>IFERROR(__xludf.DUMMYFUNCTION("GOOGLETRANSLATE(B149, ""it"", ""en"")"),"What to do if your ski gets deeply scratched?")</f>
        <v>What to do if your ski gets deeply scratched?</v>
      </c>
      <c r="H149" s="3" t="str">
        <f>IFERROR(__xludf.DUMMYFUNCTION("GOOGLETRANSLATE(C149, ""it"", ""en"")"),"A. Continue and check later B. Stop and have it checked C. Use tape D. Ignore the problem")</f>
        <v>A. Continue and check later B. Stop and have it checked C. Use tape D. Ignore the problem</v>
      </c>
      <c r="I149" s="3" t="str">
        <f>IFERROR(__xludf.DUMMYFUNCTION("GOOGLETRANSLATE(D149, ""it"", ""en"")"),"Stop and get it checked out")</f>
        <v>Stop and get it checked out</v>
      </c>
      <c r="J149" s="2"/>
      <c r="K149" s="2"/>
      <c r="L149" s="2"/>
      <c r="M149" s="2"/>
      <c r="N149" s="2"/>
      <c r="O149" s="2"/>
      <c r="P149" s="2"/>
      <c r="Q149" s="2"/>
      <c r="R149" s="2"/>
      <c r="S149" s="2"/>
      <c r="T149" s="2"/>
      <c r="U149" s="2"/>
      <c r="V149" s="2"/>
      <c r="W149" s="2"/>
    </row>
    <row r="150" ht="22.5" customHeight="1">
      <c r="A150" s="3">
        <v>149.0</v>
      </c>
      <c r="B150" s="3" t="s">
        <v>3461</v>
      </c>
      <c r="C150" s="3" t="s">
        <v>3462</v>
      </c>
      <c r="D150" s="3" t="s">
        <v>3463</v>
      </c>
      <c r="E150" s="2"/>
      <c r="F150" s="3" t="str">
        <f>IFERROR(__xludf.DUMMYFUNCTION("GOOGLETRANSLATE(A150, ""it"", ""en"")"),"149")</f>
        <v>149</v>
      </c>
      <c r="G150" s="3" t="str">
        <f>IFERROR(__xludf.DUMMYFUNCTION("GOOGLETRANSLATE(B150, ""it"", ""en"")"),"What to do if your clothes are too tight?")</f>
        <v>What to do if your clothes are too tight?</v>
      </c>
      <c r="H150" s="3" t="str">
        <f>IFERROR(__xludf.DUMMYFUNCTION("GOOGLETRANSLATE(C150, ""it"", ""en"")"),"A. Change it before you start skiing B. Continue anyway C. Loosen the zippers D. Ignore the discomfort")</f>
        <v>A. Change it before you start skiing B. Continue anyway C. Loosen the zippers D. Ignore the discomfort</v>
      </c>
      <c r="I150" s="3" t="str">
        <f>IFERROR(__xludf.DUMMYFUNCTION("GOOGLETRANSLATE(D150, ""it"", ""en"")"),"Change it before you start skiing")</f>
        <v>Change it before you start skiing</v>
      </c>
      <c r="J150" s="2"/>
      <c r="K150" s="2"/>
      <c r="L150" s="2"/>
      <c r="M150" s="2"/>
      <c r="N150" s="2"/>
      <c r="O150" s="2"/>
      <c r="P150" s="2"/>
      <c r="Q150" s="2"/>
      <c r="R150" s="2"/>
      <c r="S150" s="2"/>
      <c r="T150" s="2"/>
      <c r="U150" s="2"/>
      <c r="V150" s="2"/>
      <c r="W150" s="2"/>
    </row>
    <row r="151" ht="22.5" customHeight="1">
      <c r="A151" s="3">
        <v>150.0</v>
      </c>
      <c r="B151" s="3" t="s">
        <v>3464</v>
      </c>
      <c r="C151" s="3" t="s">
        <v>3465</v>
      </c>
      <c r="D151" s="3" t="s">
        <v>3466</v>
      </c>
      <c r="E151" s="2"/>
      <c r="F151" s="3" t="str">
        <f>IFERROR(__xludf.DUMMYFUNCTION("GOOGLETRANSLATE(A151, ""it"", ""en"")"),"150")</f>
        <v>150</v>
      </c>
      <c r="G151" s="3" t="str">
        <f>IFERROR(__xludf.DUMMYFUNCTION("GOOGLETRANSLATE(B151, ""it"", ""en"")"),"What does a green flag next to the track indicate?")</f>
        <v>What does a green flag next to the track indicate?</v>
      </c>
      <c r="H151" s="3" t="str">
        <f>IFERROR(__xludf.DUMMYFUNCTION("GOOGLETRANSLATE(C151, ""it"", ""en"")"),"A. Safe area B. Beginners area C. Reserved area D. Experts area")</f>
        <v>A. Safe area B. Beginners area C. Reserved area D. Experts area</v>
      </c>
      <c r="I151" s="3" t="str">
        <f>IFERROR(__xludf.DUMMYFUNCTION("GOOGLETRANSLATE(D151, ""it"", ""en"")"),"Safe zone")</f>
        <v>Safe zone</v>
      </c>
      <c r="J151" s="2"/>
      <c r="K151" s="2"/>
      <c r="L151" s="2"/>
      <c r="M151" s="2"/>
      <c r="N151" s="2"/>
      <c r="O151" s="2"/>
      <c r="P151" s="2"/>
      <c r="Q151" s="2"/>
      <c r="R151" s="2"/>
      <c r="S151" s="2"/>
      <c r="T151" s="2"/>
      <c r="U151" s="2"/>
      <c r="V151" s="2"/>
      <c r="W151" s="2"/>
    </row>
    <row r="152" ht="22.5" customHeight="1">
      <c r="A152" s="3">
        <v>151.0</v>
      </c>
      <c r="B152" s="3" t="s">
        <v>3467</v>
      </c>
      <c r="C152" s="3" t="s">
        <v>3468</v>
      </c>
      <c r="D152" s="3" t="s">
        <v>3396</v>
      </c>
      <c r="E152" s="2"/>
      <c r="F152" s="3" t="str">
        <f>IFERROR(__xludf.DUMMYFUNCTION("GOOGLETRANSLATE(A152, ""it"", ""en"")"),"151")</f>
        <v>151</v>
      </c>
      <c r="G152" s="3" t="str">
        <f>IFERROR(__xludf.DUMMYFUNCTION("GOOGLETRANSLATE(B152, ""it"", ""en"")"),"How can you reduce the risk of falling on fresh snow?")</f>
        <v>How can you reduce the risk of falling on fresh snow?</v>
      </c>
      <c r="H152" s="3" t="str">
        <f>IFERROR(__xludf.DUMMYFUNCTION("GOOGLETRANSLATE(C152, ""it"", ""en"")"),"A. Keeping your skis parallel B. Using your poles to brake C. Turning more frequently D. Using narrower boots")</f>
        <v>A. Keeping your skis parallel B. Using your poles to brake C. Turning more frequently D. Using narrower boots</v>
      </c>
      <c r="I152" s="3" t="str">
        <f>IFERROR(__xludf.DUMMYFUNCTION("GOOGLETRANSLATE(D152, ""it"", ""en"")"),"Keeping the skis parallel")</f>
        <v>Keeping the skis parallel</v>
      </c>
      <c r="J152" s="2"/>
      <c r="K152" s="2"/>
      <c r="L152" s="2"/>
      <c r="M152" s="2"/>
      <c r="N152" s="2"/>
      <c r="O152" s="2"/>
      <c r="P152" s="2"/>
      <c r="Q152" s="2"/>
      <c r="R152" s="2"/>
      <c r="S152" s="2"/>
      <c r="T152" s="2"/>
      <c r="U152" s="2"/>
      <c r="V152" s="2"/>
      <c r="W152" s="2"/>
    </row>
    <row r="153" ht="22.5" customHeight="1">
      <c r="A153" s="3">
        <v>152.0</v>
      </c>
      <c r="B153" s="3" t="s">
        <v>3469</v>
      </c>
      <c r="C153" s="3" t="s">
        <v>3470</v>
      </c>
      <c r="D153" s="3" t="s">
        <v>3471</v>
      </c>
      <c r="E153" s="2"/>
      <c r="F153" s="3" t="str">
        <f>IFERROR(__xludf.DUMMYFUNCTION("GOOGLETRANSLATE(A153, ""it"", ""en"")"),"152")</f>
        <v>152</v>
      </c>
      <c r="G153" s="3" t="str">
        <f>IFERROR(__xludf.DUMMYFUNCTION("GOOGLETRANSLATE(B153, ""it"", ""en"")"),"What to do if your helmet doesn't fit well?")</f>
        <v>What to do if your helmet doesn't fit well?</v>
      </c>
      <c r="H153" s="3" t="str">
        <f>IFERROR(__xludf.DUMMYFUNCTION("GOOGLETRANSLATE(C153, ""it"", ""en"")"),"A. Fix it while skiing B. Stop and adjust it C. Call an expert D. Ignore the problem")</f>
        <v>A. Fix it while skiing B. Stop and adjust it C. Call an expert D. Ignore the problem</v>
      </c>
      <c r="I153" s="3" t="str">
        <f>IFERROR(__xludf.DUMMYFUNCTION("GOOGLETRANSLATE(D153, ""it"", ""en"")"),"Stop and adjust it")</f>
        <v>Stop and adjust it</v>
      </c>
      <c r="J153" s="2"/>
      <c r="K153" s="2"/>
      <c r="L153" s="2"/>
      <c r="M153" s="2"/>
      <c r="N153" s="2"/>
      <c r="O153" s="2"/>
      <c r="P153" s="2"/>
      <c r="Q153" s="2"/>
      <c r="R153" s="2"/>
      <c r="S153" s="2"/>
      <c r="T153" s="2"/>
      <c r="U153" s="2"/>
      <c r="V153" s="2"/>
      <c r="W153" s="2"/>
    </row>
    <row r="154" ht="22.5" customHeight="1">
      <c r="A154" s="3">
        <v>153.0</v>
      </c>
      <c r="B154" s="3" t="s">
        <v>3472</v>
      </c>
      <c r="C154" s="3" t="s">
        <v>3473</v>
      </c>
      <c r="D154" s="3" t="s">
        <v>3474</v>
      </c>
      <c r="E154" s="2"/>
      <c r="F154" s="3" t="str">
        <f>IFERROR(__xludf.DUMMYFUNCTION("GOOGLETRANSLATE(A154, ""it"", ""en"")"),"153")</f>
        <v>153</v>
      </c>
      <c r="G154" s="3" t="str">
        <f>IFERROR(__xludf.DUMMYFUNCTION("GOOGLETRANSLATE(B154, ""it"", ""en"")"),"What does a white cross on a blue background mean?")</f>
        <v>What does a white cross on a blue background mean?</v>
      </c>
      <c r="H154" s="3" t="str">
        <f>IFERROR(__xludf.DUMMYFUNCTION("GOOGLETRANSLATE(C154, ""it"", ""en"")"),"A. Beginner area B. Emergency safe area C. Restricted area D. Difficult conditions area")</f>
        <v>A. Beginner area B. Emergency safe area C. Restricted area D. Difficult conditions area</v>
      </c>
      <c r="I154" s="3" t="str">
        <f>IFERROR(__xludf.DUMMYFUNCTION("GOOGLETRANSLATE(D154, ""it"", ""en"")"),"Safe area for emergencies")</f>
        <v>Safe area for emergencies</v>
      </c>
      <c r="J154" s="2"/>
      <c r="K154" s="2"/>
      <c r="L154" s="2"/>
      <c r="M154" s="2"/>
      <c r="N154" s="2"/>
      <c r="O154" s="2"/>
      <c r="P154" s="2"/>
      <c r="Q154" s="2"/>
      <c r="R154" s="2"/>
      <c r="S154" s="2"/>
      <c r="T154" s="2"/>
      <c r="U154" s="2"/>
      <c r="V154" s="2"/>
      <c r="W154" s="2"/>
    </row>
    <row r="155" ht="22.5" customHeight="1">
      <c r="A155" s="3">
        <v>154.0</v>
      </c>
      <c r="B155" s="3" t="s">
        <v>3475</v>
      </c>
      <c r="C155" s="3" t="s">
        <v>3476</v>
      </c>
      <c r="D155" s="3" t="s">
        <v>3477</v>
      </c>
      <c r="E155" s="2"/>
      <c r="F155" s="3" t="str">
        <f>IFERROR(__xludf.DUMMYFUNCTION("GOOGLETRANSLATE(A155, ""it"", ""en"")"),"154")</f>
        <v>154</v>
      </c>
      <c r="G155" s="3" t="str">
        <f>IFERROR(__xludf.DUMMYFUNCTION("GOOGLETRANSLATE(B155, ""it"", ""en"")"),"What to do if you encounter a slope with very compact snow?")</f>
        <v>What to do if you encounter a slope with very compact snow?</v>
      </c>
      <c r="H155" s="3" t="str">
        <f>IFERROR(__xludf.DUMMYFUNCTION("GOOGLETRANSLATE(C155, ""it"", ""en"")"),"A. Accelerate to get past it B. Adjust your movements and slow down C. Use your poles for balance D. Avoid it completely")</f>
        <v>A. Accelerate to get past it B. Adjust your movements and slow down C. Use your poles for balance D. Avoid it completely</v>
      </c>
      <c r="I155" s="3" t="str">
        <f>IFERROR(__xludf.DUMMYFUNCTION("GOOGLETRANSLATE(D155, ""it"", ""en"")"),"Adapt your movements and slow down")</f>
        <v>Adapt your movements and slow down</v>
      </c>
      <c r="J155" s="2"/>
      <c r="K155" s="2"/>
      <c r="L155" s="2"/>
      <c r="M155" s="2"/>
      <c r="N155" s="2"/>
      <c r="O155" s="2"/>
      <c r="P155" s="2"/>
      <c r="Q155" s="2"/>
      <c r="R155" s="2"/>
      <c r="S155" s="2"/>
      <c r="T155" s="2"/>
      <c r="U155" s="2"/>
      <c r="V155" s="2"/>
      <c r="W155" s="2"/>
    </row>
    <row r="156" ht="22.5" customHeight="1">
      <c r="A156" s="3">
        <v>155.0</v>
      </c>
      <c r="B156" s="3" t="s">
        <v>3478</v>
      </c>
      <c r="C156" s="3" t="s">
        <v>3479</v>
      </c>
      <c r="D156" s="3" t="s">
        <v>3480</v>
      </c>
      <c r="E156" s="2"/>
      <c r="F156" s="3" t="str">
        <f>IFERROR(__xludf.DUMMYFUNCTION("GOOGLETRANSLATE(A156, ""it"", ""en"")"),"155")</f>
        <v>155</v>
      </c>
      <c r="G156" s="3" t="str">
        <f>IFERROR(__xludf.DUMMYFUNCTION("GOOGLETRANSLATE(B156, ""it"", ""en"")"),"How can you maintain visibility on a foggy day?")</f>
        <v>How can you maintain visibility on a foggy day?</v>
      </c>
      <c r="H156" s="3" t="str">
        <f>IFERROR(__xludf.DUMMYFUNCTION("GOOGLETRANSLATE(C156, ""it"", ""en"")"),"A. Using glasses with appropriate lenses B. Slowing down and removing the glasses C. Following another skier D. Ignoring the problem")</f>
        <v>A. Using glasses with appropriate lenses B. Slowing down and removing the glasses C. Following another skier D. Ignoring the problem</v>
      </c>
      <c r="I156" s="3" t="str">
        <f>IFERROR(__xludf.DUMMYFUNCTION("GOOGLETRANSLATE(D156, ""it"", ""en"")"),"Using glasses with appropriate lenses")</f>
        <v>Using glasses with appropriate lenses</v>
      </c>
      <c r="J156" s="2"/>
      <c r="K156" s="2"/>
      <c r="L156" s="2"/>
      <c r="M156" s="2"/>
      <c r="N156" s="2"/>
      <c r="O156" s="2"/>
      <c r="P156" s="2"/>
      <c r="Q156" s="2"/>
      <c r="R156" s="2"/>
      <c r="S156" s="2"/>
      <c r="T156" s="2"/>
      <c r="U156" s="2"/>
      <c r="V156" s="2"/>
      <c r="W156" s="2"/>
    </row>
    <row r="157" ht="22.5" customHeight="1">
      <c r="A157" s="3">
        <v>156.0</v>
      </c>
      <c r="B157" s="3" t="s">
        <v>3481</v>
      </c>
      <c r="C157" s="3" t="s">
        <v>3482</v>
      </c>
      <c r="D157" s="3" t="s">
        <v>3483</v>
      </c>
      <c r="E157" s="2"/>
      <c r="F157" s="3" t="str">
        <f>IFERROR(__xludf.DUMMYFUNCTION("GOOGLETRANSLATE(A157, ""it"", ""en"")"),"156")</f>
        <v>156</v>
      </c>
      <c r="G157" s="3" t="str">
        <f>IFERROR(__xludf.DUMMYFUNCTION("GOOGLETRANSLATE(B157, ""it"", ""en"")"),"What does a sign with a shelter symbol mean?")</f>
        <v>What does a sign with a shelter symbol mean?</v>
      </c>
      <c r="H157" s="3" t="str">
        <f>IFERROR(__xludf.DUMMYFUNCTION("GOOGLETRANSLATE(C157, ""it"", ""en"")"),"A. Rest area B. Expert area C. Prohibited area D. Starting point")</f>
        <v>A. Rest area B. Expert area C. Prohibited area D. Starting point</v>
      </c>
      <c r="I157" s="3" t="str">
        <f>IFERROR(__xludf.DUMMYFUNCTION("GOOGLETRANSLATE(D157, ""it"", ""en"")"),"Rest area")</f>
        <v>Rest area</v>
      </c>
      <c r="J157" s="2"/>
      <c r="K157" s="2"/>
      <c r="L157" s="2"/>
      <c r="M157" s="2"/>
      <c r="N157" s="2"/>
      <c r="O157" s="2"/>
      <c r="P157" s="2"/>
      <c r="Q157" s="2"/>
      <c r="R157" s="2"/>
      <c r="S157" s="2"/>
      <c r="T157" s="2"/>
      <c r="U157" s="2"/>
      <c r="V157" s="2"/>
      <c r="W157" s="2"/>
    </row>
    <row r="158" ht="22.5" customHeight="1">
      <c r="A158" s="3">
        <v>157.0</v>
      </c>
      <c r="B158" s="3" t="s">
        <v>3484</v>
      </c>
      <c r="C158" s="3" t="s">
        <v>3485</v>
      </c>
      <c r="D158" s="3" t="s">
        <v>3486</v>
      </c>
      <c r="E158" s="2"/>
      <c r="F158" s="3" t="str">
        <f>IFERROR(__xludf.DUMMYFUNCTION("GOOGLETRANSLATE(A158, ""it"", ""en"")"),"157")</f>
        <v>157</v>
      </c>
      <c r="G158" s="3" t="str">
        <f>IFERROR(__xludf.DUMMYFUNCTION("GOOGLETRANSLATE(B158, ""it"", ""en"")"),"What to do if you notice an avalanche in the distance?")</f>
        <v>What to do if you notice an avalanche in the distance?</v>
      </c>
      <c r="H158" s="3" t="str">
        <f>IFERROR(__xludf.DUMMYFUNCTION("GOOGLETRANSLATE(C158, ""it"", ""en"")"),"A. Move away from the area B. Remain still C. Call for help D. Accelerate to get away")</f>
        <v>A. Move away from the area B. Remain still C. Call for help D. Accelerate to get away</v>
      </c>
      <c r="I158" s="3" t="str">
        <f>IFERROR(__xludf.DUMMYFUNCTION("GOOGLETRANSLATE(D158, ""it"", ""en"")"),"Move away from the area")</f>
        <v>Move away from the area</v>
      </c>
      <c r="J158" s="2"/>
      <c r="K158" s="2"/>
      <c r="L158" s="2"/>
      <c r="M158" s="2"/>
      <c r="N158" s="2"/>
      <c r="O158" s="2"/>
      <c r="P158" s="2"/>
      <c r="Q158" s="2"/>
      <c r="R158" s="2"/>
      <c r="S158" s="2"/>
      <c r="T158" s="2"/>
      <c r="U158" s="2"/>
      <c r="V158" s="2"/>
      <c r="W158" s="2"/>
    </row>
    <row r="159" ht="22.5" customHeight="1">
      <c r="A159" s="3">
        <v>158.0</v>
      </c>
      <c r="B159" s="3" t="s">
        <v>3487</v>
      </c>
      <c r="C159" s="3" t="s">
        <v>3488</v>
      </c>
      <c r="D159" s="3" t="s">
        <v>3489</v>
      </c>
      <c r="E159" s="2"/>
      <c r="F159" s="3" t="str">
        <f>IFERROR(__xludf.DUMMYFUNCTION("GOOGLETRANSLATE(A159, ""it"", ""en"")"),"158")</f>
        <v>158</v>
      </c>
      <c r="G159" s="3" t="str">
        <f>IFERROR(__xludf.DUMMYFUNCTION("GOOGLETRANSLATE(B159, ""it"", ""en"")"),"How can you improve your posture while skiing?")</f>
        <v>How can you improve your posture while skiing?</v>
      </c>
      <c r="H159" s="3" t="str">
        <f>IFERROR(__xludf.DUMMYFUNCTION("GOOGLETRANSLATE(C159, ""it"", ""en"")"),"A. Turning less frequently B. Using longer poles C. Keeping your knees slightly bent D. Skiing faster")</f>
        <v>A. Turning less frequently B. Using longer poles C. Keeping your knees slightly bent D. Skiing faster</v>
      </c>
      <c r="I159" s="3" t="str">
        <f>IFERROR(__xludf.DUMMYFUNCTION("GOOGLETRANSLATE(D159, ""it"", ""en"")"),"Keeping your knees slightly bent")</f>
        <v>Keeping your knees slightly bent</v>
      </c>
      <c r="J159" s="2"/>
      <c r="K159" s="2"/>
      <c r="L159" s="2"/>
      <c r="M159" s="2"/>
      <c r="N159" s="2"/>
      <c r="O159" s="2"/>
      <c r="P159" s="2"/>
      <c r="Q159" s="2"/>
      <c r="R159" s="2"/>
      <c r="S159" s="2"/>
      <c r="T159" s="2"/>
      <c r="U159" s="2"/>
      <c r="V159" s="2"/>
      <c r="W159" s="2"/>
    </row>
    <row r="160" ht="22.5" customHeight="1">
      <c r="A160" s="3">
        <v>159.0</v>
      </c>
      <c r="B160" s="3" t="s">
        <v>3490</v>
      </c>
      <c r="C160" s="3" t="s">
        <v>3491</v>
      </c>
      <c r="D160" s="3" t="s">
        <v>3471</v>
      </c>
      <c r="E160" s="2"/>
      <c r="F160" s="3" t="str">
        <f>IFERROR(__xludf.DUMMYFUNCTION("GOOGLETRANSLATE(A160, ""it"", ""en"")"),"159")</f>
        <v>159</v>
      </c>
      <c r="G160" s="3" t="str">
        <f>IFERROR(__xludf.DUMMYFUNCTION("GOOGLETRANSLATE(B160, ""it"", ""en"")"),"What to do if your boot comes loose during a descent?")</f>
        <v>What to do if your boot comes loose during a descent?</v>
      </c>
      <c r="H160" s="3" t="str">
        <f>IFERROR(__xludf.DUMMYFUNCTION("GOOGLETRANSLATE(C160, ""it"", ""en"")"),"A. Continue with caution B. Stop and adjust it C. Ignore the problem D. Ask for help")</f>
        <v>A. Continue with caution B. Stop and adjust it C. Ignore the problem D. Ask for help</v>
      </c>
      <c r="I160" s="3" t="str">
        <f>IFERROR(__xludf.DUMMYFUNCTION("GOOGLETRANSLATE(D160, ""it"", ""en"")"),"Stop and adjust it")</f>
        <v>Stop and adjust it</v>
      </c>
      <c r="J160" s="2"/>
      <c r="K160" s="2"/>
      <c r="L160" s="2"/>
      <c r="M160" s="2"/>
      <c r="N160" s="2"/>
      <c r="O160" s="2"/>
      <c r="P160" s="2"/>
      <c r="Q160" s="2"/>
      <c r="R160" s="2"/>
      <c r="S160" s="2"/>
      <c r="T160" s="2"/>
      <c r="U160" s="2"/>
      <c r="V160" s="2"/>
      <c r="W160" s="2"/>
    </row>
    <row r="161" ht="22.5" customHeight="1">
      <c r="A161" s="3">
        <v>160.0</v>
      </c>
      <c r="B161" s="3" t="s">
        <v>3492</v>
      </c>
      <c r="C161" s="3" t="s">
        <v>3493</v>
      </c>
      <c r="D161" s="3" t="s">
        <v>3494</v>
      </c>
      <c r="E161" s="2"/>
      <c r="F161" s="3" t="str">
        <f>IFERROR(__xludf.DUMMYFUNCTION("GOOGLETRANSLATE(A161, ""it"", ""en"")"),"160")</f>
        <v>160</v>
      </c>
      <c r="G161" s="3" t="str">
        <f>IFERROR(__xludf.DUMMYFUNCTION("GOOGLETRANSLATE(B161, ""it"", ""en"")"),"What does a sign with a red star mean?")</f>
        <v>What does a sign with a red star mean?</v>
      </c>
      <c r="H161" s="3" t="str">
        <f>IFERROR(__xludf.DUMMYFUNCTION("GOOGLETRANSLATE(C161, ""it"", ""en"")"),"A. First aid area B. Expert area C. Prohibited area D. Refreshment point")</f>
        <v>A. First aid area B. Expert area C. Prohibited area D. Refreshment point</v>
      </c>
      <c r="I161" s="3" t="str">
        <f>IFERROR(__xludf.DUMMYFUNCTION("GOOGLETRANSLATE(D161, ""it"", ""en"")"),"First aid area")</f>
        <v>First aid area</v>
      </c>
      <c r="J161" s="2"/>
      <c r="K161" s="2"/>
      <c r="L161" s="2"/>
      <c r="M161" s="2"/>
      <c r="N161" s="2"/>
      <c r="O161" s="2"/>
      <c r="P161" s="2"/>
      <c r="Q161" s="2"/>
      <c r="R161" s="2"/>
      <c r="S161" s="2"/>
      <c r="T161" s="2"/>
      <c r="U161" s="2"/>
      <c r="V161" s="2"/>
      <c r="W161" s="2"/>
    </row>
    <row r="162" ht="22.5" customHeight="1">
      <c r="A162" s="3">
        <v>161.0</v>
      </c>
      <c r="B162" s="3" t="s">
        <v>3495</v>
      </c>
      <c r="C162" s="3" t="s">
        <v>3496</v>
      </c>
      <c r="D162" s="3" t="s">
        <v>3497</v>
      </c>
      <c r="E162" s="2"/>
      <c r="F162" s="3" t="str">
        <f>IFERROR(__xludf.DUMMYFUNCTION("GOOGLETRANSLATE(A162, ""it"", ""en"")"),"161")</f>
        <v>161</v>
      </c>
      <c r="G162" s="3" t="str">
        <f>IFERROR(__xludf.DUMMYFUNCTION("GOOGLETRANSLATE(B162, ""it"", ""en"")"),"What to do if you start sliding sideways on an icy slope?")</f>
        <v>What to do if you start sliding sideways on an icy slope?</v>
      </c>
      <c r="H162" s="3" t="str">
        <f>IFERROR(__xludf.DUMMYFUNCTION("GOOGLETRANSLATE(C162, ""it"", ""en"")"),"A. Keep calm and regain your balance B. Accelerate to get over the stretch C. Use poles to brake D. Fall intentionally to stop")</f>
        <v>A. Keep calm and regain your balance B. Accelerate to get over the stretch C. Use poles to brake D. Fall intentionally to stop</v>
      </c>
      <c r="I162" s="3" t="str">
        <f>IFERROR(__xludf.DUMMYFUNCTION("GOOGLETRANSLATE(D162, ""it"", ""en"")"),"Keep calm and regain your balance")</f>
        <v>Keep calm and regain your balance</v>
      </c>
      <c r="J162" s="2"/>
      <c r="K162" s="2"/>
      <c r="L162" s="2"/>
      <c r="M162" s="2"/>
      <c r="N162" s="2"/>
      <c r="O162" s="2"/>
      <c r="P162" s="2"/>
      <c r="Q162" s="2"/>
      <c r="R162" s="2"/>
      <c r="S162" s="2"/>
      <c r="T162" s="2"/>
      <c r="U162" s="2"/>
      <c r="V162" s="2"/>
      <c r="W162" s="2"/>
    </row>
    <row r="163" ht="22.5" customHeight="1">
      <c r="A163" s="3">
        <v>162.0</v>
      </c>
      <c r="B163" s="3" t="s">
        <v>3498</v>
      </c>
      <c r="C163" s="3" t="s">
        <v>3499</v>
      </c>
      <c r="D163" s="3" t="s">
        <v>3500</v>
      </c>
      <c r="E163" s="2"/>
      <c r="F163" s="3" t="str">
        <f>IFERROR(__xludf.DUMMYFUNCTION("GOOGLETRANSLATE(A163, ""it"", ""en"")"),"162")</f>
        <v>162</v>
      </c>
      <c r="G163" s="3" t="str">
        <f>IFERROR(__xludf.DUMMYFUNCTION("GOOGLETRANSLATE(B163, ""it"", ""en"")"),"What does a sign with a blue arrow and a snowflake mean?")</f>
        <v>What does a sign with a blue arrow and a snowflake mean?</v>
      </c>
      <c r="H163" s="3" t="str">
        <f>IFERROR(__xludf.DUMMYFUNCTION("GOOGLETRANSLATE(C163, ""it"", ""en"")"),"A. Fresh snow area B. Intermediate route C. Expert area D. Prohibited area")</f>
        <v>A. Fresh snow area B. Intermediate route C. Expert area D. Prohibited area</v>
      </c>
      <c r="I163" s="3" t="str">
        <f>IFERROR(__xludf.DUMMYFUNCTION("GOOGLETRANSLATE(D163, ""it"", ""en"")"),"Intermediate route")</f>
        <v>Intermediate route</v>
      </c>
      <c r="J163" s="2"/>
      <c r="K163" s="2"/>
      <c r="L163" s="2"/>
      <c r="M163" s="2"/>
      <c r="N163" s="2"/>
      <c r="O163" s="2"/>
      <c r="P163" s="2"/>
      <c r="Q163" s="2"/>
      <c r="R163" s="2"/>
      <c r="S163" s="2"/>
      <c r="T163" s="2"/>
      <c r="U163" s="2"/>
      <c r="V163" s="2"/>
      <c r="W163" s="2"/>
    </row>
    <row r="164" ht="22.5" customHeight="1">
      <c r="A164" s="3">
        <v>163.0</v>
      </c>
      <c r="B164" s="3" t="s">
        <v>3501</v>
      </c>
      <c r="C164" s="3" t="s">
        <v>3502</v>
      </c>
      <c r="D164" s="3" t="s">
        <v>3503</v>
      </c>
      <c r="E164" s="2"/>
      <c r="F164" s="3" t="str">
        <f>IFERROR(__xludf.DUMMYFUNCTION("GOOGLETRANSLATE(A164, ""it"", ""en"")"),"163")</f>
        <v>163</v>
      </c>
      <c r="G164" s="3" t="str">
        <f>IFERROR(__xludf.DUMMYFUNCTION("GOOGLETRANSLATE(B164, ""it"", ""en"")"),"How can you prevent your glasses from fogging up?")</f>
        <v>How can you prevent your glasses from fogging up?</v>
      </c>
      <c r="H164" s="3" t="str">
        <f>IFERROR(__xludf.DUMMYFUNCTION("GOOGLETRANSLATE(C164, ""it"", ""en"")"),"A. Taking them off frequently B. Using anti-fog lenses C. Wearing them over a scarf D. Ignoring the problem")</f>
        <v>A. Taking them off frequently B. Using anti-fog lenses C. Wearing them over a scarf D. Ignoring the problem</v>
      </c>
      <c r="I164" s="3" t="str">
        <f>IFERROR(__xludf.DUMMYFUNCTION("GOOGLETRANSLATE(D164, ""it"", ""en"")"),"Using anti-fog lenses")</f>
        <v>Using anti-fog lenses</v>
      </c>
      <c r="J164" s="2"/>
      <c r="K164" s="2"/>
      <c r="L164" s="2"/>
      <c r="M164" s="2"/>
      <c r="N164" s="2"/>
      <c r="O164" s="2"/>
      <c r="P164" s="2"/>
      <c r="Q164" s="2"/>
      <c r="R164" s="2"/>
      <c r="S164" s="2"/>
      <c r="T164" s="2"/>
      <c r="U164" s="2"/>
      <c r="V164" s="2"/>
      <c r="W164" s="2"/>
    </row>
    <row r="165" ht="22.5" customHeight="1">
      <c r="A165" s="3">
        <v>164.0</v>
      </c>
      <c r="B165" s="3" t="s">
        <v>3504</v>
      </c>
      <c r="C165" s="3" t="s">
        <v>3505</v>
      </c>
      <c r="D165" s="3" t="s">
        <v>3506</v>
      </c>
      <c r="E165" s="2"/>
      <c r="F165" s="3" t="str">
        <f>IFERROR(__xludf.DUMMYFUNCTION("GOOGLETRANSLATE(A165, ""it"", ""en"")"),"164")</f>
        <v>164</v>
      </c>
      <c r="G165" s="3" t="str">
        <f>IFERROR(__xludf.DUMMYFUNCTION("GOOGLETRANSLATE(B165, ""it"", ""en"")"),"What to do if your ski loses a screw?")</f>
        <v>What to do if your ski loses a screw?</v>
      </c>
      <c r="H165" s="3" t="str">
        <f>IFERROR(__xludf.DUMMYFUNCTION("GOOGLETRANSLATE(C165, ""it"", ""en"")"),"A. Continue with caution B. Stop and ask for repairs C. Use duct tape D. Ignore the problem")</f>
        <v>A. Continue with caution B. Stop and ask for repairs C. Use duct tape D. Ignore the problem</v>
      </c>
      <c r="I165" s="3" t="str">
        <f>IFERROR(__xludf.DUMMYFUNCTION("GOOGLETRANSLATE(D165, ""it"", ""en"")"),"Stop and ask for repairs")</f>
        <v>Stop and ask for repairs</v>
      </c>
      <c r="J165" s="2"/>
      <c r="K165" s="2"/>
      <c r="L165" s="2"/>
      <c r="M165" s="2"/>
      <c r="N165" s="2"/>
      <c r="O165" s="2"/>
      <c r="P165" s="2"/>
      <c r="Q165" s="2"/>
      <c r="R165" s="2"/>
      <c r="S165" s="2"/>
      <c r="T165" s="2"/>
      <c r="U165" s="2"/>
      <c r="V165" s="2"/>
      <c r="W165" s="2"/>
    </row>
    <row r="166" ht="22.5" customHeight="1">
      <c r="A166" s="3">
        <v>165.0</v>
      </c>
      <c r="B166" s="3" t="s">
        <v>3507</v>
      </c>
      <c r="C166" s="3" t="s">
        <v>3508</v>
      </c>
      <c r="D166" s="3" t="s">
        <v>3509</v>
      </c>
      <c r="E166" s="2"/>
      <c r="F166" s="3" t="str">
        <f>IFERROR(__xludf.DUMMYFUNCTION("GOOGLETRANSLATE(A166, ""it"", ""en"")"),"165")</f>
        <v>165</v>
      </c>
      <c r="G166" s="3" t="str">
        <f>IFERROR(__xludf.DUMMYFUNCTION("GOOGLETRANSLATE(B166, ""it"", ""en"")"),"What does a solid blue line on the map mean?")</f>
        <v>What does a solid blue line on the map mean?</v>
      </c>
      <c r="H166" s="3" t="str">
        <f>IFERROR(__xludf.DUMMYFUNCTION("GOOGLETRANSLATE(C166, ""it"", ""en"")"),"A. Easy trail B. Intermediate trail C. Expert trail D. Closed trail")</f>
        <v>A. Easy trail B. Intermediate trail C. Expert trail D. Closed trail</v>
      </c>
      <c r="I166" s="3" t="str">
        <f>IFERROR(__xludf.DUMMYFUNCTION("GOOGLETRANSLATE(D166, ""it"", ""en"")"),"Intermediate track")</f>
        <v>Intermediate track</v>
      </c>
      <c r="J166" s="2"/>
      <c r="K166" s="2"/>
      <c r="L166" s="2"/>
      <c r="M166" s="2"/>
      <c r="N166" s="2"/>
      <c r="O166" s="2"/>
      <c r="P166" s="2"/>
      <c r="Q166" s="2"/>
      <c r="R166" s="2"/>
      <c r="S166" s="2"/>
      <c r="T166" s="2"/>
      <c r="U166" s="2"/>
      <c r="V166" s="2"/>
      <c r="W166" s="2"/>
    </row>
    <row r="167" ht="22.5" customHeight="1">
      <c r="A167" s="3">
        <v>166.0</v>
      </c>
      <c r="B167" s="3" t="s">
        <v>3510</v>
      </c>
      <c r="C167" s="3" t="s">
        <v>3511</v>
      </c>
      <c r="D167" s="3" t="s">
        <v>3512</v>
      </c>
      <c r="E167" s="2"/>
      <c r="F167" s="3" t="str">
        <f>IFERROR(__xludf.DUMMYFUNCTION("GOOGLETRANSLATE(A167, ""it"", ""en"")"),"166")</f>
        <v>166</v>
      </c>
      <c r="G167" s="3" t="str">
        <f>IFERROR(__xludf.DUMMYFUNCTION("GOOGLETRANSLATE(B167, ""it"", ""en"")"),"What to do if you notice an unmarked area while skiing?")</f>
        <v>What to do if you notice an unmarked area while skiing?</v>
      </c>
      <c r="H167" s="3" t="str">
        <f>IFERROR(__xludf.DUMMYFUNCTION("GOOGLETRANSLATE(C167, ""it"", ""en"")"),"A. Explore it out of curiosity B. Report it and avoid it C. Continue anyway D. Ask for help")</f>
        <v>A. Explore it out of curiosity B. Report it and avoid it C. Continue anyway D. Ask for help</v>
      </c>
      <c r="I167" s="3" t="str">
        <f>IFERROR(__xludf.DUMMYFUNCTION("GOOGLETRANSLATE(D167, ""it"", ""en"")"),"Report it and avoid it")</f>
        <v>Report it and avoid it</v>
      </c>
      <c r="J167" s="2"/>
      <c r="K167" s="2"/>
      <c r="L167" s="2"/>
      <c r="M167" s="2"/>
      <c r="N167" s="2"/>
      <c r="O167" s="2"/>
      <c r="P167" s="2"/>
      <c r="Q167" s="2"/>
      <c r="R167" s="2"/>
      <c r="S167" s="2"/>
      <c r="T167" s="2"/>
      <c r="U167" s="2"/>
      <c r="V167" s="2"/>
      <c r="W167" s="2"/>
    </row>
    <row r="168" ht="22.5" customHeight="1">
      <c r="A168" s="3">
        <v>167.0</v>
      </c>
      <c r="B168" s="3" t="s">
        <v>3513</v>
      </c>
      <c r="C168" s="3" t="s">
        <v>3514</v>
      </c>
      <c r="D168" s="3" t="s">
        <v>3515</v>
      </c>
      <c r="E168" s="2"/>
      <c r="F168" s="3" t="str">
        <f>IFERROR(__xludf.DUMMYFUNCTION("GOOGLETRANSLATE(A168, ""it"", ""en"")"),"167")</f>
        <v>167</v>
      </c>
      <c r="G168" s="3" t="str">
        <f>IFERROR(__xludf.DUMMYFUNCTION("GOOGLETRANSLATE(B168, ""it"", ""en"")"),"What to do if you find yourself in an area with strong gusts of wind?")</f>
        <v>What to do if you find yourself in an area with strong gusts of wind?</v>
      </c>
      <c r="H168" s="3" t="str">
        <f>IFERROR(__xludf.DUMMYFUNCTION("GOOGLETRANSLATE(C168, ""it"", ""en"")"),"A. Slow down and lower your body B. Accelerate to pass her C. Use your poles to brake D. Stop and wait")</f>
        <v>A. Slow down and lower your body B. Accelerate to pass her C. Use your poles to brake D. Stop and wait</v>
      </c>
      <c r="I168" s="3" t="str">
        <f>IFERROR(__xludf.DUMMYFUNCTION("GOOGLETRANSLATE(D168, ""it"", ""en"")"),"Slow down and lower your body")</f>
        <v>Slow down and lower your body</v>
      </c>
      <c r="J168" s="2"/>
      <c r="K168" s="2"/>
      <c r="L168" s="2"/>
      <c r="M168" s="2"/>
      <c r="N168" s="2"/>
      <c r="O168" s="2"/>
      <c r="P168" s="2"/>
      <c r="Q168" s="2"/>
      <c r="R168" s="2"/>
      <c r="S168" s="2"/>
      <c r="T168" s="2"/>
      <c r="U168" s="2"/>
      <c r="V168" s="2"/>
      <c r="W168" s="2"/>
    </row>
    <row r="169" ht="22.5" customHeight="1">
      <c r="A169" s="3">
        <v>168.0</v>
      </c>
      <c r="B169" s="3" t="s">
        <v>3516</v>
      </c>
      <c r="C169" s="3" t="s">
        <v>3517</v>
      </c>
      <c r="D169" s="3" t="s">
        <v>3518</v>
      </c>
      <c r="E169" s="2"/>
      <c r="F169" s="3" t="str">
        <f>IFERROR(__xludf.DUMMYFUNCTION("GOOGLETRANSLATE(A169, ""it"", ""en"")"),"168")</f>
        <v>168</v>
      </c>
      <c r="G169" s="3" t="str">
        <f>IFERROR(__xludf.DUMMYFUNCTION("GOOGLETRANSLATE(B169, ""it"", ""en"")"),"What does a sign with a yellow triangle and an exclamation point mean?")</f>
        <v>What does a sign with a yellow triangle and an exclamation point mean?</v>
      </c>
      <c r="H169" s="3" t="str">
        <f>IFERROR(__xludf.DUMMYFUNCTION("GOOGLETRANSLATE(C169, ""it"", ""en"")"),"A. General danger area B. Prohibited area C. Beginners area D. Reserved area")</f>
        <v>A. General danger area B. Prohibited area C. Beginners area D. Reserved area</v>
      </c>
      <c r="I169" s="3" t="str">
        <f>IFERROR(__xludf.DUMMYFUNCTION("GOOGLETRANSLATE(D169, ""it"", ""en"")"),"Area with general danger")</f>
        <v>Area with general danger</v>
      </c>
      <c r="J169" s="2"/>
      <c r="K169" s="2"/>
      <c r="L169" s="2"/>
      <c r="M169" s="2"/>
      <c r="N169" s="2"/>
      <c r="O169" s="2"/>
      <c r="P169" s="2"/>
      <c r="Q169" s="2"/>
      <c r="R169" s="2"/>
      <c r="S169" s="2"/>
      <c r="T169" s="2"/>
      <c r="U169" s="2"/>
      <c r="V169" s="2"/>
      <c r="W169" s="2"/>
    </row>
    <row r="170" ht="22.5" customHeight="1">
      <c r="A170" s="3">
        <v>169.0</v>
      </c>
      <c r="B170" s="3" t="s">
        <v>3519</v>
      </c>
      <c r="C170" s="3" t="s">
        <v>3520</v>
      </c>
      <c r="D170" s="3" t="s">
        <v>3521</v>
      </c>
      <c r="E170" s="2"/>
      <c r="F170" s="3" t="str">
        <f>IFERROR(__xludf.DUMMYFUNCTION("GOOGLETRANSLATE(A170, ""it"", ""en"")"),"169")</f>
        <v>169</v>
      </c>
      <c r="G170" s="3" t="str">
        <f>IFERROR(__xludf.DUMMYFUNCTION("GOOGLETRANSLATE(B170, ""it"", ""en"")"),"How can you best protect yourself from the intense cold while skiing?")</f>
        <v>How can you best protect yourself from the intense cold while skiing?</v>
      </c>
      <c r="H170" s="3" t="str">
        <f>IFERROR(__xludf.DUMMYFUNCTION("GOOGLETRANSLATE(C170, ""it"", ""en"")"),"A. Wearing multiple layers of cotton B. Using technical and insulating clothing C. Maintaining a high pace D. Drinking plenty of water")</f>
        <v>A. Wearing multiple layers of cotton B. Using technical and insulating clothing C. Maintaining a high pace D. Drinking plenty of water</v>
      </c>
      <c r="I170" s="3" t="str">
        <f>IFERROR(__xludf.DUMMYFUNCTION("GOOGLETRANSLATE(D170, ""it"", ""en"")"),"Using technical and insulating clothing")</f>
        <v>Using technical and insulating clothing</v>
      </c>
      <c r="J170" s="2"/>
      <c r="K170" s="2"/>
      <c r="L170" s="2"/>
      <c r="M170" s="2"/>
      <c r="N170" s="2"/>
      <c r="O170" s="2"/>
      <c r="P170" s="2"/>
      <c r="Q170" s="2"/>
      <c r="R170" s="2"/>
      <c r="S170" s="2"/>
      <c r="T170" s="2"/>
      <c r="U170" s="2"/>
      <c r="V170" s="2"/>
      <c r="W170" s="2"/>
    </row>
    <row r="171" ht="22.5" customHeight="1">
      <c r="A171" s="3">
        <v>170.0</v>
      </c>
      <c r="B171" s="3" t="s">
        <v>3522</v>
      </c>
      <c r="C171" s="3" t="s">
        <v>3523</v>
      </c>
      <c r="D171" s="3" t="s">
        <v>3524</v>
      </c>
      <c r="E171" s="2"/>
      <c r="F171" s="3" t="str">
        <f>IFERROR(__xludf.DUMMYFUNCTION("GOOGLETRANSLATE(A171, ""it"", ""en"")"),"170")</f>
        <v>170</v>
      </c>
      <c r="G171" s="3" t="str">
        <f>IFERROR(__xludf.DUMMYFUNCTION("GOOGLETRANSLATE(B171, ""it"", ""en"")"),"What to do if you encounter an area with snow mixed with ice?")</f>
        <v>What to do if you encounter an area with snow mixed with ice?</v>
      </c>
      <c r="H171" s="3" t="str">
        <f>IFERROR(__xludf.DUMMYFUNCTION("GOOGLETRANSLATE(C171, ""it"", ""en"")"),"A. Slow down and maintain control B. Accelerate to cross it C. Turn less frequently D. Avoid that area altogether")</f>
        <v>A. Slow down and maintain control B. Accelerate to cross it C. Turn less frequently D. Avoid that area altogether</v>
      </c>
      <c r="I171" s="3" t="str">
        <f>IFERROR(__xludf.DUMMYFUNCTION("GOOGLETRANSLATE(D171, ""it"", ""en"")"),"Slow down and maintain control")</f>
        <v>Slow down and maintain control</v>
      </c>
      <c r="J171" s="2"/>
      <c r="K171" s="2"/>
      <c r="L171" s="2"/>
      <c r="M171" s="2"/>
      <c r="N171" s="2"/>
      <c r="O171" s="2"/>
      <c r="P171" s="2"/>
      <c r="Q171" s="2"/>
      <c r="R171" s="2"/>
      <c r="S171" s="2"/>
      <c r="T171" s="2"/>
      <c r="U171" s="2"/>
      <c r="V171" s="2"/>
      <c r="W171" s="2"/>
    </row>
    <row r="172" ht="22.5" customHeight="1">
      <c r="A172" s="3">
        <v>171.0</v>
      </c>
      <c r="B172" s="3" t="s">
        <v>3525</v>
      </c>
      <c r="C172" s="3" t="s">
        <v>3526</v>
      </c>
      <c r="D172" s="3" t="s">
        <v>3376</v>
      </c>
      <c r="E172" s="2"/>
      <c r="F172" s="3" t="str">
        <f>IFERROR(__xludf.DUMMYFUNCTION("GOOGLETRANSLATE(A172, ""it"", ""en"")"),"171")</f>
        <v>171</v>
      </c>
      <c r="G172" s="3" t="str">
        <f>IFERROR(__xludf.DUMMYFUNCTION("GOOGLETRANSLATE(B172, ""it"", ""en"")"),"What does an orange arrow on the runway mean?")</f>
        <v>What does an orange arrow on the runway mean?</v>
      </c>
      <c r="H172" s="3" t="str">
        <f>IFERROR(__xludf.DUMMYFUNCTION("GOOGLETRANSLATE(C172, ""it"", ""en"")"),"A. Alternative route B. Closed route C. Emergency zone D. Expert route")</f>
        <v>A. Alternative route B. Closed route C. Emergency zone D. Expert route</v>
      </c>
      <c r="I172" s="3" t="str">
        <f>IFERROR(__xludf.DUMMYFUNCTION("GOOGLETRANSLATE(D172, ""it"", ""en"")"),"Alternative route")</f>
        <v>Alternative route</v>
      </c>
      <c r="J172" s="2"/>
      <c r="K172" s="2"/>
      <c r="L172" s="2"/>
      <c r="M172" s="2"/>
      <c r="N172" s="2"/>
      <c r="O172" s="2"/>
      <c r="P172" s="2"/>
      <c r="Q172" s="2"/>
      <c r="R172" s="2"/>
      <c r="S172" s="2"/>
      <c r="T172" s="2"/>
      <c r="U172" s="2"/>
      <c r="V172" s="2"/>
      <c r="W172" s="2"/>
    </row>
    <row r="173" ht="22.5" customHeight="1">
      <c r="A173" s="3">
        <v>172.0</v>
      </c>
      <c r="B173" s="3" t="s">
        <v>3527</v>
      </c>
      <c r="C173" s="3" t="s">
        <v>3528</v>
      </c>
      <c r="D173" s="3" t="s">
        <v>3529</v>
      </c>
      <c r="E173" s="2"/>
      <c r="F173" s="3" t="str">
        <f>IFERROR(__xludf.DUMMYFUNCTION("GOOGLETRANSLATE(A173, ""it"", ""en"")"),"172")</f>
        <v>172</v>
      </c>
      <c r="G173" s="3" t="str">
        <f>IFERROR(__xludf.DUMMYFUNCTION("GOOGLETRANSLATE(B173, ""it"", ""en"")"),"How can you improve your technique on a difficult track?")</f>
        <v>How can you improve your technique on a difficult track?</v>
      </c>
      <c r="H173" s="3" t="str">
        <f>IFERROR(__xludf.DUMMYFUNCTION("GOOGLETRANSLATE(C173, ""it"", ""en"")"),"A. Following an instructor B. Skiing only on easy slopes C. Skiing faster D. Avoiding difficult slopes")</f>
        <v>A. Following an instructor B. Skiing only on easy slopes C. Skiing faster D. Avoiding difficult slopes</v>
      </c>
      <c r="I173" s="3" t="str">
        <f>IFERROR(__xludf.DUMMYFUNCTION("GOOGLETRANSLATE(D173, ""it"", ""en"")"),"Following an instructor")</f>
        <v>Following an instructor</v>
      </c>
      <c r="J173" s="2"/>
      <c r="K173" s="2"/>
      <c r="L173" s="2"/>
      <c r="M173" s="2"/>
      <c r="N173" s="2"/>
      <c r="O173" s="2"/>
      <c r="P173" s="2"/>
      <c r="Q173" s="2"/>
      <c r="R173" s="2"/>
      <c r="S173" s="2"/>
      <c r="T173" s="2"/>
      <c r="U173" s="2"/>
      <c r="V173" s="2"/>
      <c r="W173" s="2"/>
    </row>
    <row r="174" ht="22.5" customHeight="1">
      <c r="A174" s="3">
        <v>173.0</v>
      </c>
      <c r="B174" s="3" t="s">
        <v>3530</v>
      </c>
      <c r="C174" s="3" t="s">
        <v>3531</v>
      </c>
      <c r="D174" s="3" t="s">
        <v>3532</v>
      </c>
      <c r="E174" s="2"/>
      <c r="F174" s="3" t="str">
        <f>IFERROR(__xludf.DUMMYFUNCTION("GOOGLETRANSLATE(A174, ""it"", ""en"")"),"173")</f>
        <v>173</v>
      </c>
      <c r="G174" s="3" t="str">
        <f>IFERROR(__xludf.DUMMYFUNCTION("GOOGLETRANSLATE(B174, ""it"", ""en"")"),"What to do if your equipment gets damaged during a descent?")</f>
        <v>What to do if your equipment gets damaged during a descent?</v>
      </c>
      <c r="H174" s="3" t="str">
        <f>IFERROR(__xludf.DUMMYFUNCTION("GOOGLETRANSLATE(C174, ""it"", ""en"")"),"A. Continue with caution B. Stop immediately and have it repaired C. Ask other skiers for help D. Ignore the damage")</f>
        <v>A. Continue with caution B. Stop immediately and have it repaired C. Ask other skiers for help D. Ignore the damage</v>
      </c>
      <c r="I174" s="3" t="str">
        <f>IFERROR(__xludf.DUMMYFUNCTION("GOOGLETRANSLATE(D174, ""it"", ""en"")"),"Stop immediately and have it repaired")</f>
        <v>Stop immediately and have it repaired</v>
      </c>
      <c r="J174" s="2"/>
      <c r="K174" s="2"/>
      <c r="L174" s="2"/>
      <c r="M174" s="2"/>
      <c r="N174" s="2"/>
      <c r="O174" s="2"/>
      <c r="P174" s="2"/>
      <c r="Q174" s="2"/>
      <c r="R174" s="2"/>
      <c r="S174" s="2"/>
      <c r="T174" s="2"/>
      <c r="U174" s="2"/>
      <c r="V174" s="2"/>
      <c r="W174" s="2"/>
    </row>
    <row r="175" ht="22.5" customHeight="1">
      <c r="A175" s="3">
        <v>174.0</v>
      </c>
      <c r="B175" s="3" t="s">
        <v>3533</v>
      </c>
      <c r="C175" s="3" t="s">
        <v>3534</v>
      </c>
      <c r="D175" s="3" t="s">
        <v>3535</v>
      </c>
      <c r="E175" s="2"/>
      <c r="F175" s="3" t="str">
        <f>IFERROR(__xludf.DUMMYFUNCTION("GOOGLETRANSLATE(A175, ""it"", ""en"")"),"174")</f>
        <v>174</v>
      </c>
      <c r="G175" s="3" t="str">
        <f>IFERROR(__xludf.DUMMYFUNCTION("GOOGLETRANSLATE(B175, ""it"", ""en"")"),"What does the symbol of a skier jumping on a sign mean?")</f>
        <v>What does the symbol of a skier jumping on a sign mean?</v>
      </c>
      <c r="H175" s="3" t="str">
        <f>IFERROR(__xludf.DUMMYFUNCTION("GOOGLETRANSLATE(C175, ""it"", ""en"")"),"A. Obstacle area B. Jump area C. Ski-free area D. Beginner area")</f>
        <v>A. Obstacle area B. Jump area C. Ski-free area D. Beginner area</v>
      </c>
      <c r="I175" s="3" t="str">
        <f>IFERROR(__xludf.DUMMYFUNCTION("GOOGLETRANSLATE(D175, ""it"", ""en"")"),"Jumping area")</f>
        <v>Jumping area</v>
      </c>
      <c r="J175" s="2"/>
      <c r="K175" s="2"/>
      <c r="L175" s="2"/>
      <c r="M175" s="2"/>
      <c r="N175" s="2"/>
      <c r="O175" s="2"/>
      <c r="P175" s="2"/>
      <c r="Q175" s="2"/>
      <c r="R175" s="2"/>
      <c r="S175" s="2"/>
      <c r="T175" s="2"/>
      <c r="U175" s="2"/>
      <c r="V175" s="2"/>
      <c r="W175" s="2"/>
    </row>
    <row r="176" ht="22.5" customHeight="1">
      <c r="A176" s="3">
        <v>175.0</v>
      </c>
      <c r="B176" s="3" t="s">
        <v>3536</v>
      </c>
      <c r="C176" s="3" t="s">
        <v>3537</v>
      </c>
      <c r="D176" s="3" t="s">
        <v>3538</v>
      </c>
      <c r="E176" s="2"/>
      <c r="F176" s="3" t="str">
        <f>IFERROR(__xludf.DUMMYFUNCTION("GOOGLETRANSLATE(A176, ""it"", ""en"")"),"175")</f>
        <v>175</v>
      </c>
      <c r="G176" s="3" t="str">
        <f>IFERROR(__xludf.DUMMYFUNCTION("GOOGLETRANSLATE(B176, ""it"", ""en"")"),"How can you improve your control on sharp corners?")</f>
        <v>How can you improve your control on sharp corners?</v>
      </c>
      <c r="H176" s="3" t="str">
        <f>IFERROR(__xludf.DUMMYFUNCTION("GOOGLETRANSLATE(C176, ""it"", ""en"")"),"A. Using the poles to push yourself B. Maintaining a central position C. Leaning far forward D. Turning at a constant speed")</f>
        <v>A. Using the poles to push yourself B. Maintaining a central position C. Leaning far forward D. Turning at a constant speed</v>
      </c>
      <c r="I176" s="3" t="str">
        <f>IFERROR(__xludf.DUMMYFUNCTION("GOOGLETRANSLATE(D176, ""it"", ""en"")"),"Maintaining a central position")</f>
        <v>Maintaining a central position</v>
      </c>
      <c r="J176" s="2"/>
      <c r="K176" s="2"/>
      <c r="L176" s="2"/>
      <c r="M176" s="2"/>
      <c r="N176" s="2"/>
      <c r="O176" s="2"/>
      <c r="P176" s="2"/>
      <c r="Q176" s="2"/>
      <c r="R176" s="2"/>
      <c r="S176" s="2"/>
      <c r="T176" s="2"/>
      <c r="U176" s="2"/>
      <c r="V176" s="2"/>
      <c r="W176" s="2"/>
    </row>
    <row r="177" ht="22.5" customHeight="1">
      <c r="A177" s="3">
        <v>176.0</v>
      </c>
      <c r="B177" s="3" t="s">
        <v>3539</v>
      </c>
      <c r="C177" s="3" t="s">
        <v>3540</v>
      </c>
      <c r="D177" s="3" t="s">
        <v>3541</v>
      </c>
      <c r="E177" s="2"/>
      <c r="F177" s="3" t="str">
        <f>IFERROR(__xludf.DUMMYFUNCTION("GOOGLETRANSLATE(A177, ""it"", ""en"")"),"176")</f>
        <v>176</v>
      </c>
      <c r="G177" s="3" t="str">
        <f>IFERROR(__xludf.DUMMYFUNCTION("GOOGLETRANSLATE(B177, ""it"", ""en"")"),"What to do if your gloves get completely wet?")</f>
        <v>What to do if your gloves get completely wet?</v>
      </c>
      <c r="H177" s="3" t="str">
        <f>IFERROR(__xludf.DUMMYFUNCTION("GOOGLETRANSLATE(C177, ""it"", ""en"")"),"A. Continue without gloves B. Change them as soon as possible C. Stop and dry them D. Use extra protection")</f>
        <v>A. Continue without gloves B. Change them as soon as possible C. Stop and dry them D. Use extra protection</v>
      </c>
      <c r="I177" s="3" t="str">
        <f>IFERROR(__xludf.DUMMYFUNCTION("GOOGLETRANSLATE(D177, ""it"", ""en"")"),"Change them as soon as possible")</f>
        <v>Change them as soon as possible</v>
      </c>
      <c r="J177" s="2"/>
      <c r="K177" s="2"/>
      <c r="L177" s="2"/>
      <c r="M177" s="2"/>
      <c r="N177" s="2"/>
      <c r="O177" s="2"/>
      <c r="P177" s="2"/>
      <c r="Q177" s="2"/>
      <c r="R177" s="2"/>
      <c r="S177" s="2"/>
      <c r="T177" s="2"/>
      <c r="U177" s="2"/>
      <c r="V177" s="2"/>
      <c r="W177" s="2"/>
    </row>
    <row r="178" ht="22.5" customHeight="1">
      <c r="A178" s="3">
        <v>177.0</v>
      </c>
      <c r="B178" s="3" t="s">
        <v>3542</v>
      </c>
      <c r="C178" s="3" t="s">
        <v>3543</v>
      </c>
      <c r="D178" s="3" t="s">
        <v>3544</v>
      </c>
      <c r="E178" s="2"/>
      <c r="F178" s="3" t="str">
        <f>IFERROR(__xludf.DUMMYFUNCTION("GOOGLETRANSLATE(A178, ""it"", ""en"")"),"177")</f>
        <v>177</v>
      </c>
      <c r="G178" s="3" t="str">
        <f>IFERROR(__xludf.DUMMYFUNCTION("GOOGLETRANSLATE(B178, ""it"", ""en"")"),"What does a wavy line on a runway map indicate?")</f>
        <v>What does a wavy line on a runway map indicate?</v>
      </c>
      <c r="H178" s="3" t="str">
        <f>IFERROR(__xludf.DUMMYFUNCTION("GOOGLETRANSLATE(C178, ""it"", ""en"")"),"A. Slalom course B. Fresh snow course C. Obstacle course D. Beginner course")</f>
        <v>A. Slalom course B. Fresh snow course C. Obstacle course D. Beginner course</v>
      </c>
      <c r="I178" s="3" t="str">
        <f>IFERROR(__xludf.DUMMYFUNCTION("GOOGLETRANSLATE(D178, ""it"", ""en"")"),"Slalom course")</f>
        <v>Slalom course</v>
      </c>
      <c r="J178" s="2"/>
      <c r="K178" s="2"/>
      <c r="L178" s="2"/>
      <c r="M178" s="2"/>
      <c r="N178" s="2"/>
      <c r="O178" s="2"/>
      <c r="P178" s="2"/>
      <c r="Q178" s="2"/>
      <c r="R178" s="2"/>
      <c r="S178" s="2"/>
      <c r="T178" s="2"/>
      <c r="U178" s="2"/>
      <c r="V178" s="2"/>
      <c r="W178" s="2"/>
    </row>
    <row r="179" ht="22.5" customHeight="1">
      <c r="A179" s="3">
        <v>178.0</v>
      </c>
      <c r="B179" s="3" t="s">
        <v>3545</v>
      </c>
      <c r="C179" s="3" t="s">
        <v>3546</v>
      </c>
      <c r="D179" s="3" t="s">
        <v>3352</v>
      </c>
      <c r="E179" s="2"/>
      <c r="F179" s="3" t="str">
        <f>IFERROR(__xludf.DUMMYFUNCTION("GOOGLETRANSLATE(A179, ""it"", ""en"")"),"178")</f>
        <v>178</v>
      </c>
      <c r="G179" s="3" t="str">
        <f>IFERROR(__xludf.DUMMYFUNCTION("GOOGLETRANSLATE(B179, ""it"", ""en"")"),"What to do if your visibility is obstructed by heavy snow?")</f>
        <v>What to do if your visibility is obstructed by heavy snow?</v>
      </c>
      <c r="H179" s="3" t="str">
        <f>IFERROR(__xludf.DUMMYFUNCTION("GOOGLETRANSLATE(C179, ""it"", ""en"")"),"A. Stop and get your bearings better B. Slow down and proceed with caution C. Take off your glasses D. Follow another skier")</f>
        <v>A. Stop and get your bearings better B. Slow down and proceed with caution C. Take off your glasses D. Follow another skier</v>
      </c>
      <c r="I179" s="3" t="str">
        <f>IFERROR(__xludf.DUMMYFUNCTION("GOOGLETRANSLATE(D179, ""it"", ""en"")"),"Slow down and proceed with caution")</f>
        <v>Slow down and proceed with caution</v>
      </c>
      <c r="J179" s="2"/>
      <c r="K179" s="2"/>
      <c r="L179" s="2"/>
      <c r="M179" s="2"/>
      <c r="N179" s="2"/>
      <c r="O179" s="2"/>
      <c r="P179" s="2"/>
      <c r="Q179" s="2"/>
      <c r="R179" s="2"/>
      <c r="S179" s="2"/>
      <c r="T179" s="2"/>
      <c r="U179" s="2"/>
      <c r="V179" s="2"/>
      <c r="W179" s="2"/>
    </row>
    <row r="180" ht="22.5" customHeight="1">
      <c r="A180" s="3">
        <v>179.0</v>
      </c>
      <c r="B180" s="3" t="s">
        <v>3547</v>
      </c>
      <c r="C180" s="3" t="s">
        <v>3548</v>
      </c>
      <c r="D180" s="3" t="s">
        <v>3549</v>
      </c>
      <c r="E180" s="2"/>
      <c r="F180" s="3" t="str">
        <f>IFERROR(__xludf.DUMMYFUNCTION("GOOGLETRANSLATE(A180, ""it"", ""en"")"),"179")</f>
        <v>179</v>
      </c>
      <c r="G180" s="3" t="str">
        <f>IFERROR(__xludf.DUMMYFUNCTION("GOOGLETRANSLATE(B180, ""it"", ""en"")"),"How can you prevent leg cramps while skiing?")</f>
        <v>How can you prevent leg cramps while skiing?</v>
      </c>
      <c r="H180" s="3" t="str">
        <f>IFERROR(__xludf.DUMMYFUNCTION("GOOGLETRANSLATE(C180, ""it"", ""en"")"),"A. Taking frequent breaks B. Speeding up the pace C. Wearing tighter boots D. Going to the toilet often")</f>
        <v>A. Taking frequent breaks B. Speeding up the pace C. Wearing tighter boots D. Going to the toilet often</v>
      </c>
      <c r="I180" s="3" t="str">
        <f>IFERROR(__xludf.DUMMYFUNCTION("GOOGLETRANSLATE(D180, ""it"", ""en"")"),"Taking frequent breaks")</f>
        <v>Taking frequent breaks</v>
      </c>
      <c r="J180" s="2"/>
      <c r="K180" s="2"/>
      <c r="L180" s="2"/>
      <c r="M180" s="2"/>
      <c r="N180" s="2"/>
      <c r="O180" s="2"/>
      <c r="P180" s="2"/>
      <c r="Q180" s="2"/>
      <c r="R180" s="2"/>
      <c r="S180" s="2"/>
      <c r="T180" s="2"/>
      <c r="U180" s="2"/>
      <c r="V180" s="2"/>
      <c r="W180" s="2"/>
    </row>
    <row r="181" ht="22.5" customHeight="1">
      <c r="A181" s="3">
        <v>180.0</v>
      </c>
      <c r="B181" s="3" t="s">
        <v>3550</v>
      </c>
      <c r="C181" s="3" t="s">
        <v>3551</v>
      </c>
      <c r="D181" s="3" t="s">
        <v>3552</v>
      </c>
      <c r="E181" s="2"/>
      <c r="F181" s="3" t="str">
        <f>IFERROR(__xludf.DUMMYFUNCTION("GOOGLETRANSLATE(A181, ""it"", ""en"")"),"180")</f>
        <v>180</v>
      </c>
      <c r="G181" s="3" t="str">
        <f>IFERROR(__xludf.DUMMYFUNCTION("GOOGLETRANSLATE(B181, ""it"", ""en"")"),"What does a sign with a tent symbol mean?")</f>
        <v>What does a sign with a tent symbol mean?</v>
      </c>
      <c r="H181" s="3" t="str">
        <f>IFERROR(__xludf.DUMMYFUNCTION("GOOGLETRANSLATE(C181, ""it"", ""en"")"),"A. Camping area B. Rest point C. Restricted area D. Prohibited area")</f>
        <v>A. Camping area B. Rest point C. Restricted area D. Prohibited area</v>
      </c>
      <c r="I181" s="3" t="str">
        <f>IFERROR(__xludf.DUMMYFUNCTION("GOOGLETRANSLATE(D181, ""it"", ""en"")"),"Camping area")</f>
        <v>Camping area</v>
      </c>
      <c r="J181" s="2"/>
      <c r="K181" s="2"/>
      <c r="L181" s="2"/>
      <c r="M181" s="2"/>
      <c r="N181" s="2"/>
      <c r="O181" s="2"/>
      <c r="P181" s="2"/>
      <c r="Q181" s="2"/>
      <c r="R181" s="2"/>
      <c r="S181" s="2"/>
      <c r="T181" s="2"/>
      <c r="U181" s="2"/>
      <c r="V181" s="2"/>
      <c r="W181" s="2"/>
    </row>
    <row r="182" ht="22.5" customHeight="1">
      <c r="A182" s="3">
        <v>181.0</v>
      </c>
      <c r="B182" s="3" t="s">
        <v>3553</v>
      </c>
      <c r="C182" s="3" t="s">
        <v>3554</v>
      </c>
      <c r="D182" s="3" t="s">
        <v>3555</v>
      </c>
      <c r="E182" s="2"/>
      <c r="F182" s="3" t="str">
        <f>IFERROR(__xludf.DUMMYFUNCTION("GOOGLETRANSLATE(A182, ""it"", ""en"")"),"181")</f>
        <v>181</v>
      </c>
      <c r="G182" s="3" t="str">
        <f>IFERROR(__xludf.DUMMYFUNCTION("GOOGLETRANSLATE(B182, ""it"", ""en"")"),"What to do if you lose concentration during a long descent?")</f>
        <v>What to do if you lose concentration during a long descent?</v>
      </c>
      <c r="H182" s="3" t="str">
        <f>IFERROR(__xludf.DUMMYFUNCTION("GOOGLETRANSLATE(C182, ""it"", ""en"")"),"A. Continue with caution B. Stop and take a break C. Accelerate to finish faster D. Call for help")</f>
        <v>A. Continue with caution B. Stop and take a break C. Accelerate to finish faster D. Call for help</v>
      </c>
      <c r="I182" s="3" t="str">
        <f>IFERROR(__xludf.DUMMYFUNCTION("GOOGLETRANSLATE(D182, ""it"", ""en"")"),"Stop and take a break")</f>
        <v>Stop and take a break</v>
      </c>
      <c r="J182" s="2"/>
      <c r="K182" s="2"/>
      <c r="L182" s="2"/>
      <c r="M182" s="2"/>
      <c r="N182" s="2"/>
      <c r="O182" s="2"/>
      <c r="P182" s="2"/>
      <c r="Q182" s="2"/>
      <c r="R182" s="2"/>
      <c r="S182" s="2"/>
      <c r="T182" s="2"/>
      <c r="U182" s="2"/>
      <c r="V182" s="2"/>
      <c r="W182" s="2"/>
    </row>
    <row r="183" ht="22.5" customHeight="1">
      <c r="A183" s="3">
        <v>182.0</v>
      </c>
      <c r="B183" s="3" t="s">
        <v>3556</v>
      </c>
      <c r="C183" s="3" t="s">
        <v>3557</v>
      </c>
      <c r="D183" s="3" t="s">
        <v>3376</v>
      </c>
      <c r="E183" s="2"/>
      <c r="F183" s="3" t="str">
        <f>IFERROR(__xludf.DUMMYFUNCTION("GOOGLETRANSLATE(A183, ""it"", ""en"")"),"182")</f>
        <v>182</v>
      </c>
      <c r="G183" s="3" t="str">
        <f>IFERROR(__xludf.DUMMYFUNCTION("GOOGLETRANSLATE(B183, ""it"", ""en"")"),"What does a red dotted line on the map indicate?")</f>
        <v>What does a red dotted line on the map indicate?</v>
      </c>
      <c r="H183" s="3" t="str">
        <f>IFERROR(__xludf.DUMMYFUNCTION("GOOGLETRANSLATE(C183, ""it"", ""en"")"),"A. Expert slope B. Alternative route C. Beginner slope D. Closed slope")</f>
        <v>A. Expert slope B. Alternative route C. Beginner slope D. Closed slope</v>
      </c>
      <c r="I183" s="3" t="str">
        <f>IFERROR(__xludf.DUMMYFUNCTION("GOOGLETRANSLATE(D183, ""it"", ""en"")"),"Alternative route")</f>
        <v>Alternative route</v>
      </c>
      <c r="J183" s="2"/>
      <c r="K183" s="2"/>
      <c r="L183" s="2"/>
      <c r="M183" s="2"/>
      <c r="N183" s="2"/>
      <c r="O183" s="2"/>
      <c r="P183" s="2"/>
      <c r="Q183" s="2"/>
      <c r="R183" s="2"/>
      <c r="S183" s="2"/>
      <c r="T183" s="2"/>
      <c r="U183" s="2"/>
      <c r="V183" s="2"/>
      <c r="W183" s="2"/>
    </row>
    <row r="184" ht="22.5" customHeight="1">
      <c r="A184" s="3">
        <v>183.0</v>
      </c>
      <c r="B184" s="3" t="s">
        <v>3558</v>
      </c>
      <c r="C184" s="3" t="s">
        <v>3559</v>
      </c>
      <c r="D184" s="3" t="s">
        <v>3560</v>
      </c>
      <c r="E184" s="2"/>
      <c r="F184" s="3" t="str">
        <f>IFERROR(__xludf.DUMMYFUNCTION("GOOGLETRANSLATE(A184, ""it"", ""en"")"),"183")</f>
        <v>183</v>
      </c>
      <c r="G184" s="3" t="str">
        <f>IFERROR(__xludf.DUMMYFUNCTION("GOOGLETRANSLATE(B184, ""it"", ""en"")"),"What to do if you notice a sudden barrier in front of you?")</f>
        <v>What to do if you notice a sudden barrier in front of you?</v>
      </c>
      <c r="H184" s="3" t="str">
        <f>IFERROR(__xludf.DUMMYFUNCTION("GOOGLETRANSLATE(C184, ""it"", ""en"")"),"A. Stop immediately B. Turn to avoid it C. Continue and skip it D. Call for help")</f>
        <v>A. Stop immediately B. Turn to avoid it C. Continue and skip it D. Call for help</v>
      </c>
      <c r="I184" s="3" t="str">
        <f>IFERROR(__xludf.DUMMYFUNCTION("GOOGLETRANSLATE(D184, ""it"", ""en"")"),"Curve to avoid it")</f>
        <v>Curve to avoid it</v>
      </c>
      <c r="J184" s="2"/>
      <c r="K184" s="2"/>
      <c r="L184" s="2"/>
      <c r="M184" s="2"/>
      <c r="N184" s="2"/>
      <c r="O184" s="2"/>
      <c r="P184" s="2"/>
      <c r="Q184" s="2"/>
      <c r="R184" s="2"/>
      <c r="S184" s="2"/>
      <c r="T184" s="2"/>
      <c r="U184" s="2"/>
      <c r="V184" s="2"/>
      <c r="W184" s="2"/>
    </row>
    <row r="185" ht="22.5" customHeight="1">
      <c r="A185" s="3">
        <v>184.0</v>
      </c>
      <c r="B185" s="3" t="s">
        <v>3561</v>
      </c>
      <c r="C185" s="3" t="s">
        <v>3562</v>
      </c>
      <c r="D185" s="3" t="s">
        <v>3563</v>
      </c>
      <c r="E185" s="2"/>
      <c r="F185" s="3" t="str">
        <f>IFERROR(__xludf.DUMMYFUNCTION("GOOGLETRANSLATE(A185, ""it"", ""en"")"),"184")</f>
        <v>184</v>
      </c>
      <c r="G185" s="3" t="str">
        <f>IFERROR(__xludf.DUMMYFUNCTION("GOOGLETRANSLATE(B185, ""it"", ""en"")"),"How can you protect your face from gusts of freezing wind?")</f>
        <v>How can you protect your face from gusts of freezing wind?</v>
      </c>
      <c r="H185" s="3" t="str">
        <f>IFERROR(__xludf.DUMMYFUNCTION("GOOGLETRANSLATE(C185, ""it"", ""en"")"),"A. Wearing a protective mask B. Lowering your head C. Removing your glasses D. Using a scarf")</f>
        <v>A. Wearing a protective mask B. Lowering your head C. Removing your glasses D. Using a scarf</v>
      </c>
      <c r="I185" s="3" t="str">
        <f>IFERROR(__xludf.DUMMYFUNCTION("GOOGLETRANSLATE(D185, ""it"", ""en"")"),"Wearing a protective mask")</f>
        <v>Wearing a protective mask</v>
      </c>
      <c r="J185" s="2"/>
      <c r="K185" s="2"/>
      <c r="L185" s="2"/>
      <c r="M185" s="2"/>
      <c r="N185" s="2"/>
      <c r="O185" s="2"/>
      <c r="P185" s="2"/>
      <c r="Q185" s="2"/>
      <c r="R185" s="2"/>
      <c r="S185" s="2"/>
      <c r="T185" s="2"/>
      <c r="U185" s="2"/>
      <c r="V185" s="2"/>
      <c r="W185" s="2"/>
    </row>
    <row r="186" ht="22.5" customHeight="1">
      <c r="A186" s="3">
        <v>185.0</v>
      </c>
      <c r="B186" s="3" t="s">
        <v>3564</v>
      </c>
      <c r="C186" s="3" t="s">
        <v>3565</v>
      </c>
      <c r="D186" s="3" t="s">
        <v>3566</v>
      </c>
      <c r="E186" s="2"/>
      <c r="F186" s="3" t="str">
        <f>IFERROR(__xludf.DUMMYFUNCTION("GOOGLETRANSLATE(A186, ""it"", ""en"")"),"185")</f>
        <v>185</v>
      </c>
      <c r="G186" s="3" t="str">
        <f>IFERROR(__xludf.DUMMYFUNCTION("GOOGLETRANSLATE(B186, ""it"", ""en"")"),"What to do if you encounter an area with steep slopes?")</f>
        <v>What to do if you encounter an area with steep slopes?</v>
      </c>
      <c r="H186" s="3" t="str">
        <f>IFERROR(__xludf.DUMMYFUNCTION("GOOGLETRANSLATE(C186, ""it"", ""en"")"),"A. Turn frequently and slow down B. Accelerate to maintain balance C. Stop and walk D. Use only poles")</f>
        <v>A. Turn frequently and slow down B. Accelerate to maintain balance C. Stop and walk D. Use only poles</v>
      </c>
      <c r="I186" s="3" t="str">
        <f>IFERROR(__xludf.DUMMYFUNCTION("GOOGLETRANSLATE(D186, ""it"", ""en"")"),"Turn frequently and slow down")</f>
        <v>Turn frequently and slow down</v>
      </c>
      <c r="J186" s="2"/>
      <c r="K186" s="2"/>
      <c r="L186" s="2"/>
      <c r="M186" s="2"/>
      <c r="N186" s="2"/>
      <c r="O186" s="2"/>
      <c r="P186" s="2"/>
      <c r="Q186" s="2"/>
      <c r="R186" s="2"/>
      <c r="S186" s="2"/>
      <c r="T186" s="2"/>
      <c r="U186" s="2"/>
      <c r="V186" s="2"/>
      <c r="W186" s="2"/>
    </row>
    <row r="187" ht="22.5" customHeight="1">
      <c r="A187" s="3">
        <v>186.0</v>
      </c>
      <c r="B187" s="3" t="s">
        <v>3567</v>
      </c>
      <c r="C187" s="3" t="s">
        <v>3568</v>
      </c>
      <c r="D187" s="3" t="s">
        <v>3376</v>
      </c>
      <c r="E187" s="2"/>
      <c r="F187" s="3" t="str">
        <f>IFERROR(__xludf.DUMMYFUNCTION("GOOGLETRANSLATE(A187, ""it"", ""en"")"),"186")</f>
        <v>186</v>
      </c>
      <c r="G187" s="3" t="str">
        <f>IFERROR(__xludf.DUMMYFUNCTION("GOOGLETRANSLATE(B187, ""it"", ""en"")"),"What does a sign with a yellow arrow symbol mean?")</f>
        <v>What does a sign with a yellow arrow symbol mean?</v>
      </c>
      <c r="H187" s="3" t="str">
        <f>IFERROR(__xludf.DUMMYFUNCTION("GOOGLETRANSLATE(C187, ""it"", ""en"")"),"A. Emergency route B. Alternative route C. Beginners' area D. Prohibited area")</f>
        <v>A. Emergency route B. Alternative route C. Beginners' area D. Prohibited area</v>
      </c>
      <c r="I187" s="3" t="str">
        <f>IFERROR(__xludf.DUMMYFUNCTION("GOOGLETRANSLATE(D187, ""it"", ""en"")"),"Alternative route")</f>
        <v>Alternative route</v>
      </c>
      <c r="J187" s="2"/>
      <c r="K187" s="2"/>
      <c r="L187" s="2"/>
      <c r="M187" s="2"/>
      <c r="N187" s="2"/>
      <c r="O187" s="2"/>
      <c r="P187" s="2"/>
      <c r="Q187" s="2"/>
      <c r="R187" s="2"/>
      <c r="S187" s="2"/>
      <c r="T187" s="2"/>
      <c r="U187" s="2"/>
      <c r="V187" s="2"/>
      <c r="W187" s="2"/>
    </row>
    <row r="188" ht="22.5" customHeight="1">
      <c r="A188" s="3">
        <v>187.0</v>
      </c>
      <c r="B188" s="3" t="s">
        <v>3569</v>
      </c>
      <c r="C188" s="3" t="s">
        <v>3570</v>
      </c>
      <c r="D188" s="3" t="s">
        <v>3571</v>
      </c>
      <c r="E188" s="2"/>
      <c r="F188" s="3" t="str">
        <f>IFERROR(__xludf.DUMMYFUNCTION("GOOGLETRANSLATE(A188, ""it"", ""en"")"),"187")</f>
        <v>187</v>
      </c>
      <c r="G188" s="3" t="str">
        <f>IFERROR(__xludf.DUMMYFUNCTION("GOOGLETRANSLATE(B188, ""it"", ""en"")"),"What to do if your boots cause you prolonged pain?")</f>
        <v>What to do if your boots cause you prolonged pain?</v>
      </c>
      <c r="H188" s="3" t="str">
        <f>IFERROR(__xludf.DUMMYFUNCTION("GOOGLETRANSLATE(C188, ""it"", ""en"")"),"A. Change them for more comfortable ones B. Stop and adjust them C. Continue carefully D. Use thicker socks")</f>
        <v>A. Change them for more comfortable ones B. Stop and adjust them C. Continue carefully D. Use thicker socks</v>
      </c>
      <c r="I188" s="3" t="str">
        <f>IFERROR(__xludf.DUMMYFUNCTION("GOOGLETRANSLATE(D188, ""it"", ""en"")"),"Change them with more comfortable ones")</f>
        <v>Change them with more comfortable ones</v>
      </c>
      <c r="J188" s="2"/>
      <c r="K188" s="2"/>
      <c r="L188" s="2"/>
      <c r="M188" s="2"/>
      <c r="N188" s="2"/>
      <c r="O188" s="2"/>
      <c r="P188" s="2"/>
      <c r="Q188" s="2"/>
      <c r="R188" s="2"/>
      <c r="S188" s="2"/>
      <c r="T188" s="2"/>
      <c r="U188" s="2"/>
      <c r="V188" s="2"/>
      <c r="W188" s="2"/>
    </row>
    <row r="189" ht="22.5" customHeight="1">
      <c r="A189" s="3">
        <v>188.0</v>
      </c>
      <c r="B189" s="3" t="s">
        <v>3572</v>
      </c>
      <c r="C189" s="3" t="s">
        <v>3573</v>
      </c>
      <c r="D189" s="3" t="s">
        <v>3396</v>
      </c>
      <c r="E189" s="2"/>
      <c r="F189" s="3" t="str">
        <f>IFERROR(__xludf.DUMMYFUNCTION("GOOGLETRANSLATE(A189, ""it"", ""en"")"),"188")</f>
        <v>188</v>
      </c>
      <c r="G189" s="3" t="str">
        <f>IFERROR(__xludf.DUMMYFUNCTION("GOOGLETRANSLATE(B189, ""it"", ""en"")"),"How can you avoid sliding sideways on an inclined track?")</f>
        <v>How can you avoid sliding sideways on an inclined track?</v>
      </c>
      <c r="H189" s="3" t="str">
        <f>IFERROR(__xludf.DUMMYFUNCTION("GOOGLETRANSLATE(C189, ""it"", ""en"")"),"A. Keeping the skis parallel B. Using only one pole C. Turning less frequently D. Accelerating slightly")</f>
        <v>A. Keeping the skis parallel B. Using only one pole C. Turning less frequently D. Accelerating slightly</v>
      </c>
      <c r="I189" s="3" t="str">
        <f>IFERROR(__xludf.DUMMYFUNCTION("GOOGLETRANSLATE(D189, ""it"", ""en"")"),"Keeping the skis parallel")</f>
        <v>Keeping the skis parallel</v>
      </c>
      <c r="J189" s="2"/>
      <c r="K189" s="2"/>
      <c r="L189" s="2"/>
      <c r="M189" s="2"/>
      <c r="N189" s="2"/>
      <c r="O189" s="2"/>
      <c r="P189" s="2"/>
      <c r="Q189" s="2"/>
      <c r="R189" s="2"/>
      <c r="S189" s="2"/>
      <c r="T189" s="2"/>
      <c r="U189" s="2"/>
      <c r="V189" s="2"/>
      <c r="W189" s="2"/>
    </row>
    <row r="190" ht="22.5" customHeight="1">
      <c r="A190" s="3">
        <v>189.0</v>
      </c>
      <c r="B190" s="3" t="s">
        <v>3574</v>
      </c>
      <c r="C190" s="3" t="s">
        <v>3575</v>
      </c>
      <c r="D190" s="3" t="s">
        <v>3466</v>
      </c>
      <c r="E190" s="2"/>
      <c r="F190" s="3" t="str">
        <f>IFERROR(__xludf.DUMMYFUNCTION("GOOGLETRANSLATE(A190, ""it"", ""en"")"),"189")</f>
        <v>189</v>
      </c>
      <c r="G190" s="3" t="str">
        <f>IFERROR(__xludf.DUMMYFUNCTION("GOOGLETRANSLATE(B190, ""it"", ""en"")"),"What does a blue star on a sign mean?")</f>
        <v>What does a blue star on a sign mean?</v>
      </c>
      <c r="H190" s="3" t="str">
        <f>IFERROR(__xludf.DUMMYFUNCTION("GOOGLETRANSLATE(C190, ""it"", ""en"")"),"A. Beginners' area B. Safe area C. Reserved area D. Refreshment area")</f>
        <v>A. Beginners' area B. Safe area C. Reserved area D. Refreshment area</v>
      </c>
      <c r="I190" s="3" t="str">
        <f>IFERROR(__xludf.DUMMYFUNCTION("GOOGLETRANSLATE(D190, ""it"", ""en"")"),"Safe zone")</f>
        <v>Safe zone</v>
      </c>
      <c r="J190" s="2"/>
      <c r="K190" s="2"/>
      <c r="L190" s="2"/>
      <c r="M190" s="2"/>
      <c r="N190" s="2"/>
      <c r="O190" s="2"/>
      <c r="P190" s="2"/>
      <c r="Q190" s="2"/>
      <c r="R190" s="2"/>
      <c r="S190" s="2"/>
      <c r="T190" s="2"/>
      <c r="U190" s="2"/>
      <c r="V190" s="2"/>
      <c r="W190" s="2"/>
    </row>
    <row r="191" ht="22.5" customHeight="1">
      <c r="A191" s="3">
        <v>190.0</v>
      </c>
      <c r="B191" s="3" t="s">
        <v>3576</v>
      </c>
      <c r="C191" s="3" t="s">
        <v>3577</v>
      </c>
      <c r="D191" s="3" t="s">
        <v>3578</v>
      </c>
      <c r="E191" s="2"/>
      <c r="F191" s="3" t="str">
        <f>IFERROR(__xludf.DUMMYFUNCTION("GOOGLETRANSLATE(A191, ""it"", ""en"")"),"190")</f>
        <v>190</v>
      </c>
      <c r="G191" s="3" t="str">
        <f>IFERROR(__xludf.DUMMYFUNCTION("GOOGLETRANSLATE(B191, ""it"", ""en"")"),"What to do if you notice that your pace is too slow compared to others?")</f>
        <v>What to do if you notice that your pace is too slow compared to others?</v>
      </c>
      <c r="H191" s="3" t="str">
        <f>IFERROR(__xludf.DUMMYFUNCTION("GOOGLETRANSLATE(C191, ""it"", ""en"")"),"A. Accelerate without turning B. Continue at your own pace C. Ask others to slow down D. Stop and let pass")</f>
        <v>A. Accelerate without turning B. Continue at your own pace C. Ask others to slow down D. Stop and let pass</v>
      </c>
      <c r="I191" s="3" t="str">
        <f>IFERROR(__xludf.DUMMYFUNCTION("GOOGLETRANSLATE(D191, ""it"", ""en"")"),"Continue at your own pace")</f>
        <v>Continue at your own pace</v>
      </c>
      <c r="J191" s="2"/>
      <c r="K191" s="2"/>
      <c r="L191" s="2"/>
      <c r="M191" s="2"/>
      <c r="N191" s="2"/>
      <c r="O191" s="2"/>
      <c r="P191" s="2"/>
      <c r="Q191" s="2"/>
      <c r="R191" s="2"/>
      <c r="S191" s="2"/>
      <c r="T191" s="2"/>
      <c r="U191" s="2"/>
      <c r="V191" s="2"/>
      <c r="W191" s="2"/>
    </row>
    <row r="192" ht="22.5" customHeight="1">
      <c r="A192" s="3">
        <v>191.0</v>
      </c>
      <c r="B192" s="3" t="s">
        <v>3579</v>
      </c>
      <c r="C192" s="3" t="s">
        <v>3580</v>
      </c>
      <c r="D192" s="3" t="s">
        <v>3581</v>
      </c>
      <c r="E192" s="2"/>
      <c r="F192" s="3" t="str">
        <f>IFERROR(__xludf.DUMMYFUNCTION("GOOGLETRANSLATE(A192, ""it"", ""en"")"),"191")</f>
        <v>191</v>
      </c>
      <c r="G192" s="3" t="str">
        <f>IFERROR(__xludf.DUMMYFUNCTION("GOOGLETRANSLATE(B192, ""it"", ""en"")"),"What does a sign with a sled symbol mean?")</f>
        <v>What does a sign with a sled symbol mean?</v>
      </c>
      <c r="H192" s="3" t="str">
        <f>IFERROR(__xludf.DUMMYFUNCTION("GOOGLETRANSLATE(C192, ""it"", ""en"")"),"A. Sledding area B. Expert course C. Forbidden course D. Beginner course")</f>
        <v>A. Sledding area B. Expert course C. Forbidden course D. Beginner course</v>
      </c>
      <c r="I192" s="3" t="str">
        <f>IFERROR(__xludf.DUMMYFUNCTION("GOOGLETRANSLATE(D192, ""it"", ""en"")"),"Sledding area")</f>
        <v>Sledding area</v>
      </c>
      <c r="J192" s="2"/>
      <c r="K192" s="2"/>
      <c r="L192" s="2"/>
      <c r="M192" s="2"/>
      <c r="N192" s="2"/>
      <c r="O192" s="2"/>
      <c r="P192" s="2"/>
      <c r="Q192" s="2"/>
      <c r="R192" s="2"/>
      <c r="S192" s="2"/>
      <c r="T192" s="2"/>
      <c r="U192" s="2"/>
      <c r="V192" s="2"/>
      <c r="W192" s="2"/>
    </row>
    <row r="193" ht="22.5" customHeight="1">
      <c r="A193" s="3">
        <v>192.0</v>
      </c>
      <c r="B193" s="3" t="s">
        <v>3582</v>
      </c>
      <c r="C193" s="3" t="s">
        <v>3583</v>
      </c>
      <c r="D193" s="3" t="s">
        <v>3584</v>
      </c>
      <c r="E193" s="2"/>
      <c r="F193" s="3" t="str">
        <f>IFERROR(__xludf.DUMMYFUNCTION("GOOGLETRANSLATE(A193, ""it"", ""en"")"),"192")</f>
        <v>192</v>
      </c>
      <c r="G193" s="3" t="str">
        <f>IFERROR(__xludf.DUMMYFUNCTION("GOOGLETRANSLATE(B193, ""it"", ""en"")"),"What to do if a runway is closed but appears usable?")</f>
        <v>What to do if a runway is closed but appears usable?</v>
      </c>
      <c r="H193" s="3" t="str">
        <f>IFERROR(__xludf.DUMMYFUNCTION("GOOGLETRANSLATE(C193, ""it"", ""en"")"),"A. Never enter it B. Use it with caution C. Ask other skiers D. Ignore the sign")</f>
        <v>A. Never enter it B. Use it with caution C. Ask other skiers D. Ignore the sign</v>
      </c>
      <c r="I193" s="3" t="str">
        <f>IFERROR(__xludf.DUMMYFUNCTION("GOOGLETRANSLATE(D193, ""it"", ""en"")"),"Never enter it")</f>
        <v>Never enter it</v>
      </c>
      <c r="J193" s="2"/>
      <c r="K193" s="2"/>
      <c r="L193" s="2"/>
      <c r="M193" s="2"/>
      <c r="N193" s="2"/>
      <c r="O193" s="2"/>
      <c r="P193" s="2"/>
      <c r="Q193" s="2"/>
      <c r="R193" s="2"/>
      <c r="S193" s="2"/>
      <c r="T193" s="2"/>
      <c r="U193" s="2"/>
      <c r="V193" s="2"/>
      <c r="W193" s="2"/>
    </row>
    <row r="194" ht="22.5" customHeight="1">
      <c r="A194" s="3">
        <v>193.0</v>
      </c>
      <c r="B194" s="3" t="s">
        <v>3585</v>
      </c>
      <c r="C194" s="3" t="s">
        <v>3586</v>
      </c>
      <c r="D194" s="3" t="s">
        <v>3587</v>
      </c>
      <c r="E194" s="2"/>
      <c r="F194" s="3" t="str">
        <f>IFERROR(__xludf.DUMMYFUNCTION("GOOGLETRANSLATE(A194, ""it"", ""en"")"),"193")</f>
        <v>193</v>
      </c>
      <c r="G194" s="3" t="str">
        <f>IFERROR(__xludf.DUMMYFUNCTION("GOOGLETRANSLATE(B194, ""it"", ""en"")"),"How can you best adapt to mixed snow conditions?")</f>
        <v>How can you best adapt to mixed snow conditions?</v>
      </c>
      <c r="H194" s="3" t="str">
        <f>IFERROR(__xludf.DUMMYFUNCTION("GOOGLETRANSLATE(C194, ""it"", ""en"")"),"A. Using a more balanced position B. Accelerating frequently C. Changing direction frequently D. Using wider boots")</f>
        <v>A. Using a more balanced position B. Accelerating frequently C. Changing direction frequently D. Using wider boots</v>
      </c>
      <c r="I194" s="3" t="str">
        <f>IFERROR(__xludf.DUMMYFUNCTION("GOOGLETRANSLATE(D194, ""it"", ""en"")"),"Using a more balanced position")</f>
        <v>Using a more balanced position</v>
      </c>
      <c r="J194" s="2"/>
      <c r="K194" s="2"/>
      <c r="L194" s="2"/>
      <c r="M194" s="2"/>
      <c r="N194" s="2"/>
      <c r="O194" s="2"/>
      <c r="P194" s="2"/>
      <c r="Q194" s="2"/>
      <c r="R194" s="2"/>
      <c r="S194" s="2"/>
      <c r="T194" s="2"/>
      <c r="U194" s="2"/>
      <c r="V194" s="2"/>
      <c r="W194" s="2"/>
    </row>
    <row r="195" ht="22.5" customHeight="1">
      <c r="A195" s="3">
        <v>194.0</v>
      </c>
      <c r="B195" s="3" t="s">
        <v>3588</v>
      </c>
      <c r="C195" s="3" t="s">
        <v>3589</v>
      </c>
      <c r="D195" s="3" t="s">
        <v>3590</v>
      </c>
      <c r="E195" s="2"/>
      <c r="F195" s="3" t="str">
        <f>IFERROR(__xludf.DUMMYFUNCTION("GOOGLETRANSLATE(A195, ""it"", ""en"")"),"194")</f>
        <v>194</v>
      </c>
      <c r="G195" s="3" t="str">
        <f>IFERROR(__xludf.DUMMYFUNCTION("GOOGLETRANSLATE(B195, ""it"", ""en"")"),"What does a blue cross on a sign mean?")</f>
        <v>What does a blue cross on a sign mean?</v>
      </c>
      <c r="H195" s="3" t="str">
        <f>IFERROR(__xludf.DUMMYFUNCTION("GOOGLETRANSLATE(C195, ""it"", ""en"")"),"A. Emergency zone B. Expert zone C. Prohibited zone D. Beginner zone")</f>
        <v>A. Emergency zone B. Expert zone C. Prohibited zone D. Beginner zone</v>
      </c>
      <c r="I195" s="3" t="str">
        <f>IFERROR(__xludf.DUMMYFUNCTION("GOOGLETRANSLATE(D195, ""it"", ""en"")"),"Emergency zone")</f>
        <v>Emergency zone</v>
      </c>
      <c r="J195" s="2"/>
      <c r="K195" s="2"/>
      <c r="L195" s="2"/>
      <c r="M195" s="2"/>
      <c r="N195" s="2"/>
      <c r="O195" s="2"/>
      <c r="P195" s="2"/>
      <c r="Q195" s="2"/>
      <c r="R195" s="2"/>
      <c r="S195" s="2"/>
      <c r="T195" s="2"/>
      <c r="U195" s="2"/>
      <c r="V195" s="2"/>
      <c r="W195" s="2"/>
    </row>
    <row r="196" ht="22.5" customHeight="1">
      <c r="A196" s="3">
        <v>195.0</v>
      </c>
      <c r="B196" s="3" t="s">
        <v>3591</v>
      </c>
      <c r="C196" s="3" t="s">
        <v>3592</v>
      </c>
      <c r="D196" s="3" t="s">
        <v>3593</v>
      </c>
      <c r="E196" s="2"/>
      <c r="F196" s="3" t="str">
        <f>IFERROR(__xludf.DUMMYFUNCTION("GOOGLETRANSLATE(A196, ""it"", ""en"")"),"195")</f>
        <v>195</v>
      </c>
      <c r="G196" s="3" t="str">
        <f>IFERROR(__xludf.DUMMYFUNCTION("GOOGLETRANSLATE(B196, ""it"", ""en"")"),"What to do if you find yourself too tired to continue skiing?")</f>
        <v>What to do if you find yourself too tired to continue skiing?</v>
      </c>
      <c r="H196" s="3" t="str">
        <f>IFERROR(__xludf.DUMMYFUNCTION("GOOGLETRANSLATE(C196, ""it"", ""en"")"),"A. Stop and rest B. Speed ​​up to finish sooner C. Use poles for support D. Continue at a slower pace")</f>
        <v>A. Stop and rest B. Speed ​​up to finish sooner C. Use poles for support D. Continue at a slower pace</v>
      </c>
      <c r="I196" s="3" t="str">
        <f>IFERROR(__xludf.DUMMYFUNCTION("GOOGLETRANSLATE(D196, ""it"", ""en"")"),"Stop and rest")</f>
        <v>Stop and rest</v>
      </c>
      <c r="J196" s="2"/>
      <c r="K196" s="2"/>
      <c r="L196" s="2"/>
      <c r="M196" s="2"/>
      <c r="N196" s="2"/>
      <c r="O196" s="2"/>
      <c r="P196" s="2"/>
      <c r="Q196" s="2"/>
      <c r="R196" s="2"/>
      <c r="S196" s="2"/>
      <c r="T196" s="2"/>
      <c r="U196" s="2"/>
      <c r="V196" s="2"/>
      <c r="W196" s="2"/>
    </row>
    <row r="197" ht="22.5" customHeight="1">
      <c r="A197" s="3">
        <v>196.0</v>
      </c>
      <c r="B197" s="3" t="s">
        <v>3594</v>
      </c>
      <c r="C197" s="3" t="s">
        <v>3595</v>
      </c>
      <c r="D197" s="3" t="s">
        <v>3115</v>
      </c>
      <c r="E197" s="2"/>
      <c r="F197" s="3" t="str">
        <f>IFERROR(__xludf.DUMMYFUNCTION("GOOGLETRANSLATE(A197, ""it"", ""en"")"),"196")</f>
        <v>196</v>
      </c>
      <c r="G197" s="3" t="str">
        <f>IFERROR(__xludf.DUMMYFUNCTION("GOOGLETRANSLATE(B197, ""it"", ""en"")"),"What does a solid green line on the runway map indicate?")</f>
        <v>What does a solid green line on the runway map indicate?</v>
      </c>
      <c r="H197" s="3" t="str">
        <f>IFERROR(__xludf.DUMMYFUNCTION("GOOGLETRANSLATE(C197, ""it"", ""en"")"),"A. Beginners' slope B. Experts' slope C. Closed slope D. Training area")</f>
        <v>A. Beginners' slope B. Experts' slope C. Closed slope D. Training area</v>
      </c>
      <c r="I197" s="3" t="str">
        <f>IFERROR(__xludf.DUMMYFUNCTION("GOOGLETRANSLATE(D197, ""it"", ""en"")"),"Beginner's slope")</f>
        <v>Beginner's slope</v>
      </c>
      <c r="J197" s="2"/>
      <c r="K197" s="2"/>
      <c r="L197" s="2"/>
      <c r="M197" s="2"/>
      <c r="N197" s="2"/>
      <c r="O197" s="2"/>
      <c r="P197" s="2"/>
      <c r="Q197" s="2"/>
      <c r="R197" s="2"/>
      <c r="S197" s="2"/>
      <c r="T197" s="2"/>
      <c r="U197" s="2"/>
      <c r="V197" s="2"/>
      <c r="W197" s="2"/>
    </row>
    <row r="198" ht="22.5" customHeight="1">
      <c r="A198" s="3">
        <v>197.0</v>
      </c>
      <c r="B198" s="3" t="s">
        <v>3596</v>
      </c>
      <c r="C198" s="3" t="s">
        <v>3597</v>
      </c>
      <c r="D198" s="3" t="s">
        <v>3598</v>
      </c>
      <c r="E198" s="2"/>
      <c r="F198" s="3" t="str">
        <f>IFERROR(__xludf.DUMMYFUNCTION("GOOGLETRANSLATE(A198, ""it"", ""en"")"),"197")</f>
        <v>197</v>
      </c>
      <c r="G198" s="3" t="str">
        <f>IFERROR(__xludf.DUMMYFUNCTION("GOOGLETRANSLATE(B198, ""it"", ""en"")"),"What to do if you encounter a trail with visible ice?")</f>
        <v>What to do if you encounter a trail with visible ice?</v>
      </c>
      <c r="H198" s="3" t="str">
        <f>IFERROR(__xludf.DUMMYFUNCTION("GOOGLETRANSLATE(C198, ""it"", ""en"")"),"A. Slow down and use poles B. Stop and look for another route C. Continue without worries D. Accelerate to get over the stretch")</f>
        <v>A. Slow down and use poles B. Stop and look for another route C. Continue without worries D. Accelerate to get over the stretch</v>
      </c>
      <c r="I198" s="3" t="str">
        <f>IFERROR(__xludf.DUMMYFUNCTION("GOOGLETRANSLATE(D198, ""it"", ""en"")"),"Slow down and use poles")</f>
        <v>Slow down and use poles</v>
      </c>
      <c r="J198" s="2"/>
      <c r="K198" s="2"/>
      <c r="L198" s="2"/>
      <c r="M198" s="2"/>
      <c r="N198" s="2"/>
      <c r="O198" s="2"/>
      <c r="P198" s="2"/>
      <c r="Q198" s="2"/>
      <c r="R198" s="2"/>
      <c r="S198" s="2"/>
      <c r="T198" s="2"/>
      <c r="U198" s="2"/>
      <c r="V198" s="2"/>
      <c r="W198" s="2"/>
    </row>
    <row r="199" ht="22.5" customHeight="1">
      <c r="A199" s="3">
        <v>198.0</v>
      </c>
      <c r="B199" s="3" t="s">
        <v>3599</v>
      </c>
      <c r="C199" s="3" t="s">
        <v>3600</v>
      </c>
      <c r="D199" s="3" t="s">
        <v>3601</v>
      </c>
      <c r="E199" s="2"/>
      <c r="F199" s="3" t="str">
        <f>IFERROR(__xludf.DUMMYFUNCTION("GOOGLETRANSLATE(A199, ""it"", ""en"")"),"198")</f>
        <v>198</v>
      </c>
      <c r="G199" s="3" t="str">
        <f>IFERROR(__xludf.DUMMYFUNCTION("GOOGLETRANSLATE(B199, ""it"", ""en"")"),"What does a sign with a tree symbol mean?")</f>
        <v>What does a sign with a tree symbol mean?</v>
      </c>
      <c r="H199" s="3" t="str">
        <f>IFERROR(__xludf.DUMMYFUNCTION("GOOGLETRANSLATE(C199, ""it"", ""en"")"),"A. Area with possible risk of branches B. Protected area C. Opening season D. Rest area")</f>
        <v>A. Area with possible risk of branches B. Protected area C. Opening season D. Rest area</v>
      </c>
      <c r="I199" s="3" t="str">
        <f>IFERROR(__xludf.DUMMYFUNCTION("GOOGLETRANSLATE(D199, ""it"", ""en"")"),"Area with possible risk of branches")</f>
        <v>Area with possible risk of branches</v>
      </c>
      <c r="J199" s="2"/>
      <c r="K199" s="2"/>
      <c r="L199" s="2"/>
      <c r="M199" s="2"/>
      <c r="N199" s="2"/>
      <c r="O199" s="2"/>
      <c r="P199" s="2"/>
      <c r="Q199" s="2"/>
      <c r="R199" s="2"/>
      <c r="S199" s="2"/>
      <c r="T199" s="2"/>
      <c r="U199" s="2"/>
      <c r="V199" s="2"/>
      <c r="W199" s="2"/>
    </row>
    <row r="200" ht="22.5" customHeight="1">
      <c r="A200" s="3">
        <v>199.0</v>
      </c>
      <c r="B200" s="3" t="s">
        <v>3602</v>
      </c>
      <c r="C200" s="3" t="s">
        <v>3603</v>
      </c>
      <c r="D200" s="3" t="s">
        <v>3604</v>
      </c>
      <c r="E200" s="2"/>
      <c r="F200" s="3" t="str">
        <f>IFERROR(__xludf.DUMMYFUNCTION("GOOGLETRANSLATE(A200, ""it"", ""en"")"),"199")</f>
        <v>199</v>
      </c>
      <c r="G200" s="3" t="str">
        <f>IFERROR(__xludf.DUMMYFUNCTION("GOOGLETRANSLATE(B200, ""it"", ""en"")"),"What to do if the slope is too crowded to continue skiing?")</f>
        <v>What to do if the slope is too crowded to continue skiing?</v>
      </c>
      <c r="H200" s="3" t="str">
        <f>IFERROR(__xludf.DUMMYFUNCTION("GOOGLETRANSLATE(C200, ""it"", ""en"")"),"A. Wait for it to clear a bit B. Accelerate to pass quickly C. Only go down on small curves D. Use an alternative track")</f>
        <v>A. Wait for it to clear a bit B. Accelerate to pass quickly C. Only go down on small curves D. Use an alternative track</v>
      </c>
      <c r="I200" s="3" t="str">
        <f>IFERROR(__xludf.DUMMYFUNCTION("GOOGLETRANSLATE(D200, ""it"", ""en"")"),"Wait for it to free up a bit")</f>
        <v>Wait for it to free up a bit</v>
      </c>
      <c r="J200" s="2"/>
      <c r="K200" s="2"/>
      <c r="L200" s="2"/>
      <c r="M200" s="2"/>
      <c r="N200" s="2"/>
      <c r="O200" s="2"/>
      <c r="P200" s="2"/>
      <c r="Q200" s="2"/>
      <c r="R200" s="2"/>
      <c r="S200" s="2"/>
      <c r="T200" s="2"/>
      <c r="U200" s="2"/>
      <c r="V200" s="2"/>
      <c r="W200" s="2"/>
    </row>
    <row r="201" ht="22.5" customHeight="1">
      <c r="A201" s="3">
        <v>200.0</v>
      </c>
      <c r="B201" s="3" t="s">
        <v>3605</v>
      </c>
      <c r="C201" s="3" t="s">
        <v>3606</v>
      </c>
      <c r="D201" s="3" t="s">
        <v>3590</v>
      </c>
      <c r="E201" s="2"/>
      <c r="F201" s="3" t="str">
        <f>IFERROR(__xludf.DUMMYFUNCTION("GOOGLETRANSLATE(A201, ""it"", ""en"")"),"200")</f>
        <v>200</v>
      </c>
      <c r="G201" s="3" t="str">
        <f>IFERROR(__xludf.DUMMYFUNCTION("GOOGLETRANSLATE(B201, ""it"", ""en"")"),"What does a sign with a blue tent symbol mean?")</f>
        <v>What does a sign with a blue tent symbol mean?</v>
      </c>
      <c r="H201" s="3" t="str">
        <f>IFERROR(__xludf.DUMMYFUNCTION("GOOGLETRANSLATE(C201, ""it"", ""en"")"),"A. Emergency area B. Expert area C. Reserved area D. Refuge area")</f>
        <v>A. Emergency area B. Expert area C. Reserved area D. Refuge area</v>
      </c>
      <c r="I201" s="3" t="str">
        <f>IFERROR(__xludf.DUMMYFUNCTION("GOOGLETRANSLATE(D201, ""it"", ""en"")"),"Emergency zone")</f>
        <v>Emergency zone</v>
      </c>
      <c r="J201" s="2"/>
      <c r="K201" s="2"/>
      <c r="L201" s="2"/>
      <c r="M201" s="2"/>
      <c r="N201" s="2"/>
      <c r="O201" s="2"/>
      <c r="P201" s="2"/>
      <c r="Q201" s="2"/>
      <c r="R201" s="2"/>
      <c r="S201" s="2"/>
      <c r="T201" s="2"/>
      <c r="U201" s="2"/>
      <c r="V201" s="2"/>
      <c r="W201" s="2"/>
    </row>
    <row r="202" ht="22.5" customHeight="1">
      <c r="A202" s="3">
        <v>201.0</v>
      </c>
      <c r="B202" s="3" t="s">
        <v>3607</v>
      </c>
      <c r="C202" s="3" t="s">
        <v>3608</v>
      </c>
      <c r="D202" s="3" t="s">
        <v>3609</v>
      </c>
      <c r="E202" s="2"/>
      <c r="F202" s="3" t="str">
        <f>IFERROR(__xludf.DUMMYFUNCTION("GOOGLETRANSLATE(A202, ""it"", ""en"")"),"201")</f>
        <v>201</v>
      </c>
      <c r="G202" s="3" t="str">
        <f>IFERROR(__xludf.DUMMYFUNCTION("GOOGLETRANSLATE(B202, ""it"", ""en"")"),"What to do if the snow is too soft to ski?")</f>
        <v>What to do if the snow is too soft to ski?</v>
      </c>
      <c r="H202" s="3" t="str">
        <f>IFERROR(__xludf.DUMMYFUNCTION("GOOGLETRANSLATE(C202, ""it"", ""en"")"),"A. Slow down and use a sliding technique B. Accelerate to go faster C. Stop and wait for the snow to solidify D. Stay on the same path")</f>
        <v>A. Slow down and use a sliding technique B. Accelerate to go faster C. Stop and wait for the snow to solidify D. Stay on the same path</v>
      </c>
      <c r="I202" s="3" t="str">
        <f>IFERROR(__xludf.DUMMYFUNCTION("GOOGLETRANSLATE(D202, ""it"", ""en"")"),"Slow down and use a gliding technique")</f>
        <v>Slow down and use a gliding technique</v>
      </c>
      <c r="J202" s="2"/>
      <c r="K202" s="2"/>
      <c r="L202" s="2"/>
      <c r="M202" s="2"/>
      <c r="N202" s="2"/>
      <c r="O202" s="2"/>
      <c r="P202" s="2"/>
      <c r="Q202" s="2"/>
      <c r="R202" s="2"/>
      <c r="S202" s="2"/>
      <c r="T202" s="2"/>
      <c r="U202" s="2"/>
      <c r="V202" s="2"/>
      <c r="W202" s="2"/>
    </row>
    <row r="203" ht="22.5" customHeight="1">
      <c r="A203" s="3">
        <v>202.0</v>
      </c>
      <c r="B203" s="3" t="s">
        <v>3610</v>
      </c>
      <c r="C203" s="3" t="s">
        <v>3611</v>
      </c>
      <c r="D203" s="3" t="s">
        <v>3612</v>
      </c>
      <c r="E203" s="2"/>
      <c r="F203" s="3" t="str">
        <f>IFERROR(__xludf.DUMMYFUNCTION("GOOGLETRANSLATE(A203, ""it"", ""en"")"),"202")</f>
        <v>202</v>
      </c>
      <c r="G203" s="3" t="str">
        <f>IFERROR(__xludf.DUMMYFUNCTION("GOOGLETRANSLATE(B203, ""it"", ""en"")"),"What does the symbol of a cross on a track mean?")</f>
        <v>What does the symbol of a cross on a track mean?</v>
      </c>
      <c r="H203" s="3" t="str">
        <f>IFERROR(__xludf.DUMMYFUNCTION("GOOGLETRANSLATE(C203, ""it"", ""en"")"),"A. Fall risk area B. Slalom area C. Avalanche risk area D. Reserved area")</f>
        <v>A. Fall risk area B. Slalom area C. Avalanche risk area D. Reserved area</v>
      </c>
      <c r="I203" s="3" t="str">
        <f>IFERROR(__xludf.DUMMYFUNCTION("GOOGLETRANSLATE(D203, ""it"", ""en"")"),"Area with risk of falling")</f>
        <v>Area with risk of falling</v>
      </c>
      <c r="J203" s="2"/>
      <c r="K203" s="2"/>
      <c r="L203" s="2"/>
      <c r="M203" s="2"/>
      <c r="N203" s="2"/>
      <c r="O203" s="2"/>
      <c r="P203" s="2"/>
      <c r="Q203" s="2"/>
      <c r="R203" s="2"/>
      <c r="S203" s="2"/>
      <c r="T203" s="2"/>
      <c r="U203" s="2"/>
      <c r="V203" s="2"/>
      <c r="W203" s="2"/>
    </row>
    <row r="204" ht="22.5" customHeight="1">
      <c r="A204" s="3">
        <v>203.0</v>
      </c>
      <c r="B204" s="3" t="s">
        <v>3613</v>
      </c>
      <c r="C204" s="3" t="s">
        <v>3614</v>
      </c>
      <c r="D204" s="3" t="s">
        <v>3615</v>
      </c>
      <c r="E204" s="2"/>
      <c r="F204" s="3" t="str">
        <f>IFERROR(__xludf.DUMMYFUNCTION("GOOGLETRANSLATE(A204, ""it"", ""en"")"),"203")</f>
        <v>203</v>
      </c>
      <c r="G204" s="3" t="str">
        <f>IFERROR(__xludf.DUMMYFUNCTION("GOOGLETRANSLATE(B204, ""it"", ""en"")"),"What to do if you slip on a very steep slope?")</f>
        <v>What to do if you slip on a very steep slope?</v>
      </c>
      <c r="H204" s="3" t="str">
        <f>IFERROR(__xludf.DUMMYFUNCTION("GOOGLETRANSLATE(C204, ""it"", ""en"")"),"A. Maintain a more upright posture B. Accelerate to exit faster C. Use a slower pace D. Turn more frequently")</f>
        <v>A. Maintain a more upright posture B. Accelerate to exit faster C. Use a slower pace D. Turn more frequently</v>
      </c>
      <c r="I204" s="3" t="str">
        <f>IFERROR(__xludf.DUMMYFUNCTION("GOOGLETRANSLATE(D204, ""it"", ""en"")"),"Maintain a more upright posture")</f>
        <v>Maintain a more upright posture</v>
      </c>
      <c r="J204" s="2"/>
      <c r="K204" s="2"/>
      <c r="L204" s="2"/>
      <c r="M204" s="2"/>
      <c r="N204" s="2"/>
      <c r="O204" s="2"/>
      <c r="P204" s="2"/>
      <c r="Q204" s="2"/>
      <c r="R204" s="2"/>
      <c r="S204" s="2"/>
      <c r="T204" s="2"/>
      <c r="U204" s="2"/>
      <c r="V204" s="2"/>
      <c r="W204" s="2"/>
    </row>
    <row r="205" ht="22.5" customHeight="1">
      <c r="A205" s="3">
        <v>204.0</v>
      </c>
      <c r="B205" s="3" t="s">
        <v>3616</v>
      </c>
      <c r="C205" s="3" t="s">
        <v>3617</v>
      </c>
      <c r="D205" s="3" t="s">
        <v>3396</v>
      </c>
      <c r="E205" s="2"/>
      <c r="F205" s="3" t="str">
        <f>IFERROR(__xludf.DUMMYFUNCTION("GOOGLETRANSLATE(A205, ""it"", ""en"")"),"204")</f>
        <v>204</v>
      </c>
      <c r="G205" s="3" t="str">
        <f>IFERROR(__xludf.DUMMYFUNCTION("GOOGLETRANSLATE(B205, ""it"", ""en"")"),"How can you improve your technique on a snowy slope?")</f>
        <v>How can you improve your technique on a snowy slope?</v>
      </c>
      <c r="H205" s="3" t="str">
        <f>IFERROR(__xludf.DUMMYFUNCTION("GOOGLETRANSLATE(C205, ""it"", ""en"")"),"A. Maintaining a constant speed B. Turning more slowly C. Using only the poles to brake D. Keeping the skis parallel")</f>
        <v>A. Maintaining a constant speed B. Turning more slowly C. Using only the poles to brake D. Keeping the skis parallel</v>
      </c>
      <c r="I205" s="3" t="str">
        <f>IFERROR(__xludf.DUMMYFUNCTION("GOOGLETRANSLATE(D205, ""it"", ""en"")"),"Keeping the skis parallel")</f>
        <v>Keeping the skis parallel</v>
      </c>
      <c r="J205" s="2"/>
      <c r="K205" s="2"/>
      <c r="L205" s="2"/>
      <c r="M205" s="2"/>
      <c r="N205" s="2"/>
      <c r="O205" s="2"/>
      <c r="P205" s="2"/>
      <c r="Q205" s="2"/>
      <c r="R205" s="2"/>
      <c r="S205" s="2"/>
      <c r="T205" s="2"/>
      <c r="U205" s="2"/>
      <c r="V205" s="2"/>
      <c r="W205" s="2"/>
    </row>
    <row r="206" ht="22.5" customHeight="1">
      <c r="A206" s="3">
        <v>205.0</v>
      </c>
      <c r="B206" s="3" t="s">
        <v>3618</v>
      </c>
      <c r="C206" s="3" t="s">
        <v>3619</v>
      </c>
      <c r="D206" s="3" t="s">
        <v>3368</v>
      </c>
      <c r="E206" s="2"/>
      <c r="F206" s="3" t="str">
        <f>IFERROR(__xludf.DUMMYFUNCTION("GOOGLETRANSLATE(A206, ""it"", ""en"")"),"205")</f>
        <v>205</v>
      </c>
      <c r="G206" s="3" t="str">
        <f>IFERROR(__xludf.DUMMYFUNCTION("GOOGLETRANSLATE(B206, ""it"", ""en"")"),"What to do if you feel sudden pain while skiing?")</f>
        <v>What to do if you feel sudden pain while skiing?</v>
      </c>
      <c r="H206" s="3" t="str">
        <f>IFERROR(__xludf.DUMMYFUNCTION("GOOGLETRANSLATE(C206, ""it"", ""en"")"),"A. Stop and ask for help B. Stop and take a break C. Ignore the pain D. Continue to slide")</f>
        <v>A. Stop and ask for help B. Stop and take a break C. Ignore the pain D. Continue to slide</v>
      </c>
      <c r="I206" s="3" t="str">
        <f>IFERROR(__xludf.DUMMYFUNCTION("GOOGLETRANSLATE(D206, ""it"", ""en"")"),"Stop and ask for help")</f>
        <v>Stop and ask for help</v>
      </c>
      <c r="J206" s="2"/>
      <c r="K206" s="2"/>
      <c r="L206" s="2"/>
      <c r="M206" s="2"/>
      <c r="N206" s="2"/>
      <c r="O206" s="2"/>
      <c r="P206" s="2"/>
      <c r="Q206" s="2"/>
      <c r="R206" s="2"/>
      <c r="S206" s="2"/>
      <c r="T206" s="2"/>
      <c r="U206" s="2"/>
      <c r="V206" s="2"/>
      <c r="W206" s="2"/>
    </row>
    <row r="207" ht="22.5" customHeight="1">
      <c r="A207" s="3">
        <v>206.0</v>
      </c>
      <c r="B207" s="3" t="s">
        <v>3620</v>
      </c>
      <c r="C207" s="3" t="s">
        <v>3621</v>
      </c>
      <c r="D207" s="3" t="s">
        <v>3443</v>
      </c>
      <c r="E207" s="2"/>
      <c r="F207" s="3" t="str">
        <f>IFERROR(__xludf.DUMMYFUNCTION("GOOGLETRANSLATE(A207, ""it"", ""en"")"),"206")</f>
        <v>206</v>
      </c>
      <c r="G207" s="3" t="str">
        <f>IFERROR(__xludf.DUMMYFUNCTION("GOOGLETRANSLATE(B207, ""it"", ""en"")"),"What does a sign with a red mountain symbol mean?")</f>
        <v>What does a sign with a red mountain symbol mean?</v>
      </c>
      <c r="H207" s="3" t="str">
        <f>IFERROR(__xludf.DUMMYFUNCTION("GOOGLETRANSLATE(C207, ""it"", ""en"")"),"A. Expert area B. Reserved area C. Emergency area D. Intermediate route")</f>
        <v>A. Expert area B. Reserved area C. Emergency area D. Intermediate route</v>
      </c>
      <c r="I207" s="3" t="str">
        <f>IFERROR(__xludf.DUMMYFUNCTION("GOOGLETRANSLATE(D207, ""it"", ""en"")"),"Expert area")</f>
        <v>Expert area</v>
      </c>
      <c r="J207" s="2"/>
      <c r="K207" s="2"/>
      <c r="L207" s="2"/>
      <c r="M207" s="2"/>
      <c r="N207" s="2"/>
      <c r="O207" s="2"/>
      <c r="P207" s="2"/>
      <c r="Q207" s="2"/>
      <c r="R207" s="2"/>
      <c r="S207" s="2"/>
      <c r="T207" s="2"/>
      <c r="U207" s="2"/>
      <c r="V207" s="2"/>
      <c r="W207" s="2"/>
    </row>
    <row r="208" ht="22.5" customHeight="1">
      <c r="A208" s="3">
        <v>207.0</v>
      </c>
      <c r="B208" s="3" t="s">
        <v>3622</v>
      </c>
      <c r="C208" s="3" t="s">
        <v>3623</v>
      </c>
      <c r="D208" s="3" t="s">
        <v>3624</v>
      </c>
      <c r="E208" s="2"/>
      <c r="F208" s="3" t="str">
        <f>IFERROR(__xludf.DUMMYFUNCTION("GOOGLETRANSLATE(A208, ""it"", ""en"")"),"207")</f>
        <v>207</v>
      </c>
      <c r="G208" s="3" t="str">
        <f>IFERROR(__xludf.DUMMYFUNCTION("GOOGLETRANSLATE(B208, ""it"", ""en"")"),"What to do if the snow becomes heavy during a descent?")</f>
        <v>What to do if the snow becomes heavy during a descent?</v>
      </c>
      <c r="H208" s="3" t="str">
        <f>IFERROR(__xludf.DUMMYFUNCTION("GOOGLETRANSLATE(C208, ""it"", ""en"")"),"A. Slow down and use more controlled movements B. Speed ​​up to get through the stretch C. Continue at the same pace D. Use the parallel technique")</f>
        <v>A. Slow down and use more controlled movements B. Speed ​​up to get through the stretch C. Continue at the same pace D. Use the parallel technique</v>
      </c>
      <c r="I208" s="3" t="str">
        <f>IFERROR(__xludf.DUMMYFUNCTION("GOOGLETRANSLATE(D208, ""it"", ""en"")"),"Slow down and use more controlled movements")</f>
        <v>Slow down and use more controlled movements</v>
      </c>
      <c r="J208" s="2"/>
      <c r="K208" s="2"/>
      <c r="L208" s="2"/>
      <c r="M208" s="2"/>
      <c r="N208" s="2"/>
      <c r="O208" s="2"/>
      <c r="P208" s="2"/>
      <c r="Q208" s="2"/>
      <c r="R208" s="2"/>
      <c r="S208" s="2"/>
      <c r="T208" s="2"/>
      <c r="U208" s="2"/>
      <c r="V208" s="2"/>
      <c r="W208" s="2"/>
    </row>
    <row r="209" ht="22.5" customHeight="1">
      <c r="A209" s="3">
        <v>208.0</v>
      </c>
      <c r="B209" s="3" t="s">
        <v>3625</v>
      </c>
      <c r="C209" s="3" t="s">
        <v>3626</v>
      </c>
      <c r="D209" s="3" t="s">
        <v>3627</v>
      </c>
      <c r="E209" s="2"/>
      <c r="F209" s="3" t="str">
        <f>IFERROR(__xludf.DUMMYFUNCTION("GOOGLETRANSLATE(A209, ""it"", ""en"")"),"208")</f>
        <v>208</v>
      </c>
      <c r="G209" s="3" t="str">
        <f>IFERROR(__xludf.DUMMYFUNCTION("GOOGLETRANSLATE(B209, ""it"", ""en"")"),"How can you reduce the risk of a fall while cornering?")</f>
        <v>How can you reduce the risk of a fall while cornering?</v>
      </c>
      <c r="H209" s="3" t="str">
        <f>IFERROR(__xludf.DUMMYFUNCTION("GOOGLETRANSLATE(C209, ""it"", ""en"")"),"A. By leaning more in and controlling yourself B. By maintaining a rigid posture C. By using poles to avoid losing your balance D. By turning faster")</f>
        <v>A. By leaning more in and controlling yourself B. By maintaining a rigid posture C. By using poles to avoid losing your balance D. By turning faster</v>
      </c>
      <c r="I209" s="3" t="str">
        <f>IFERROR(__xludf.DUMMYFUNCTION("GOOGLETRANSLATE(D209, ""it"", ""en"")"),"Positioning yourself more inclined and controlled")</f>
        <v>Positioning yourself more inclined and controlled</v>
      </c>
      <c r="J209" s="2"/>
      <c r="K209" s="2"/>
      <c r="L209" s="2"/>
      <c r="M209" s="2"/>
      <c r="N209" s="2"/>
      <c r="O209" s="2"/>
      <c r="P209" s="2"/>
      <c r="Q209" s="2"/>
      <c r="R209" s="2"/>
      <c r="S209" s="2"/>
      <c r="T209" s="2"/>
      <c r="U209" s="2"/>
      <c r="V209" s="2"/>
      <c r="W209" s="2"/>
    </row>
    <row r="210" ht="22.5" customHeight="1">
      <c r="A210" s="3">
        <v>209.0</v>
      </c>
      <c r="B210" s="3" t="s">
        <v>3628</v>
      </c>
      <c r="C210" s="3" t="s">
        <v>3629</v>
      </c>
      <c r="D210" s="3" t="s">
        <v>3630</v>
      </c>
      <c r="E210" s="2"/>
      <c r="F210" s="3" t="str">
        <f>IFERROR(__xludf.DUMMYFUNCTION("GOOGLETRANSLATE(A210, ""it"", ""en"")"),"209")</f>
        <v>209</v>
      </c>
      <c r="G210" s="3" t="str">
        <f>IFERROR(__xludf.DUMMYFUNCTION("GOOGLETRANSLATE(B210, ""it"", ""en"")"),"What to do if another skier cuts you off?")</f>
        <v>What to do if another skier cuts you off?</v>
      </c>
      <c r="H210" s="3" t="str">
        <f>IFERROR(__xludf.DUMMYFUNCTION("GOOGLETRANSLATE(C210, ""it"", ""en"")"),"A. Stop immediately and regain control B. Continue skiing as before C. Avoid him with a sharp turn D. Ring a bell to warn him")</f>
        <v>A. Stop immediately and regain control B. Continue skiing as before C. Avoid him with a sharp turn D. Ring a bell to warn him</v>
      </c>
      <c r="I210" s="3" t="str">
        <f>IFERROR(__xludf.DUMMYFUNCTION("GOOGLETRANSLATE(D210, ""it"", ""en"")"),"Stop immediately and regain control")</f>
        <v>Stop immediately and regain control</v>
      </c>
      <c r="J210" s="2"/>
      <c r="K210" s="2"/>
      <c r="L210" s="2"/>
      <c r="M210" s="2"/>
      <c r="N210" s="2"/>
      <c r="O210" s="2"/>
      <c r="P210" s="2"/>
      <c r="Q210" s="2"/>
      <c r="R210" s="2"/>
      <c r="S210" s="2"/>
      <c r="T210" s="2"/>
      <c r="U210" s="2"/>
      <c r="V210" s="2"/>
      <c r="W210" s="2"/>
    </row>
    <row r="211" ht="22.5" customHeight="1">
      <c r="A211" s="3">
        <v>210.0</v>
      </c>
      <c r="B211" s="3" t="s">
        <v>3631</v>
      </c>
      <c r="C211" s="3" t="s">
        <v>3632</v>
      </c>
      <c r="D211" s="3" t="s">
        <v>3633</v>
      </c>
      <c r="E211" s="2"/>
      <c r="F211" s="3" t="str">
        <f>IFERROR(__xludf.DUMMYFUNCTION("GOOGLETRANSLATE(A211, ""it"", ""en"")"),"210")</f>
        <v>210</v>
      </c>
      <c r="G211" s="3" t="str">
        <f>IFERROR(__xludf.DUMMYFUNCTION("GOOGLETRANSLATE(B211, ""it"", ""en"")"),"What does the cross-country ski symbol on a sign mean?")</f>
        <v>What does the cross-country ski symbol on a sign mean?</v>
      </c>
      <c r="H211" s="3" t="str">
        <f>IFERROR(__xludf.DUMMYFUNCTION("GOOGLETRANSLATE(C211, ""it"", ""en"")"),"A. Trail dedicated to cross-country skiers B. Emergency area C. Beginner's slope D. Rest area")</f>
        <v>A. Trail dedicated to cross-country skiers B. Emergency area C. Beginner's slope D. Rest area</v>
      </c>
      <c r="I211" s="3" t="str">
        <f>IFERROR(__xludf.DUMMYFUNCTION("GOOGLETRANSLATE(D211, ""it"", ""en"")"),"Trail dedicated to cross-country skiers")</f>
        <v>Trail dedicated to cross-country skiers</v>
      </c>
      <c r="J211" s="2"/>
      <c r="K211" s="2"/>
      <c r="L211" s="2"/>
      <c r="M211" s="2"/>
      <c r="N211" s="2"/>
      <c r="O211" s="2"/>
      <c r="P211" s="2"/>
      <c r="Q211" s="2"/>
      <c r="R211" s="2"/>
      <c r="S211" s="2"/>
      <c r="T211" s="2"/>
      <c r="U211" s="2"/>
      <c r="V211" s="2"/>
      <c r="W211" s="2"/>
    </row>
    <row r="212" ht="22.5" customHeight="1">
      <c r="A212" s="3">
        <v>211.0</v>
      </c>
      <c r="B212" s="3" t="s">
        <v>3634</v>
      </c>
      <c r="C212" s="3" t="s">
        <v>3635</v>
      </c>
      <c r="D212" s="3" t="s">
        <v>3636</v>
      </c>
      <c r="E212" s="2"/>
      <c r="F212" s="3" t="str">
        <f>IFERROR(__xludf.DUMMYFUNCTION("GOOGLETRANSLATE(A212, ""it"", ""en"")"),"211")</f>
        <v>211</v>
      </c>
      <c r="G212" s="3" t="str">
        <f>IFERROR(__xludf.DUMMYFUNCTION("GOOGLETRANSLATE(B212, ""it"", ""en"")"),"What to do if you encounter a sudden obstacle on the trail?")</f>
        <v>What to do if you encounter a sudden obstacle on the trail?</v>
      </c>
      <c r="H212" s="3" t="str">
        <f>IFERROR(__xludf.DUMMYFUNCTION("GOOGLETRANSLATE(C212, ""it"", ""en"")"),"A. Stop immediately and signal it B. Accelerate to skip it C. Turn to avoid it D. Continue on your trajectory")</f>
        <v>A. Stop immediately and signal it B. Accelerate to skip it C. Turn to avoid it D. Continue on your trajectory</v>
      </c>
      <c r="I212" s="3" t="str">
        <f>IFERROR(__xludf.DUMMYFUNCTION("GOOGLETRANSLATE(D212, ""it"", ""en"")"),"Stop immediately and report it")</f>
        <v>Stop immediately and report it</v>
      </c>
      <c r="J212" s="2"/>
      <c r="K212" s="2"/>
      <c r="L212" s="2"/>
      <c r="M212" s="2"/>
      <c r="N212" s="2"/>
      <c r="O212" s="2"/>
      <c r="P212" s="2"/>
      <c r="Q212" s="2"/>
      <c r="R212" s="2"/>
      <c r="S212" s="2"/>
      <c r="T212" s="2"/>
      <c r="U212" s="2"/>
      <c r="V212" s="2"/>
      <c r="W212" s="2"/>
    </row>
    <row r="213" ht="22.5" customHeight="1">
      <c r="A213" s="3">
        <v>212.0</v>
      </c>
      <c r="B213" s="3" t="s">
        <v>3637</v>
      </c>
      <c r="C213" s="3" t="s">
        <v>3638</v>
      </c>
      <c r="D213" s="3" t="s">
        <v>3639</v>
      </c>
      <c r="E213" s="2"/>
      <c r="F213" s="3" t="str">
        <f>IFERROR(__xludf.DUMMYFUNCTION("GOOGLETRANSLATE(A213, ""it"", ""en"")"),"212")</f>
        <v>212</v>
      </c>
      <c r="G213" s="3" t="str">
        <f>IFERROR(__xludf.DUMMYFUNCTION("GOOGLETRANSLATE(B213, ""it"", ""en"")"),"What does a sign with a sharp curve and an exclamation mark mean?")</f>
        <v>What does a sign with a sharp curve and an exclamation mark mean?</v>
      </c>
      <c r="H213" s="3" t="str">
        <f>IFERROR(__xludf.DUMMYFUNCTION("GOOGLETRANSLATE(C213, ""it"", ""en"")"),"A. Track with risk of falling B. Restricted area C. Emergency area D. Dangerous curve")</f>
        <v>A. Track with risk of falling B. Restricted area C. Emergency area D. Dangerous curve</v>
      </c>
      <c r="I213" s="3" t="str">
        <f>IFERROR(__xludf.DUMMYFUNCTION("GOOGLETRANSLATE(D213, ""it"", ""en"")"),"Track with risk of falling")</f>
        <v>Track with risk of falling</v>
      </c>
      <c r="J213" s="2"/>
      <c r="K213" s="2"/>
      <c r="L213" s="2"/>
      <c r="M213" s="2"/>
      <c r="N213" s="2"/>
      <c r="O213" s="2"/>
      <c r="P213" s="2"/>
      <c r="Q213" s="2"/>
      <c r="R213" s="2"/>
      <c r="S213" s="2"/>
      <c r="T213" s="2"/>
      <c r="U213" s="2"/>
      <c r="V213" s="2"/>
      <c r="W213" s="2"/>
    </row>
    <row r="214" ht="22.5" customHeight="1">
      <c r="A214" s="3">
        <v>213.0</v>
      </c>
      <c r="B214" s="3" t="s">
        <v>3640</v>
      </c>
      <c r="C214" s="3" t="s">
        <v>3641</v>
      </c>
      <c r="D214" s="3" t="s">
        <v>3642</v>
      </c>
      <c r="E214" s="2"/>
      <c r="F214" s="3" t="str">
        <f>IFERROR(__xludf.DUMMYFUNCTION("GOOGLETRANSLATE(A214, ""it"", ""en"")"),"213")</f>
        <v>213</v>
      </c>
      <c r="G214" s="3" t="str">
        <f>IFERROR(__xludf.DUMMYFUNCTION("GOOGLETRANSLATE(B214, ""it"", ""en"")"),"How can you improve your speed when skiing?")</f>
        <v>How can you improve your speed when skiing?</v>
      </c>
      <c r="H214" s="3" t="str">
        <f>IFERROR(__xludf.DUMMYFUNCTION("GOOGLETRANSLATE(C214, ""it"", ""en"")"),"A. Using shorter skis B. Continuing to turn frequently C. Placing your feet further apart D. Using an aerodynamic posture")</f>
        <v>A. Using shorter skis B. Continuing to turn frequently C. Placing your feet further apart D. Using an aerodynamic posture</v>
      </c>
      <c r="I214" s="3" t="str">
        <f>IFERROR(__xludf.DUMMYFUNCTION("GOOGLETRANSLATE(D214, ""it"", ""en"")"),"Using an aerodynamic posture")</f>
        <v>Using an aerodynamic posture</v>
      </c>
      <c r="J214" s="2"/>
      <c r="K214" s="2"/>
      <c r="L214" s="2"/>
      <c r="M214" s="2"/>
      <c r="N214" s="2"/>
      <c r="O214" s="2"/>
      <c r="P214" s="2"/>
      <c r="Q214" s="2"/>
      <c r="R214" s="2"/>
      <c r="S214" s="2"/>
      <c r="T214" s="2"/>
      <c r="U214" s="2"/>
      <c r="V214" s="2"/>
      <c r="W214" s="2"/>
    </row>
    <row r="215" ht="22.5" customHeight="1">
      <c r="A215" s="3">
        <v>214.0</v>
      </c>
      <c r="B215" s="3" t="s">
        <v>3643</v>
      </c>
      <c r="C215" s="3" t="s">
        <v>3644</v>
      </c>
      <c r="D215" s="3" t="s">
        <v>3645</v>
      </c>
      <c r="E215" s="2"/>
      <c r="F215" s="3" t="str">
        <f>IFERROR(__xludf.DUMMYFUNCTION("GOOGLETRANSLATE(A215, ""it"", ""en"")"),"214")</f>
        <v>214</v>
      </c>
      <c r="G215" s="3" t="str">
        <f>IFERROR(__xludf.DUMMYFUNCTION("GOOGLETRANSLATE(B215, ""it"", ""en"")"),"What to do if you notice that your skis don't glide properly?")</f>
        <v>What to do if you notice that your skis don't glide properly?</v>
      </c>
      <c r="H215" s="3" t="str">
        <f>IFERROR(__xludf.DUMMYFUNCTION("GOOGLETRANSLATE(C215, ""it"", ""en"")"),"A. Check that there are no stones or ice underneath B. Stop and change them C. Continue carefully D. Adjust the position of the foot")</f>
        <v>A. Check that there are no stones or ice underneath B. Stop and change them C. Continue carefully D. Adjust the position of the foot</v>
      </c>
      <c r="I215" s="3" t="str">
        <f>IFERROR(__xludf.DUMMYFUNCTION("GOOGLETRANSLATE(D215, ""it"", ""en"")"),"Make sure there are no stones or ice underneath")</f>
        <v>Make sure there are no stones or ice underneath</v>
      </c>
      <c r="J215" s="2"/>
      <c r="K215" s="2"/>
      <c r="L215" s="2"/>
      <c r="M215" s="2"/>
      <c r="N215" s="2"/>
      <c r="O215" s="2"/>
      <c r="P215" s="2"/>
      <c r="Q215" s="2"/>
      <c r="R215" s="2"/>
      <c r="S215" s="2"/>
      <c r="T215" s="2"/>
      <c r="U215" s="2"/>
      <c r="V215" s="2"/>
      <c r="W215" s="2"/>
    </row>
    <row r="216" ht="22.5" customHeight="1">
      <c r="A216" s="3">
        <v>215.0</v>
      </c>
      <c r="B216" s="3" t="s">
        <v>3646</v>
      </c>
      <c r="C216" s="3" t="s">
        <v>3647</v>
      </c>
      <c r="D216" s="3" t="s">
        <v>3648</v>
      </c>
      <c r="E216" s="2"/>
      <c r="F216" s="3" t="str">
        <f>IFERROR(__xludf.DUMMYFUNCTION("GOOGLETRANSLATE(A216, ""it"", ""en"")"),"215")</f>
        <v>215</v>
      </c>
      <c r="G216" s="3" t="str">
        <f>IFERROR(__xludf.DUMMYFUNCTION("GOOGLETRANSLATE(B216, ""it"", ""en"")"),"What does a sign with a solid red line mean?")</f>
        <v>What does a sign with a solid red line mean?</v>
      </c>
      <c r="H216" s="3" t="str">
        <f>IFERROR(__xludf.DUMMYFUNCTION("GOOGLETRANSLATE(C216, ""it"", ""en"")"),"A. Difficult track B. Closed area C. Beginner's course D. Training area")</f>
        <v>A. Difficult track B. Closed area C. Beginner's course D. Training area</v>
      </c>
      <c r="I216" s="3" t="str">
        <f>IFERROR(__xludf.DUMMYFUNCTION("GOOGLETRANSLATE(D216, ""it"", ""en"")"),"Difficult track")</f>
        <v>Difficult track</v>
      </c>
      <c r="J216" s="2"/>
      <c r="K216" s="2"/>
      <c r="L216" s="2"/>
      <c r="M216" s="2"/>
      <c r="N216" s="2"/>
      <c r="O216" s="2"/>
      <c r="P216" s="2"/>
      <c r="Q216" s="2"/>
      <c r="R216" s="2"/>
      <c r="S216" s="2"/>
      <c r="T216" s="2"/>
      <c r="U216" s="2"/>
      <c r="V216" s="2"/>
      <c r="W216" s="2"/>
    </row>
    <row r="217" ht="22.5" customHeight="1">
      <c r="A217" s="3">
        <v>216.0</v>
      </c>
      <c r="B217" s="3" t="s">
        <v>3649</v>
      </c>
      <c r="C217" s="3" t="s">
        <v>3650</v>
      </c>
      <c r="D217" s="3" t="s">
        <v>3651</v>
      </c>
      <c r="E217" s="2"/>
      <c r="F217" s="3" t="str">
        <f>IFERROR(__xludf.DUMMYFUNCTION("GOOGLETRANSLATE(A217, ""it"", ""en"")"),"216")</f>
        <v>216</v>
      </c>
      <c r="G217" s="3" t="str">
        <f>IFERROR(__xludf.DUMMYFUNCTION("GOOGLETRANSLATE(B217, ""it"", ""en"")"),"What to do if another skier falls in front of you?")</f>
        <v>What to do if another skier falls in front of you?</v>
      </c>
      <c r="H217" s="3" t="str">
        <f>IFERROR(__xludf.DUMMYFUNCTION("GOOGLETRANSLATE(C217, ""it"", ""en"")"),"A. Avoid the fall by turning suddenly B. Call for help and stop C. Walk over the fall D. Stop and wait for it to rise again")</f>
        <v>A. Avoid the fall by turning suddenly B. Call for help and stop C. Walk over the fall D. Stop and wait for it to rise again</v>
      </c>
      <c r="I217" s="3" t="str">
        <f>IFERROR(__xludf.DUMMYFUNCTION("GOOGLETRANSLATE(D217, ""it"", ""en"")"),"Call for help and stop")</f>
        <v>Call for help and stop</v>
      </c>
      <c r="J217" s="2"/>
      <c r="K217" s="2"/>
      <c r="L217" s="2"/>
      <c r="M217" s="2"/>
      <c r="N217" s="2"/>
      <c r="O217" s="2"/>
      <c r="P217" s="2"/>
      <c r="Q217" s="2"/>
      <c r="R217" s="2"/>
      <c r="S217" s="2"/>
      <c r="T217" s="2"/>
      <c r="U217" s="2"/>
      <c r="V217" s="2"/>
      <c r="W217" s="2"/>
    </row>
    <row r="218" ht="22.5" customHeight="1">
      <c r="A218" s="3">
        <v>217.0</v>
      </c>
      <c r="B218" s="3" t="s">
        <v>3652</v>
      </c>
      <c r="C218" s="3" t="s">
        <v>3653</v>
      </c>
      <c r="D218" s="3" t="s">
        <v>3654</v>
      </c>
      <c r="E218" s="2"/>
      <c r="F218" s="3" t="str">
        <f>IFERROR(__xludf.DUMMYFUNCTION("GOOGLETRANSLATE(A218, ""it"", ""en"")"),"217")</f>
        <v>217</v>
      </c>
      <c r="G218" s="3" t="str">
        <f>IFERROR(__xludf.DUMMYFUNCTION("GOOGLETRANSLATE(B218, ""it"", ""en"")"),"What does the symbol of a mountain with a sun on a sign mean?")</f>
        <v>What does the symbol of a mountain with a sun on a sign mean?</v>
      </c>
      <c r="H218" s="3" t="str">
        <f>IFERROR(__xludf.DUMMYFUNCTION("GOOGLETRANSLATE(C218, ""it"", ""en"")"),"A. Track suitable for all ages B. Meeting area C. Sunny track D. Slalom area")</f>
        <v>A. Track suitable for all ages B. Meeting area C. Sunny track D. Slalom area</v>
      </c>
      <c r="I218" s="3" t="str">
        <f>IFERROR(__xludf.DUMMYFUNCTION("GOOGLETRANSLATE(D218, ""it"", ""en"")"),"Sunny track")</f>
        <v>Sunny track</v>
      </c>
      <c r="J218" s="2"/>
      <c r="K218" s="2"/>
      <c r="L218" s="2"/>
      <c r="M218" s="2"/>
      <c r="N218" s="2"/>
      <c r="O218" s="2"/>
      <c r="P218" s="2"/>
      <c r="Q218" s="2"/>
      <c r="R218" s="2"/>
      <c r="S218" s="2"/>
      <c r="T218" s="2"/>
      <c r="U218" s="2"/>
      <c r="V218" s="2"/>
      <c r="W218" s="2"/>
    </row>
    <row r="219" ht="22.5" customHeight="1">
      <c r="A219" s="3">
        <v>218.0</v>
      </c>
      <c r="B219" s="3" t="s">
        <v>3655</v>
      </c>
      <c r="C219" s="3" t="s">
        <v>3656</v>
      </c>
      <c r="D219" s="3" t="s">
        <v>3657</v>
      </c>
      <c r="E219" s="2"/>
      <c r="F219" s="3" t="str">
        <f>IFERROR(__xludf.DUMMYFUNCTION("GOOGLETRANSLATE(A219, ""it"", ""en"")"),"218")</f>
        <v>218</v>
      </c>
      <c r="G219" s="3" t="str">
        <f>IFERROR(__xludf.DUMMYFUNCTION("GOOGLETRANSLATE(B219, ""it"", ""en"")"),"What to do if another skier is dangerously overtaking you?")</f>
        <v>What to do if another skier is dangerously overtaking you?</v>
      </c>
      <c r="H219" s="3" t="str">
        <f>IFERROR(__xludf.DUMMYFUNCTION("GOOGLETRANSLATE(C219, ""it"", ""en"")"),"A. Move away from its path B. Accelerate to pass it C. Move faster D. Stay on the same line")</f>
        <v>A. Move away from its path B. Accelerate to pass it C. Move faster D. Stay on the same line</v>
      </c>
      <c r="I219" s="3" t="str">
        <f>IFERROR(__xludf.DUMMYFUNCTION("GOOGLETRANSLATE(D219, ""it"", ""en"")"),"Get out of its way")</f>
        <v>Get out of its way</v>
      </c>
      <c r="J219" s="2"/>
      <c r="K219" s="2"/>
      <c r="L219" s="2"/>
      <c r="M219" s="2"/>
      <c r="N219" s="2"/>
      <c r="O219" s="2"/>
      <c r="P219" s="2"/>
      <c r="Q219" s="2"/>
      <c r="R219" s="2"/>
      <c r="S219" s="2"/>
      <c r="T219" s="2"/>
      <c r="U219" s="2"/>
      <c r="V219" s="2"/>
      <c r="W219" s="2"/>
    </row>
    <row r="220" ht="22.5" customHeight="1">
      <c r="A220" s="3">
        <v>219.0</v>
      </c>
      <c r="B220" s="3" t="s">
        <v>3658</v>
      </c>
      <c r="C220" s="3" t="s">
        <v>3659</v>
      </c>
      <c r="D220" s="3" t="s">
        <v>3660</v>
      </c>
      <c r="E220" s="2"/>
      <c r="F220" s="3" t="str">
        <f>IFERROR(__xludf.DUMMYFUNCTION("GOOGLETRANSLATE(A220, ""it"", ""en"")"),"219")</f>
        <v>219</v>
      </c>
      <c r="G220" s="3" t="str">
        <f>IFERROR(__xludf.DUMMYFUNCTION("GOOGLETRANSLATE(B220, ""it"", ""en"")"),"What to do if visibility is too low to continue?")</f>
        <v>What to do if visibility is too low to continue?</v>
      </c>
      <c r="H220" s="3" t="str">
        <f>IFERROR(__xludf.DUMMYFUNCTION("GOOGLETRANSLATE(C220, ""it"", ""en"")"),"A. Slow down and seek shelter B. Speed ​​up to finish first C. Use an alternative route D. Continue with caution")</f>
        <v>A. Slow down and seek shelter B. Speed ​​up to finish first C. Use an alternative route D. Continue with caution</v>
      </c>
      <c r="I220" s="3" t="str">
        <f>IFERROR(__xludf.DUMMYFUNCTION("GOOGLETRANSLATE(D220, ""it"", ""en"")"),"Slow down and seek shelter")</f>
        <v>Slow down and seek shelter</v>
      </c>
      <c r="J220" s="2"/>
      <c r="K220" s="2"/>
      <c r="L220" s="2"/>
      <c r="M220" s="2"/>
      <c r="N220" s="2"/>
      <c r="O220" s="2"/>
      <c r="P220" s="2"/>
      <c r="Q220" s="2"/>
      <c r="R220" s="2"/>
      <c r="S220" s="2"/>
      <c r="T220" s="2"/>
      <c r="U220" s="2"/>
      <c r="V220" s="2"/>
      <c r="W220" s="2"/>
    </row>
    <row r="221" ht="22.5" customHeight="1">
      <c r="A221" s="3">
        <v>220.0</v>
      </c>
      <c r="B221" s="3" t="s">
        <v>3661</v>
      </c>
      <c r="C221" s="3" t="s">
        <v>3662</v>
      </c>
      <c r="D221" s="3" t="s">
        <v>3663</v>
      </c>
      <c r="E221" s="2"/>
      <c r="F221" s="3" t="str">
        <f>IFERROR(__xludf.DUMMYFUNCTION("GOOGLETRANSLATE(A221, ""it"", ""en"")"),"220")</f>
        <v>220</v>
      </c>
      <c r="G221" s="3" t="str">
        <f>IFERROR(__xludf.DUMMYFUNCTION("GOOGLETRANSLATE(B221, ""it"", ""en"")"),"What does a sign with a snowball symbol mean?")</f>
        <v>What does a sign with a snowball symbol mean?</v>
      </c>
      <c r="H221" s="3" t="str">
        <f>IFERROR(__xludf.DUMMYFUNCTION("GOOGLETRANSLATE(C221, ""it"", ""en"")"),"A. Rest area B. Icy slope C. Impending avalanche D. Gliding zone")</f>
        <v>A. Rest area B. Icy slope C. Impending avalanche D. Gliding zone</v>
      </c>
      <c r="I221" s="3" t="str">
        <f>IFERROR(__xludf.DUMMYFUNCTION("GOOGLETRANSLATE(D221, ""it"", ""en"")"),"Rest area")</f>
        <v>Rest area</v>
      </c>
      <c r="J221" s="2"/>
      <c r="K221" s="2"/>
      <c r="L221" s="2"/>
      <c r="M221" s="2"/>
      <c r="N221" s="2"/>
      <c r="O221" s="2"/>
      <c r="P221" s="2"/>
      <c r="Q221" s="2"/>
      <c r="R221" s="2"/>
      <c r="S221" s="2"/>
      <c r="T221" s="2"/>
      <c r="U221" s="2"/>
      <c r="V221" s="2"/>
      <c r="W221" s="2"/>
    </row>
    <row r="222" ht="22.5" customHeight="1">
      <c r="A222" s="3">
        <v>221.0</v>
      </c>
      <c r="B222" s="3" t="s">
        <v>3664</v>
      </c>
      <c r="C222" s="3" t="s">
        <v>3665</v>
      </c>
      <c r="D222" s="3" t="s">
        <v>3666</v>
      </c>
      <c r="E222" s="2"/>
      <c r="F222" s="3" t="str">
        <f>IFERROR(__xludf.DUMMYFUNCTION("GOOGLETRANSLATE(A222, ""it"", ""en"")"),"221")</f>
        <v>221</v>
      </c>
      <c r="G222" s="3" t="str">
        <f>IFERROR(__xludf.DUMMYFUNCTION("GOOGLETRANSLATE(B222, ""it"", ""en"")"),"What to do if your helmet comes off during a descent?")</f>
        <v>What to do if your helmet comes off during a descent?</v>
      </c>
      <c r="H222" s="3" t="str">
        <f>IFERROR(__xludf.DUMMYFUNCTION("GOOGLETRANSLATE(C222, ""it"", ""en"")"),"A. Stop immediately and put it back on B. Stop and ask for help C. Continue without a helmet D. Adjust the visor")</f>
        <v>A. Stop immediately and put it back on B. Stop and ask for help C. Continue without a helmet D. Adjust the visor</v>
      </c>
      <c r="I222" s="3" t="str">
        <f>IFERROR(__xludf.DUMMYFUNCTION("GOOGLETRANSLATE(D222, ""it"", ""en"")"),"Stop immediately and put it back on")</f>
        <v>Stop immediately and put it back on</v>
      </c>
      <c r="J222" s="2"/>
      <c r="K222" s="2"/>
      <c r="L222" s="2"/>
      <c r="M222" s="2"/>
      <c r="N222" s="2"/>
      <c r="O222" s="2"/>
      <c r="P222" s="2"/>
      <c r="Q222" s="2"/>
      <c r="R222" s="2"/>
      <c r="S222" s="2"/>
      <c r="T222" s="2"/>
      <c r="U222" s="2"/>
      <c r="V222" s="2"/>
      <c r="W222" s="2"/>
    </row>
    <row r="223" ht="22.5" customHeight="1">
      <c r="A223" s="3">
        <v>222.0</v>
      </c>
      <c r="B223" s="3" t="s">
        <v>3667</v>
      </c>
      <c r="C223" s="3" t="s">
        <v>3668</v>
      </c>
      <c r="D223" s="3" t="s">
        <v>3669</v>
      </c>
      <c r="E223" s="2"/>
      <c r="F223" s="3" t="str">
        <f>IFERROR(__xludf.DUMMYFUNCTION("GOOGLETRANSLATE(A223, ""it"", ""en"")"),"222")</f>
        <v>222</v>
      </c>
      <c r="G223" s="3" t="str">
        <f>IFERROR(__xludf.DUMMYFUNCTION("GOOGLETRANSLATE(B223, ""it"", ""en"")"),"How can you increase your safety while skiing in the mountains?")</f>
        <v>How can you increase your safety while skiing in the mountains?</v>
      </c>
      <c r="H223" s="3" t="str">
        <f>IFERROR(__xludf.DUMMYFUNCTION("GOOGLETRANSLATE(C223, ""it"", ""en"")"),"A. Skiing in a group B. Wearing only technical clothing C. Turning more frequently D. Always skiing alone")</f>
        <v>A. Skiing in a group B. Wearing only technical clothing C. Turning more frequently D. Always skiing alone</v>
      </c>
      <c r="I223" s="3" t="str">
        <f>IFERROR(__xludf.DUMMYFUNCTION("GOOGLETRANSLATE(D223, ""it"", ""en"")"),"Skiing in a group")</f>
        <v>Skiing in a group</v>
      </c>
      <c r="J223" s="2"/>
      <c r="K223" s="2"/>
      <c r="L223" s="2"/>
      <c r="M223" s="2"/>
      <c r="N223" s="2"/>
      <c r="O223" s="2"/>
      <c r="P223" s="2"/>
      <c r="Q223" s="2"/>
      <c r="R223" s="2"/>
      <c r="S223" s="2"/>
      <c r="T223" s="2"/>
      <c r="U223" s="2"/>
      <c r="V223" s="2"/>
      <c r="W223" s="2"/>
    </row>
    <row r="224" ht="22.5" customHeight="1">
      <c r="A224" s="3">
        <v>223.0</v>
      </c>
      <c r="B224" s="3" t="s">
        <v>3670</v>
      </c>
      <c r="C224" s="3" t="s">
        <v>3671</v>
      </c>
      <c r="D224" s="3" t="s">
        <v>3672</v>
      </c>
      <c r="E224" s="2"/>
      <c r="F224" s="3" t="str">
        <f>IFERROR(__xludf.DUMMYFUNCTION("GOOGLETRANSLATE(A224, ""it"", ""en"")"),"223")</f>
        <v>223</v>
      </c>
      <c r="G224" s="3" t="str">
        <f>IFERROR(__xludf.DUMMYFUNCTION("GOOGLETRANSLATE(B224, ""it"", ""en"")"),"What to do if you see a sign saying ""Runway Closed""?")</f>
        <v>What to do if you see a sign saying "Runway Closed"?</v>
      </c>
      <c r="H224" s="3" t="str">
        <f>IFERROR(__xludf.DUMMYFUNCTION("GOOGLETRANSLATE(C224, ""it"", ""en"")"),"A. Never enter the slope B. Descend safely anyway C. Ask permission D. Try to find an alternative route")</f>
        <v>A. Never enter the slope B. Descend safely anyway C. Ask permission D. Try to find an alternative route</v>
      </c>
      <c r="I224" s="3" t="str">
        <f>IFERROR(__xludf.DUMMYFUNCTION("GOOGLETRANSLATE(D224, ""it"", ""en"")"),"Never enter the track")</f>
        <v>Never enter the track</v>
      </c>
      <c r="J224" s="2"/>
      <c r="K224" s="2"/>
      <c r="L224" s="2"/>
      <c r="M224" s="2"/>
      <c r="N224" s="2"/>
      <c r="O224" s="2"/>
      <c r="P224" s="2"/>
      <c r="Q224" s="2"/>
      <c r="R224" s="2"/>
      <c r="S224" s="2"/>
      <c r="T224" s="2"/>
      <c r="U224" s="2"/>
      <c r="V224" s="2"/>
      <c r="W224" s="2"/>
    </row>
    <row r="225" ht="22.5" customHeight="1">
      <c r="A225" s="3">
        <v>224.0</v>
      </c>
      <c r="B225" s="3" t="s">
        <v>3673</v>
      </c>
      <c r="C225" s="3" t="s">
        <v>3674</v>
      </c>
      <c r="D225" s="3" t="s">
        <v>3675</v>
      </c>
      <c r="E225" s="2"/>
      <c r="F225" s="3" t="str">
        <f>IFERROR(__xludf.DUMMYFUNCTION("GOOGLETRANSLATE(A225, ""it"", ""en"")"),"224")</f>
        <v>224</v>
      </c>
      <c r="G225" s="3" t="str">
        <f>IFERROR(__xludf.DUMMYFUNCTION("GOOGLETRANSLATE(B225, ""it"", ""en"")"),"What to do if your speed increases too much on a steep slope?")</f>
        <v>What to do if your speed increases too much on a steep slope?</v>
      </c>
      <c r="H225" s="3" t="str">
        <f>IFERROR(__xludf.DUMMYFUNCTION("GOOGLETRANSLATE(C225, ""it"", ""en"")"),"A. Use poles to slow down B. Accelerate to maintain control C. Turn more sharply D. Use skis to brake")</f>
        <v>A. Use poles to slow down B. Accelerate to maintain control C. Turn more sharply D. Use skis to brake</v>
      </c>
      <c r="I225" s="3" t="str">
        <f>IFERROR(__xludf.DUMMYFUNCTION("GOOGLETRANSLATE(D225, ""it"", ""en"")"),"Using poles to slow down")</f>
        <v>Using poles to slow down</v>
      </c>
      <c r="J225" s="2"/>
      <c r="K225" s="2"/>
      <c r="L225" s="2"/>
      <c r="M225" s="2"/>
      <c r="N225" s="2"/>
      <c r="O225" s="2"/>
      <c r="P225" s="2"/>
      <c r="Q225" s="2"/>
      <c r="R225" s="2"/>
      <c r="S225" s="2"/>
      <c r="T225" s="2"/>
      <c r="U225" s="2"/>
      <c r="V225" s="2"/>
      <c r="W225" s="2"/>
    </row>
    <row r="226" ht="22.5" customHeight="1">
      <c r="A226" s="3">
        <v>225.0</v>
      </c>
      <c r="B226" s="3" t="s">
        <v>3676</v>
      </c>
      <c r="C226" s="3" t="s">
        <v>3677</v>
      </c>
      <c r="D226" s="3" t="s">
        <v>3678</v>
      </c>
      <c r="E226" s="2"/>
      <c r="F226" s="3" t="str">
        <f>IFERROR(__xludf.DUMMYFUNCTION("GOOGLETRANSLATE(A226, ""it"", ""en"")"),"225")</f>
        <v>225</v>
      </c>
      <c r="G226" s="3" t="str">
        <f>IFERROR(__xludf.DUMMYFUNCTION("GOOGLETRANSLATE(B226, ""it"", ""en"")"),"What does a sign with a cloud and a snowflake symbol mean?")</f>
        <v>What does a sign with a cloud and a snowflake symbol mean?</v>
      </c>
      <c r="H226" s="3" t="str">
        <f>IFERROR(__xludf.DUMMYFUNCTION("GOOGLETRANSLATE(C226, ""it"", ""en"")"),"A. Snowfall forecast B. Track closed due to snow C. Track with soft snow D. Warm-up area")</f>
        <v>A. Snowfall forecast B. Track closed due to snow C. Track with soft snow D. Warm-up area</v>
      </c>
      <c r="I226" s="3" t="str">
        <f>IFERROR(__xludf.DUMMYFUNCTION("GOOGLETRANSLATE(D226, ""it"", ""en"")"),"Snowfall forecast")</f>
        <v>Snowfall forecast</v>
      </c>
      <c r="J226" s="2"/>
      <c r="K226" s="2"/>
      <c r="L226" s="2"/>
      <c r="M226" s="2"/>
      <c r="N226" s="2"/>
      <c r="O226" s="2"/>
      <c r="P226" s="2"/>
      <c r="Q226" s="2"/>
      <c r="R226" s="2"/>
      <c r="S226" s="2"/>
      <c r="T226" s="2"/>
      <c r="U226" s="2"/>
      <c r="V226" s="2"/>
      <c r="W226" s="2"/>
    </row>
    <row r="227" ht="22.5" customHeight="1">
      <c r="A227" s="3">
        <v>226.0</v>
      </c>
      <c r="B227" s="3" t="s">
        <v>3679</v>
      </c>
      <c r="C227" s="3" t="s">
        <v>3680</v>
      </c>
      <c r="D227" s="3" t="s">
        <v>3681</v>
      </c>
      <c r="E227" s="2"/>
      <c r="F227" s="3" t="str">
        <f>IFERROR(__xludf.DUMMYFUNCTION("GOOGLETRANSLATE(A227, ""it"", ""en"")"),"226")</f>
        <v>226</v>
      </c>
      <c r="G227" s="3" t="str">
        <f>IFERROR(__xludf.DUMMYFUNCTION("GOOGLETRANSLATE(B227, ""it"", ""en"")"),"What to do if your skiing is affected by a strong crosswind?")</f>
        <v>What to do if your skiing is affected by a strong crosswind?</v>
      </c>
      <c r="H227" s="3" t="str">
        <f>IFERROR(__xludf.DUMMYFUNCTION("GOOGLETRANSLATE(C227, ""it"", ""en"")"),"A. Keep your body more central and stable B. Accelerate so as not to stop C. Turn more frequently D. Only dismount on wide curves")</f>
        <v>A. Keep your body more central and stable B. Accelerate so as not to stop C. Turn more frequently D. Only dismount on wide curves</v>
      </c>
      <c r="I227" s="3" t="str">
        <f>IFERROR(__xludf.DUMMYFUNCTION("GOOGLETRANSLATE(D227, ""it"", ""en"")"),"Keep the body more central and stable")</f>
        <v>Keep the body more central and stable</v>
      </c>
      <c r="J227" s="2"/>
      <c r="K227" s="2"/>
      <c r="L227" s="2"/>
      <c r="M227" s="2"/>
      <c r="N227" s="2"/>
      <c r="O227" s="2"/>
      <c r="P227" s="2"/>
      <c r="Q227" s="2"/>
      <c r="R227" s="2"/>
      <c r="S227" s="2"/>
      <c r="T227" s="2"/>
      <c r="U227" s="2"/>
      <c r="V227" s="2"/>
      <c r="W227" s="2"/>
    </row>
    <row r="228" ht="22.5" customHeight="1">
      <c r="A228" s="3">
        <v>227.0</v>
      </c>
      <c r="B228" s="3" t="s">
        <v>3682</v>
      </c>
      <c r="C228" s="3" t="s">
        <v>3683</v>
      </c>
      <c r="D228" s="3" t="s">
        <v>3684</v>
      </c>
      <c r="E228" s="2"/>
      <c r="F228" s="3" t="str">
        <f>IFERROR(__xludf.DUMMYFUNCTION("GOOGLETRANSLATE(A228, ""it"", ""en"")"),"227")</f>
        <v>227</v>
      </c>
      <c r="G228" s="3" t="str">
        <f>IFERROR(__xludf.DUMMYFUNCTION("GOOGLETRANSLATE(B228, ""it"", ""en"")"),"What to do if visibility is reduced due to a snowstorm?")</f>
        <v>What to do if visibility is reduced due to a snowstorm?</v>
      </c>
      <c r="H228" s="3" t="str">
        <f>IFERROR(__xludf.DUMMYFUNCTION("GOOGLETRANSLATE(C228, ""it"", ""en"")"),"A. Stop and wait for it to improve B. Continue skiing slowly C. Ask other skiers for help D. Use your skis as a reference point")</f>
        <v>A. Stop and wait for it to improve B. Continue skiing slowly C. Ask other skiers for help D. Use your skis as a reference point</v>
      </c>
      <c r="I228" s="3" t="str">
        <f>IFERROR(__xludf.DUMMYFUNCTION("GOOGLETRANSLATE(D228, ""it"", ""en"")"),"Stop and wait for it to get better")</f>
        <v>Stop and wait for it to get better</v>
      </c>
      <c r="J228" s="2"/>
      <c r="K228" s="2"/>
      <c r="L228" s="2"/>
      <c r="M228" s="2"/>
      <c r="N228" s="2"/>
      <c r="O228" s="2"/>
      <c r="P228" s="2"/>
      <c r="Q228" s="2"/>
      <c r="R228" s="2"/>
      <c r="S228" s="2"/>
      <c r="T228" s="2"/>
      <c r="U228" s="2"/>
      <c r="V228" s="2"/>
      <c r="W228" s="2"/>
    </row>
    <row r="229" ht="22.5" customHeight="1">
      <c r="A229" s="3">
        <v>228.0</v>
      </c>
      <c r="B229" s="3" t="s">
        <v>3685</v>
      </c>
      <c r="C229" s="3" t="s">
        <v>3686</v>
      </c>
      <c r="D229" s="3" t="s">
        <v>3687</v>
      </c>
      <c r="E229" s="2"/>
      <c r="F229" s="3" t="str">
        <f>IFERROR(__xludf.DUMMYFUNCTION("GOOGLETRANSLATE(A229, ""it"", ""en"")"),"228")</f>
        <v>228</v>
      </c>
      <c r="G229" s="3" t="str">
        <f>IFERROR(__xludf.DUMMYFUNCTION("GOOGLETRANSLATE(B229, ""it"", ""en"")"),"What does a sign with a bear symbol mean?")</f>
        <v>What does a sign with a bear symbol mean?</v>
      </c>
      <c r="H229" s="3" t="str">
        <f>IFERROR(__xludf.DUMMYFUNCTION("GOOGLETRANSLATE(C229, ""it"", ""en"")"),"A. Area with possible presence of wild animals B. Rest area C. Expert trail D. Emergency area")</f>
        <v>A. Area with possible presence of wild animals B. Rest area C. Expert trail D. Emergency area</v>
      </c>
      <c r="I229" s="3" t="str">
        <f>IFERROR(__xludf.DUMMYFUNCTION("GOOGLETRANSLATE(D229, ""it"", ""en"")"),"Area with possible presence of wild animals")</f>
        <v>Area with possible presence of wild animals</v>
      </c>
      <c r="J229" s="2"/>
      <c r="K229" s="2"/>
      <c r="L229" s="2"/>
      <c r="M229" s="2"/>
      <c r="N229" s="2"/>
      <c r="O229" s="2"/>
      <c r="P229" s="2"/>
      <c r="Q229" s="2"/>
      <c r="R229" s="2"/>
      <c r="S229" s="2"/>
      <c r="T229" s="2"/>
      <c r="U229" s="2"/>
      <c r="V229" s="2"/>
      <c r="W229" s="2"/>
    </row>
    <row r="230" ht="22.5" customHeight="1">
      <c r="A230" s="3">
        <v>229.0</v>
      </c>
      <c r="B230" s="3" t="s">
        <v>3688</v>
      </c>
      <c r="C230" s="3" t="s">
        <v>3689</v>
      </c>
      <c r="D230" s="3" t="s">
        <v>3193</v>
      </c>
      <c r="E230" s="2"/>
      <c r="F230" s="3" t="str">
        <f>IFERROR(__xludf.DUMMYFUNCTION("GOOGLETRANSLATE(A230, ""it"", ""en"")"),"229")</f>
        <v>229</v>
      </c>
      <c r="G230" s="3" t="str">
        <f>IFERROR(__xludf.DUMMYFUNCTION("GOOGLETRANSLATE(B230, ""it"", ""en"")"),"What to do if a slope intersects with a slalom slope?")</f>
        <v>What to do if a slope intersects with a slalom slope?</v>
      </c>
      <c r="H230" s="3" t="str">
        <f>IFERROR(__xludf.DUMMYFUNCTION("GOOGLETRANSLATE(C230, ""it"", ""en"")"),"A. Slow down and pay attention B. Accelerate to get past the section C. Ignore the slalom track D. Continue with caution")</f>
        <v>A. Slow down and pay attention B. Accelerate to get past the section C. Ignore the slalom track D. Continue with caution</v>
      </c>
      <c r="I230" s="3" t="str">
        <f>IFERROR(__xludf.DUMMYFUNCTION("GOOGLETRANSLATE(D230, ""it"", ""en"")"),"Slow down and pay attention")</f>
        <v>Slow down and pay attention</v>
      </c>
      <c r="J230" s="2"/>
      <c r="K230" s="2"/>
      <c r="L230" s="2"/>
      <c r="M230" s="2"/>
      <c r="N230" s="2"/>
      <c r="O230" s="2"/>
      <c r="P230" s="2"/>
      <c r="Q230" s="2"/>
      <c r="R230" s="2"/>
      <c r="S230" s="2"/>
      <c r="T230" s="2"/>
      <c r="U230" s="2"/>
      <c r="V230" s="2"/>
      <c r="W230" s="2"/>
    </row>
    <row r="231" ht="22.5" customHeight="1">
      <c r="A231" s="3">
        <v>230.0</v>
      </c>
      <c r="B231" s="3" t="s">
        <v>3690</v>
      </c>
      <c r="C231" s="3" t="s">
        <v>3691</v>
      </c>
      <c r="D231" s="3" t="s">
        <v>3494</v>
      </c>
      <c r="E231" s="2"/>
      <c r="F231" s="3" t="str">
        <f>IFERROR(__xludf.DUMMYFUNCTION("GOOGLETRANSLATE(A231, ""it"", ""en"")"),"230")</f>
        <v>230</v>
      </c>
      <c r="G231" s="3" t="str">
        <f>IFERROR(__xludf.DUMMYFUNCTION("GOOGLETRANSLATE(B231, ""it"", ""en"")"),"What does a sign with a heart symbol mean?")</f>
        <v>What does a sign with a heart symbol mean?</v>
      </c>
      <c r="H231" s="3" t="str">
        <f>IFERROR(__xludf.DUMMYFUNCTION("GOOGLETRANSLATE(C231, ""it"", ""en"")"),"A. First aid area B. Slope with high ski traffic C. Refreshment area D. Training slope")</f>
        <v>A. First aid area B. Slope with high ski traffic C. Refreshment area D. Training slope</v>
      </c>
      <c r="I231" s="3" t="str">
        <f>IFERROR(__xludf.DUMMYFUNCTION("GOOGLETRANSLATE(D231, ""it"", ""en"")"),"First aid area")</f>
        <v>First aid area</v>
      </c>
      <c r="J231" s="2"/>
      <c r="K231" s="2"/>
      <c r="L231" s="2"/>
      <c r="M231" s="2"/>
      <c r="N231" s="2"/>
      <c r="O231" s="2"/>
      <c r="P231" s="2"/>
      <c r="Q231" s="2"/>
      <c r="R231" s="2"/>
      <c r="S231" s="2"/>
      <c r="T231" s="2"/>
      <c r="U231" s="2"/>
      <c r="V231" s="2"/>
      <c r="W231" s="2"/>
    </row>
    <row r="232" ht="22.5" customHeight="1">
      <c r="A232" s="3">
        <v>231.0</v>
      </c>
      <c r="B232" s="3" t="s">
        <v>3692</v>
      </c>
      <c r="C232" s="3" t="s">
        <v>3693</v>
      </c>
      <c r="D232" s="3" t="s">
        <v>3694</v>
      </c>
      <c r="E232" s="2"/>
      <c r="F232" s="3" t="str">
        <f>IFERROR(__xludf.DUMMYFUNCTION("GOOGLETRANSLATE(A232, ""it"", ""en"")"),"231")</f>
        <v>231</v>
      </c>
      <c r="G232" s="3" t="str">
        <f>IFERROR(__xludf.DUMMYFUNCTION("GOOGLETRANSLATE(B232, ""it"", ""en"")"),"What to do if your boots don't fit properly?")</f>
        <v>What to do if your boots don't fit properly?</v>
      </c>
      <c r="H232" s="3" t="str">
        <f>IFERROR(__xludf.DUMMYFUNCTION("GOOGLETRANSLATE(C232, ""it"", ""en"")"),"A. Stop and adjust them B. Continue skiing anyway C. Ask an instructor for help D. Use wider boots")</f>
        <v>A. Stop and adjust them B. Continue skiing anyway C. Ask an instructor for help D. Use wider boots</v>
      </c>
      <c r="I232" s="3" t="str">
        <f>IFERROR(__xludf.DUMMYFUNCTION("GOOGLETRANSLATE(D232, ""it"", ""en"")"),"Stop and adjust them")</f>
        <v>Stop and adjust them</v>
      </c>
      <c r="J232" s="2"/>
      <c r="K232" s="2"/>
      <c r="L232" s="2"/>
      <c r="M232" s="2"/>
      <c r="N232" s="2"/>
      <c r="O232" s="2"/>
      <c r="P232" s="2"/>
      <c r="Q232" s="2"/>
      <c r="R232" s="2"/>
      <c r="S232" s="2"/>
      <c r="T232" s="2"/>
      <c r="U232" s="2"/>
      <c r="V232" s="2"/>
      <c r="W232" s="2"/>
    </row>
    <row r="233" ht="22.5" customHeight="1">
      <c r="A233" s="3">
        <v>232.0</v>
      </c>
      <c r="B233" s="3" t="s">
        <v>3695</v>
      </c>
      <c r="C233" s="3" t="s">
        <v>3696</v>
      </c>
      <c r="D233" s="3" t="s">
        <v>3697</v>
      </c>
      <c r="E233" s="2"/>
      <c r="F233" s="3" t="str">
        <f>IFERROR(__xludf.DUMMYFUNCTION("GOOGLETRANSLATE(A233, ""it"", ""en"")"),"232")</f>
        <v>232</v>
      </c>
      <c r="G233" s="3" t="str">
        <f>IFERROR(__xludf.DUMMYFUNCTION("GOOGLETRANSLATE(B233, ""it"", ""en"")"),"What does a sign with a blue wavy line mean?")</f>
        <v>What does a sign with a blue wavy line mean?</v>
      </c>
      <c r="H233" s="3" t="str">
        <f>IFERROR(__xludf.DUMMYFUNCTION("GOOGLETRANSLATE(C233, ""it"", ""en"")"),"A. Beginner slope with curves B. Emergency area C. Area with a steep slope D. Slope suitable for expert skiers")</f>
        <v>A. Beginner slope with curves B. Emergency area C. Area with a steep slope D. Slope suitable for expert skiers</v>
      </c>
      <c r="I233" s="3" t="str">
        <f>IFERROR(__xludf.DUMMYFUNCTION("GOOGLETRANSLATE(D233, ""it"", ""en"")"),"Beginner's slope with curves")</f>
        <v>Beginner's slope with curves</v>
      </c>
      <c r="J233" s="2"/>
      <c r="K233" s="2"/>
      <c r="L233" s="2"/>
      <c r="M233" s="2"/>
      <c r="N233" s="2"/>
      <c r="O233" s="2"/>
      <c r="P233" s="2"/>
      <c r="Q233" s="2"/>
      <c r="R233" s="2"/>
      <c r="S233" s="2"/>
      <c r="T233" s="2"/>
      <c r="U233" s="2"/>
      <c r="V233" s="2"/>
      <c r="W233" s="2"/>
    </row>
    <row r="234" ht="22.5" customHeight="1">
      <c r="A234" s="3">
        <v>233.0</v>
      </c>
      <c r="B234" s="3" t="s">
        <v>3698</v>
      </c>
      <c r="C234" s="3" t="s">
        <v>3699</v>
      </c>
      <c r="D234" s="3" t="s">
        <v>3700</v>
      </c>
      <c r="E234" s="2"/>
      <c r="F234" s="3" t="str">
        <f>IFERROR(__xludf.DUMMYFUNCTION("GOOGLETRANSLATE(A234, ""it"", ""en"")"),"233")</f>
        <v>233</v>
      </c>
      <c r="G234" s="3" t="str">
        <f>IFERROR(__xludf.DUMMYFUNCTION("GOOGLETRANSLATE(B234, ""it"", ""en"")"),"What to do if you slip on an icy surface while descending?")</f>
        <v>What to do if you slip on an icy surface while descending?</v>
      </c>
      <c r="H234" s="3" t="str">
        <f>IFERROR(__xludf.DUMMYFUNCTION("GOOGLETRANSLATE(C234, ""it"", ""en"")"),"A. Use poles to brake B. Slow down and bend your knees C. Accelerate to get over the stretch D. Control your speed with your hands")</f>
        <v>A. Use poles to brake B. Slow down and bend your knees C. Accelerate to get over the stretch D. Control your speed with your hands</v>
      </c>
      <c r="I234" s="3" t="str">
        <f>IFERROR(__xludf.DUMMYFUNCTION("GOOGLETRANSLATE(D234, ""it"", ""en"")"),"Using poles to brake")</f>
        <v>Using poles to brake</v>
      </c>
      <c r="J234" s="2"/>
      <c r="K234" s="2"/>
      <c r="L234" s="2"/>
      <c r="M234" s="2"/>
      <c r="N234" s="2"/>
      <c r="O234" s="2"/>
      <c r="P234" s="2"/>
      <c r="Q234" s="2"/>
      <c r="R234" s="2"/>
      <c r="S234" s="2"/>
      <c r="T234" s="2"/>
      <c r="U234" s="2"/>
      <c r="V234" s="2"/>
      <c r="W234" s="2"/>
    </row>
    <row r="235" ht="22.5" customHeight="1">
      <c r="A235" s="3">
        <v>234.0</v>
      </c>
      <c r="B235" s="3" t="s">
        <v>3701</v>
      </c>
      <c r="C235" s="3" t="s">
        <v>3702</v>
      </c>
      <c r="D235" s="3" t="s">
        <v>3703</v>
      </c>
      <c r="E235" s="2"/>
      <c r="F235" s="3" t="str">
        <f>IFERROR(__xludf.DUMMYFUNCTION("GOOGLETRANSLATE(A235, ""it"", ""en"")"),"234")</f>
        <v>234</v>
      </c>
      <c r="G235" s="3" t="str">
        <f>IFERROR(__xludf.DUMMYFUNCTION("GOOGLETRANSLATE(B235, ""it"", ""en"")"),"What does a sign with a helicopter symbol mean?")</f>
        <v>What does a sign with a helicopter symbol mean?</v>
      </c>
      <c r="H235" s="3" t="str">
        <f>IFERROR(__xludf.DUMMYFUNCTION("GOOGLETRANSLATE(C235, ""it"", ""en"")"),"A. Rescue track B. Emergency zone C. Expert track D. Alternative route")</f>
        <v>A. Rescue track B. Emergency zone C. Expert track D. Alternative route</v>
      </c>
      <c r="I235" s="3" t="str">
        <f>IFERROR(__xludf.DUMMYFUNCTION("GOOGLETRANSLATE(D235, ""it"", ""en"")"),"Rescue track")</f>
        <v>Rescue track</v>
      </c>
      <c r="J235" s="2"/>
      <c r="K235" s="2"/>
      <c r="L235" s="2"/>
      <c r="M235" s="2"/>
      <c r="N235" s="2"/>
      <c r="O235" s="2"/>
      <c r="P235" s="2"/>
      <c r="Q235" s="2"/>
      <c r="R235" s="2"/>
      <c r="S235" s="2"/>
      <c r="T235" s="2"/>
      <c r="U235" s="2"/>
      <c r="V235" s="2"/>
      <c r="W235" s="2"/>
    </row>
    <row r="236" ht="22.5" customHeight="1">
      <c r="A236" s="3">
        <v>235.0</v>
      </c>
      <c r="B236" s="3" t="s">
        <v>3704</v>
      </c>
      <c r="C236" s="3" t="s">
        <v>3705</v>
      </c>
      <c r="D236" s="3" t="s">
        <v>3706</v>
      </c>
      <c r="E236" s="2"/>
      <c r="F236" s="3" t="str">
        <f>IFERROR(__xludf.DUMMYFUNCTION("GOOGLETRANSLATE(A236, ""it"", ""en"")"),"235")</f>
        <v>235</v>
      </c>
      <c r="G236" s="3" t="str">
        <f>IFERROR(__xludf.DUMMYFUNCTION("GOOGLETRANSLATE(B236, ""it"", ""en"")"),"What to do if your glasses fog up while skiing?")</f>
        <v>What to do if your glasses fog up while skiing?</v>
      </c>
      <c r="H236" s="3" t="str">
        <f>IFERROR(__xludf.DUMMYFUNCTION("GOOGLETRANSLATE(C236, ""it"", ""en"")"),"A. Stop and clean it B. Continue and ignore it C. Open your glasses to improve visibility D. Use a cloth")</f>
        <v>A. Stop and clean it B. Continue and ignore it C. Open your glasses to improve visibility D. Use a cloth</v>
      </c>
      <c r="I236" s="3" t="str">
        <f>IFERROR(__xludf.DUMMYFUNCTION("GOOGLETRANSLATE(D236, ""it"", ""en"")"),"Stop and clean it up")</f>
        <v>Stop and clean it up</v>
      </c>
      <c r="J236" s="2"/>
      <c r="K236" s="2"/>
      <c r="L236" s="2"/>
      <c r="M236" s="2"/>
      <c r="N236" s="2"/>
      <c r="O236" s="2"/>
      <c r="P236" s="2"/>
      <c r="Q236" s="2"/>
      <c r="R236" s="2"/>
      <c r="S236" s="2"/>
      <c r="T236" s="2"/>
      <c r="U236" s="2"/>
      <c r="V236" s="2"/>
      <c r="W236" s="2"/>
    </row>
    <row r="237" ht="22.5" customHeight="1">
      <c r="A237" s="3">
        <v>236.0</v>
      </c>
      <c r="B237" s="3" t="s">
        <v>3707</v>
      </c>
      <c r="C237" s="3" t="s">
        <v>3708</v>
      </c>
      <c r="D237" s="3" t="s">
        <v>3709</v>
      </c>
      <c r="E237" s="2"/>
      <c r="F237" s="3" t="str">
        <f>IFERROR(__xludf.DUMMYFUNCTION("GOOGLETRANSLATE(A237, ""it"", ""en"")"),"236")</f>
        <v>236</v>
      </c>
      <c r="G237" s="3" t="str">
        <f>IFERROR(__xludf.DUMMYFUNCTION("GOOGLETRANSLATE(B237, ""it"", ""en"")"),"What does the red line symbol on the edge of the runway mean?")</f>
        <v>What does the red line symbol on the edge of the runway mean?</v>
      </c>
      <c r="H237" s="3" t="str">
        <f>IFERROR(__xludf.DUMMYFUNCTION("GOOGLETRANSLATE(C237, ""it"", ""en"")"),"A. Area with a steep slope B. Rest area C. Danger area D. Rescue station")</f>
        <v>A. Area with a steep slope B. Rest area C. Danger area D. Rescue station</v>
      </c>
      <c r="I237" s="3" t="str">
        <f>IFERROR(__xludf.DUMMYFUNCTION("GOOGLETRANSLATE(D237, ""it"", ""en"")"),"Area with a steep slope")</f>
        <v>Area with a steep slope</v>
      </c>
      <c r="J237" s="2"/>
      <c r="K237" s="2"/>
      <c r="L237" s="2"/>
      <c r="M237" s="2"/>
      <c r="N237" s="2"/>
      <c r="O237" s="2"/>
      <c r="P237" s="2"/>
      <c r="Q237" s="2"/>
      <c r="R237" s="2"/>
      <c r="S237" s="2"/>
      <c r="T237" s="2"/>
      <c r="U237" s="2"/>
      <c r="V237" s="2"/>
      <c r="W237" s="2"/>
    </row>
    <row r="238" ht="22.5" customHeight="1">
      <c r="A238" s="3">
        <v>237.0</v>
      </c>
      <c r="B238" s="3" t="s">
        <v>3710</v>
      </c>
      <c r="C238" s="3" t="s">
        <v>3711</v>
      </c>
      <c r="D238" s="3" t="s">
        <v>3712</v>
      </c>
      <c r="E238" s="2"/>
      <c r="F238" s="3" t="str">
        <f>IFERROR(__xludf.DUMMYFUNCTION("GOOGLETRANSLATE(A238, ""it"", ""en"")"),"237")</f>
        <v>237</v>
      </c>
      <c r="G238" s="3" t="str">
        <f>IFERROR(__xludf.DUMMYFUNCTION("GOOGLETRANSLATE(B238, ""it"", ""en"")"),"What to do if another skier loses control and comes towards you?")</f>
        <v>What to do if another skier loses control and comes towards you?</v>
      </c>
      <c r="H238" s="3" t="str">
        <f>IFERROR(__xludf.DUMMYFUNCTION("GOOGLETRANSLATE(C238, ""it"", ""en"")"),"A. Move sideways and stop B. Stay on your line C. Turn to avoid his path D. Accelerate to avoid contact")</f>
        <v>A. Move sideways and stop B. Stay on your line C. Turn to avoid his path D. Accelerate to avoid contact</v>
      </c>
      <c r="I238" s="3" t="str">
        <f>IFERROR(__xludf.DUMMYFUNCTION("GOOGLETRANSLATE(D238, ""it"", ""en"")"),"Move sideways and stop")</f>
        <v>Move sideways and stop</v>
      </c>
      <c r="J238" s="2"/>
      <c r="K238" s="2"/>
      <c r="L238" s="2"/>
      <c r="M238" s="2"/>
      <c r="N238" s="2"/>
      <c r="O238" s="2"/>
      <c r="P238" s="2"/>
      <c r="Q238" s="2"/>
      <c r="R238" s="2"/>
      <c r="S238" s="2"/>
      <c r="T238" s="2"/>
      <c r="U238" s="2"/>
      <c r="V238" s="2"/>
      <c r="W238" s="2"/>
    </row>
    <row r="239" ht="22.5" customHeight="1">
      <c r="A239" s="3">
        <v>238.0</v>
      </c>
      <c r="B239" s="3" t="s">
        <v>3713</v>
      </c>
      <c r="C239" s="3" t="s">
        <v>3714</v>
      </c>
      <c r="D239" s="3" t="s">
        <v>3715</v>
      </c>
      <c r="E239" s="2"/>
      <c r="F239" s="3" t="str">
        <f>IFERROR(__xludf.DUMMYFUNCTION("GOOGLETRANSLATE(A239, ""it"", ""en"")"),"238")</f>
        <v>238</v>
      </c>
      <c r="G239" s="3" t="str">
        <f>IFERROR(__xludf.DUMMYFUNCTION("GOOGLETRANSLATE(B239, ""it"", ""en"")"),"What does a sign with a falling snow symbol mean?")</f>
        <v>What does a sign with a falling snow symbol mean?</v>
      </c>
      <c r="H239" s="3" t="str">
        <f>IFERROR(__xludf.DUMMYFUNCTION("GOOGLETRANSLATE(C239, ""it"", ""en"")"),"A. Area with fresh and recent snow B. Closed slope C. Poor visibility conditions D. Rest area")</f>
        <v>A. Area with fresh and recent snow B. Closed slope C. Poor visibility conditions D. Rest area</v>
      </c>
      <c r="I239" s="3" t="str">
        <f>IFERROR(__xludf.DUMMYFUNCTION("GOOGLETRANSLATE(D239, ""it"", ""en"")"),"Area with fresh and recent snow")</f>
        <v>Area with fresh and recent snow</v>
      </c>
      <c r="J239" s="2"/>
      <c r="K239" s="2"/>
      <c r="L239" s="2"/>
      <c r="M239" s="2"/>
      <c r="N239" s="2"/>
      <c r="O239" s="2"/>
      <c r="P239" s="2"/>
      <c r="Q239" s="2"/>
      <c r="R239" s="2"/>
      <c r="S239" s="2"/>
      <c r="T239" s="2"/>
      <c r="U239" s="2"/>
      <c r="V239" s="2"/>
      <c r="W239" s="2"/>
    </row>
    <row r="240" ht="22.5" customHeight="1">
      <c r="A240" s="3">
        <v>239.0</v>
      </c>
      <c r="B240" s="3" t="s">
        <v>3716</v>
      </c>
      <c r="C240" s="3" t="s">
        <v>3717</v>
      </c>
      <c r="D240" s="3" t="s">
        <v>3718</v>
      </c>
      <c r="E240" s="2"/>
      <c r="F240" s="3" t="str">
        <f>IFERROR(__xludf.DUMMYFUNCTION("GOOGLETRANSLATE(A240, ""it"", ""en"")"),"239")</f>
        <v>239</v>
      </c>
      <c r="G240" s="3" t="str">
        <f>IFERROR(__xludf.DUMMYFUNCTION("GOOGLETRANSLATE(B240, ""it"", ""en"")"),"How can you protect your skin from the intense cold while skiing?")</f>
        <v>How can you protect your skin from the intense cold while skiing?</v>
      </c>
      <c r="H240" s="3" t="str">
        <f>IFERROR(__xludf.DUMMYFUNCTION("GOOGLETRANSLATE(C240, ""it"", ""en"")"),"A. Using a sunscreen B. Wearing only technical clothing C. Wearing thicker gloves D. Evaporating frequently")</f>
        <v>A. Using a sunscreen B. Wearing only technical clothing C. Wearing thicker gloves D. Evaporating frequently</v>
      </c>
      <c r="I240" s="3" t="str">
        <f>IFERROR(__xludf.DUMMYFUNCTION("GOOGLETRANSLATE(D240, ""it"", ""en"")"),"Using a protective cream")</f>
        <v>Using a protective cream</v>
      </c>
      <c r="J240" s="2"/>
      <c r="K240" s="2"/>
      <c r="L240" s="2"/>
      <c r="M240" s="2"/>
      <c r="N240" s="2"/>
      <c r="O240" s="2"/>
      <c r="P240" s="2"/>
      <c r="Q240" s="2"/>
      <c r="R240" s="2"/>
      <c r="S240" s="2"/>
      <c r="T240" s="2"/>
      <c r="U240" s="2"/>
      <c r="V240" s="2"/>
      <c r="W240" s="2"/>
    </row>
    <row r="241" ht="22.5" customHeight="1">
      <c r="A241" s="3">
        <v>240.0</v>
      </c>
      <c r="B241" s="3" t="s">
        <v>3719</v>
      </c>
      <c r="C241" s="3" t="s">
        <v>3720</v>
      </c>
      <c r="D241" s="3" t="s">
        <v>3326</v>
      </c>
      <c r="E241" s="2"/>
      <c r="F241" s="3" t="str">
        <f>IFERROR(__xludf.DUMMYFUNCTION("GOOGLETRANSLATE(A241, ""it"", ""en"")"),"240")</f>
        <v>240</v>
      </c>
      <c r="G241" s="3" t="str">
        <f>IFERROR(__xludf.DUMMYFUNCTION("GOOGLETRANSLATE(B241, ""it"", ""en"")"),"What to do if the snow is very powdery while skiing?")</f>
        <v>What to do if the snow is very powdery while skiing?</v>
      </c>
      <c r="H241" s="3" t="str">
        <f>IFERROR(__xludf.DUMMYFUNCTION("GOOGLETRANSLATE(C241, ""it"", ""en"")"),"A. Slow down and maintain control B. Speed ​​up to slide better C. Stop and wait for it to solidify D. Use more force with your legs")</f>
        <v>A. Slow down and maintain control B. Speed ​​up to slide better C. Stop and wait for it to solidify D. Use more force with your legs</v>
      </c>
      <c r="I241" s="3" t="str">
        <f>IFERROR(__xludf.DUMMYFUNCTION("GOOGLETRANSLATE(D241, ""it"", ""en"")"),"Slow down and stay in control")</f>
        <v>Slow down and stay in control</v>
      </c>
      <c r="J241" s="2"/>
      <c r="K241" s="2"/>
      <c r="L241" s="2"/>
      <c r="M241" s="2"/>
      <c r="N241" s="2"/>
      <c r="O241" s="2"/>
      <c r="P241" s="2"/>
      <c r="Q241" s="2"/>
      <c r="R241" s="2"/>
      <c r="S241" s="2"/>
      <c r="T241" s="2"/>
      <c r="U241" s="2"/>
      <c r="V241" s="2"/>
      <c r="W241" s="2"/>
    </row>
    <row r="242" ht="22.5" customHeight="1">
      <c r="A242" s="3">
        <v>241.0</v>
      </c>
      <c r="B242" s="3" t="s">
        <v>3721</v>
      </c>
      <c r="C242" s="3" t="s">
        <v>3722</v>
      </c>
      <c r="D242" s="3" t="s">
        <v>3723</v>
      </c>
      <c r="E242" s="2"/>
      <c r="F242" s="3" t="str">
        <f>IFERROR(__xludf.DUMMYFUNCTION("GOOGLETRANSLATE(A242, ""it"", ""en"")"),"241")</f>
        <v>241</v>
      </c>
      <c r="G242" s="3" t="str">
        <f>IFERROR(__xludf.DUMMYFUNCTION("GOOGLETRANSLATE(B242, ""it"", ""en"")"),"What does a sign with a symbol of a man on a snowboard mean?")</f>
        <v>What does a sign with a symbol of a man on a snowboard mean?</v>
      </c>
      <c r="H242" s="3" t="str">
        <f>IFERROR(__xludf.DUMMYFUNCTION("GOOGLETRANSLATE(C242, ""it"", ""en"")"),"A. Snowboard trail B. Rest area C. Beginner slope D. Emergency area")</f>
        <v>A. Snowboard trail B. Rest area C. Beginner slope D. Emergency area</v>
      </c>
      <c r="I242" s="3" t="str">
        <f>IFERROR(__xludf.DUMMYFUNCTION("GOOGLETRANSLATE(D242, ""it"", ""en"")"),"Snowboard trail")</f>
        <v>Snowboard trail</v>
      </c>
      <c r="J242" s="2"/>
      <c r="K242" s="2"/>
      <c r="L242" s="2"/>
      <c r="M242" s="2"/>
      <c r="N242" s="2"/>
      <c r="O242" s="2"/>
      <c r="P242" s="2"/>
      <c r="Q242" s="2"/>
      <c r="R242" s="2"/>
      <c r="S242" s="2"/>
      <c r="T242" s="2"/>
      <c r="U242" s="2"/>
      <c r="V242" s="2"/>
      <c r="W242" s="2"/>
    </row>
    <row r="243" ht="22.5" customHeight="1">
      <c r="A243" s="3">
        <v>242.0</v>
      </c>
      <c r="B243" s="3" t="s">
        <v>3724</v>
      </c>
      <c r="C243" s="3" t="s">
        <v>3725</v>
      </c>
      <c r="D243" s="3" t="s">
        <v>3726</v>
      </c>
      <c r="E243" s="2"/>
      <c r="F243" s="3" t="str">
        <f>IFERROR(__xludf.DUMMYFUNCTION("GOOGLETRANSLATE(A243, ""it"", ""en"")"),"242")</f>
        <v>242</v>
      </c>
      <c r="G243" s="3" t="str">
        <f>IFERROR(__xludf.DUMMYFUNCTION("GOOGLETRANSLATE(B243, ""it"", ""en"")"),"What to do if your speed is too high on a steep slope?")</f>
        <v>What to do if your speed is too high on a steep slope?</v>
      </c>
      <c r="H243" s="3" t="str">
        <f>IFERROR(__xludf.DUMMYFUNCTION("GOOGLETRANSLATE(C243, ""it"", ""en"")"),"A. Bend your knees and slow down B. Accelerate to improve control C. Stop immediately D. Turn quickly")</f>
        <v>A. Bend your knees and slow down B. Accelerate to improve control C. Stop immediately D. Turn quickly</v>
      </c>
      <c r="I243" s="3" t="str">
        <f>IFERROR(__xludf.DUMMYFUNCTION("GOOGLETRANSLATE(D243, ""it"", ""en"")"),"Bend your knees and slow down")</f>
        <v>Bend your knees and slow down</v>
      </c>
      <c r="J243" s="2"/>
      <c r="K243" s="2"/>
      <c r="L243" s="2"/>
      <c r="M243" s="2"/>
      <c r="N243" s="2"/>
      <c r="O243" s="2"/>
      <c r="P243" s="2"/>
      <c r="Q243" s="2"/>
      <c r="R243" s="2"/>
      <c r="S243" s="2"/>
      <c r="T243" s="2"/>
      <c r="U243" s="2"/>
      <c r="V243" s="2"/>
      <c r="W243" s="2"/>
    </row>
    <row r="244" ht="22.5" customHeight="1">
      <c r="A244" s="3">
        <v>243.0</v>
      </c>
      <c r="B244" s="3" t="s">
        <v>3727</v>
      </c>
      <c r="C244" s="3" t="s">
        <v>3728</v>
      </c>
      <c r="D244" s="3" t="s">
        <v>3729</v>
      </c>
      <c r="E244" s="2"/>
      <c r="F244" s="3" t="str">
        <f>IFERROR(__xludf.DUMMYFUNCTION("GOOGLETRANSLATE(A244, ""it"", ""en"")"),"243")</f>
        <v>243</v>
      </c>
      <c r="G244" s="3" t="str">
        <f>IFERROR(__xludf.DUMMYFUNCTION("GOOGLETRANSLATE(B244, ""it"", ""en"")"),"What does a sign with a soccer ball symbol mean?")</f>
        <v>What does a sign with a soccer ball symbol mean?</v>
      </c>
      <c r="H244" s="3" t="str">
        <f>IFERROR(__xludf.DUMMYFUNCTION("GOOGLETRANSLATE(C244, ""it"", ""en"")"),"A. Training area B. Rest area C. Track with obstacles D. Beginners area")</f>
        <v>A. Training area B. Rest area C. Track with obstacles D. Beginners area</v>
      </c>
      <c r="I244" s="3" t="str">
        <f>IFERROR(__xludf.DUMMYFUNCTION("GOOGLETRANSLATE(D244, ""it"", ""en"")"),"Training area")</f>
        <v>Training area</v>
      </c>
      <c r="J244" s="2"/>
      <c r="K244" s="2"/>
      <c r="L244" s="2"/>
      <c r="M244" s="2"/>
      <c r="N244" s="2"/>
      <c r="O244" s="2"/>
      <c r="P244" s="2"/>
      <c r="Q244" s="2"/>
      <c r="R244" s="2"/>
      <c r="S244" s="2"/>
      <c r="T244" s="2"/>
      <c r="U244" s="2"/>
      <c r="V244" s="2"/>
      <c r="W244" s="2"/>
    </row>
    <row r="245" ht="22.5" customHeight="1">
      <c r="A245" s="3">
        <v>244.0</v>
      </c>
      <c r="B245" s="3" t="s">
        <v>3730</v>
      </c>
      <c r="C245" s="3" t="s">
        <v>3731</v>
      </c>
      <c r="D245" s="3" t="s">
        <v>3732</v>
      </c>
      <c r="E245" s="2"/>
      <c r="F245" s="3" t="str">
        <f>IFERROR(__xludf.DUMMYFUNCTION("GOOGLETRANSLATE(A245, ""it"", ""en"")"),"244")</f>
        <v>244</v>
      </c>
      <c r="G245" s="3" t="str">
        <f>IFERROR(__xludf.DUMMYFUNCTION("GOOGLETRANSLATE(B245, ""it"", ""en"")"),"What to do if a trail intersects with a rescue zone?")</f>
        <v>What to do if a trail intersects with a rescue zone?</v>
      </c>
      <c r="H245" s="3" t="str">
        <f>IFERROR(__xludf.DUMMYFUNCTION("GOOGLETRANSLATE(C245, ""it"", ""en"")"),"A. Slow down and be careful B. Continue with caution C. Accelerate to pass quickly D. Only dismount on safe sections")</f>
        <v>A. Slow down and be careful B. Continue with caution C. Accelerate to pass quickly D. Only dismount on safe sections</v>
      </c>
      <c r="I245" s="3" t="str">
        <f>IFERROR(__xludf.DUMMYFUNCTION("GOOGLETRANSLATE(D245, ""it"", ""en"")"),"Slow down and be careful")</f>
        <v>Slow down and be careful</v>
      </c>
      <c r="J245" s="2"/>
      <c r="K245" s="2"/>
      <c r="L245" s="2"/>
      <c r="M245" s="2"/>
      <c r="N245" s="2"/>
      <c r="O245" s="2"/>
      <c r="P245" s="2"/>
      <c r="Q245" s="2"/>
      <c r="R245" s="2"/>
      <c r="S245" s="2"/>
      <c r="T245" s="2"/>
      <c r="U245" s="2"/>
      <c r="V245" s="2"/>
      <c r="W245" s="2"/>
    </row>
    <row r="246" ht="22.5" customHeight="1">
      <c r="A246" s="3">
        <v>245.0</v>
      </c>
      <c r="B246" s="3" t="s">
        <v>3733</v>
      </c>
      <c r="C246" s="3" t="s">
        <v>3734</v>
      </c>
      <c r="D246" s="3" t="s">
        <v>3735</v>
      </c>
      <c r="E246" s="2"/>
      <c r="F246" s="3" t="str">
        <f>IFERROR(__xludf.DUMMYFUNCTION("GOOGLETRANSLATE(A246, ""it"", ""en"")"),"245")</f>
        <v>245</v>
      </c>
      <c r="G246" s="3" t="str">
        <f>IFERROR(__xludf.DUMMYFUNCTION("GOOGLETRANSLATE(B246, ""it"", ""en"")"),"What does a sign with a snow-capped mountain symbol mean?")</f>
        <v>What does a sign with a snow-capped mountain symbol mean?</v>
      </c>
      <c r="H246" s="3" t="str">
        <f>IFERROR(__xludf.DUMMYFUNCTION("GOOGLETRANSLATE(C246, ""it"", ""en"")"),"A. Ideal skiing conditions B. Imminent avalanche C. Warm-up zone D. Danger of strong winds")</f>
        <v>A. Ideal skiing conditions B. Imminent avalanche C. Warm-up zone D. Danger of strong winds</v>
      </c>
      <c r="I246" s="3" t="str">
        <f>IFERROR(__xludf.DUMMYFUNCTION("GOOGLETRANSLATE(D246, ""it"", ""en"")"),"Ideal conditions for skiing")</f>
        <v>Ideal conditions for skiing</v>
      </c>
      <c r="J246" s="2"/>
      <c r="K246" s="2"/>
      <c r="L246" s="2"/>
      <c r="M246" s="2"/>
      <c r="N246" s="2"/>
      <c r="O246" s="2"/>
      <c r="P246" s="2"/>
      <c r="Q246" s="2"/>
      <c r="R246" s="2"/>
      <c r="S246" s="2"/>
      <c r="T246" s="2"/>
      <c r="U246" s="2"/>
      <c r="V246" s="2"/>
      <c r="W246" s="2"/>
    </row>
    <row r="247" ht="22.5" customHeight="1">
      <c r="A247" s="3">
        <v>246.0</v>
      </c>
      <c r="B247" s="3" t="s">
        <v>3736</v>
      </c>
      <c r="C247" s="3" t="s">
        <v>3737</v>
      </c>
      <c r="D247" s="3" t="s">
        <v>3738</v>
      </c>
      <c r="E247" s="2"/>
      <c r="F247" s="3" t="str">
        <f>IFERROR(__xludf.DUMMYFUNCTION("GOOGLETRANSLATE(A247, ""it"", ""en"")"),"246")</f>
        <v>246</v>
      </c>
      <c r="G247" s="3" t="str">
        <f>IFERROR(__xludf.DUMMYFUNCTION("GOOGLETRANSLATE(B247, ""it"", ""en"")"),"What to do if your helmet is damaged while skiing?")</f>
        <v>What to do if your helmet is damaged while skiing?</v>
      </c>
      <c r="H247" s="3" t="str">
        <f>IFERROR(__xludf.DUMMYFUNCTION("GOOGLETRANSLATE(C247, ""it"", ""en"")"),"A. Stop and change it B. Continue without a helmet C. Signal another skier D. Stop and wait for assistance")</f>
        <v>A. Stop and change it B. Continue without a helmet C. Signal another skier D. Stop and wait for assistance</v>
      </c>
      <c r="I247" s="3" t="str">
        <f>IFERROR(__xludf.DUMMYFUNCTION("GOOGLETRANSLATE(D247, ""it"", ""en"")"),"Stop and change it")</f>
        <v>Stop and change it</v>
      </c>
      <c r="J247" s="2"/>
      <c r="K247" s="2"/>
      <c r="L247" s="2"/>
      <c r="M247" s="2"/>
      <c r="N247" s="2"/>
      <c r="O247" s="2"/>
      <c r="P247" s="2"/>
      <c r="Q247" s="2"/>
      <c r="R247" s="2"/>
      <c r="S247" s="2"/>
      <c r="T247" s="2"/>
      <c r="U247" s="2"/>
      <c r="V247" s="2"/>
      <c r="W247" s="2"/>
    </row>
    <row r="248" ht="22.5" customHeight="1">
      <c r="A248" s="3">
        <v>247.0</v>
      </c>
      <c r="B248" s="3" t="s">
        <v>3739</v>
      </c>
      <c r="C248" s="3" t="s">
        <v>3740</v>
      </c>
      <c r="D248" s="3" t="s">
        <v>3590</v>
      </c>
      <c r="E248" s="2"/>
      <c r="F248" s="3" t="str">
        <f>IFERROR(__xludf.DUMMYFUNCTION("GOOGLETRANSLATE(A248, ""it"", ""en"")"),"247")</f>
        <v>247</v>
      </c>
      <c r="G248" s="3" t="str">
        <f>IFERROR(__xludf.DUMMYFUNCTION("GOOGLETRANSLATE(B248, ""it"", ""en"")"),"What does the yellow star symbol mean?")</f>
        <v>What does the yellow star symbol mean?</v>
      </c>
      <c r="H248" s="3" t="str">
        <f>IFERROR(__xludf.DUMMYFUNCTION("GOOGLETRANSLATE(C248, ""it"", ""en"")"),"A. Emergency area B. Rest area C. Rescue point D. Rest area")</f>
        <v>A. Emergency area B. Rest area C. Rescue point D. Rest area</v>
      </c>
      <c r="I248" s="3" t="str">
        <f>IFERROR(__xludf.DUMMYFUNCTION("GOOGLETRANSLATE(D248, ""it"", ""en"")"),"Emergency zone")</f>
        <v>Emergency zone</v>
      </c>
      <c r="J248" s="2"/>
      <c r="K248" s="2"/>
      <c r="L248" s="2"/>
      <c r="M248" s="2"/>
      <c r="N248" s="2"/>
      <c r="O248" s="2"/>
      <c r="P248" s="2"/>
      <c r="Q248" s="2"/>
      <c r="R248" s="2"/>
      <c r="S248" s="2"/>
      <c r="T248" s="2"/>
      <c r="U248" s="2"/>
      <c r="V248" s="2"/>
      <c r="W248" s="2"/>
    </row>
    <row r="249" ht="22.5" customHeight="1">
      <c r="A249" s="3">
        <v>248.0</v>
      </c>
      <c r="B249" s="3" t="s">
        <v>3741</v>
      </c>
      <c r="C249" s="3" t="s">
        <v>3742</v>
      </c>
      <c r="D249" s="3" t="s">
        <v>3666</v>
      </c>
      <c r="E249" s="2"/>
      <c r="F249" s="3" t="str">
        <f>IFERROR(__xludf.DUMMYFUNCTION("GOOGLETRANSLATE(A249, ""it"", ""en"")"),"248")</f>
        <v>248</v>
      </c>
      <c r="G249" s="3" t="str">
        <f>IFERROR(__xludf.DUMMYFUNCTION("GOOGLETRANSLATE(B249, ""it"", ""en"")"),"What to do if you feel your pole coming off while descending?")</f>
        <v>What to do if you feel your pole coming off while descending?</v>
      </c>
      <c r="H249" s="3" t="str">
        <f>IFERROR(__xludf.DUMMYFUNCTION("GOOGLETRANSLATE(C249, ""it"", ""en"")"),"A. Stop immediately and put it back on B. Continue without it C. Ask other skiers for help D. Stop and adjust it")</f>
        <v>A. Stop immediately and put it back on B. Continue without it C. Ask other skiers for help D. Stop and adjust it</v>
      </c>
      <c r="I249" s="3" t="str">
        <f>IFERROR(__xludf.DUMMYFUNCTION("GOOGLETRANSLATE(D249, ""it"", ""en"")"),"Stop immediately and put it back on")</f>
        <v>Stop immediately and put it back on</v>
      </c>
      <c r="J249" s="2"/>
      <c r="K249" s="2"/>
      <c r="L249" s="2"/>
      <c r="M249" s="2"/>
      <c r="N249" s="2"/>
      <c r="O249" s="2"/>
      <c r="P249" s="2"/>
      <c r="Q249" s="2"/>
      <c r="R249" s="2"/>
      <c r="S249" s="2"/>
      <c r="T249" s="2"/>
      <c r="U249" s="2"/>
      <c r="V249" s="2"/>
      <c r="W249" s="2"/>
    </row>
    <row r="250" ht="22.5" customHeight="1">
      <c r="A250" s="3">
        <v>249.0</v>
      </c>
      <c r="B250" s="3" t="s">
        <v>3743</v>
      </c>
      <c r="C250" s="3" t="s">
        <v>3744</v>
      </c>
      <c r="D250" s="3" t="s">
        <v>3745</v>
      </c>
      <c r="E250" s="2"/>
      <c r="F250" s="3" t="str">
        <f>IFERROR(__xludf.DUMMYFUNCTION("GOOGLETRANSLATE(A250, ""it"", ""en"")"),"249")</f>
        <v>249</v>
      </c>
      <c r="G250" s="3" t="str">
        <f>IFERROR(__xludf.DUMMYFUNCTION("GOOGLETRANSLATE(B250, ""it"", ""en"")"),"What does a sign with a solid green line mean?")</f>
        <v>What does a sign with a solid green line mean?</v>
      </c>
      <c r="H250" s="3" t="str">
        <f>IFERROR(__xludf.DUMMYFUNCTION("GOOGLETRANSLATE(C250, ""it"", ""en"")"),"A. Easy slope for beginners B. Rest area C. Difficult slope D. Area for experts")</f>
        <v>A. Easy slope for beginners B. Rest area C. Difficult slope D. Area for experts</v>
      </c>
      <c r="I250" s="3" t="str">
        <f>IFERROR(__xludf.DUMMYFUNCTION("GOOGLETRANSLATE(D250, ""it"", ""en"")"),"Easy track for beginners")</f>
        <v>Easy track for beginners</v>
      </c>
      <c r="J250" s="2"/>
      <c r="K250" s="2"/>
      <c r="L250" s="2"/>
      <c r="M250" s="2"/>
      <c r="N250" s="2"/>
      <c r="O250" s="2"/>
      <c r="P250" s="2"/>
      <c r="Q250" s="2"/>
      <c r="R250" s="2"/>
      <c r="S250" s="2"/>
      <c r="T250" s="2"/>
      <c r="U250" s="2"/>
      <c r="V250" s="2"/>
      <c r="W250" s="2"/>
    </row>
    <row r="251" ht="22.5" customHeight="1">
      <c r="A251" s="3">
        <v>250.0</v>
      </c>
      <c r="B251" s="3" t="s">
        <v>3746</v>
      </c>
      <c r="C251" s="3" t="s">
        <v>3747</v>
      </c>
      <c r="D251" s="3" t="s">
        <v>3326</v>
      </c>
      <c r="E251" s="2"/>
      <c r="F251" s="3" t="str">
        <f>IFERROR(__xludf.DUMMYFUNCTION("GOOGLETRANSLATE(A251, ""it"", ""en"")"),"250")</f>
        <v>250</v>
      </c>
      <c r="G251" s="3" t="str">
        <f>IFERROR(__xludf.DUMMYFUNCTION("GOOGLETRANSLATE(B251, ""it"", ""en"")"),"What to do if you slip on a patch of fresh, soft snow?")</f>
        <v>What to do if you slip on a patch of fresh, soft snow?</v>
      </c>
      <c r="H251" s="3" t="str">
        <f>IFERROR(__xludf.DUMMYFUNCTION("GOOGLETRANSLATE(C251, ""it"", ""en"")"),"A. Slow down and maintain control B. Accelerate to gain speed C. Stop and wait for the snow to compact D. Use poles to brake")</f>
        <v>A. Slow down and maintain control B. Accelerate to gain speed C. Stop and wait for the snow to compact D. Use poles to brake</v>
      </c>
      <c r="I251" s="3" t="str">
        <f>IFERROR(__xludf.DUMMYFUNCTION("GOOGLETRANSLATE(D251, ""it"", ""en"")"),"Slow down and stay in control")</f>
        <v>Slow down and stay in control</v>
      </c>
      <c r="J251" s="2"/>
      <c r="K251" s="2"/>
      <c r="L251" s="2"/>
      <c r="M251" s="2"/>
      <c r="N251" s="2"/>
      <c r="O251" s="2"/>
      <c r="P251" s="2"/>
      <c r="Q251" s="2"/>
      <c r="R251" s="2"/>
      <c r="S251" s="2"/>
      <c r="T251" s="2"/>
      <c r="U251" s="2"/>
      <c r="V251" s="2"/>
      <c r="W251" s="2"/>
    </row>
    <row r="252" ht="22.5" customHeight="1">
      <c r="A252" s="3">
        <v>251.0</v>
      </c>
      <c r="B252" s="3" t="s">
        <v>3748</v>
      </c>
      <c r="C252" s="3" t="s">
        <v>3749</v>
      </c>
      <c r="D252" s="3" t="s">
        <v>3376</v>
      </c>
      <c r="E252" s="2"/>
      <c r="F252" s="3" t="str">
        <f>IFERROR(__xludf.DUMMYFUNCTION("GOOGLETRANSLATE(A252, ""it"", ""en"")"),"251")</f>
        <v>251</v>
      </c>
      <c r="G252" s="3" t="str">
        <f>IFERROR(__xludf.DUMMYFUNCTION("GOOGLETRANSLATE(B252, ""it"", ""en"")"),"What does the arrow symbol on a trail map mean?")</f>
        <v>What does the arrow symbol on a trail map mean?</v>
      </c>
      <c r="H252" s="3" t="str">
        <f>IFERROR(__xludf.DUMMYFUNCTION("GOOGLETRANSLATE(C252, ""it"", ""en"")"),"A. Alternative route B. Closed runway C. Rest area D. Start of a runway")</f>
        <v>A. Alternative route B. Closed runway C. Rest area D. Start of a runway</v>
      </c>
      <c r="I252" s="3" t="str">
        <f>IFERROR(__xludf.DUMMYFUNCTION("GOOGLETRANSLATE(D252, ""it"", ""en"")"),"Alternative route")</f>
        <v>Alternative route</v>
      </c>
      <c r="J252" s="2"/>
      <c r="K252" s="2"/>
      <c r="L252" s="2"/>
      <c r="M252" s="2"/>
      <c r="N252" s="2"/>
      <c r="O252" s="2"/>
      <c r="P252" s="2"/>
      <c r="Q252" s="2"/>
      <c r="R252" s="2"/>
      <c r="S252" s="2"/>
      <c r="T252" s="2"/>
      <c r="U252" s="2"/>
      <c r="V252" s="2"/>
      <c r="W252" s="2"/>
    </row>
    <row r="253" ht="22.5" customHeight="1">
      <c r="A253" s="3">
        <v>252.0</v>
      </c>
      <c r="B253" s="3" t="s">
        <v>3750</v>
      </c>
      <c r="C253" s="3" t="s">
        <v>3751</v>
      </c>
      <c r="D253" s="3" t="s">
        <v>3752</v>
      </c>
      <c r="E253" s="2"/>
      <c r="F253" s="3" t="str">
        <f>IFERROR(__xludf.DUMMYFUNCTION("GOOGLETRANSLATE(A253, ""it"", ""en"")"),"252")</f>
        <v>252</v>
      </c>
      <c r="G253" s="3" t="str">
        <f>IFERROR(__xludf.DUMMYFUNCTION("GOOGLETRANSLATE(B253, ""it"", ""en"")"),"What to do if you find yourself skiing too close to another skier?")</f>
        <v>What to do if you find yourself skiing too close to another skier?</v>
      </c>
      <c r="H253" s="3" t="str">
        <f>IFERROR(__xludf.DUMMYFUNCTION("GOOGLETRANSLATE(C253, ""it"", ""en"")"),"A. Increase the distance B. Accelerate to overtake him C. Pass to the left D. Slide sideways")</f>
        <v>A. Increase the distance B. Accelerate to overtake him C. Pass to the left D. Slide sideways</v>
      </c>
      <c r="I253" s="3" t="str">
        <f>IFERROR(__xludf.DUMMYFUNCTION("GOOGLETRANSLATE(D253, ""it"", ""en"")"),"Increase the distance")</f>
        <v>Increase the distance</v>
      </c>
      <c r="J253" s="2"/>
      <c r="K253" s="2"/>
      <c r="L253" s="2"/>
      <c r="M253" s="2"/>
      <c r="N253" s="2"/>
      <c r="O253" s="2"/>
      <c r="P253" s="2"/>
      <c r="Q253" s="2"/>
      <c r="R253" s="2"/>
      <c r="S253" s="2"/>
      <c r="T253" s="2"/>
      <c r="U253" s="2"/>
      <c r="V253" s="2"/>
      <c r="W253" s="2"/>
    </row>
    <row r="254" ht="22.5" customHeight="1">
      <c r="A254" s="3">
        <v>253.0</v>
      </c>
      <c r="B254" s="3" t="s">
        <v>3753</v>
      </c>
      <c r="C254" s="3" t="s">
        <v>3754</v>
      </c>
      <c r="D254" s="3" t="s">
        <v>3755</v>
      </c>
      <c r="E254" s="2"/>
      <c r="F254" s="3" t="str">
        <f>IFERROR(__xludf.DUMMYFUNCTION("GOOGLETRANSLATE(A254, ""it"", ""en"")"),"253")</f>
        <v>253</v>
      </c>
      <c r="G254" s="3" t="str">
        <f>IFERROR(__xludf.DUMMYFUNCTION("GOOGLETRANSLATE(B254, ""it"", ""en"")"),"What does the clock symbol on a track mean?")</f>
        <v>What does the clock symbol on a track mean?</v>
      </c>
      <c r="H254" s="3" t="str">
        <f>IFERROR(__xludf.DUMMYFUNCTION("GOOGLETRANSLATE(C254, ""it"", ""en"")"),"A. Track with limited time B. Rest area C. Track closing D. Start of a new descent")</f>
        <v>A. Track with limited time B. Rest area C. Track closing D. Start of a new descent</v>
      </c>
      <c r="I254" s="3" t="str">
        <f>IFERROR(__xludf.DUMMYFUNCTION("GOOGLETRANSLATE(D254, ""it"", ""en"")"),"Limited time track")</f>
        <v>Limited time track</v>
      </c>
      <c r="J254" s="2"/>
      <c r="K254" s="2"/>
      <c r="L254" s="2"/>
      <c r="M254" s="2"/>
      <c r="N254" s="2"/>
      <c r="O254" s="2"/>
      <c r="P254" s="2"/>
      <c r="Q254" s="2"/>
      <c r="R254" s="2"/>
      <c r="S254" s="2"/>
      <c r="T254" s="2"/>
      <c r="U254" s="2"/>
      <c r="V254" s="2"/>
      <c r="W254" s="2"/>
    </row>
    <row r="255" ht="22.5" customHeight="1">
      <c r="A255" s="3">
        <v>254.0</v>
      </c>
      <c r="B255" s="3" t="s">
        <v>3756</v>
      </c>
      <c r="C255" s="3" t="s">
        <v>3757</v>
      </c>
      <c r="D255" s="3" t="s">
        <v>3758</v>
      </c>
      <c r="E255" s="2"/>
      <c r="F255" s="3" t="str">
        <f>IFERROR(__xludf.DUMMYFUNCTION("GOOGLETRANSLATE(A255, ""it"", ""en"")"),"254")</f>
        <v>254</v>
      </c>
      <c r="G255" s="3" t="str">
        <f>IFERROR(__xludf.DUMMYFUNCTION("GOOGLETRANSLATE(B255, ""it"", ""en"")"),"What to do if you slip while going down?")</f>
        <v>What to do if you slip while going down?</v>
      </c>
      <c r="H255" s="3" t="str">
        <f>IFERROR(__xludf.DUMMYFUNCTION("GOOGLETRANSLATE(C255, ""it"", ""en"")"),"A. Stay as stiff as possible B. Brake using only your legs C. Assume a lower position D. Use your body to maintain control")</f>
        <v>A. Stay as stiff as possible B. Brake using only your legs C. Assume a lower position D. Use your body to maintain control</v>
      </c>
      <c r="I255" s="3" t="str">
        <f>IFERROR(__xludf.DUMMYFUNCTION("GOOGLETRANSLATE(D255, ""it"", ""en"")"),"Remain as rigid as possible")</f>
        <v>Remain as rigid as possible</v>
      </c>
      <c r="J255" s="2"/>
      <c r="K255" s="2"/>
      <c r="L255" s="2"/>
      <c r="M255" s="2"/>
      <c r="N255" s="2"/>
      <c r="O255" s="2"/>
      <c r="P255" s="2"/>
      <c r="Q255" s="2"/>
      <c r="R255" s="2"/>
      <c r="S255" s="2"/>
      <c r="T255" s="2"/>
      <c r="U255" s="2"/>
      <c r="V255" s="2"/>
      <c r="W255" s="2"/>
    </row>
    <row r="256" ht="22.5" customHeight="1">
      <c r="A256" s="3">
        <v>255.0</v>
      </c>
      <c r="B256" s="3" t="s">
        <v>3759</v>
      </c>
      <c r="C256" s="3" t="s">
        <v>3760</v>
      </c>
      <c r="D256" s="3" t="s">
        <v>3761</v>
      </c>
      <c r="E256" s="2"/>
      <c r="F256" s="3" t="str">
        <f>IFERROR(__xludf.DUMMYFUNCTION("GOOGLETRANSLATE(A256, ""it"", ""en"")"),"255")</f>
        <v>255</v>
      </c>
      <c r="G256" s="3" t="str">
        <f>IFERROR(__xludf.DUMMYFUNCTION("GOOGLETRANSLATE(B256, ""it"", ""en"")"),"What does a sign with a foot symbol mean?")</f>
        <v>What does a sign with a foot symbol mean?</v>
      </c>
      <c r="H256" s="3" t="str">
        <f>IFERROR(__xludf.DUMMYFUNCTION("GOOGLETRANSLATE(C256, ""it"", ""en"")"),"A. Walking area B. Expert trail C. Rest area D. Alternative route")</f>
        <v>A. Walking area B. Expert trail C. Rest area D. Alternative route</v>
      </c>
      <c r="I256" s="3" t="str">
        <f>IFERROR(__xludf.DUMMYFUNCTION("GOOGLETRANSLATE(D256, ""it"", ""en"")"),"Walking area")</f>
        <v>Walking area</v>
      </c>
      <c r="J256" s="2"/>
      <c r="K256" s="2"/>
      <c r="L256" s="2"/>
      <c r="M256" s="2"/>
      <c r="N256" s="2"/>
      <c r="O256" s="2"/>
      <c r="P256" s="2"/>
      <c r="Q256" s="2"/>
      <c r="R256" s="2"/>
      <c r="S256" s="2"/>
      <c r="T256" s="2"/>
      <c r="U256" s="2"/>
      <c r="V256" s="2"/>
      <c r="W256" s="2"/>
    </row>
    <row r="257" ht="22.5" customHeight="1">
      <c r="A257" s="3">
        <v>256.0</v>
      </c>
      <c r="B257" s="3" t="s">
        <v>3762</v>
      </c>
      <c r="C257" s="3" t="s">
        <v>3763</v>
      </c>
      <c r="D257" s="3" t="s">
        <v>3764</v>
      </c>
      <c r="E257" s="2"/>
      <c r="F257" s="3" t="str">
        <f>IFERROR(__xludf.DUMMYFUNCTION("GOOGLETRANSLATE(A257, ""it"", ""en"")"),"256")</f>
        <v>256</v>
      </c>
      <c r="G257" s="3" t="str">
        <f>IFERROR(__xludf.DUMMYFUNCTION("GOOGLETRANSLATE(B257, ""it"", ""en"")"),"What to do if you find yourself in an area with hard, icy snow?")</f>
        <v>What to do if you find yourself in an area with hard, icy snow?</v>
      </c>
      <c r="H257" s="3" t="str">
        <f>IFERROR(__xludf.DUMMYFUNCTION("GOOGLETRANSLATE(C257, ""it"", ""en"")"),"A. Slow down and use smoother movements B. Accelerate to increase control C. Use your hands to brake D. Continue with caution")</f>
        <v>A. Slow down and use smoother movements B. Accelerate to increase control C. Use your hands to brake D. Continue with caution</v>
      </c>
      <c r="I257" s="3" t="str">
        <f>IFERROR(__xludf.DUMMYFUNCTION("GOOGLETRANSLATE(D257, ""it"", ""en"")"),"Slow down and use smoother movements")</f>
        <v>Slow down and use smoother movements</v>
      </c>
      <c r="J257" s="2"/>
      <c r="K257" s="2"/>
      <c r="L257" s="2"/>
      <c r="M257" s="2"/>
      <c r="N257" s="2"/>
      <c r="O257" s="2"/>
      <c r="P257" s="2"/>
      <c r="Q257" s="2"/>
      <c r="R257" s="2"/>
      <c r="S257" s="2"/>
      <c r="T257" s="2"/>
      <c r="U257" s="2"/>
      <c r="V257" s="2"/>
      <c r="W257" s="2"/>
    </row>
    <row r="258" ht="22.5" customHeight="1">
      <c r="A258" s="3">
        <v>257.0</v>
      </c>
      <c r="B258" s="3" t="s">
        <v>3765</v>
      </c>
      <c r="C258" s="3" t="s">
        <v>3766</v>
      </c>
      <c r="D258" s="3" t="s">
        <v>3712</v>
      </c>
      <c r="E258" s="2"/>
      <c r="F258" s="3" t="str">
        <f>IFERROR(__xludf.DUMMYFUNCTION("GOOGLETRANSLATE(A258, ""it"", ""en"")"),"257")</f>
        <v>257</v>
      </c>
      <c r="G258" s="3" t="str">
        <f>IFERROR(__xludf.DUMMYFUNCTION("GOOGLETRANSLATE(B258, ""it"", ""en"")"),"What to do if another skier comes down too fast towards you?")</f>
        <v>What to do if another skier comes down too fast towards you?</v>
      </c>
      <c r="H258" s="3" t="str">
        <f>IFERROR(__xludf.DUMMYFUNCTION("GOOGLETRANSLATE(C258, ""it"", ""en"")"),"A. Move sideways and stop B. Stay on your line C. Turn more slowly D. Accelerate to avoid contact")</f>
        <v>A. Move sideways and stop B. Stay on your line C. Turn more slowly D. Accelerate to avoid contact</v>
      </c>
      <c r="I258" s="3" t="str">
        <f>IFERROR(__xludf.DUMMYFUNCTION("GOOGLETRANSLATE(D258, ""it"", ""en"")"),"Move sideways and stop")</f>
        <v>Move sideways and stop</v>
      </c>
      <c r="J258" s="2"/>
      <c r="K258" s="2"/>
      <c r="L258" s="2"/>
      <c r="M258" s="2"/>
      <c r="N258" s="2"/>
      <c r="O258" s="2"/>
      <c r="P258" s="2"/>
      <c r="Q258" s="2"/>
      <c r="R258" s="2"/>
      <c r="S258" s="2"/>
      <c r="T258" s="2"/>
      <c r="U258" s="2"/>
      <c r="V258" s="2"/>
      <c r="W258" s="2"/>
    </row>
    <row r="259" ht="22.5" customHeight="1">
      <c r="A259" s="3">
        <v>258.0</v>
      </c>
      <c r="B259" s="3" t="s">
        <v>3767</v>
      </c>
      <c r="C259" s="3" t="s">
        <v>3768</v>
      </c>
      <c r="D259" s="3" t="s">
        <v>3769</v>
      </c>
      <c r="E259" s="2"/>
      <c r="F259" s="3" t="str">
        <f>IFERROR(__xludf.DUMMYFUNCTION("GOOGLETRANSLATE(A259, ""it"", ""en"")"),"258")</f>
        <v>258</v>
      </c>
      <c r="G259" s="3" t="str">
        <f>IFERROR(__xludf.DUMMYFUNCTION("GOOGLETRANSLATE(B259, ""it"", ""en"")"),"What does a sign with a dog symbol mean?")</f>
        <v>What does a sign with a dog symbol mean?</v>
      </c>
      <c r="H259" s="3" t="str">
        <f>IFERROR(__xludf.DUMMYFUNCTION("GOOGLETRANSLATE(C259, ""it"", ""en"")"),"A. Pet-friendly area B. Closed slope C. Rest area D. Family area")</f>
        <v>A. Pet-friendly area B. Closed slope C. Rest area D. Family area</v>
      </c>
      <c r="I259" s="3" t="str">
        <f>IFERROR(__xludf.DUMMYFUNCTION("GOOGLETRANSLATE(D259, ""it"", ""en"")"),"Pet-friendly area")</f>
        <v>Pet-friendly area</v>
      </c>
      <c r="J259" s="2"/>
      <c r="K259" s="2"/>
      <c r="L259" s="2"/>
      <c r="M259" s="2"/>
      <c r="N259" s="2"/>
      <c r="O259" s="2"/>
      <c r="P259" s="2"/>
      <c r="Q259" s="2"/>
      <c r="R259" s="2"/>
      <c r="S259" s="2"/>
      <c r="T259" s="2"/>
      <c r="U259" s="2"/>
      <c r="V259" s="2"/>
      <c r="W259" s="2"/>
    </row>
    <row r="260" ht="22.5" customHeight="1">
      <c r="A260" s="3">
        <v>259.0</v>
      </c>
      <c r="B260" s="3" t="s">
        <v>3770</v>
      </c>
      <c r="C260" s="3" t="s">
        <v>3771</v>
      </c>
      <c r="D260" s="3" t="s">
        <v>3772</v>
      </c>
      <c r="E260" s="2"/>
      <c r="F260" s="3" t="str">
        <f>IFERROR(__xludf.DUMMYFUNCTION("GOOGLETRANSLATE(A260, ""it"", ""en"")"),"259")</f>
        <v>259</v>
      </c>
      <c r="G260" s="3" t="str">
        <f>IFERROR(__xludf.DUMMYFUNCTION("GOOGLETRANSLATE(B260, ""it"", ""en"")"),"What to do if your skis don't glide properly on a hard slope?")</f>
        <v>What to do if your skis don't glide properly on a hard slope?</v>
      </c>
      <c r="H260" s="3" t="str">
        <f>IFERROR(__xludf.DUMMYFUNCTION("GOOGLETRANSLATE(C260, ""it"", ""en"")"),"A. Stop and check your skis B. Continue skiing slowly C. Adjust your body position D. Glide down the slope carefully")</f>
        <v>A. Stop and check your skis B. Continue skiing slowly C. Adjust your body position D. Glide down the slope carefully</v>
      </c>
      <c r="I260" s="3" t="str">
        <f>IFERROR(__xludf.DUMMYFUNCTION("GOOGLETRANSLATE(D260, ""it"", ""en"")"),"Stop and check your skis")</f>
        <v>Stop and check your skis</v>
      </c>
      <c r="J260" s="2"/>
      <c r="K260" s="2"/>
      <c r="L260" s="2"/>
      <c r="M260" s="2"/>
      <c r="N260" s="2"/>
      <c r="O260" s="2"/>
      <c r="P260" s="2"/>
      <c r="Q260" s="2"/>
      <c r="R260" s="2"/>
      <c r="S260" s="2"/>
      <c r="T260" s="2"/>
      <c r="U260" s="2"/>
      <c r="V260" s="2"/>
      <c r="W260" s="2"/>
    </row>
    <row r="261" ht="22.5" customHeight="1">
      <c r="A261" s="3">
        <v>260.0</v>
      </c>
      <c r="B261" s="3" t="s">
        <v>3773</v>
      </c>
      <c r="C261" s="3" t="s">
        <v>3774</v>
      </c>
      <c r="D261" s="3" t="s">
        <v>3703</v>
      </c>
      <c r="E261" s="2"/>
      <c r="F261" s="3" t="str">
        <f>IFERROR(__xludf.DUMMYFUNCTION("GOOGLETRANSLATE(A261, ""it"", ""en"")"),"260")</f>
        <v>260</v>
      </c>
      <c r="G261" s="3" t="str">
        <f>IFERROR(__xludf.DUMMYFUNCTION("GOOGLETRANSLATE(B261, ""it"", ""en"")"),"What does the red cross symbol on a sign mean?")</f>
        <v>What does the red cross symbol on a sign mean?</v>
      </c>
      <c r="H261" s="3" t="str">
        <f>IFERROR(__xludf.DUMMYFUNCTION("GOOGLETRANSLATE(C261, ""it"", ""en"")"),"A. Rescue trail B. Area with potential danger C. Rest area D. Expert route")</f>
        <v>A. Rescue trail B. Area with potential danger C. Rest area D. Expert route</v>
      </c>
      <c r="I261" s="3" t="str">
        <f>IFERROR(__xludf.DUMMYFUNCTION("GOOGLETRANSLATE(D261, ""it"", ""en"")"),"Rescue track")</f>
        <v>Rescue track</v>
      </c>
      <c r="J261" s="2"/>
      <c r="K261" s="2"/>
      <c r="L261" s="2"/>
      <c r="M261" s="2"/>
      <c r="N261" s="2"/>
      <c r="O261" s="2"/>
      <c r="P261" s="2"/>
      <c r="Q261" s="2"/>
      <c r="R261" s="2"/>
      <c r="S261" s="2"/>
      <c r="T261" s="2"/>
      <c r="U261" s="2"/>
      <c r="V261" s="2"/>
      <c r="W261" s="2"/>
    </row>
    <row r="262" ht="22.5" customHeight="1">
      <c r="A262" s="3">
        <v>261.0</v>
      </c>
      <c r="B262" s="3" t="s">
        <v>3775</v>
      </c>
      <c r="C262" s="3" t="s">
        <v>3776</v>
      </c>
      <c r="D262" s="3" t="s">
        <v>3777</v>
      </c>
      <c r="E262" s="2"/>
      <c r="F262" s="3" t="str">
        <f>IFERROR(__xludf.DUMMYFUNCTION("GOOGLETRANSLATE(A262, ""it"", ""en"")"),"261")</f>
        <v>261</v>
      </c>
      <c r="G262" s="3" t="str">
        <f>IFERROR(__xludf.DUMMYFUNCTION("GOOGLETRANSLATE(B262, ""it"", ""en"")"),"What to do if another skier falls near you?")</f>
        <v>What to do if another skier falls near you?</v>
      </c>
      <c r="H262" s="3" t="str">
        <f>IFERROR(__xludf.DUMMYFUNCTION("GOOGLETRANSLATE(C262, ""it"", ""en"")"),"A. Move to avoid contact B. Continue sliding carefully C. Call for help D. Make sure he is okay and ask for help")</f>
        <v>A. Move to avoid contact B. Continue sliding carefully C. Call for help D. Make sure he is okay and ask for help</v>
      </c>
      <c r="I262" s="3" t="str">
        <f>IFERROR(__xludf.DUMMYFUNCTION("GOOGLETRANSLATE(D262, ""it"", ""en"")"),"Move to avoid contact")</f>
        <v>Move to avoid contact</v>
      </c>
      <c r="J262" s="2"/>
      <c r="K262" s="2"/>
      <c r="L262" s="2"/>
      <c r="M262" s="2"/>
      <c r="N262" s="2"/>
      <c r="O262" s="2"/>
      <c r="P262" s="2"/>
      <c r="Q262" s="2"/>
      <c r="R262" s="2"/>
      <c r="S262" s="2"/>
      <c r="T262" s="2"/>
      <c r="U262" s="2"/>
      <c r="V262" s="2"/>
      <c r="W262" s="2"/>
    </row>
    <row r="263" ht="22.5" customHeight="1">
      <c r="A263" s="3">
        <v>262.0</v>
      </c>
      <c r="B263" s="3" t="s">
        <v>3778</v>
      </c>
      <c r="C263" s="3" t="s">
        <v>3779</v>
      </c>
      <c r="D263" s="3" t="s">
        <v>3780</v>
      </c>
      <c r="E263" s="2"/>
      <c r="F263" s="3" t="str">
        <f>IFERROR(__xludf.DUMMYFUNCTION("GOOGLETRANSLATE(A263, ""it"", ""en"")"),"262")</f>
        <v>262</v>
      </c>
      <c r="G263" s="3" t="str">
        <f>IFERROR(__xludf.DUMMYFUNCTION("GOOGLETRANSLATE(B263, ""it"", ""en"")"),"What does a sign with a symbol of a man skiing mean?")</f>
        <v>What does a sign with a symbol of a man skiing mean?</v>
      </c>
      <c r="H263" s="3" t="str">
        <f>IFERROR(__xludf.DUMMYFUNCTION("GOOGLETRANSLATE(C263, ""it"", ""en"")"),"A. Ski slope B. Rescue area C. Rest area D. Slalom slope")</f>
        <v>A. Ski slope B. Rescue area C. Rest area D. Slalom slope</v>
      </c>
      <c r="I263" s="3" t="str">
        <f>IFERROR(__xludf.DUMMYFUNCTION("GOOGLETRANSLATE(D263, ""it"", ""en"")"),"Ski slope")</f>
        <v>Ski slope</v>
      </c>
      <c r="J263" s="2"/>
      <c r="K263" s="2"/>
      <c r="L263" s="2"/>
      <c r="M263" s="2"/>
      <c r="N263" s="2"/>
      <c r="O263" s="2"/>
      <c r="P263" s="2"/>
      <c r="Q263" s="2"/>
      <c r="R263" s="2"/>
      <c r="S263" s="2"/>
      <c r="T263" s="2"/>
      <c r="U263" s="2"/>
      <c r="V263" s="2"/>
      <c r="W263" s="2"/>
    </row>
    <row r="264" ht="22.5" customHeight="1">
      <c r="A264" s="3">
        <v>263.0</v>
      </c>
      <c r="B264" s="3" t="s">
        <v>3781</v>
      </c>
      <c r="C264" s="3" t="s">
        <v>3782</v>
      </c>
      <c r="D264" s="3" t="s">
        <v>3783</v>
      </c>
      <c r="E264" s="2"/>
      <c r="F264" s="3" t="str">
        <f>IFERROR(__xludf.DUMMYFUNCTION("GOOGLETRANSLATE(A264, ""it"", ""en"")"),"263")</f>
        <v>263</v>
      </c>
      <c r="G264" s="3" t="str">
        <f>IFERROR(__xludf.DUMMYFUNCTION("GOOGLETRANSLATE(B264, ""it"", ""en"")"),"What to do if you are overwhelmed by speed during a descent?")</f>
        <v>What to do if you are overwhelmed by speed during a descent?</v>
      </c>
      <c r="H264" s="3" t="str">
        <f>IFERROR(__xludf.DUMMYFUNCTION("GOOGLETRANSLATE(C264, ""it"", ""en"")"),"A. Move sideways to slow down B. Stop suddenly C. Turn at high speed D. Use a more advanced technique")</f>
        <v>A. Move sideways to slow down B. Stop suddenly C. Turn at high speed D. Use a more advanced technique</v>
      </c>
      <c r="I264" s="3" t="str">
        <f>IFERROR(__xludf.DUMMYFUNCTION("GOOGLETRANSLATE(D264, ""it"", ""en"")"),"Move sideways to slow down")</f>
        <v>Move sideways to slow down</v>
      </c>
      <c r="J264" s="2"/>
      <c r="K264" s="2"/>
      <c r="L264" s="2"/>
      <c r="M264" s="2"/>
      <c r="N264" s="2"/>
      <c r="O264" s="2"/>
      <c r="P264" s="2"/>
      <c r="Q264" s="2"/>
      <c r="R264" s="2"/>
      <c r="S264" s="2"/>
      <c r="T264" s="2"/>
      <c r="U264" s="2"/>
      <c r="V264" s="2"/>
      <c r="W264" s="2"/>
    </row>
    <row r="265" ht="22.5" customHeight="1">
      <c r="A265" s="3">
        <v>264.0</v>
      </c>
      <c r="B265" s="3" t="s">
        <v>3435</v>
      </c>
      <c r="C265" s="3" t="s">
        <v>3784</v>
      </c>
      <c r="D265" s="3" t="s">
        <v>3785</v>
      </c>
      <c r="E265" s="2"/>
      <c r="F265" s="3" t="str">
        <f>IFERROR(__xludf.DUMMYFUNCTION("GOOGLETRANSLATE(A265, ""it"", ""en"")"),"264")</f>
        <v>264</v>
      </c>
      <c r="G265" s="3" t="str">
        <f>IFERROR(__xludf.DUMMYFUNCTION("GOOGLETRANSLATE(B265, ""it"", ""en"")"),"What does a sign with an avalanche symbol mean?")</f>
        <v>What does a sign with an avalanche symbol mean?</v>
      </c>
      <c r="H265" s="3" t="str">
        <f>IFERROR(__xludf.DUMMYFUNCTION("GOOGLETRANSLATE(C265, ""it"", ""en"")"),"A. Avalanche risk area B. Rest area C. Closed slope D. Rescue area")</f>
        <v>A. Avalanche risk area B. Rest area C. Closed slope D. Rescue area</v>
      </c>
      <c r="I265" s="3" t="str">
        <f>IFERROR(__xludf.DUMMYFUNCTION("GOOGLETRANSLATE(D265, ""it"", ""en"")"),"Avalanche risk area")</f>
        <v>Avalanche risk area</v>
      </c>
      <c r="J265" s="2"/>
      <c r="K265" s="2"/>
      <c r="L265" s="2"/>
      <c r="M265" s="2"/>
      <c r="N265" s="2"/>
      <c r="O265" s="2"/>
      <c r="P265" s="2"/>
      <c r="Q265" s="2"/>
      <c r="R265" s="2"/>
      <c r="S265" s="2"/>
      <c r="T265" s="2"/>
      <c r="U265" s="2"/>
      <c r="V265" s="2"/>
      <c r="W265" s="2"/>
    </row>
    <row r="266" ht="22.5" customHeight="1">
      <c r="A266" s="3">
        <v>265.0</v>
      </c>
      <c r="B266" s="3" t="s">
        <v>3786</v>
      </c>
      <c r="C266" s="3" t="s">
        <v>3787</v>
      </c>
      <c r="D266" s="3" t="s">
        <v>3700</v>
      </c>
      <c r="E266" s="2"/>
      <c r="F266" s="3" t="str">
        <f>IFERROR(__xludf.DUMMYFUNCTION("GOOGLETRANSLATE(A266, ""it"", ""en"")"),"265")</f>
        <v>265</v>
      </c>
      <c r="G266" s="3" t="str">
        <f>IFERROR(__xludf.DUMMYFUNCTION("GOOGLETRANSLATE(B266, ""it"", ""en"")"),"What to do if you find you can't brake while going downhill?")</f>
        <v>What to do if you find you can't brake while going downhill?</v>
      </c>
      <c r="H266" s="3" t="str">
        <f>IFERROR(__xludf.DUMMYFUNCTION("GOOGLETRANSLATE(C266, ""it"", ""en"")"),"A. Use poles to brake B. Control speed by turning C. Assume a more upright position D. Brake using your body")</f>
        <v>A. Use poles to brake B. Control speed by turning C. Assume a more upright position D. Brake using your body</v>
      </c>
      <c r="I266" s="3" t="str">
        <f>IFERROR(__xludf.DUMMYFUNCTION("GOOGLETRANSLATE(D266, ""it"", ""en"")"),"Using poles to brake")</f>
        <v>Using poles to brake</v>
      </c>
      <c r="J266" s="2"/>
      <c r="K266" s="2"/>
      <c r="L266" s="2"/>
      <c r="M266" s="2"/>
      <c r="N266" s="2"/>
      <c r="O266" s="2"/>
      <c r="P266" s="2"/>
      <c r="Q266" s="2"/>
      <c r="R266" s="2"/>
      <c r="S266" s="2"/>
      <c r="T266" s="2"/>
      <c r="U266" s="2"/>
      <c r="V266" s="2"/>
      <c r="W266" s="2"/>
    </row>
    <row r="267" ht="22.5" customHeight="1">
      <c r="A267" s="3">
        <v>266.0</v>
      </c>
      <c r="B267" s="3" t="s">
        <v>3788</v>
      </c>
      <c r="C267" s="3" t="s">
        <v>3789</v>
      </c>
      <c r="D267" s="3" t="s">
        <v>3790</v>
      </c>
      <c r="E267" s="2"/>
      <c r="F267" s="3" t="str">
        <f>IFERROR(__xludf.DUMMYFUNCTION("GOOGLETRANSLATE(A267, ""it"", ""en"")"),"266")</f>
        <v>266</v>
      </c>
      <c r="G267" s="3" t="str">
        <f>IFERROR(__xludf.DUMMYFUNCTION("GOOGLETRANSLATE(B267, ""it"", ""en"")"),"What does a sign with an arrow pointing down mean?")</f>
        <v>What does a sign with an arrow pointing down mean?</v>
      </c>
      <c r="H267" s="3" t="str">
        <f>IFERROR(__xludf.DUMMYFUNCTION("GOOGLETRANSLATE(C267, ""it"", ""en"")"),"A. Indicates the direction of descent B. Runway closed C. Emergency area D. Rest area")</f>
        <v>A. Indicates the direction of descent B. Runway closed C. Emergency area D. Rest area</v>
      </c>
      <c r="I267" s="3" t="str">
        <f>IFERROR(__xludf.DUMMYFUNCTION("GOOGLETRANSLATE(D267, ""it"", ""en"")"),"Indicates the direction of descent")</f>
        <v>Indicates the direction of descent</v>
      </c>
      <c r="J267" s="2"/>
      <c r="K267" s="2"/>
      <c r="L267" s="2"/>
      <c r="M267" s="2"/>
      <c r="N267" s="2"/>
      <c r="O267" s="2"/>
      <c r="P267" s="2"/>
      <c r="Q267" s="2"/>
      <c r="R267" s="2"/>
      <c r="S267" s="2"/>
      <c r="T267" s="2"/>
      <c r="U267" s="2"/>
      <c r="V267" s="2"/>
      <c r="W267" s="2"/>
    </row>
    <row r="268" ht="22.5" customHeight="1">
      <c r="A268" s="3">
        <v>267.0</v>
      </c>
      <c r="B268" s="3" t="s">
        <v>3791</v>
      </c>
      <c r="C268" s="3" t="s">
        <v>3792</v>
      </c>
      <c r="D268" s="3" t="s">
        <v>3793</v>
      </c>
      <c r="E268" s="2"/>
      <c r="F268" s="3" t="str">
        <f>IFERROR(__xludf.DUMMYFUNCTION("GOOGLETRANSLATE(A268, ""it"", ""en"")"),"267")</f>
        <v>267</v>
      </c>
      <c r="G268" s="3" t="str">
        <f>IFERROR(__xludf.DUMMYFUNCTION("GOOGLETRANSLATE(B268, ""it"", ""en"")"),"What to do if another skier hits you on a descent?")</f>
        <v>What to do if another skier hits you on a descent?</v>
      </c>
      <c r="H268" s="3" t="str">
        <f>IFERROR(__xludf.DUMMYFUNCTION("GOOGLETRANSLATE(C268, ""it"", ""en"")"),"A. Stop and make sure he is okay B. Continue sliding calmly C. Stop and report the accident D. Apologize and continue")</f>
        <v>A. Stop and make sure he is okay B. Continue sliding calmly C. Stop and report the accident D. Apologize and continue</v>
      </c>
      <c r="I268" s="3" t="str">
        <f>IFERROR(__xludf.DUMMYFUNCTION("GOOGLETRANSLATE(D268, ""it"", ""en"")"),"Stop and make sure he's okay")</f>
        <v>Stop and make sure he's okay</v>
      </c>
      <c r="J268" s="2"/>
      <c r="K268" s="2"/>
      <c r="L268" s="2"/>
      <c r="M268" s="2"/>
      <c r="N268" s="2"/>
      <c r="O268" s="2"/>
      <c r="P268" s="2"/>
      <c r="Q268" s="2"/>
      <c r="R268" s="2"/>
      <c r="S268" s="2"/>
      <c r="T268" s="2"/>
      <c r="U268" s="2"/>
      <c r="V268" s="2"/>
      <c r="W268" s="2"/>
    </row>
    <row r="269" ht="22.5" customHeight="1">
      <c r="A269" s="3">
        <v>268.0</v>
      </c>
      <c r="B269" s="3" t="s">
        <v>3794</v>
      </c>
      <c r="C269" s="3" t="s">
        <v>3795</v>
      </c>
      <c r="D269" s="3" t="s">
        <v>3745</v>
      </c>
      <c r="E269" s="2"/>
      <c r="F269" s="3" t="str">
        <f>IFERROR(__xludf.DUMMYFUNCTION("GOOGLETRANSLATE(A269, ""it"", ""en"")"),"268")</f>
        <v>268</v>
      </c>
      <c r="G269" s="3" t="str">
        <f>IFERROR(__xludf.DUMMYFUNCTION("GOOGLETRANSLATE(B269, ""it"", ""en"")"),"What does a sign with a green wavy line mean?")</f>
        <v>What does a sign with a green wavy line mean?</v>
      </c>
      <c r="H269" s="3" t="str">
        <f>IFERROR(__xludf.DUMMYFUNCTION("GOOGLETRANSLATE(C269, ""it"", ""en"")"),"A. Easy slope for beginners B. Training area C. Rest area D. Difficult slope")</f>
        <v>A. Easy slope for beginners B. Training area C. Rest area D. Difficult slope</v>
      </c>
      <c r="I269" s="3" t="str">
        <f>IFERROR(__xludf.DUMMYFUNCTION("GOOGLETRANSLATE(D269, ""it"", ""en"")"),"Easy track for beginners")</f>
        <v>Easy track for beginners</v>
      </c>
      <c r="J269" s="2"/>
      <c r="K269" s="2"/>
      <c r="L269" s="2"/>
      <c r="M269" s="2"/>
      <c r="N269" s="2"/>
      <c r="O269" s="2"/>
      <c r="P269" s="2"/>
      <c r="Q269" s="2"/>
      <c r="R269" s="2"/>
      <c r="S269" s="2"/>
      <c r="T269" s="2"/>
      <c r="U269" s="2"/>
      <c r="V269" s="2"/>
      <c r="W269" s="2"/>
    </row>
    <row r="270" ht="22.5" customHeight="1">
      <c r="A270" s="3">
        <v>269.0</v>
      </c>
      <c r="B270" s="3" t="s">
        <v>3796</v>
      </c>
      <c r="C270" s="3" t="s">
        <v>3797</v>
      </c>
      <c r="D270" s="3" t="s">
        <v>3798</v>
      </c>
      <c r="E270" s="2"/>
      <c r="F270" s="3" t="str">
        <f>IFERROR(__xludf.DUMMYFUNCTION("GOOGLETRANSLATE(A270, ""it"", ""en"")"),"269")</f>
        <v>269</v>
      </c>
      <c r="G270" s="3" t="str">
        <f>IFERROR(__xludf.DUMMYFUNCTION("GOOGLETRANSLATE(B270, ""it"", ""en"")"),"What to do if you're tired on a long descent?")</f>
        <v>What to do if you're tired on a long descent?</v>
      </c>
      <c r="H270" s="3" t="str">
        <f>IFERROR(__xludf.DUMMYFUNCTION("GOOGLETRANSLATE(C270, ""it"", ""en"")"),"A. Take a short break and catch your breath B. Accelerate to complete quickly C. Ask for help on a hill D. Stop and rest on a bench")</f>
        <v>A. Take a short break and catch your breath B. Accelerate to complete quickly C. Ask for help on a hill D. Stop and rest on a bench</v>
      </c>
      <c r="I270" s="3" t="str">
        <f>IFERROR(__xludf.DUMMYFUNCTION("GOOGLETRANSLATE(D270, ""it"", ""en"")"),"Take a short break and catch your breath")</f>
        <v>Take a short break and catch your breath</v>
      </c>
      <c r="J270" s="2"/>
      <c r="K270" s="2"/>
      <c r="L270" s="2"/>
      <c r="M270" s="2"/>
      <c r="N270" s="2"/>
      <c r="O270" s="2"/>
      <c r="P270" s="2"/>
      <c r="Q270" s="2"/>
      <c r="R270" s="2"/>
      <c r="S270" s="2"/>
      <c r="T270" s="2"/>
      <c r="U270" s="2"/>
      <c r="V270" s="2"/>
      <c r="W270" s="2"/>
    </row>
    <row r="271" ht="22.5" customHeight="1">
      <c r="A271" s="3">
        <v>270.0</v>
      </c>
      <c r="B271" s="3" t="s">
        <v>3799</v>
      </c>
      <c r="C271" s="3" t="s">
        <v>3800</v>
      </c>
      <c r="D271" s="3" t="s">
        <v>3801</v>
      </c>
      <c r="E271" s="2"/>
      <c r="F271" s="3" t="str">
        <f>IFERROR(__xludf.DUMMYFUNCTION("GOOGLETRANSLATE(A271, ""it"", ""en"")"),"270")</f>
        <v>270</v>
      </c>
      <c r="G271" s="3" t="str">
        <f>IFERROR(__xludf.DUMMYFUNCTION("GOOGLETRANSLATE(B271, ""it"", ""en"")"),"What does a sign with an eye symbol mean?")</f>
        <v>What does a sign with an eye symbol mean?</v>
      </c>
      <c r="H271" s="3" t="str">
        <f>IFERROR(__xludf.DUMMYFUNCTION("GOOGLETRANSLATE(C271, ""it"", ""en"")"),"A. Area with poor visibility B. Slope suitable for beginners C. Start of a slalom slope D. Emergency area")</f>
        <v>A. Area with poor visibility B. Slope suitable for beginners C. Start of a slalom slope D. Emergency area</v>
      </c>
      <c r="I271" s="3" t="str">
        <f>IFERROR(__xludf.DUMMYFUNCTION("GOOGLETRANSLATE(D271, ""it"", ""en"")"),"Area with poor visibility")</f>
        <v>Area with poor visibility</v>
      </c>
      <c r="J271" s="2"/>
      <c r="K271" s="2"/>
      <c r="L271" s="2"/>
      <c r="M271" s="2"/>
      <c r="N271" s="2"/>
      <c r="O271" s="2"/>
      <c r="P271" s="2"/>
      <c r="Q271" s="2"/>
      <c r="R271" s="2"/>
      <c r="S271" s="2"/>
      <c r="T271" s="2"/>
      <c r="U271" s="2"/>
      <c r="V271" s="2"/>
      <c r="W271" s="2"/>
    </row>
    <row r="272" ht="22.5" customHeight="1">
      <c r="A272" s="3">
        <v>271.0</v>
      </c>
      <c r="B272" s="3" t="s">
        <v>3802</v>
      </c>
      <c r="C272" s="3" t="s">
        <v>3803</v>
      </c>
      <c r="D272" s="3" t="s">
        <v>3804</v>
      </c>
      <c r="E272" s="2"/>
      <c r="F272" s="3" t="str">
        <f>IFERROR(__xludf.DUMMYFUNCTION("GOOGLETRANSLATE(A272, ""it"", ""en"")"),"271")</f>
        <v>271</v>
      </c>
      <c r="G272" s="3" t="str">
        <f>IFERROR(__xludf.DUMMYFUNCTION("GOOGLETRANSLATE(B272, ""it"", ""en"")"),"What to do if the snow is icy while skiing?")</f>
        <v>What to do if the snow is icy while skiing?</v>
      </c>
      <c r="H272" s="3" t="str">
        <f>IFERROR(__xludf.DUMMYFUNCTION("GOOGLETRANSLATE(C272, ""it"", ""en"")"),"A. Slow down and bend your knees B. Speed ​​up to improve control C. Use your body to maintain balance D. Turn at a higher speed")</f>
        <v>A. Slow down and bend your knees B. Speed ​​up to improve control C. Use your body to maintain balance D. Turn at a higher speed</v>
      </c>
      <c r="I272" s="3" t="str">
        <f>IFERROR(__xludf.DUMMYFUNCTION("GOOGLETRANSLATE(D272, ""it"", ""en"")"),"Slow down and bend your knees")</f>
        <v>Slow down and bend your knees</v>
      </c>
      <c r="J272" s="2"/>
      <c r="K272" s="2"/>
      <c r="L272" s="2"/>
      <c r="M272" s="2"/>
      <c r="N272" s="2"/>
      <c r="O272" s="2"/>
      <c r="P272" s="2"/>
      <c r="Q272" s="2"/>
      <c r="R272" s="2"/>
      <c r="S272" s="2"/>
      <c r="T272" s="2"/>
      <c r="U272" s="2"/>
      <c r="V272" s="2"/>
      <c r="W272" s="2"/>
    </row>
    <row r="273" ht="22.5" customHeight="1">
      <c r="A273" s="3">
        <v>272.0</v>
      </c>
      <c r="B273" s="3" t="s">
        <v>3805</v>
      </c>
      <c r="C273" s="3" t="s">
        <v>3806</v>
      </c>
      <c r="D273" s="3" t="s">
        <v>3807</v>
      </c>
      <c r="E273" s="2"/>
      <c r="F273" s="3" t="str">
        <f>IFERROR(__xludf.DUMMYFUNCTION("GOOGLETRANSLATE(A273, ""it"", ""en"")"),"272")</f>
        <v>272</v>
      </c>
      <c r="G273" s="3" t="str">
        <f>IFERROR(__xludf.DUMMYFUNCTION("GOOGLETRANSLATE(B273, ""it"", ""en"")"),"What does a sign with a star symbol mean?")</f>
        <v>What does a sign with a star symbol mean?</v>
      </c>
      <c r="H273" s="3" t="str">
        <f>IFERROR(__xludf.DUMMYFUNCTION("GOOGLETRANSLATE(C273, ""it"", ""en"")"),"A. Rescue zone B. Rest zone C. Rest zone D. Easy track")</f>
        <v>A. Rescue zone B. Rest zone C. Rest zone D. Easy track</v>
      </c>
      <c r="I273" s="3" t="str">
        <f>IFERROR(__xludf.DUMMYFUNCTION("GOOGLETRANSLATE(D273, ""it"", ""en"")"),"Rescue zone")</f>
        <v>Rescue zone</v>
      </c>
      <c r="J273" s="2"/>
      <c r="K273" s="2"/>
      <c r="L273" s="2"/>
      <c r="M273" s="2"/>
      <c r="N273" s="2"/>
      <c r="O273" s="2"/>
      <c r="P273" s="2"/>
      <c r="Q273" s="2"/>
      <c r="R273" s="2"/>
      <c r="S273" s="2"/>
      <c r="T273" s="2"/>
      <c r="U273" s="2"/>
      <c r="V273" s="2"/>
      <c r="W273" s="2"/>
    </row>
    <row r="274" ht="22.5" customHeight="1">
      <c r="A274" s="3">
        <v>273.0</v>
      </c>
      <c r="B274" s="3" t="s">
        <v>3808</v>
      </c>
      <c r="C274" s="3" t="s">
        <v>3809</v>
      </c>
      <c r="D274" s="3" t="s">
        <v>3810</v>
      </c>
      <c r="E274" s="2"/>
      <c r="F274" s="3" t="str">
        <f>IFERROR(__xludf.DUMMYFUNCTION("GOOGLETRANSLATE(A274, ""it"", ""en"")"),"273")</f>
        <v>273</v>
      </c>
      <c r="G274" s="3" t="str">
        <f>IFERROR(__xludf.DUMMYFUNCTION("GOOGLETRANSLATE(B274, ""it"", ""en"")"),"What to do if another skier descends too slowly in front of you?")</f>
        <v>What to do if another skier descends too slowly in front of you?</v>
      </c>
      <c r="H274" s="3" t="str">
        <f>IFERROR(__xludf.DUMMYFUNCTION("GOOGLETRANSLATE(C274, ""it"", ""en"")"),"A. Move sideways and pass them B. Slowly get down yourself C. Accelerate to pass them quickly D. Wait for them to move away")</f>
        <v>A. Move sideways and pass them B. Slowly get down yourself C. Accelerate to pass them quickly D. Wait for them to move away</v>
      </c>
      <c r="I274" s="3" t="str">
        <f>IFERROR(__xludf.DUMMYFUNCTION("GOOGLETRANSLATE(D274, ""it"", ""en"")"),"Move sideways and pass them")</f>
        <v>Move sideways and pass them</v>
      </c>
      <c r="J274" s="2"/>
      <c r="K274" s="2"/>
      <c r="L274" s="2"/>
      <c r="M274" s="2"/>
      <c r="N274" s="2"/>
      <c r="O274" s="2"/>
      <c r="P274" s="2"/>
      <c r="Q274" s="2"/>
      <c r="R274" s="2"/>
      <c r="S274" s="2"/>
      <c r="T274" s="2"/>
      <c r="U274" s="2"/>
      <c r="V274" s="2"/>
      <c r="W274" s="2"/>
    </row>
    <row r="275" ht="22.5" customHeight="1">
      <c r="A275" s="3">
        <v>274.0</v>
      </c>
      <c r="B275" s="3" t="s">
        <v>3811</v>
      </c>
      <c r="C275" s="3" t="s">
        <v>3812</v>
      </c>
      <c r="D275" s="3" t="s">
        <v>3813</v>
      </c>
      <c r="E275" s="2"/>
      <c r="F275" s="3" t="str">
        <f>IFERROR(__xludf.DUMMYFUNCTION("GOOGLETRANSLATE(A275, ""it"", ""en"")"),"274")</f>
        <v>274</v>
      </c>
      <c r="G275" s="3" t="str">
        <f>IFERROR(__xludf.DUMMYFUNCTION("GOOGLETRANSLATE(B275, ""it"", ""en"")"),"What does a sign with a red tent symbol mean?")</f>
        <v>What does a sign with a red tent symbol mean?</v>
      </c>
      <c r="H275" s="3" t="str">
        <f>IFERROR(__xludf.DUMMYFUNCTION("GOOGLETRANSLATE(C275, ""it"", ""en"")"),"A. Rest area B. Emergency area C. Difficult track D. Training areas")</f>
        <v>A. Rest area B. Emergency area C. Difficult track D. Training areas</v>
      </c>
      <c r="I275" s="3" t="str">
        <f>IFERROR(__xludf.DUMMYFUNCTION("GOOGLETRANSLATE(D275, ""it"", ""en"")"),"Rest area")</f>
        <v>Rest area</v>
      </c>
      <c r="J275" s="2"/>
      <c r="K275" s="2"/>
      <c r="L275" s="2"/>
      <c r="M275" s="2"/>
      <c r="N275" s="2"/>
      <c r="O275" s="2"/>
      <c r="P275" s="2"/>
      <c r="Q275" s="2"/>
      <c r="R275" s="2"/>
      <c r="S275" s="2"/>
      <c r="T275" s="2"/>
      <c r="U275" s="2"/>
      <c r="V275" s="2"/>
      <c r="W275" s="2"/>
    </row>
    <row r="276" ht="22.5" customHeight="1">
      <c r="A276" s="3">
        <v>275.0</v>
      </c>
      <c r="B276" s="3" t="s">
        <v>3814</v>
      </c>
      <c r="C276" s="3" t="s">
        <v>3815</v>
      </c>
      <c r="D276" s="3" t="s">
        <v>3777</v>
      </c>
      <c r="E276" s="2"/>
      <c r="F276" s="3" t="str">
        <f>IFERROR(__xludf.DUMMYFUNCTION("GOOGLETRANSLATE(A276, ""it"", ""en"")"),"275")</f>
        <v>275</v>
      </c>
      <c r="G276" s="3" t="str">
        <f>IFERROR(__xludf.DUMMYFUNCTION("GOOGLETRANSLATE(B276, ""it"", ""en"")"),"What to do if another skier passes you without signaling?")</f>
        <v>What to do if another skier passes you without signaling?</v>
      </c>
      <c r="H276" s="3" t="str">
        <f>IFERROR(__xludf.DUMMYFUNCTION("GOOGLETRANSLATE(C276, ""it"", ""en"")"),"A. Move to avoid contact B. Notice its trajectory C. Do nothing and continue D. Turn to avoid contact")</f>
        <v>A. Move to avoid contact B. Notice its trajectory C. Do nothing and continue D. Turn to avoid contact</v>
      </c>
      <c r="I276" s="3" t="str">
        <f>IFERROR(__xludf.DUMMYFUNCTION("GOOGLETRANSLATE(D276, ""it"", ""en"")"),"Move to avoid contact")</f>
        <v>Move to avoid contact</v>
      </c>
      <c r="J276" s="2"/>
      <c r="K276" s="2"/>
      <c r="L276" s="2"/>
      <c r="M276" s="2"/>
      <c r="N276" s="2"/>
      <c r="O276" s="2"/>
      <c r="P276" s="2"/>
      <c r="Q276" s="2"/>
      <c r="R276" s="2"/>
      <c r="S276" s="2"/>
      <c r="T276" s="2"/>
      <c r="U276" s="2"/>
      <c r="V276" s="2"/>
      <c r="W276" s="2"/>
    </row>
    <row r="277" ht="22.5" customHeight="1">
      <c r="A277" s="3">
        <v>276.0</v>
      </c>
      <c r="B277" s="3" t="s">
        <v>3816</v>
      </c>
      <c r="C277" s="3" t="s">
        <v>3817</v>
      </c>
      <c r="D277" s="3" t="s">
        <v>3818</v>
      </c>
      <c r="E277" s="2"/>
      <c r="F277" s="3" t="str">
        <f>IFERROR(__xludf.DUMMYFUNCTION("GOOGLETRANSLATE(A277, ""it"", ""en"")"),"276")</f>
        <v>276</v>
      </c>
      <c r="G277" s="3" t="str">
        <f>IFERROR(__xludf.DUMMYFUNCTION("GOOGLETRANSLATE(B277, ""it"", ""en"")"),"What does a sign with a snowflake symbol mean?")</f>
        <v>What does a sign with a snowflake symbol mean?</v>
      </c>
      <c r="H277" s="3" t="str">
        <f>IFERROR(__xludf.DUMMYFUNCTION("GOOGLETRANSLATE(C277, ""it"", ""en"")"),"A. Fresh snow conditions B. Area with icy slope C. Area closed due to avalanche risk D. Slope in excellent condition")</f>
        <v>A. Fresh snow conditions B. Area with icy slope C. Area closed due to avalanche risk D. Slope in excellent condition</v>
      </c>
      <c r="I277" s="3" t="str">
        <f>IFERROR(__xludf.DUMMYFUNCTION("GOOGLETRANSLATE(D277, ""it"", ""en"")"),"Fresh snow conditions")</f>
        <v>Fresh snow conditions</v>
      </c>
      <c r="J277" s="2"/>
      <c r="K277" s="2"/>
      <c r="L277" s="2"/>
      <c r="M277" s="2"/>
      <c r="N277" s="2"/>
      <c r="O277" s="2"/>
      <c r="P277" s="2"/>
      <c r="Q277" s="2"/>
      <c r="R277" s="2"/>
      <c r="S277" s="2"/>
      <c r="T277" s="2"/>
      <c r="U277" s="2"/>
      <c r="V277" s="2"/>
      <c r="W277" s="2"/>
    </row>
    <row r="278" ht="22.5" customHeight="1">
      <c r="A278" s="3">
        <v>277.0</v>
      </c>
      <c r="B278" s="3" t="s">
        <v>3819</v>
      </c>
      <c r="C278" s="3" t="s">
        <v>3820</v>
      </c>
      <c r="D278" s="3" t="s">
        <v>3821</v>
      </c>
      <c r="E278" s="2"/>
      <c r="F278" s="3" t="str">
        <f>IFERROR(__xludf.DUMMYFUNCTION("GOOGLETRANSLATE(A278, ""it"", ""en"")"),"277")</f>
        <v>277</v>
      </c>
      <c r="G278" s="3" t="str">
        <f>IFERROR(__xludf.DUMMYFUNCTION("GOOGLETRANSLATE(B278, ""it"", ""en"")"),"What to do if you slip and lose control while going downhill?")</f>
        <v>What to do if you slip and lose control while going downhill?</v>
      </c>
      <c r="H278" s="3" t="str">
        <f>IFERROR(__xludf.DUMMYFUNCTION("GOOGLETRANSLATE(C278, ""it"", ""en"")"),"A. Keep your body as stable as possible B. Get up quickly and regain control C. Slide with a stiff posture D. Use poles to stop")</f>
        <v>A. Keep your body as stable as possible B. Get up quickly and regain control C. Slide with a stiff posture D. Use poles to stop</v>
      </c>
      <c r="I278" s="3" t="str">
        <f>IFERROR(__xludf.DUMMYFUNCTION("GOOGLETRANSLATE(D278, ""it"", ""en"")"),"Keep your body as stable as possible")</f>
        <v>Keep your body as stable as possible</v>
      </c>
      <c r="J278" s="2"/>
      <c r="K278" s="2"/>
      <c r="L278" s="2"/>
      <c r="M278" s="2"/>
      <c r="N278" s="2"/>
      <c r="O278" s="2"/>
      <c r="P278" s="2"/>
      <c r="Q278" s="2"/>
      <c r="R278" s="2"/>
      <c r="S278" s="2"/>
      <c r="T278" s="2"/>
      <c r="U278" s="2"/>
      <c r="V278" s="2"/>
      <c r="W278" s="2"/>
    </row>
    <row r="279" ht="22.5" customHeight="1">
      <c r="A279" s="3">
        <v>278.0</v>
      </c>
      <c r="B279" s="3" t="s">
        <v>3599</v>
      </c>
      <c r="C279" s="3" t="s">
        <v>3822</v>
      </c>
      <c r="D279" s="3" t="s">
        <v>3823</v>
      </c>
      <c r="E279" s="2"/>
      <c r="F279" s="3" t="str">
        <f>IFERROR(__xludf.DUMMYFUNCTION("GOOGLETRANSLATE(A279, ""it"", ""en"")"),"278")</f>
        <v>278</v>
      </c>
      <c r="G279" s="3" t="str">
        <f>IFERROR(__xludf.DUMMYFUNCTION("GOOGLETRANSLATE(B279, ""it"", ""en"")"),"What does a sign with a tree symbol mean?")</f>
        <v>What does a sign with a tree symbol mean?</v>
      </c>
      <c r="H279" s="3" t="str">
        <f>IFERROR(__xludf.DUMMYFUNCTION("GOOGLETRANSLATE(C279, ""it"", ""en"")"),"A. Area with danger of natural obstacles B. Rest area C. Start of a new slope D. Snow-covered section of slope")</f>
        <v>A. Area with danger of natural obstacles B. Rest area C. Start of a new slope D. Snow-covered section of slope</v>
      </c>
      <c r="I279" s="3" t="str">
        <f>IFERROR(__xludf.DUMMYFUNCTION("GOOGLETRANSLATE(D279, ""it"", ""en"")"),"Area with danger of natural obstacles")</f>
        <v>Area with danger of natural obstacles</v>
      </c>
      <c r="J279" s="2"/>
      <c r="K279" s="2"/>
      <c r="L279" s="2"/>
      <c r="M279" s="2"/>
      <c r="N279" s="2"/>
      <c r="O279" s="2"/>
      <c r="P279" s="2"/>
      <c r="Q279" s="2"/>
      <c r="R279" s="2"/>
      <c r="S279" s="2"/>
      <c r="T279" s="2"/>
      <c r="U279" s="2"/>
      <c r="V279" s="2"/>
      <c r="W279" s="2"/>
    </row>
    <row r="280" ht="22.5" customHeight="1">
      <c r="A280" s="3">
        <v>279.0</v>
      </c>
      <c r="B280" s="3" t="s">
        <v>3824</v>
      </c>
      <c r="C280" s="3" t="s">
        <v>3825</v>
      </c>
      <c r="D280" s="3" t="s">
        <v>3826</v>
      </c>
      <c r="E280" s="2"/>
      <c r="F280" s="3" t="str">
        <f>IFERROR(__xludf.DUMMYFUNCTION("GOOGLETRANSLATE(A280, ""it"", ""en"")"),"279")</f>
        <v>279</v>
      </c>
      <c r="G280" s="3" t="str">
        <f>IFERROR(__xludf.DUMMYFUNCTION("GOOGLETRANSLATE(B280, ""it"", ""en"")"),"What to do if another skier hits you during a turn?")</f>
        <v>What to do if another skier hits you during a turn?</v>
      </c>
      <c r="H280" s="3" t="str">
        <f>IFERROR(__xludf.DUMMYFUNCTION("GOOGLETRANSLATE(C280, ""it"", ""en"")"),"A. Make sure you are balanced and stop B. Report the accident and continue your descent C. Continue as if nothing had happened D. Stop immediately and ask for help")</f>
        <v>A. Make sure you are balanced and stop B. Report the accident and continue your descent C. Continue as if nothing had happened D. Stop immediately and ask for help</v>
      </c>
      <c r="I280" s="3" t="str">
        <f>IFERROR(__xludf.DUMMYFUNCTION("GOOGLETRANSLATE(D280, ""it"", ""en"")"),"Make sure you are balanced and stop")</f>
        <v>Make sure you are balanced and stop</v>
      </c>
      <c r="J280" s="2"/>
      <c r="K280" s="2"/>
      <c r="L280" s="2"/>
      <c r="M280" s="2"/>
      <c r="N280" s="2"/>
      <c r="O280" s="2"/>
      <c r="P280" s="2"/>
      <c r="Q280" s="2"/>
      <c r="R280" s="2"/>
      <c r="S280" s="2"/>
      <c r="T280" s="2"/>
      <c r="U280" s="2"/>
      <c r="V280" s="2"/>
      <c r="W280" s="2"/>
    </row>
    <row r="281" ht="22.5" customHeight="1">
      <c r="A281" s="3">
        <v>280.0</v>
      </c>
      <c r="B281" s="3" t="s">
        <v>3827</v>
      </c>
      <c r="C281" s="3" t="s">
        <v>3828</v>
      </c>
      <c r="D281" s="3" t="s">
        <v>3829</v>
      </c>
      <c r="E281" s="2"/>
      <c r="F281" s="3" t="str">
        <f>IFERROR(__xludf.DUMMYFUNCTION("GOOGLETRANSLATE(A281, ""it"", ""en"")"),"280")</f>
        <v>280</v>
      </c>
      <c r="G281" s="3" t="str">
        <f>IFERROR(__xludf.DUMMYFUNCTION("GOOGLETRANSLATE(B281, ""it"", ""en"")"),"What does the blue mountain symbol on a sign mean?")</f>
        <v>What does the blue mountain symbol on a sign mean?</v>
      </c>
      <c r="H281" s="3" t="str">
        <f>IFERROR(__xludf.DUMMYFUNCTION("GOOGLETRANSLATE(C281, ""it"", ""en"")"),"A. Moderately difficult trail B. Rest area C. Rescue area D. Easy trail")</f>
        <v>A. Moderately difficult trail B. Rest area C. Rescue area D. Easy trail</v>
      </c>
      <c r="I281" s="3" t="str">
        <f>IFERROR(__xludf.DUMMYFUNCTION("GOOGLETRANSLATE(D281, ""it"", ""en"")"),"Track with moderate difficulty")</f>
        <v>Track with moderate difficulty</v>
      </c>
      <c r="J281" s="2"/>
      <c r="K281" s="2"/>
      <c r="L281" s="2"/>
      <c r="M281" s="2"/>
      <c r="N281" s="2"/>
      <c r="O281" s="2"/>
      <c r="P281" s="2"/>
      <c r="Q281" s="2"/>
      <c r="R281" s="2"/>
      <c r="S281" s="2"/>
      <c r="T281" s="2"/>
      <c r="U281" s="2"/>
      <c r="V281" s="2"/>
      <c r="W281" s="2"/>
    </row>
    <row r="282" ht="22.5" customHeight="1">
      <c r="A282" s="3">
        <v>281.0</v>
      </c>
      <c r="B282" s="3" t="s">
        <v>3830</v>
      </c>
      <c r="C282" s="3" t="s">
        <v>3831</v>
      </c>
      <c r="D282" s="3" t="s">
        <v>3832</v>
      </c>
      <c r="E282" s="2"/>
      <c r="F282" s="3" t="str">
        <f>IFERROR(__xludf.DUMMYFUNCTION("GOOGLETRANSLATE(A282, ""it"", ""en"")"),"281")</f>
        <v>281</v>
      </c>
      <c r="G282" s="3" t="str">
        <f>IFERROR(__xludf.DUMMYFUNCTION("GOOGLETRANSLATE(B282, ""it"", ""en"")"),"What to do if the track is too crowded on weekends?")</f>
        <v>What to do if the track is too crowded on weekends?</v>
      </c>
      <c r="H282" s="3" t="str">
        <f>IFERROR(__xludf.DUMMYFUNCTION("GOOGLETRANSLATE(C282, ""it"", ""en"")"),"A. Change track and look for a less crowded route B. Accept the crowding and continue C. Stop to avoid accidents D. Get off on a parallel track")</f>
        <v>A. Change track and look for a less crowded route B. Accept the crowding and continue C. Stop to avoid accidents D. Get off on a parallel track</v>
      </c>
      <c r="I282" s="3" t="str">
        <f>IFERROR(__xludf.DUMMYFUNCTION("GOOGLETRANSLATE(D282, ""it"", ""en"")"),"Change track and look for a less crowded route")</f>
        <v>Change track and look for a less crowded route</v>
      </c>
      <c r="J282" s="2"/>
      <c r="K282" s="2"/>
      <c r="L282" s="2"/>
      <c r="M282" s="2"/>
      <c r="N282" s="2"/>
      <c r="O282" s="2"/>
      <c r="P282" s="2"/>
      <c r="Q282" s="2"/>
      <c r="R282" s="2"/>
      <c r="S282" s="2"/>
      <c r="T282" s="2"/>
      <c r="U282" s="2"/>
      <c r="V282" s="2"/>
      <c r="W282" s="2"/>
    </row>
    <row r="283" ht="22.5" customHeight="1">
      <c r="A283" s="3">
        <v>282.0</v>
      </c>
      <c r="B283" s="3" t="s">
        <v>3833</v>
      </c>
      <c r="C283" s="3" t="s">
        <v>3834</v>
      </c>
      <c r="D283" s="3" t="s">
        <v>3268</v>
      </c>
      <c r="E283" s="2"/>
      <c r="F283" s="3" t="str">
        <f>IFERROR(__xludf.DUMMYFUNCTION("GOOGLETRANSLATE(A283, ""it"", ""en"")"),"282")</f>
        <v>282</v>
      </c>
      <c r="G283" s="3" t="str">
        <f>IFERROR(__xludf.DUMMYFUNCTION("GOOGLETRANSLATE(B283, ""it"", ""en"")"),"What does a sign with a bell symbol mean?")</f>
        <v>What does a sign with a bell symbol mean?</v>
      </c>
      <c r="H283" s="3" t="str">
        <f>IFERROR(__xludf.DUMMYFUNCTION("GOOGLETRANSLATE(C283, ""it"", ""en"")"),"A. Runway closed B. Rest area C. Emergency area D. Start of descent")</f>
        <v>A. Runway closed B. Rest area C. Emergency area D. Start of descent</v>
      </c>
      <c r="I283" s="3" t="str">
        <f>IFERROR(__xludf.DUMMYFUNCTION("GOOGLETRANSLATE(D283, ""it"", ""en"")"),"Track closed")</f>
        <v>Track closed</v>
      </c>
      <c r="J283" s="2"/>
      <c r="K283" s="2"/>
      <c r="L283" s="2"/>
      <c r="M283" s="2"/>
      <c r="N283" s="2"/>
      <c r="O283" s="2"/>
      <c r="P283" s="2"/>
      <c r="Q283" s="2"/>
      <c r="R283" s="2"/>
      <c r="S283" s="2"/>
      <c r="T283" s="2"/>
      <c r="U283" s="2"/>
      <c r="V283" s="2"/>
      <c r="W283" s="2"/>
    </row>
    <row r="284" ht="22.5" customHeight="1">
      <c r="A284" s="3">
        <v>283.0</v>
      </c>
      <c r="B284" s="3" t="s">
        <v>3835</v>
      </c>
      <c r="C284" s="3" t="s">
        <v>3836</v>
      </c>
      <c r="D284" s="3" t="s">
        <v>3837</v>
      </c>
      <c r="E284" s="2"/>
      <c r="F284" s="3" t="str">
        <f>IFERROR(__xludf.DUMMYFUNCTION("GOOGLETRANSLATE(A284, ""it"", ""en"")"),"283")</f>
        <v>283</v>
      </c>
      <c r="G284" s="3" t="str">
        <f>IFERROR(__xludf.DUMMYFUNCTION("GOOGLETRANSLATE(B284, ""it"", ""en"")"),"What to do if you encounter obstacles on the ski slope?")</f>
        <v>What to do if you encounter obstacles on the ski slope?</v>
      </c>
      <c r="H284" s="3" t="str">
        <f>IFERROR(__xludf.DUMMYFUNCTION("GOOGLETRANSLATE(C284, ""it"", ""en"")"),"A. Avoid them with a sudden turn B. Signal the danger and stop C. Continue skiing as if nothing happened D. Turn to avoid them")</f>
        <v>A. Avoid them with a sudden turn B. Signal the danger and stop C. Continue skiing as if nothing happened D. Turn to avoid them</v>
      </c>
      <c r="I284" s="3" t="str">
        <f>IFERROR(__xludf.DUMMYFUNCTION("GOOGLETRANSLATE(D284, ""it"", ""en"")"),"Report the danger and stop")</f>
        <v>Report the danger and stop</v>
      </c>
      <c r="J284" s="2"/>
      <c r="K284" s="2"/>
      <c r="L284" s="2"/>
      <c r="M284" s="2"/>
      <c r="N284" s="2"/>
      <c r="O284" s="2"/>
      <c r="P284" s="2"/>
      <c r="Q284" s="2"/>
      <c r="R284" s="2"/>
      <c r="S284" s="2"/>
      <c r="T284" s="2"/>
      <c r="U284" s="2"/>
      <c r="V284" s="2"/>
      <c r="W284" s="2"/>
    </row>
    <row r="285" ht="22.5" customHeight="1">
      <c r="A285" s="3">
        <v>284.0</v>
      </c>
      <c r="B285" s="3" t="s">
        <v>3838</v>
      </c>
      <c r="C285" s="3" t="s">
        <v>3839</v>
      </c>
      <c r="D285" s="3" t="s">
        <v>3840</v>
      </c>
      <c r="E285" s="2"/>
      <c r="F285" s="3" t="str">
        <f>IFERROR(__xludf.DUMMYFUNCTION("GOOGLETRANSLATE(A285, ""it"", ""en"")"),"284")</f>
        <v>284</v>
      </c>
      <c r="G285" s="3" t="str">
        <f>IFERROR(__xludf.DUMMYFUNCTION("GOOGLETRANSLATE(B285, ""it"", ""en"")"),"What does a sign with a green heart symbol mean?")</f>
        <v>What does a sign with a green heart symbol mean?</v>
      </c>
      <c r="H285" s="3" t="str">
        <f>IFERROR(__xludf.DUMMYFUNCTION("GOOGLETRANSLATE(C285, ""it"", ""en"")"),"A. Rest area for everyone B. Warm-up area C. Track for experts D. Recovery area")</f>
        <v>A. Rest area for everyone B. Warm-up area C. Track for experts D. Recovery area</v>
      </c>
      <c r="I285" s="3" t="str">
        <f>IFERROR(__xludf.DUMMYFUNCTION("GOOGLETRANSLATE(D285, ""it"", ""en"")"),"Rest area for everyone")</f>
        <v>Rest area for everyone</v>
      </c>
      <c r="J285" s="2"/>
      <c r="K285" s="2"/>
      <c r="L285" s="2"/>
      <c r="M285" s="2"/>
      <c r="N285" s="2"/>
      <c r="O285" s="2"/>
      <c r="P285" s="2"/>
      <c r="Q285" s="2"/>
      <c r="R285" s="2"/>
      <c r="S285" s="2"/>
      <c r="T285" s="2"/>
      <c r="U285" s="2"/>
      <c r="V285" s="2"/>
      <c r="W285" s="2"/>
    </row>
    <row r="286" ht="22.5" customHeight="1">
      <c r="A286" s="3">
        <v>285.0</v>
      </c>
      <c r="B286" s="3" t="s">
        <v>3841</v>
      </c>
      <c r="C286" s="3" t="s">
        <v>3842</v>
      </c>
      <c r="D286" s="3" t="s">
        <v>3684</v>
      </c>
      <c r="E286" s="2"/>
      <c r="F286" s="3" t="str">
        <f>IFERROR(__xludf.DUMMYFUNCTION("GOOGLETRANSLATE(A286, ""it"", ""en"")"),"285")</f>
        <v>285</v>
      </c>
      <c r="G286" s="3" t="str">
        <f>IFERROR(__xludf.DUMMYFUNCTION("GOOGLETRANSLATE(B286, ""it"", ""en"")"),"What to do if visibility is completely reduced by fog?")</f>
        <v>What to do if visibility is completely reduced by fog?</v>
      </c>
      <c r="H286" s="3" t="str">
        <f>IFERROR(__xludf.DUMMYFUNCTION("GOOGLETRANSLATE(C286, ""it"", ""en"")"),"A. Stop and wait for it to improve B. Continue slowly and very carefully C. Descend quickly to avoid being stopped D. Ask other skiers for help")</f>
        <v>A. Stop and wait for it to improve B. Continue slowly and very carefully C. Descend quickly to avoid being stopped D. Ask other skiers for help</v>
      </c>
      <c r="I286" s="3" t="str">
        <f>IFERROR(__xludf.DUMMYFUNCTION("GOOGLETRANSLATE(D286, ""it"", ""en"")"),"Stop and wait for it to get better")</f>
        <v>Stop and wait for it to get better</v>
      </c>
      <c r="J286" s="2"/>
      <c r="K286" s="2"/>
      <c r="L286" s="2"/>
      <c r="M286" s="2"/>
      <c r="N286" s="2"/>
      <c r="O286" s="2"/>
      <c r="P286" s="2"/>
      <c r="Q286" s="2"/>
      <c r="R286" s="2"/>
      <c r="S286" s="2"/>
      <c r="T286" s="2"/>
      <c r="U286" s="2"/>
      <c r="V286" s="2"/>
      <c r="W286" s="2"/>
    </row>
    <row r="287" ht="22.5" customHeight="1">
      <c r="A287" s="3">
        <v>286.0</v>
      </c>
      <c r="B287" s="3" t="s">
        <v>3843</v>
      </c>
      <c r="C287" s="3" t="s">
        <v>3844</v>
      </c>
      <c r="D287" s="3" t="s">
        <v>3845</v>
      </c>
      <c r="E287" s="2"/>
      <c r="F287" s="3" t="str">
        <f>IFERROR(__xludf.DUMMYFUNCTION("GOOGLETRANSLATE(A287, ""it"", ""en"")"),"286")</f>
        <v>286</v>
      </c>
      <c r="G287" s="3" t="str">
        <f>IFERROR(__xludf.DUMMYFUNCTION("GOOGLETRANSLATE(B287, ""it"", ""en"")"),"What does a sign with a yellow line and an arrow mean?")</f>
        <v>What does a sign with a yellow line and an arrow mean?</v>
      </c>
      <c r="H287" s="3" t="str">
        <f>IFERROR(__xludf.DUMMYFUNCTION("GOOGLETRANSLATE(C287, ""it"", ""en"")"),"A. Alternative route to follow B. Danger zone C. Start of a difficult slope D. Slope for expert skiers")</f>
        <v>A. Alternative route to follow B. Danger zone C. Start of a difficult slope D. Slope for expert skiers</v>
      </c>
      <c r="I287" s="3" t="str">
        <f>IFERROR(__xludf.DUMMYFUNCTION("GOOGLETRANSLATE(D287, ""it"", ""en"")"),"Alternative route to follow")</f>
        <v>Alternative route to follow</v>
      </c>
      <c r="J287" s="2"/>
      <c r="K287" s="2"/>
      <c r="L287" s="2"/>
      <c r="M287" s="2"/>
      <c r="N287" s="2"/>
      <c r="O287" s="2"/>
      <c r="P287" s="2"/>
      <c r="Q287" s="2"/>
      <c r="R287" s="2"/>
      <c r="S287" s="2"/>
      <c r="T287" s="2"/>
      <c r="U287" s="2"/>
      <c r="V287" s="2"/>
      <c r="W287" s="2"/>
    </row>
    <row r="288" ht="22.5" customHeight="1">
      <c r="A288" s="3">
        <v>287.0</v>
      </c>
      <c r="B288" s="3" t="s">
        <v>3846</v>
      </c>
      <c r="C288" s="3" t="s">
        <v>3847</v>
      </c>
      <c r="D288" s="3" t="s">
        <v>3848</v>
      </c>
      <c r="E288" s="2"/>
      <c r="F288" s="3" t="str">
        <f>IFERROR(__xludf.DUMMYFUNCTION("GOOGLETRANSLATE(A288, ""it"", ""en"")"),"287")</f>
        <v>287</v>
      </c>
      <c r="G288" s="3" t="str">
        <f>IFERROR(__xludf.DUMMYFUNCTION("GOOGLETRANSLATE(B288, ""it"", ""en"")"),"What to do if you find an injured person on the slopes?")</f>
        <v>What to do if you find an injured person on the slopes?</v>
      </c>
      <c r="H288" s="3" t="str">
        <f>IFERROR(__xludf.DUMMYFUNCTION("GOOGLETRANSLATE(C288, ""it"", ""en"")"),"A. Report the accident and call for help B. Stop and try to help directly C. Proceed with caution D. Ask other skiers for help")</f>
        <v>A. Report the accident and call for help B. Stop and try to help directly C. Proceed with caution D. Ask other skiers for help</v>
      </c>
      <c r="I288" s="3" t="str">
        <f>IFERROR(__xludf.DUMMYFUNCTION("GOOGLETRANSLATE(D288, ""it"", ""en"")"),"Report the accident and call for help")</f>
        <v>Report the accident and call for help</v>
      </c>
      <c r="J288" s="2"/>
      <c r="K288" s="2"/>
      <c r="L288" s="2"/>
      <c r="M288" s="2"/>
      <c r="N288" s="2"/>
      <c r="O288" s="2"/>
      <c r="P288" s="2"/>
      <c r="Q288" s="2"/>
      <c r="R288" s="2"/>
      <c r="S288" s="2"/>
      <c r="T288" s="2"/>
      <c r="U288" s="2"/>
      <c r="V288" s="2"/>
      <c r="W288" s="2"/>
    </row>
    <row r="289" ht="22.5" customHeight="1">
      <c r="A289" s="3">
        <v>288.0</v>
      </c>
      <c r="B289" s="3" t="s">
        <v>3849</v>
      </c>
      <c r="C289" s="3" t="s">
        <v>3850</v>
      </c>
      <c r="D289" s="3" t="s">
        <v>3851</v>
      </c>
      <c r="E289" s="2"/>
      <c r="F289" s="3" t="str">
        <f>IFERROR(__xludf.DUMMYFUNCTION("GOOGLETRANSLATE(A289, ""it"", ""en"")"),"288")</f>
        <v>288</v>
      </c>
      <c r="G289" s="3" t="str">
        <f>IFERROR(__xludf.DUMMYFUNCTION("GOOGLETRANSLATE(B289, ""it"", ""en"")"),"What does a sign with an avalanche symbol mean?")</f>
        <v>What does a sign with an avalanche symbol mean?</v>
      </c>
      <c r="H289" s="3" t="str">
        <f>IFERROR(__xludf.DUMMYFUNCTION("GOOGLETRANSLATE(C289, ""it"", ""en"")"),"A. High-risk area B. Safe snow conditions C. Rest area D. Closed piste")</f>
        <v>A. High-risk area B. Safe snow conditions C. Rest area D. Closed piste</v>
      </c>
      <c r="I289" s="3" t="str">
        <f>IFERROR(__xludf.DUMMYFUNCTION("GOOGLETRANSLATE(D289, ""it"", ""en"")"),"High-risk area")</f>
        <v>High-risk area</v>
      </c>
      <c r="J289" s="2"/>
      <c r="K289" s="2"/>
      <c r="L289" s="2"/>
      <c r="M289" s="2"/>
      <c r="N289" s="2"/>
      <c r="O289" s="2"/>
      <c r="P289" s="2"/>
      <c r="Q289" s="2"/>
      <c r="R289" s="2"/>
      <c r="S289" s="2"/>
      <c r="T289" s="2"/>
      <c r="U289" s="2"/>
      <c r="V289" s="2"/>
      <c r="W289" s="2"/>
    </row>
    <row r="290" ht="22.5" customHeight="1">
      <c r="A290" s="3">
        <v>289.0</v>
      </c>
      <c r="B290" s="3" t="s">
        <v>3852</v>
      </c>
      <c r="C290" s="3" t="s">
        <v>3853</v>
      </c>
      <c r="D290" s="3" t="s">
        <v>3193</v>
      </c>
      <c r="E290" s="2"/>
      <c r="F290" s="3" t="str">
        <f>IFERROR(__xludf.DUMMYFUNCTION("GOOGLETRANSLATE(A290, ""it"", ""en"")"),"289")</f>
        <v>289</v>
      </c>
      <c r="G290" s="3" t="str">
        <f>IFERROR(__xludf.DUMMYFUNCTION("GOOGLETRANSLATE(B290, ""it"", ""en"")"),"What to do if you feel strong winds while descending?")</f>
        <v>What to do if you feel strong winds while descending?</v>
      </c>
      <c r="H290" s="3" t="str">
        <f>IFERROR(__xludf.DUMMYFUNCTION("GOOGLETRANSLATE(C290, ""it"", ""en"")"),"A. Slow down and pay attention B. Slide quickly to avoid the wind C. Continue as normal D. Crouch down to protect yourself")</f>
        <v>A. Slow down and pay attention B. Slide quickly to avoid the wind C. Continue as normal D. Crouch down to protect yourself</v>
      </c>
      <c r="I290" s="3" t="str">
        <f>IFERROR(__xludf.DUMMYFUNCTION("GOOGLETRANSLATE(D290, ""it"", ""en"")"),"Slow down and pay attention")</f>
        <v>Slow down and pay attention</v>
      </c>
      <c r="J290" s="2"/>
      <c r="K290" s="2"/>
      <c r="L290" s="2"/>
      <c r="M290" s="2"/>
      <c r="N290" s="2"/>
      <c r="O290" s="2"/>
      <c r="P290" s="2"/>
      <c r="Q290" s="2"/>
      <c r="R290" s="2"/>
      <c r="S290" s="2"/>
      <c r="T290" s="2"/>
      <c r="U290" s="2"/>
      <c r="V290" s="2"/>
      <c r="W290" s="2"/>
    </row>
    <row r="291" ht="22.5" customHeight="1">
      <c r="A291" s="3">
        <v>290.0</v>
      </c>
      <c r="B291" s="3" t="s">
        <v>3854</v>
      </c>
      <c r="C291" s="3" t="s">
        <v>3855</v>
      </c>
      <c r="D291" s="3" t="s">
        <v>3856</v>
      </c>
      <c r="E291" s="2"/>
      <c r="F291" s="3" t="str">
        <f>IFERROR(__xludf.DUMMYFUNCTION("GOOGLETRANSLATE(A291, ""it"", ""en"")"),"290")</f>
        <v>290</v>
      </c>
      <c r="G291" s="3" t="str">
        <f>IFERROR(__xludf.DUMMYFUNCTION("GOOGLETRANSLATE(B291, ""it"", ""en"")"),"What does a sign with a corridor symbol mean?")</f>
        <v>What does a sign with a corridor symbol mean?</v>
      </c>
      <c r="H291" s="3" t="str">
        <f>IFERROR(__xludf.DUMMYFUNCTION("GOOGLETRANSLATE(C291, ""it"", ""en"")"),"A. Mandatory passage area B. Rest area C. Track with natural obstacles D. Rest area")</f>
        <v>A. Mandatory passage area B. Rest area C. Track with natural obstacles D. Rest area</v>
      </c>
      <c r="I291" s="3" t="str">
        <f>IFERROR(__xludf.DUMMYFUNCTION("GOOGLETRANSLATE(D291, ""it"", ""en"")"),"Mandatory passage area")</f>
        <v>Mandatory passage area</v>
      </c>
      <c r="J291" s="2"/>
      <c r="K291" s="2"/>
      <c r="L291" s="2"/>
      <c r="M291" s="2"/>
      <c r="N291" s="2"/>
      <c r="O291" s="2"/>
      <c r="P291" s="2"/>
      <c r="Q291" s="2"/>
      <c r="R291" s="2"/>
      <c r="S291" s="2"/>
      <c r="T291" s="2"/>
      <c r="U291" s="2"/>
      <c r="V291" s="2"/>
      <c r="W291" s="2"/>
    </row>
    <row r="292" ht="22.5" customHeight="1">
      <c r="A292" s="3">
        <v>291.0</v>
      </c>
      <c r="B292" s="3" t="s">
        <v>3857</v>
      </c>
      <c r="C292" s="3" t="s">
        <v>3858</v>
      </c>
      <c r="D292" s="3" t="s">
        <v>3859</v>
      </c>
      <c r="E292" s="2"/>
      <c r="F292" s="3" t="str">
        <f>IFERROR(__xludf.DUMMYFUNCTION("GOOGLETRANSLATE(A292, ""it"", ""en"")"),"291")</f>
        <v>291</v>
      </c>
      <c r="G292" s="3" t="str">
        <f>IFERROR(__xludf.DUMMYFUNCTION("GOOGLETRANSLATE(B292, ""it"", ""en"")"),"What to do if another skier hits you while you're in a turn?")</f>
        <v>What to do if another skier hits you while you're in a turn?</v>
      </c>
      <c r="H292" s="3" t="str">
        <f>IFERROR(__xludf.DUMMYFUNCTION("GOOGLETRANSLATE(C292, ""it"", ""en"")"),"A. Stop and check that he is okay B. Continue as if nothing had happened C. Report the incident and continue D. Turn to avoid further contact")</f>
        <v>A. Stop and check that he is okay B. Continue as if nothing had happened C. Report the incident and continue D. Turn to avoid further contact</v>
      </c>
      <c r="I292" s="3" t="str">
        <f>IFERROR(__xludf.DUMMYFUNCTION("GOOGLETRANSLATE(D292, ""it"", ""en"")"),"Stop and check that he is okay")</f>
        <v>Stop and check that he is okay</v>
      </c>
      <c r="J292" s="2"/>
      <c r="K292" s="2"/>
      <c r="L292" s="2"/>
      <c r="M292" s="2"/>
      <c r="N292" s="2"/>
      <c r="O292" s="2"/>
      <c r="P292" s="2"/>
      <c r="Q292" s="2"/>
      <c r="R292" s="2"/>
      <c r="S292" s="2"/>
      <c r="T292" s="2"/>
      <c r="U292" s="2"/>
      <c r="V292" s="2"/>
      <c r="W292" s="2"/>
    </row>
    <row r="293" ht="22.5" customHeight="1">
      <c r="A293" s="3">
        <v>292.0</v>
      </c>
      <c r="B293" s="3" t="s">
        <v>3860</v>
      </c>
      <c r="C293" s="3" t="s">
        <v>3861</v>
      </c>
      <c r="D293" s="3" t="s">
        <v>3862</v>
      </c>
      <c r="E293" s="2"/>
      <c r="F293" s="3" t="str">
        <f>IFERROR(__xludf.DUMMYFUNCTION("GOOGLETRANSLATE(A293, ""it"", ""en"")"),"292")</f>
        <v>292</v>
      </c>
      <c r="G293" s="3" t="str">
        <f>IFERROR(__xludf.DUMMYFUNCTION("GOOGLETRANSLATE(B293, ""it"", ""en"")"),"What does the symbol of a triangle with a red line mean?")</f>
        <v>What does the symbol of a triangle with a red line mean?</v>
      </c>
      <c r="H293" s="3" t="str">
        <f>IFERROR(__xludf.DUMMYFUNCTION("GOOGLETRANSLATE(C293, ""it"", ""en"")"),"A. High-risk expert slope B. Emergency area C. Closed slope D. Warm-up area")</f>
        <v>A. High-risk expert slope B. Emergency area C. Closed slope D. Warm-up area</v>
      </c>
      <c r="I293" s="3" t="str">
        <f>IFERROR(__xludf.DUMMYFUNCTION("GOOGLETRANSLATE(D293, ""it"", ""en"")"),"High-risk expert track")</f>
        <v>High-risk expert track</v>
      </c>
      <c r="J293" s="2"/>
      <c r="K293" s="2"/>
      <c r="L293" s="2"/>
      <c r="M293" s="2"/>
      <c r="N293" s="2"/>
      <c r="O293" s="2"/>
      <c r="P293" s="2"/>
      <c r="Q293" s="2"/>
      <c r="R293" s="2"/>
      <c r="S293" s="2"/>
      <c r="T293" s="2"/>
      <c r="U293" s="2"/>
      <c r="V293" s="2"/>
      <c r="W293" s="2"/>
    </row>
    <row r="294" ht="22.5" customHeight="1">
      <c r="A294" s="3">
        <v>293.0</v>
      </c>
      <c r="B294" s="3" t="s">
        <v>3863</v>
      </c>
      <c r="C294" s="3" t="s">
        <v>3864</v>
      </c>
      <c r="D294" s="3" t="s">
        <v>3865</v>
      </c>
      <c r="E294" s="2"/>
      <c r="F294" s="3" t="str">
        <f>IFERROR(__xludf.DUMMYFUNCTION("GOOGLETRANSLATE(A294, ""it"", ""en"")"),"293")</f>
        <v>293</v>
      </c>
      <c r="G294" s="3" t="str">
        <f>IFERROR(__xludf.DUMMYFUNCTION("GOOGLETRANSLATE(B294, ""it"", ""en"")"),"What to do if your ski goggles fog up while skiing?")</f>
        <v>What to do if your ski goggles fog up while skiing?</v>
      </c>
      <c r="H294" s="3" t="str">
        <f>IFERROR(__xludf.DUMMYFUNCTION("GOOGLETRANSLATE(C294, ""it"", ""en"")"),"A. Stop and clean it B. Slip without glasses C. Continue with a fogged mask D. Ignore it and continue")</f>
        <v>A. Stop and clean it B. Slip without glasses C. Continue with a fogged mask D. Ignore it and continue</v>
      </c>
      <c r="I294" s="3" t="str">
        <f>IFERROR(__xludf.DUMMYFUNCTION("GOOGLETRANSLATE(D294, ""it"", ""en"")"),"Stop and clean it")</f>
        <v>Stop and clean it</v>
      </c>
      <c r="J294" s="2"/>
      <c r="K294" s="2"/>
      <c r="L294" s="2"/>
      <c r="M294" s="2"/>
      <c r="N294" s="2"/>
      <c r="O294" s="2"/>
      <c r="P294" s="2"/>
      <c r="Q294" s="2"/>
      <c r="R294" s="2"/>
      <c r="S294" s="2"/>
      <c r="T294" s="2"/>
      <c r="U294" s="2"/>
      <c r="V294" s="2"/>
      <c r="W294" s="2"/>
    </row>
    <row r="295" ht="22.5" customHeight="1">
      <c r="A295" s="3">
        <v>294.0</v>
      </c>
      <c r="B295" s="3" t="s">
        <v>3866</v>
      </c>
      <c r="C295" s="3" t="s">
        <v>3867</v>
      </c>
      <c r="D295" s="3" t="s">
        <v>3868</v>
      </c>
      <c r="E295" s="2"/>
      <c r="F295" s="3" t="str">
        <f>IFERROR(__xludf.DUMMYFUNCTION("GOOGLETRANSLATE(A295, ""it"", ""en"")"),"294")</f>
        <v>294</v>
      </c>
      <c r="G295" s="3" t="str">
        <f>IFERROR(__xludf.DUMMYFUNCTION("GOOGLETRANSLATE(B295, ""it"", ""en"")"),"What does a sign with a hill symbol mean?")</f>
        <v>What does a sign with a hill symbol mean?</v>
      </c>
      <c r="H295" s="3" t="str">
        <f>IFERROR(__xludf.DUMMYFUNCTION("GOOGLETRANSLATE(C295, ""it"", ""en"")"),"A. Slightly uphill slope B. Start of a slope C. Flat stretch of slope D. Rest area")</f>
        <v>A. Slightly uphill slope B. Start of a slope C. Flat stretch of slope D. Rest area</v>
      </c>
      <c r="I295" s="3" t="str">
        <f>IFERROR(__xludf.DUMMYFUNCTION("GOOGLETRANSLATE(D295, ""it"", ""en"")"),"Slightly uphill track")</f>
        <v>Slightly uphill track</v>
      </c>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6</v>
      </c>
      <c r="E1" s="2"/>
      <c r="F1" s="1" t="s">
        <v>0</v>
      </c>
      <c r="G1" s="1" t="s">
        <v>4</v>
      </c>
      <c r="H1" s="1" t="s">
        <v>5</v>
      </c>
      <c r="I1" s="1" t="s">
        <v>6</v>
      </c>
      <c r="J1" s="2"/>
      <c r="K1" s="2"/>
      <c r="L1" s="2"/>
      <c r="M1" s="2"/>
      <c r="N1" s="2"/>
      <c r="O1" s="2"/>
      <c r="P1" s="2"/>
      <c r="Q1" s="2"/>
      <c r="R1" s="2"/>
      <c r="S1" s="2"/>
      <c r="T1" s="2"/>
      <c r="U1" s="2"/>
      <c r="V1" s="2"/>
    </row>
    <row r="2" ht="22.5" customHeight="1">
      <c r="A2" s="3">
        <v>1.0</v>
      </c>
      <c r="B2" s="3" t="s">
        <v>3869</v>
      </c>
      <c r="C2" s="3" t="s">
        <v>3870</v>
      </c>
      <c r="D2" s="3" t="s">
        <v>3871</v>
      </c>
      <c r="E2" s="2"/>
      <c r="F2" s="3" t="str">
        <f>IFERROR(__xludf.DUMMYFUNCTION("GOOGLETRANSLATE(A2, ""it"", ""en"")"),"1")</f>
        <v>1</v>
      </c>
      <c r="G2" s="3" t="str">
        <f>IFERROR(__xludf.DUMMYFUNCTION("GOOGLETRANSLATE(B2, ""it"", ""en"")"),"A player says ""five"" but only shows four fingers. What happens?")</f>
        <v>A player says "five" but only shows four fingers. What happens?</v>
      </c>
      <c r="H2" s="3" t="str">
        <f>IFERROR(__xludf.DUMMYFUNCTION("GOOGLETRANSLATE(C2, ""it"", ""en"")"),"A. The point is awarded to the opponent B. The player is cautioned C. The game continues normally D. The point is cancelled")</f>
        <v>A. The point is awarded to the opponent B. The player is cautioned C. The game continues normally D. The point is cancelled</v>
      </c>
      <c r="I2" s="3" t="str">
        <f>IFERROR(__xludf.DUMMYFUNCTION("GOOGLETRANSLATE(D2, ""it"", ""en"")"),"The point is awarded to the opponent")</f>
        <v>The point is awarded to the opponent</v>
      </c>
      <c r="J2" s="2"/>
      <c r="K2" s="2"/>
      <c r="L2" s="2"/>
      <c r="M2" s="2"/>
      <c r="N2" s="2"/>
      <c r="O2" s="2"/>
      <c r="P2" s="2"/>
      <c r="Q2" s="2"/>
      <c r="R2" s="2"/>
      <c r="S2" s="2"/>
      <c r="T2" s="2"/>
      <c r="U2" s="2"/>
      <c r="V2" s="2"/>
    </row>
    <row r="3" ht="22.5" customHeight="1">
      <c r="A3" s="3">
        <v>2.0</v>
      </c>
      <c r="B3" s="3" t="s">
        <v>3872</v>
      </c>
      <c r="C3" s="3" t="s">
        <v>3873</v>
      </c>
      <c r="D3" s="3" t="s">
        <v>956</v>
      </c>
      <c r="E3" s="2"/>
      <c r="F3" s="3" t="str">
        <f>IFERROR(__xludf.DUMMYFUNCTION("GOOGLETRANSLATE(A3, ""it"", ""en"")"),"2")</f>
        <v>2</v>
      </c>
      <c r="G3" s="3" t="str">
        <f>IFERROR(__xludf.DUMMYFUNCTION("GOOGLETRANSLATE(B3, ""it"", ""en"")"),"A player shows the correct number but says ""four."" What happens?")</f>
        <v>A player shows the correct number but says "four." What happens?</v>
      </c>
      <c r="H3" s="3" t="str">
        <f>IFERROR(__xludf.DUMMYFUNCTION("GOOGLETRANSLATE(C3, ""it"", ""en"")"),"A. The point is cancelled B. The point is awarded to the opponent C. The game continues normally D. The point is awarded")</f>
        <v>A. The point is cancelled B. The point is awarded to the opponent C. The game continues normally D. The point is awarded</v>
      </c>
      <c r="I3" s="3" t="str">
        <f>IFERROR(__xludf.DUMMYFUNCTION("GOOGLETRANSLATE(D3, ""it"", ""en"")"),"The point is cancelled")</f>
        <v>The point is cancelled</v>
      </c>
      <c r="J3" s="2"/>
      <c r="K3" s="2"/>
      <c r="L3" s="2"/>
      <c r="M3" s="2"/>
      <c r="N3" s="2"/>
      <c r="O3" s="2"/>
      <c r="P3" s="2"/>
      <c r="Q3" s="2"/>
      <c r="R3" s="2"/>
      <c r="S3" s="2"/>
      <c r="T3" s="2"/>
      <c r="U3" s="2"/>
      <c r="V3" s="2"/>
    </row>
    <row r="4" ht="22.5" customHeight="1">
      <c r="A4" s="3">
        <v>3.0</v>
      </c>
      <c r="B4" s="3" t="s">
        <v>3874</v>
      </c>
      <c r="C4" s="3" t="s">
        <v>3875</v>
      </c>
      <c r="D4" s="3" t="s">
        <v>956</v>
      </c>
      <c r="E4" s="2"/>
      <c r="F4" s="3" t="str">
        <f>IFERROR(__xludf.DUMMYFUNCTION("GOOGLETRANSLATE(A4, ""it"", ""en"")"),"3")</f>
        <v>3</v>
      </c>
      <c r="G4" s="3" t="str">
        <f>IFERROR(__xludf.DUMMYFUNCTION("GOOGLETRANSLATE(B4, ""it"", ""en"")"),"A player can't say the number before showing his fingers. What happens?")</f>
        <v>A player can't say the number before showing his fingers. What happens?</v>
      </c>
      <c r="H4" s="3" t="str">
        <f>IFERROR(__xludf.DUMMYFUNCTION("GOOGLETRANSLATE(C4, ""it"", ""en"")"),"A. The point is cancelled B. The player loses the turn C. The game continues normally D. The point is awarded to the opponent")</f>
        <v>A. The point is cancelled B. The player loses the turn C. The game continues normally D. The point is awarded to the opponent</v>
      </c>
      <c r="I4" s="3" t="str">
        <f>IFERROR(__xludf.DUMMYFUNCTION("GOOGLETRANSLATE(D4, ""it"", ""en"")"),"The point is cancelled")</f>
        <v>The point is cancelled</v>
      </c>
      <c r="J4" s="2"/>
      <c r="K4" s="2"/>
      <c r="L4" s="2"/>
      <c r="M4" s="2"/>
      <c r="N4" s="2"/>
      <c r="O4" s="2"/>
      <c r="P4" s="2"/>
      <c r="Q4" s="2"/>
      <c r="R4" s="2"/>
      <c r="S4" s="2"/>
      <c r="T4" s="2"/>
      <c r="U4" s="2"/>
      <c r="V4" s="2"/>
    </row>
    <row r="5" ht="22.5" customHeight="1">
      <c r="A5" s="3">
        <v>4.0</v>
      </c>
      <c r="B5" s="3" t="s">
        <v>3876</v>
      </c>
      <c r="C5" s="3" t="s">
        <v>3877</v>
      </c>
      <c r="D5" s="3" t="s">
        <v>616</v>
      </c>
      <c r="E5" s="2"/>
      <c r="F5" s="3" t="str">
        <f>IFERROR(__xludf.DUMMYFUNCTION("GOOGLETRANSLATE(A5, ""it"", ""en"")"),"4")</f>
        <v>4</v>
      </c>
      <c r="G5" s="3" t="str">
        <f>IFERROR(__xludf.DUMMYFUNCTION("GOOGLETRANSLATE(B5, ""it"", ""en"")"),"A player shouts ""two"" and shows ""two"" fingers. What happens?")</f>
        <v>A player shouts "two" and shows "two" fingers. What happens?</v>
      </c>
      <c r="H5" s="3" t="str">
        <f>IFERROR(__xludf.DUMMYFUNCTION("GOOGLETRANSLATE(C5, ""it"", ""en"")"),"A. The point is awarded B. The point is cancelled C. The game continues normally D. The player loses his turn")</f>
        <v>A. The point is awarded B. The point is cancelled C. The game continues normally D. The player loses his turn</v>
      </c>
      <c r="I5" s="3" t="str">
        <f>IFERROR(__xludf.DUMMYFUNCTION("GOOGLETRANSLATE(D5, ""it"", ""en"")"),"The point is awarded")</f>
        <v>The point is awarded</v>
      </c>
      <c r="J5" s="2"/>
      <c r="K5" s="2"/>
      <c r="L5" s="2"/>
      <c r="M5" s="2"/>
      <c r="N5" s="2"/>
      <c r="O5" s="2"/>
      <c r="P5" s="2"/>
      <c r="Q5" s="2"/>
      <c r="R5" s="2"/>
      <c r="S5" s="2"/>
      <c r="T5" s="2"/>
      <c r="U5" s="2"/>
      <c r="V5" s="2"/>
    </row>
    <row r="6" ht="22.5" customHeight="1">
      <c r="A6" s="3">
        <v>5.0</v>
      </c>
      <c r="B6" s="3" t="s">
        <v>3878</v>
      </c>
      <c r="C6" s="3" t="s">
        <v>3879</v>
      </c>
      <c r="D6" s="3" t="s">
        <v>956</v>
      </c>
      <c r="E6" s="2"/>
      <c r="F6" s="3" t="str">
        <f>IFERROR(__xludf.DUMMYFUNCTION("GOOGLETRANSLATE(A6, ""it"", ""en"")"),"5")</f>
        <v>5</v>
      </c>
      <c r="G6" s="3" t="str">
        <f>IFERROR(__xludf.DUMMYFUNCTION("GOOGLETRANSLATE(B6, ""it"", ""en"")"),"One player says nothing but shows the number ""three."" What happens?")</f>
        <v>One player says nothing but shows the number "three." What happens?</v>
      </c>
      <c r="H6" s="3" t="str">
        <f>IFERROR(__xludf.DUMMYFUNCTION("GOOGLETRANSLATE(C6, ""it"", ""en"")"),"A. The point is cancelled B. The point is awarded to the opponent C. The game continues normally D. The player loses the turn")</f>
        <v>A. The point is cancelled B. The point is awarded to the opponent C. The game continues normally D. The player loses the turn</v>
      </c>
      <c r="I6" s="3" t="str">
        <f>IFERROR(__xludf.DUMMYFUNCTION("GOOGLETRANSLATE(D6, ""it"", ""en"")"),"The point is cancelled")</f>
        <v>The point is cancelled</v>
      </c>
      <c r="J6" s="2"/>
      <c r="K6" s="2"/>
      <c r="L6" s="2"/>
      <c r="M6" s="2"/>
      <c r="N6" s="2"/>
      <c r="O6" s="2"/>
      <c r="P6" s="2"/>
      <c r="Q6" s="2"/>
      <c r="R6" s="2"/>
      <c r="S6" s="2"/>
      <c r="T6" s="2"/>
      <c r="U6" s="2"/>
      <c r="V6" s="2"/>
    </row>
    <row r="7" ht="22.5" customHeight="1">
      <c r="A7" s="3">
        <v>6.0</v>
      </c>
      <c r="B7" s="3" t="s">
        <v>3880</v>
      </c>
      <c r="C7" s="3" t="s">
        <v>3881</v>
      </c>
      <c r="D7" s="3" t="s">
        <v>3871</v>
      </c>
      <c r="E7" s="2"/>
      <c r="F7" s="3" t="str">
        <f>IFERROR(__xludf.DUMMYFUNCTION("GOOGLETRANSLATE(A7, ""it"", ""en"")"),"6")</f>
        <v>6</v>
      </c>
      <c r="G7" s="3" t="str">
        <f>IFERROR(__xludf.DUMMYFUNCTION("GOOGLETRANSLATE(B7, ""it"", ""en"")"),"A player shouts ""five"" but shows ""four"" fingers. What happens?")</f>
        <v>A player shouts "five" but shows "four" fingers. What happens?</v>
      </c>
      <c r="H7" s="3" t="str">
        <f>IFERROR(__xludf.DUMMYFUNCTION("GOOGLETRANSLATE(C7, ""it"", ""en"")"),"A. The point is awarded to the opponent B. The point is cancelled C. The game continues normally D. The point is awarded")</f>
        <v>A. The point is awarded to the opponent B. The point is cancelled C. The game continues normally D. The point is awarded</v>
      </c>
      <c r="I7" s="3" t="str">
        <f>IFERROR(__xludf.DUMMYFUNCTION("GOOGLETRANSLATE(D7, ""it"", ""en"")"),"The point is awarded to the opponent")</f>
        <v>The point is awarded to the opponent</v>
      </c>
      <c r="J7" s="2"/>
      <c r="K7" s="2"/>
      <c r="L7" s="2"/>
      <c r="M7" s="2"/>
      <c r="N7" s="2"/>
      <c r="O7" s="2"/>
      <c r="P7" s="2"/>
      <c r="Q7" s="2"/>
      <c r="R7" s="2"/>
      <c r="S7" s="2"/>
      <c r="T7" s="2"/>
      <c r="U7" s="2"/>
      <c r="V7" s="2"/>
    </row>
    <row r="8" ht="22.5" customHeight="1">
      <c r="A8" s="3">
        <v>7.0</v>
      </c>
      <c r="B8" s="3" t="s">
        <v>3882</v>
      </c>
      <c r="C8" s="3" t="s">
        <v>3883</v>
      </c>
      <c r="D8" s="3" t="s">
        <v>956</v>
      </c>
      <c r="E8" s="2"/>
      <c r="F8" s="3" t="str">
        <f>IFERROR(__xludf.DUMMYFUNCTION("GOOGLETRANSLATE(A8, ""it"", ""en"")"),"7")</f>
        <v>7</v>
      </c>
      <c r="G8" s="3" t="str">
        <f>IFERROR(__xludf.DUMMYFUNCTION("GOOGLETRANSLATE(B8, ""it"", ""en"")"),"A player says ""one"" and shows ""two"" fingers. What happens?")</f>
        <v>A player says "one" and shows "two" fingers. What happens?</v>
      </c>
      <c r="H8" s="3" t="str">
        <f>IFERROR(__xludf.DUMMYFUNCTION("GOOGLETRANSLATE(C8, ""it"", ""en"")"),"A. The point is cancelled B. The game continues normally C. The point is awarded to the opponent D. The point is awarded")</f>
        <v>A. The point is cancelled B. The game continues normally C. The point is awarded to the opponent D. The point is awarded</v>
      </c>
      <c r="I8" s="3" t="str">
        <f>IFERROR(__xludf.DUMMYFUNCTION("GOOGLETRANSLATE(D8, ""it"", ""en"")"),"The point is cancelled")</f>
        <v>The point is cancelled</v>
      </c>
      <c r="J8" s="2"/>
      <c r="K8" s="2"/>
      <c r="L8" s="2"/>
      <c r="M8" s="2"/>
      <c r="N8" s="2"/>
      <c r="O8" s="2"/>
      <c r="P8" s="2"/>
      <c r="Q8" s="2"/>
      <c r="R8" s="2"/>
      <c r="S8" s="2"/>
      <c r="T8" s="2"/>
      <c r="U8" s="2"/>
      <c r="V8" s="2"/>
    </row>
    <row r="9" ht="22.5" customHeight="1">
      <c r="A9" s="3">
        <v>8.0</v>
      </c>
      <c r="B9" s="3" t="s">
        <v>3884</v>
      </c>
      <c r="C9" s="3" t="s">
        <v>3885</v>
      </c>
      <c r="D9" s="3" t="s">
        <v>3871</v>
      </c>
      <c r="E9" s="2"/>
      <c r="F9" s="3" t="str">
        <f>IFERROR(__xludf.DUMMYFUNCTION("GOOGLETRANSLATE(A9, ""it"", ""en"")"),"8")</f>
        <v>8</v>
      </c>
      <c r="G9" s="3" t="str">
        <f>IFERROR(__xludf.DUMMYFUNCTION("GOOGLETRANSLATE(B9, ""it"", ""en"")"),"A player shows the number ""three"" but says ""two."" What happens?")</f>
        <v>A player shows the number "three" but says "two." What happens?</v>
      </c>
      <c r="H9" s="3" t="str">
        <f>IFERROR(__xludf.DUMMYFUNCTION("GOOGLETRANSLATE(C9, ""it"", ""en"")"),"A. The point is awarded to the opponent B. The game continues normally C. The point is cancelled D. The player loses the turn")</f>
        <v>A. The point is awarded to the opponent B. The game continues normally C. The point is cancelled D. The player loses the turn</v>
      </c>
      <c r="I9" s="3" t="str">
        <f>IFERROR(__xludf.DUMMYFUNCTION("GOOGLETRANSLATE(D9, ""it"", ""en"")"),"The point is awarded to the opponent")</f>
        <v>The point is awarded to the opponent</v>
      </c>
      <c r="J9" s="2"/>
      <c r="K9" s="2"/>
      <c r="L9" s="2"/>
      <c r="M9" s="2"/>
      <c r="N9" s="2"/>
      <c r="O9" s="2"/>
      <c r="P9" s="2"/>
      <c r="Q9" s="2"/>
      <c r="R9" s="2"/>
      <c r="S9" s="2"/>
      <c r="T9" s="2"/>
      <c r="U9" s="2"/>
      <c r="V9" s="2"/>
    </row>
    <row r="10" ht="22.5" customHeight="1">
      <c r="A10" s="3">
        <v>9.0</v>
      </c>
      <c r="B10" s="3" t="s">
        <v>3886</v>
      </c>
      <c r="C10" s="3" t="s">
        <v>3885</v>
      </c>
      <c r="D10" s="3" t="s">
        <v>3871</v>
      </c>
      <c r="E10" s="2"/>
      <c r="F10" s="3" t="str">
        <f>IFERROR(__xludf.DUMMYFUNCTION("GOOGLETRANSLATE(A10, ""it"", ""en"")"),"9")</f>
        <v>9</v>
      </c>
      <c r="G10" s="3" t="str">
        <f>IFERROR(__xludf.DUMMYFUNCTION("GOOGLETRANSLATE(B10, ""it"", ""en"")"),"A player doesn't say any number before showing his fingers. What happens?")</f>
        <v>A player doesn't say any number before showing his fingers. What happens?</v>
      </c>
      <c r="H10" s="3" t="str">
        <f>IFERROR(__xludf.DUMMYFUNCTION("GOOGLETRANSLATE(C10, ""it"", ""en"")"),"A. The point is awarded to the opponent B. The game continues normally C. The point is cancelled D. The player loses the turn")</f>
        <v>A. The point is awarded to the opponent B. The game continues normally C. The point is cancelled D. The player loses the turn</v>
      </c>
      <c r="I10" s="3" t="str">
        <f>IFERROR(__xludf.DUMMYFUNCTION("GOOGLETRANSLATE(D10, ""it"", ""en"")"),"The point is awarded to the opponent")</f>
        <v>The point is awarded to the opponent</v>
      </c>
      <c r="J10" s="2"/>
      <c r="K10" s="2"/>
      <c r="L10" s="2"/>
      <c r="M10" s="2"/>
      <c r="N10" s="2"/>
      <c r="O10" s="2"/>
      <c r="P10" s="2"/>
      <c r="Q10" s="2"/>
      <c r="R10" s="2"/>
      <c r="S10" s="2"/>
      <c r="T10" s="2"/>
      <c r="U10" s="2"/>
      <c r="V10" s="2"/>
    </row>
    <row r="11" ht="22.5" customHeight="1">
      <c r="A11" s="3">
        <v>10.0</v>
      </c>
      <c r="B11" s="3" t="s">
        <v>3887</v>
      </c>
      <c r="C11" s="3" t="s">
        <v>3888</v>
      </c>
      <c r="D11" s="3" t="s">
        <v>956</v>
      </c>
      <c r="E11" s="2"/>
      <c r="F11" s="3" t="str">
        <f>IFERROR(__xludf.DUMMYFUNCTION("GOOGLETRANSLATE(A11, ""it"", ""en"")"),"10")</f>
        <v>10</v>
      </c>
      <c r="G11" s="3" t="str">
        <f>IFERROR(__xludf.DUMMYFUNCTION("GOOGLETRANSLATE(B11, ""it"", ""en"")"),"A player shows ""four"" fingers but says ""three."" What happens?")</f>
        <v>A player shows "four" fingers but says "three." What happens?</v>
      </c>
      <c r="H11" s="3" t="str">
        <f>IFERROR(__xludf.DUMMYFUNCTION("GOOGLETRANSLATE(C11, ""it"", ""en"")"),"A. The point is cancelled B. The game continues normally C. The point is awarded to the opponent D. The player loses the turn")</f>
        <v>A. The point is cancelled B. The game continues normally C. The point is awarded to the opponent D. The player loses the turn</v>
      </c>
      <c r="I11" s="3" t="str">
        <f>IFERROR(__xludf.DUMMYFUNCTION("GOOGLETRANSLATE(D11, ""it"", ""en"")"),"The point is cancelled")</f>
        <v>The point is cancelled</v>
      </c>
      <c r="J11" s="2"/>
      <c r="K11" s="2"/>
      <c r="L11" s="2"/>
      <c r="M11" s="2"/>
      <c r="N11" s="2"/>
      <c r="O11" s="2"/>
      <c r="P11" s="2"/>
      <c r="Q11" s="2"/>
      <c r="R11" s="2"/>
      <c r="S11" s="2"/>
      <c r="T11" s="2"/>
      <c r="U11" s="2"/>
      <c r="V11" s="2"/>
    </row>
    <row r="12" ht="22.5" customHeight="1">
      <c r="A12" s="3">
        <v>11.0</v>
      </c>
      <c r="B12" s="3" t="s">
        <v>3889</v>
      </c>
      <c r="C12" s="3" t="s">
        <v>3881</v>
      </c>
      <c r="D12" s="3" t="s">
        <v>3871</v>
      </c>
      <c r="E12" s="2"/>
      <c r="F12" s="3" t="str">
        <f>IFERROR(__xludf.DUMMYFUNCTION("GOOGLETRANSLATE(A12, ""it"", ""en"")"),"11")</f>
        <v>11</v>
      </c>
      <c r="G12" s="3" t="str">
        <f>IFERROR(__xludf.DUMMYFUNCTION("GOOGLETRANSLATE(B12, ""it"", ""en"")"),"A player shouts ""three"" but shows ""five"" fingers. What happens?")</f>
        <v>A player shouts "three" but shows "five" fingers. What happens?</v>
      </c>
      <c r="H12" s="3" t="str">
        <f>IFERROR(__xludf.DUMMYFUNCTION("GOOGLETRANSLATE(C12, ""it"", ""en"")"),"A. The point is awarded to the opponent B. The point is cancelled C. The game continues normally D. The point is awarded")</f>
        <v>A. The point is awarded to the opponent B. The point is cancelled C. The game continues normally D. The point is awarded</v>
      </c>
      <c r="I12" s="3" t="str">
        <f>IFERROR(__xludf.DUMMYFUNCTION("GOOGLETRANSLATE(D12, ""it"", ""en"")"),"The point is awarded to the opponent")</f>
        <v>The point is awarded to the opponent</v>
      </c>
      <c r="J12" s="2"/>
      <c r="K12" s="2"/>
      <c r="L12" s="2"/>
      <c r="M12" s="2"/>
      <c r="N12" s="2"/>
      <c r="O12" s="2"/>
      <c r="P12" s="2"/>
      <c r="Q12" s="2"/>
      <c r="R12" s="2"/>
      <c r="S12" s="2"/>
      <c r="T12" s="2"/>
      <c r="U12" s="2"/>
      <c r="V12" s="2"/>
    </row>
    <row r="13" ht="22.5" customHeight="1">
      <c r="A13" s="3">
        <v>12.0</v>
      </c>
      <c r="B13" s="3" t="s">
        <v>3890</v>
      </c>
      <c r="C13" s="3" t="s">
        <v>3879</v>
      </c>
      <c r="D13" s="3" t="s">
        <v>956</v>
      </c>
      <c r="E13" s="2"/>
      <c r="F13" s="3" t="str">
        <f>IFERROR(__xludf.DUMMYFUNCTION("GOOGLETRANSLATE(A13, ""it"", ""en"")"),"12")</f>
        <v>12</v>
      </c>
      <c r="G13" s="3" t="str">
        <f>IFERROR(__xludf.DUMMYFUNCTION("GOOGLETRANSLATE(B13, ""it"", ""en"")"),"A player says the correct number but points to the wrong one. What happens?")</f>
        <v>A player says the correct number but points to the wrong one. What happens?</v>
      </c>
      <c r="H13" s="3" t="str">
        <f>IFERROR(__xludf.DUMMYFUNCTION("GOOGLETRANSLATE(C13, ""it"", ""en"")"),"A. The point is cancelled B. The point is awarded to the opponent C. The game continues normally D. The player loses the turn")</f>
        <v>A. The point is cancelled B. The point is awarded to the opponent C. The game continues normally D. The player loses the turn</v>
      </c>
      <c r="I13" s="3" t="str">
        <f>IFERROR(__xludf.DUMMYFUNCTION("GOOGLETRANSLATE(D13, ""it"", ""en"")"),"The point is cancelled")</f>
        <v>The point is cancelled</v>
      </c>
      <c r="J13" s="2"/>
      <c r="K13" s="2"/>
      <c r="L13" s="2"/>
      <c r="M13" s="2"/>
      <c r="N13" s="2"/>
      <c r="O13" s="2"/>
      <c r="P13" s="2"/>
      <c r="Q13" s="2"/>
      <c r="R13" s="2"/>
      <c r="S13" s="2"/>
      <c r="T13" s="2"/>
      <c r="U13" s="2"/>
      <c r="V13" s="2"/>
    </row>
    <row r="14" ht="22.5" customHeight="1">
      <c r="A14" s="3">
        <v>13.0</v>
      </c>
      <c r="B14" s="3" t="s">
        <v>3891</v>
      </c>
      <c r="C14" s="3" t="s">
        <v>3877</v>
      </c>
      <c r="D14" s="3" t="s">
        <v>616</v>
      </c>
      <c r="E14" s="2"/>
      <c r="F14" s="3" t="str">
        <f>IFERROR(__xludf.DUMMYFUNCTION("GOOGLETRANSLATE(A14, ""it"", ""en"")"),"13")</f>
        <v>13</v>
      </c>
      <c r="G14" s="3" t="str">
        <f>IFERROR(__xludf.DUMMYFUNCTION("GOOGLETRANSLATE(B14, ""it"", ""en"")"),"A player shouts ""four"" and shows ""four"" fingers. What happens?")</f>
        <v>A player shouts "four" and shows "four" fingers. What happens?</v>
      </c>
      <c r="H14" s="3" t="str">
        <f>IFERROR(__xludf.DUMMYFUNCTION("GOOGLETRANSLATE(C14, ""it"", ""en"")"),"A. The point is awarded B. The point is cancelled C. The game continues normally D. The player loses his turn")</f>
        <v>A. The point is awarded B. The point is cancelled C. The game continues normally D. The player loses his turn</v>
      </c>
      <c r="I14" s="3" t="str">
        <f>IFERROR(__xludf.DUMMYFUNCTION("GOOGLETRANSLATE(D14, ""it"", ""en"")"),"The point is awarded")</f>
        <v>The point is awarded</v>
      </c>
      <c r="J14" s="2"/>
      <c r="K14" s="2"/>
      <c r="L14" s="2"/>
      <c r="M14" s="2"/>
      <c r="N14" s="2"/>
      <c r="O14" s="2"/>
      <c r="P14" s="2"/>
      <c r="Q14" s="2"/>
      <c r="R14" s="2"/>
      <c r="S14" s="2"/>
      <c r="T14" s="2"/>
      <c r="U14" s="2"/>
      <c r="V14" s="2"/>
    </row>
    <row r="15" ht="22.5" customHeight="1">
      <c r="A15" s="3">
        <v>14.0</v>
      </c>
      <c r="B15" s="3" t="s">
        <v>3892</v>
      </c>
      <c r="C15" s="3" t="s">
        <v>3888</v>
      </c>
      <c r="D15" s="3" t="s">
        <v>956</v>
      </c>
      <c r="E15" s="2"/>
      <c r="F15" s="3" t="str">
        <f>IFERROR(__xludf.DUMMYFUNCTION("GOOGLETRANSLATE(A15, ""it"", ""en"")"),"14")</f>
        <v>14</v>
      </c>
      <c r="G15" s="3" t="str">
        <f>IFERROR(__xludf.DUMMYFUNCTION("GOOGLETRANSLATE(B15, ""it"", ""en"")"),"A player miscounts the number and shows a number higher than his fingers. What happens?")</f>
        <v>A player miscounts the number and shows a number higher than his fingers. What happens?</v>
      </c>
      <c r="H15" s="3" t="str">
        <f>IFERROR(__xludf.DUMMYFUNCTION("GOOGLETRANSLATE(C15, ""it"", ""en"")"),"A. The point is cancelled B. The game continues normally C. The point is awarded to the opponent D. The player loses the turn")</f>
        <v>A. The point is cancelled B. The game continues normally C. The point is awarded to the opponent D. The player loses the turn</v>
      </c>
      <c r="I15" s="3" t="str">
        <f>IFERROR(__xludf.DUMMYFUNCTION("GOOGLETRANSLATE(D15, ""it"", ""en"")"),"The point is cancelled")</f>
        <v>The point is cancelled</v>
      </c>
      <c r="J15" s="2"/>
      <c r="K15" s="2"/>
      <c r="L15" s="2"/>
      <c r="M15" s="2"/>
      <c r="N15" s="2"/>
      <c r="O15" s="2"/>
      <c r="P15" s="2"/>
      <c r="Q15" s="2"/>
      <c r="R15" s="2"/>
      <c r="S15" s="2"/>
      <c r="T15" s="2"/>
      <c r="U15" s="2"/>
      <c r="V15" s="2"/>
    </row>
    <row r="16" ht="22.5" customHeight="1">
      <c r="A16" s="3">
        <v>15.0</v>
      </c>
      <c r="B16" s="3" t="s">
        <v>3893</v>
      </c>
      <c r="C16" s="3" t="s">
        <v>3894</v>
      </c>
      <c r="D16" s="3" t="s">
        <v>956</v>
      </c>
      <c r="E16" s="2"/>
      <c r="F16" s="3" t="str">
        <f>IFERROR(__xludf.DUMMYFUNCTION("GOOGLETRANSLATE(A16, ""it"", ""en"")"),"15")</f>
        <v>15</v>
      </c>
      <c r="G16" s="3" t="str">
        <f>IFERROR(__xludf.DUMMYFUNCTION("GOOGLETRANSLATE(B16, ""it"", ""en"")"),"A player gets the number wrong and shows ""two"" fingers instead of ""three."" What happens?")</f>
        <v>A player gets the number wrong and shows "two" fingers instead of "three." What happens?</v>
      </c>
      <c r="H16" s="3" t="str">
        <f>IFERROR(__xludf.DUMMYFUNCTION("GOOGLETRANSLATE(C16, ""it"", ""en"")"),"A. The point is awarded to the opponent B. The game continues normally C. The point is cancelled D. The point is awarded")</f>
        <v>A. The point is awarded to the opponent B. The game continues normally C. The point is cancelled D. The point is awarded</v>
      </c>
      <c r="I16" s="3" t="str">
        <f>IFERROR(__xludf.DUMMYFUNCTION("GOOGLETRANSLATE(D16, ""it"", ""en"")"),"The point is cancelled")</f>
        <v>The point is cancelled</v>
      </c>
      <c r="J16" s="2"/>
      <c r="K16" s="2"/>
      <c r="L16" s="2"/>
      <c r="M16" s="2"/>
      <c r="N16" s="2"/>
      <c r="O16" s="2"/>
      <c r="P16" s="2"/>
      <c r="Q16" s="2"/>
      <c r="R16" s="2"/>
      <c r="S16" s="2"/>
      <c r="T16" s="2"/>
      <c r="U16" s="2"/>
      <c r="V16" s="2"/>
    </row>
    <row r="17" ht="22.5" customHeight="1">
      <c r="A17" s="3">
        <v>16.0</v>
      </c>
      <c r="B17" s="3" t="s">
        <v>3895</v>
      </c>
      <c r="C17" s="3" t="s">
        <v>3888</v>
      </c>
      <c r="D17" s="3" t="s">
        <v>956</v>
      </c>
      <c r="E17" s="2"/>
      <c r="F17" s="3" t="str">
        <f>IFERROR(__xludf.DUMMYFUNCTION("GOOGLETRANSLATE(A17, ""it"", ""en"")"),"16")</f>
        <v>16</v>
      </c>
      <c r="G17" s="3" t="str">
        <f>IFERROR(__xludf.DUMMYFUNCTION("GOOGLETRANSLATE(B17, ""it"", ""en"")"),"A player shouts ""four"" but doesn't show his fingers. What happens?")</f>
        <v>A player shouts "four" but doesn't show his fingers. What happens?</v>
      </c>
      <c r="H17" s="3" t="str">
        <f>IFERROR(__xludf.DUMMYFUNCTION("GOOGLETRANSLATE(C17, ""it"", ""en"")"),"A. The point is cancelled B. The game continues normally C. The point is awarded to the opponent D. The player loses the turn")</f>
        <v>A. The point is cancelled B. The game continues normally C. The point is awarded to the opponent D. The player loses the turn</v>
      </c>
      <c r="I17" s="3" t="str">
        <f>IFERROR(__xludf.DUMMYFUNCTION("GOOGLETRANSLATE(D17, ""it"", ""en"")"),"The point is cancelled")</f>
        <v>The point is cancelled</v>
      </c>
      <c r="J17" s="2"/>
      <c r="K17" s="2"/>
      <c r="L17" s="2"/>
      <c r="M17" s="2"/>
      <c r="N17" s="2"/>
      <c r="O17" s="2"/>
      <c r="P17" s="2"/>
      <c r="Q17" s="2"/>
      <c r="R17" s="2"/>
      <c r="S17" s="2"/>
      <c r="T17" s="2"/>
      <c r="U17" s="2"/>
      <c r="V17" s="2"/>
    </row>
    <row r="18" ht="22.5" customHeight="1">
      <c r="A18" s="3">
        <v>17.0</v>
      </c>
      <c r="B18" s="3" t="s">
        <v>3896</v>
      </c>
      <c r="C18" s="3" t="s">
        <v>3873</v>
      </c>
      <c r="D18" s="3" t="s">
        <v>956</v>
      </c>
      <c r="E18" s="2"/>
      <c r="F18" s="3" t="str">
        <f>IFERROR(__xludf.DUMMYFUNCTION("GOOGLETRANSLATE(A18, ""it"", ""en"")"),"17")</f>
        <v>17</v>
      </c>
      <c r="G18" s="3" t="str">
        <f>IFERROR(__xludf.DUMMYFUNCTION("GOOGLETRANSLATE(B18, ""it"", ""en"")"),"A player says ""six"" and shows ""four"" fingers. What happens?")</f>
        <v>A player says "six" and shows "four" fingers. What happens?</v>
      </c>
      <c r="H18" s="3" t="str">
        <f>IFERROR(__xludf.DUMMYFUNCTION("GOOGLETRANSLATE(C18, ""it"", ""en"")"),"A. The point is cancelled B. The point is awarded to the opponent C. The game continues normally D. The point is awarded")</f>
        <v>A. The point is cancelled B. The point is awarded to the opponent C. The game continues normally D. The point is awarded</v>
      </c>
      <c r="I18" s="3" t="str">
        <f>IFERROR(__xludf.DUMMYFUNCTION("GOOGLETRANSLATE(D18, ""it"", ""en"")"),"The point is cancelled")</f>
        <v>The point is cancelled</v>
      </c>
      <c r="J18" s="2"/>
      <c r="K18" s="2"/>
      <c r="L18" s="2"/>
      <c r="M18" s="2"/>
      <c r="N18" s="2"/>
      <c r="O18" s="2"/>
      <c r="P18" s="2"/>
      <c r="Q18" s="2"/>
      <c r="R18" s="2"/>
      <c r="S18" s="2"/>
      <c r="T18" s="2"/>
      <c r="U18" s="2"/>
      <c r="V18" s="2"/>
    </row>
    <row r="19" ht="22.5" customHeight="1">
      <c r="A19" s="3">
        <v>18.0</v>
      </c>
      <c r="B19" s="3" t="s">
        <v>3897</v>
      </c>
      <c r="C19" s="3" t="s">
        <v>3898</v>
      </c>
      <c r="D19" s="3" t="s">
        <v>616</v>
      </c>
      <c r="E19" s="2"/>
      <c r="F19" s="3" t="str">
        <f>IFERROR(__xludf.DUMMYFUNCTION("GOOGLETRANSLATE(A19, ""it"", ""en"")"),"18")</f>
        <v>18</v>
      </c>
      <c r="G19" s="3" t="str">
        <f>IFERROR(__xludf.DUMMYFUNCTION("GOOGLETRANSLATE(B19, ""it"", ""en"")"),"A player says ""three"" and shows ""three"" fingers. What happens?")</f>
        <v>A player says "three" and shows "three" fingers. What happens?</v>
      </c>
      <c r="H19" s="3" t="str">
        <f>IFERROR(__xludf.DUMMYFUNCTION("GOOGLETRANSLATE(C19, ""it"", ""en"")"),"A. The point is awarded B. The game continues normally C. The point is cancelled D. The point is awarded")</f>
        <v>A. The point is awarded B. The game continues normally C. The point is cancelled D. The point is awarded</v>
      </c>
      <c r="I19" s="3" t="str">
        <f>IFERROR(__xludf.DUMMYFUNCTION("GOOGLETRANSLATE(D19, ""it"", ""en"")"),"The point is awarded")</f>
        <v>The point is awarded</v>
      </c>
      <c r="J19" s="2"/>
      <c r="K19" s="2"/>
      <c r="L19" s="2"/>
      <c r="M19" s="2"/>
      <c r="N19" s="2"/>
      <c r="O19" s="2"/>
      <c r="P19" s="2"/>
      <c r="Q19" s="2"/>
      <c r="R19" s="2"/>
      <c r="S19" s="2"/>
      <c r="T19" s="2"/>
      <c r="U19" s="2"/>
      <c r="V19" s="2"/>
    </row>
    <row r="20" ht="22.5" customHeight="1">
      <c r="A20" s="3">
        <v>19.0</v>
      </c>
      <c r="B20" s="3" t="s">
        <v>3899</v>
      </c>
      <c r="C20" s="3" t="s">
        <v>3894</v>
      </c>
      <c r="D20" s="3" t="s">
        <v>956</v>
      </c>
      <c r="E20" s="2"/>
      <c r="F20" s="3" t="str">
        <f>IFERROR(__xludf.DUMMYFUNCTION("GOOGLETRANSLATE(A20, ""it"", ""en"")"),"19")</f>
        <v>19</v>
      </c>
      <c r="G20" s="3" t="str">
        <f>IFERROR(__xludf.DUMMYFUNCTION("GOOGLETRANSLATE(B20, ""it"", ""en"")"),"A player shows ""two"" fingers but says ""three."" What happens?")</f>
        <v>A player shows "two" fingers but says "three." What happens?</v>
      </c>
      <c r="H20" s="3" t="str">
        <f>IFERROR(__xludf.DUMMYFUNCTION("GOOGLETRANSLATE(C20, ""it"", ""en"")"),"A. The point is awarded to the opponent B. The game continues normally C. The point is cancelled D. The point is awarded")</f>
        <v>A. The point is awarded to the opponent B. The game continues normally C. The point is cancelled D. The point is awarded</v>
      </c>
      <c r="I20" s="3" t="str">
        <f>IFERROR(__xludf.DUMMYFUNCTION("GOOGLETRANSLATE(D20, ""it"", ""en"")"),"The point is cancelled")</f>
        <v>The point is cancelled</v>
      </c>
      <c r="J20" s="2"/>
      <c r="K20" s="2"/>
      <c r="L20" s="2"/>
      <c r="M20" s="2"/>
      <c r="N20" s="2"/>
      <c r="O20" s="2"/>
      <c r="P20" s="2"/>
      <c r="Q20" s="2"/>
      <c r="R20" s="2"/>
      <c r="S20" s="2"/>
      <c r="T20" s="2"/>
      <c r="U20" s="2"/>
      <c r="V20" s="2"/>
    </row>
    <row r="21" ht="22.5" customHeight="1">
      <c r="A21" s="3">
        <v>20.0</v>
      </c>
      <c r="B21" s="3" t="s">
        <v>3900</v>
      </c>
      <c r="C21" s="3" t="s">
        <v>3901</v>
      </c>
      <c r="D21" s="3" t="s">
        <v>3871</v>
      </c>
      <c r="E21" s="2"/>
      <c r="F21" s="3" t="str">
        <f>IFERROR(__xludf.DUMMYFUNCTION("GOOGLETRANSLATE(A21, ""it"", ""en"")"),"20")</f>
        <v>20</v>
      </c>
      <c r="G21" s="3" t="str">
        <f>IFERROR(__xludf.DUMMYFUNCTION("GOOGLETRANSLATE(B21, ""it"", ""en"")"),"A player shouts ""five"" but only shows four fingers. What happens?")</f>
        <v>A player shouts "five" but only shows four fingers. What happens?</v>
      </c>
      <c r="H21" s="3" t="str">
        <f>IFERROR(__xludf.DUMMYFUNCTION("GOOGLETRANSLATE(C21, ""it"", ""en"")"),"A. The point is awarded to the opponent B. The point is cancelled C. The game continues normally D. The player loses the turn")</f>
        <v>A. The point is awarded to the opponent B. The point is cancelled C. The game continues normally D. The player loses the turn</v>
      </c>
      <c r="I21" s="3" t="str">
        <f>IFERROR(__xludf.DUMMYFUNCTION("GOOGLETRANSLATE(D21, ""it"", ""en"")"),"The point is awarded to the opponent")</f>
        <v>The point is awarded to the opponent</v>
      </c>
      <c r="J21" s="2"/>
      <c r="K21" s="2"/>
      <c r="L21" s="2"/>
      <c r="M21" s="2"/>
      <c r="N21" s="2"/>
      <c r="O21" s="2"/>
      <c r="P21" s="2"/>
      <c r="Q21" s="2"/>
      <c r="R21" s="2"/>
      <c r="S21" s="2"/>
      <c r="T21" s="2"/>
      <c r="U21" s="2"/>
      <c r="V21" s="2"/>
    </row>
    <row r="22" ht="22.5" customHeight="1">
      <c r="A22" s="3">
        <v>21.0</v>
      </c>
      <c r="B22" s="3" t="s">
        <v>3902</v>
      </c>
      <c r="C22" s="3" t="s">
        <v>3888</v>
      </c>
      <c r="D22" s="3" t="s">
        <v>956</v>
      </c>
      <c r="E22" s="2"/>
      <c r="F22" s="3" t="str">
        <f>IFERROR(__xludf.DUMMYFUNCTION("GOOGLETRANSLATE(A22, ""it"", ""en"")"),"21")</f>
        <v>21</v>
      </c>
      <c r="G22" s="3" t="str">
        <f>IFERROR(__xludf.DUMMYFUNCTION("GOOGLETRANSLATE(B22, ""it"", ""en"")"),"A player shouts ""two"" but shows ""three"" fingers. What happens?")</f>
        <v>A player shouts "two" but shows "three" fingers. What happens?</v>
      </c>
      <c r="H22" s="3" t="str">
        <f>IFERROR(__xludf.DUMMYFUNCTION("GOOGLETRANSLATE(C22, ""it"", ""en"")"),"A. The point is cancelled B. The game continues normally C. The point is awarded to the opponent D. The player loses the turn")</f>
        <v>A. The point is cancelled B. The game continues normally C. The point is awarded to the opponent D. The player loses the turn</v>
      </c>
      <c r="I22" s="3" t="str">
        <f>IFERROR(__xludf.DUMMYFUNCTION("GOOGLETRANSLATE(D22, ""it"", ""en"")"),"The point is cancelled")</f>
        <v>The point is cancelled</v>
      </c>
      <c r="J22" s="2"/>
      <c r="K22" s="2"/>
      <c r="L22" s="2"/>
      <c r="M22" s="2"/>
      <c r="N22" s="2"/>
      <c r="O22" s="2"/>
      <c r="P22" s="2"/>
      <c r="Q22" s="2"/>
      <c r="R22" s="2"/>
      <c r="S22" s="2"/>
      <c r="T22" s="2"/>
      <c r="U22" s="2"/>
      <c r="V22" s="2"/>
    </row>
    <row r="23" ht="22.5" customHeight="1">
      <c r="A23" s="3">
        <v>22.0</v>
      </c>
      <c r="B23" s="3" t="s">
        <v>3903</v>
      </c>
      <c r="C23" s="3" t="s">
        <v>3901</v>
      </c>
      <c r="D23" s="3" t="s">
        <v>3871</v>
      </c>
      <c r="E23" s="2"/>
      <c r="F23" s="3" t="str">
        <f>IFERROR(__xludf.DUMMYFUNCTION("GOOGLETRANSLATE(A23, ""it"", ""en"")"),"22")</f>
        <v>22</v>
      </c>
      <c r="G23" s="3" t="str">
        <f>IFERROR(__xludf.DUMMYFUNCTION("GOOGLETRANSLATE(B23, ""it"", ""en"")"),"A player says ""two"" but shows ""four"" fingers. What happens?")</f>
        <v>A player says "two" but shows "four" fingers. What happens?</v>
      </c>
      <c r="H23" s="3" t="str">
        <f>IFERROR(__xludf.DUMMYFUNCTION("GOOGLETRANSLATE(C23, ""it"", ""en"")"),"A. The point is awarded to the opponent B. The point is cancelled C. The game continues normally D. The player loses the turn")</f>
        <v>A. The point is awarded to the opponent B. The point is cancelled C. The game continues normally D. The player loses the turn</v>
      </c>
      <c r="I23" s="3" t="str">
        <f>IFERROR(__xludf.DUMMYFUNCTION("GOOGLETRANSLATE(D23, ""it"", ""en"")"),"The point is awarded to the opponent")</f>
        <v>The point is awarded to the opponent</v>
      </c>
      <c r="J23" s="2"/>
      <c r="K23" s="2"/>
      <c r="L23" s="2"/>
      <c r="M23" s="2"/>
      <c r="N23" s="2"/>
      <c r="O23" s="2"/>
      <c r="P23" s="2"/>
      <c r="Q23" s="2"/>
      <c r="R23" s="2"/>
      <c r="S23" s="2"/>
      <c r="T23" s="2"/>
      <c r="U23" s="2"/>
      <c r="V23" s="2"/>
    </row>
    <row r="24" ht="22.5" customHeight="1">
      <c r="A24" s="3">
        <v>23.0</v>
      </c>
      <c r="B24" s="3" t="s">
        <v>3904</v>
      </c>
      <c r="C24" s="3" t="s">
        <v>3873</v>
      </c>
      <c r="D24" s="3" t="s">
        <v>3871</v>
      </c>
      <c r="E24" s="2"/>
      <c r="F24" s="3" t="str">
        <f>IFERROR(__xludf.DUMMYFUNCTION("GOOGLETRANSLATE(A24, ""it"", ""en"")"),"23")</f>
        <v>23</v>
      </c>
      <c r="G24" s="3" t="str">
        <f>IFERROR(__xludf.DUMMYFUNCTION("GOOGLETRANSLATE(B24, ""it"", ""en"")"),"A player mispronounces the number and shows ""three"" fingers instead of ""two."" What happens?")</f>
        <v>A player mispronounces the number and shows "three" fingers instead of "two." What happens?</v>
      </c>
      <c r="H24" s="3" t="str">
        <f>IFERROR(__xludf.DUMMYFUNCTION("GOOGLETRANSLATE(C24, ""it"", ""en"")"),"A. The point is cancelled B. The point is awarded to the opponent C. The game continues normally D. The point is awarded")</f>
        <v>A. The point is cancelled B. The point is awarded to the opponent C. The game continues normally D. The point is awarded</v>
      </c>
      <c r="I24" s="3" t="str">
        <f>IFERROR(__xludf.DUMMYFUNCTION("GOOGLETRANSLATE(D24, ""it"", ""en"")"),"The point is awarded to the opponent")</f>
        <v>The point is awarded to the opponent</v>
      </c>
      <c r="J24" s="2"/>
      <c r="K24" s="2"/>
      <c r="L24" s="2"/>
      <c r="M24" s="2"/>
      <c r="N24" s="2"/>
      <c r="O24" s="2"/>
      <c r="P24" s="2"/>
      <c r="Q24" s="2"/>
      <c r="R24" s="2"/>
      <c r="S24" s="2"/>
      <c r="T24" s="2"/>
      <c r="U24" s="2"/>
      <c r="V24" s="2"/>
    </row>
    <row r="25" ht="22.5" customHeight="1">
      <c r="A25" s="3">
        <v>24.0</v>
      </c>
      <c r="B25" s="3" t="s">
        <v>3905</v>
      </c>
      <c r="C25" s="3" t="s">
        <v>3873</v>
      </c>
      <c r="D25" s="3" t="s">
        <v>956</v>
      </c>
      <c r="E25" s="2"/>
      <c r="F25" s="3" t="str">
        <f>IFERROR(__xludf.DUMMYFUNCTION("GOOGLETRANSLATE(A25, ""it"", ""en"")"),"24")</f>
        <v>24</v>
      </c>
      <c r="G25" s="3" t="str">
        <f>IFERROR(__xludf.DUMMYFUNCTION("GOOGLETRANSLATE(B25, ""it"", ""en"")"),"A player shouts ""six"" and shows ""five"" fingers. What happens?")</f>
        <v>A player shouts "six" and shows "five" fingers. What happens?</v>
      </c>
      <c r="H25" s="3" t="str">
        <f>IFERROR(__xludf.DUMMYFUNCTION("GOOGLETRANSLATE(C25, ""it"", ""en"")"),"A. The point is cancelled B. The point is awarded to the opponent C. The game continues normally D. The point is awarded")</f>
        <v>A. The point is cancelled B. The point is awarded to the opponent C. The game continues normally D. The point is awarded</v>
      </c>
      <c r="I25" s="3" t="str">
        <f>IFERROR(__xludf.DUMMYFUNCTION("GOOGLETRANSLATE(D25, ""it"", ""en"")"),"The point is cancelled")</f>
        <v>The point is cancelled</v>
      </c>
      <c r="J25" s="2"/>
      <c r="K25" s="2"/>
      <c r="L25" s="2"/>
      <c r="M25" s="2"/>
      <c r="N25" s="2"/>
      <c r="O25" s="2"/>
      <c r="P25" s="2"/>
      <c r="Q25" s="2"/>
      <c r="R25" s="2"/>
      <c r="S25" s="2"/>
      <c r="T25" s="2"/>
      <c r="U25" s="2"/>
      <c r="V25" s="2"/>
    </row>
    <row r="26" ht="22.5" customHeight="1">
      <c r="A26" s="3">
        <v>25.0</v>
      </c>
      <c r="B26" s="3" t="s">
        <v>3887</v>
      </c>
      <c r="C26" s="3" t="s">
        <v>3888</v>
      </c>
      <c r="D26" s="3" t="s">
        <v>956</v>
      </c>
      <c r="E26" s="2"/>
      <c r="F26" s="3" t="str">
        <f>IFERROR(__xludf.DUMMYFUNCTION("GOOGLETRANSLATE(A26, ""it"", ""en"")"),"25")</f>
        <v>25</v>
      </c>
      <c r="G26" s="3" t="str">
        <f>IFERROR(__xludf.DUMMYFUNCTION("GOOGLETRANSLATE(B26, ""it"", ""en"")"),"A player shows ""four"" fingers but says ""three."" What happens?")</f>
        <v>A player shows "four" fingers but says "three." What happens?</v>
      </c>
      <c r="H26" s="3" t="str">
        <f>IFERROR(__xludf.DUMMYFUNCTION("GOOGLETRANSLATE(C26, ""it"", ""en"")"),"A. The point is cancelled B. The game continues normally C. The point is awarded to the opponent D. The player loses the turn")</f>
        <v>A. The point is cancelled B. The game continues normally C. The point is awarded to the opponent D. The player loses the turn</v>
      </c>
      <c r="I26" s="3" t="str">
        <f>IFERROR(__xludf.DUMMYFUNCTION("GOOGLETRANSLATE(D26, ""it"", ""en"")"),"The point is cancelled")</f>
        <v>The point is cancelled</v>
      </c>
      <c r="J26" s="2"/>
      <c r="K26" s="2"/>
      <c r="L26" s="2"/>
      <c r="M26" s="2"/>
      <c r="N26" s="2"/>
      <c r="O26" s="2"/>
      <c r="P26" s="2"/>
      <c r="Q26" s="2"/>
      <c r="R26" s="2"/>
      <c r="S26" s="2"/>
      <c r="T26" s="2"/>
      <c r="U26" s="2"/>
      <c r="V26" s="2"/>
    </row>
    <row r="27" ht="22.5" customHeight="1">
      <c r="A27" s="3">
        <v>26.0</v>
      </c>
      <c r="B27" s="3" t="s">
        <v>3891</v>
      </c>
      <c r="C27" s="3" t="s">
        <v>3877</v>
      </c>
      <c r="D27" s="3" t="s">
        <v>616</v>
      </c>
      <c r="E27" s="2"/>
      <c r="F27" s="3" t="str">
        <f>IFERROR(__xludf.DUMMYFUNCTION("GOOGLETRANSLATE(A27, ""it"", ""en"")"),"26")</f>
        <v>26</v>
      </c>
      <c r="G27" s="3" t="str">
        <f>IFERROR(__xludf.DUMMYFUNCTION("GOOGLETRANSLATE(B27, ""it"", ""en"")"),"A player shouts ""four"" and shows ""four"" fingers. What happens?")</f>
        <v>A player shouts "four" and shows "four" fingers. What happens?</v>
      </c>
      <c r="H27" s="3" t="str">
        <f>IFERROR(__xludf.DUMMYFUNCTION("GOOGLETRANSLATE(C27, ""it"", ""en"")"),"A. The point is awarded B. The point is cancelled C. The game continues normally D. The player loses his turn")</f>
        <v>A. The point is awarded B. The point is cancelled C. The game continues normally D. The player loses his turn</v>
      </c>
      <c r="I27" s="3" t="str">
        <f>IFERROR(__xludf.DUMMYFUNCTION("GOOGLETRANSLATE(D27, ""it"", ""en"")"),"The point is awarded")</f>
        <v>The point is awarded</v>
      </c>
      <c r="J27" s="2"/>
      <c r="K27" s="2"/>
      <c r="L27" s="2"/>
      <c r="M27" s="2"/>
      <c r="N27" s="2"/>
      <c r="O27" s="2"/>
      <c r="P27" s="2"/>
      <c r="Q27" s="2"/>
      <c r="R27" s="2"/>
      <c r="S27" s="2"/>
      <c r="T27" s="2"/>
      <c r="U27" s="2"/>
      <c r="V27" s="2"/>
    </row>
    <row r="28" ht="22.5" customHeight="1">
      <c r="A28" s="3">
        <v>27.0</v>
      </c>
      <c r="B28" s="3" t="s">
        <v>3906</v>
      </c>
      <c r="C28" s="3" t="s">
        <v>3885</v>
      </c>
      <c r="D28" s="3" t="s">
        <v>3871</v>
      </c>
      <c r="E28" s="2"/>
      <c r="F28" s="3" t="str">
        <f>IFERROR(__xludf.DUMMYFUNCTION("GOOGLETRANSLATE(A28, ""it"", ""en"")"),"27")</f>
        <v>27</v>
      </c>
      <c r="G28" s="3" t="str">
        <f>IFERROR(__xludf.DUMMYFUNCTION("GOOGLETRANSLATE(B28, ""it"", ""en"")"),"A player shows the number ""two"" but says ""one."" What happens?")</f>
        <v>A player shows the number "two" but says "one." What happens?</v>
      </c>
      <c r="H28" s="3" t="str">
        <f>IFERROR(__xludf.DUMMYFUNCTION("GOOGLETRANSLATE(C28, ""it"", ""en"")"),"A. The point is awarded to the opponent B. The game continues normally C. The point is cancelled D. The player loses the turn")</f>
        <v>A. The point is awarded to the opponent B. The game continues normally C. The point is cancelled D. The player loses the turn</v>
      </c>
      <c r="I28" s="3" t="str">
        <f>IFERROR(__xludf.DUMMYFUNCTION("GOOGLETRANSLATE(D28, ""it"", ""en"")"),"The point is awarded to the opponent")</f>
        <v>The point is awarded to the opponent</v>
      </c>
      <c r="J28" s="2"/>
      <c r="K28" s="2"/>
      <c r="L28" s="2"/>
      <c r="M28" s="2"/>
      <c r="N28" s="2"/>
      <c r="O28" s="2"/>
      <c r="P28" s="2"/>
      <c r="Q28" s="2"/>
      <c r="R28" s="2"/>
      <c r="S28" s="2"/>
      <c r="T28" s="2"/>
      <c r="U28" s="2"/>
      <c r="V28" s="2"/>
    </row>
    <row r="29" ht="22.5" customHeight="1">
      <c r="A29" s="3">
        <v>28.0</v>
      </c>
      <c r="B29" s="3" t="s">
        <v>3907</v>
      </c>
      <c r="C29" s="3" t="s">
        <v>3873</v>
      </c>
      <c r="D29" s="3" t="s">
        <v>956</v>
      </c>
      <c r="E29" s="2"/>
      <c r="F29" s="3" t="str">
        <f>IFERROR(__xludf.DUMMYFUNCTION("GOOGLETRANSLATE(A29, ""it"", ""en"")"),"28")</f>
        <v>28</v>
      </c>
      <c r="G29" s="3" t="str">
        <f>IFERROR(__xludf.DUMMYFUNCTION("GOOGLETRANSLATE(B29, ""it"", ""en"")"),"A player shouts ""three"" but shows ""two"" fingers. What happens?")</f>
        <v>A player shouts "three" but shows "two" fingers. What happens?</v>
      </c>
      <c r="H29" s="3" t="str">
        <f>IFERROR(__xludf.DUMMYFUNCTION("GOOGLETRANSLATE(C29, ""it"", ""en"")"),"A. The point is cancelled B. The point is awarded to the opponent C. The game continues normally D. The point is awarded")</f>
        <v>A. The point is cancelled B. The point is awarded to the opponent C. The game continues normally D. The point is awarded</v>
      </c>
      <c r="I29" s="3" t="str">
        <f>IFERROR(__xludf.DUMMYFUNCTION("GOOGLETRANSLATE(D29, ""it"", ""en"")"),"The point is cancelled")</f>
        <v>The point is cancelled</v>
      </c>
      <c r="J29" s="2"/>
      <c r="K29" s="2"/>
      <c r="L29" s="2"/>
      <c r="M29" s="2"/>
      <c r="N29" s="2"/>
      <c r="O29" s="2"/>
      <c r="P29" s="2"/>
      <c r="Q29" s="2"/>
      <c r="R29" s="2"/>
      <c r="S29" s="2"/>
      <c r="T29" s="2"/>
      <c r="U29" s="2"/>
      <c r="V29" s="2"/>
    </row>
    <row r="30" ht="22.5" customHeight="1">
      <c r="A30" s="3">
        <v>29.0</v>
      </c>
      <c r="B30" s="3" t="s">
        <v>3908</v>
      </c>
      <c r="C30" s="3" t="s">
        <v>3879</v>
      </c>
      <c r="D30" s="3" t="s">
        <v>956</v>
      </c>
      <c r="E30" s="2"/>
      <c r="F30" s="3" t="str">
        <f>IFERROR(__xludf.DUMMYFUNCTION("GOOGLETRANSLATE(A30, ""it"", ""en"")"),"29")</f>
        <v>29</v>
      </c>
      <c r="G30" s="3" t="str">
        <f>IFERROR(__xludf.DUMMYFUNCTION("GOOGLETRANSLATE(B30, ""it"", ""en"")"),"A player shows ""five"" fingers but says ""two."" What happens?")</f>
        <v>A player shows "five" fingers but says "two." What happens?</v>
      </c>
      <c r="H30" s="3" t="str">
        <f>IFERROR(__xludf.DUMMYFUNCTION("GOOGLETRANSLATE(C30, ""it"", ""en"")"),"A. The point is cancelled B. The point is awarded to the opponent C. The game continues normally D. The player loses the turn")</f>
        <v>A. The point is cancelled B. The point is awarded to the opponent C. The game continues normally D. The player loses the turn</v>
      </c>
      <c r="I30" s="3" t="str">
        <f>IFERROR(__xludf.DUMMYFUNCTION("GOOGLETRANSLATE(D30, ""it"", ""en"")"),"The point is cancelled")</f>
        <v>The point is cancelled</v>
      </c>
      <c r="J30" s="2"/>
      <c r="K30" s="2"/>
      <c r="L30" s="2"/>
      <c r="M30" s="2"/>
      <c r="N30" s="2"/>
      <c r="O30" s="2"/>
      <c r="P30" s="2"/>
      <c r="Q30" s="2"/>
      <c r="R30" s="2"/>
      <c r="S30" s="2"/>
      <c r="T30" s="2"/>
      <c r="U30" s="2"/>
      <c r="V30" s="2"/>
    </row>
    <row r="31" ht="22.5" customHeight="1">
      <c r="A31" s="3">
        <v>30.0</v>
      </c>
      <c r="B31" s="3" t="s">
        <v>3909</v>
      </c>
      <c r="C31" s="3" t="s">
        <v>3881</v>
      </c>
      <c r="D31" s="3" t="s">
        <v>3871</v>
      </c>
      <c r="E31" s="2"/>
      <c r="F31" s="3" t="str">
        <f>IFERROR(__xludf.DUMMYFUNCTION("GOOGLETRANSLATE(A31, ""it"", ""en"")"),"30")</f>
        <v>30</v>
      </c>
      <c r="G31" s="3" t="str">
        <f>IFERROR(__xludf.DUMMYFUNCTION("GOOGLETRANSLATE(B31, ""it"", ""en"")"),"A player shouts ""two"" but shows ""one."" What happens?")</f>
        <v>A player shouts "two" but shows "one." What happens?</v>
      </c>
      <c r="H31" s="3" t="str">
        <f>IFERROR(__xludf.DUMMYFUNCTION("GOOGLETRANSLATE(C31, ""it"", ""en"")"),"A. The point is awarded to the opponent B. The point is cancelled C. The game continues normally D. The point is awarded")</f>
        <v>A. The point is awarded to the opponent B. The point is cancelled C. The game continues normally D. The point is awarded</v>
      </c>
      <c r="I31" s="3" t="str">
        <f>IFERROR(__xludf.DUMMYFUNCTION("GOOGLETRANSLATE(D31, ""it"", ""en"")"),"The point is awarded to the opponent")</f>
        <v>The point is awarded to the opponent</v>
      </c>
      <c r="J31" s="2"/>
      <c r="K31" s="2"/>
      <c r="L31" s="2"/>
      <c r="M31" s="2"/>
      <c r="N31" s="2"/>
      <c r="O31" s="2"/>
      <c r="P31" s="2"/>
      <c r="Q31" s="2"/>
      <c r="R31" s="2"/>
      <c r="S31" s="2"/>
      <c r="T31" s="2"/>
      <c r="U31" s="2"/>
      <c r="V31" s="2"/>
    </row>
    <row r="32" ht="22.5" customHeight="1">
      <c r="A32" s="3">
        <v>31.0</v>
      </c>
      <c r="B32" s="3" t="s">
        <v>3910</v>
      </c>
      <c r="C32" s="3" t="s">
        <v>3883</v>
      </c>
      <c r="D32" s="3" t="s">
        <v>956</v>
      </c>
      <c r="E32" s="2"/>
      <c r="F32" s="3" t="str">
        <f>IFERROR(__xludf.DUMMYFUNCTION("GOOGLETRANSLATE(A32, ""it"", ""en"")"),"31")</f>
        <v>31</v>
      </c>
      <c r="G32" s="3" t="str">
        <f>IFERROR(__xludf.DUMMYFUNCTION("GOOGLETRANSLATE(B32, ""it"", ""en"")"),"A player shows ""two"" fingers and says ""three."" What happens?")</f>
        <v>A player shows "two" fingers and says "three." What happens?</v>
      </c>
      <c r="H32" s="3" t="str">
        <f>IFERROR(__xludf.DUMMYFUNCTION("GOOGLETRANSLATE(C32, ""it"", ""en"")"),"A. The point is cancelled B. The game continues normally C. The point is awarded to the opponent D. The point is awarded")</f>
        <v>A. The point is cancelled B. The game continues normally C. The point is awarded to the opponent D. The point is awarded</v>
      </c>
      <c r="I32" s="3" t="str">
        <f>IFERROR(__xludf.DUMMYFUNCTION("GOOGLETRANSLATE(D32, ""it"", ""en"")"),"The point is cancelled")</f>
        <v>The point is cancelled</v>
      </c>
      <c r="J32" s="2"/>
      <c r="K32" s="2"/>
      <c r="L32" s="2"/>
      <c r="M32" s="2"/>
      <c r="N32" s="2"/>
      <c r="O32" s="2"/>
      <c r="P32" s="2"/>
      <c r="Q32" s="2"/>
      <c r="R32" s="2"/>
      <c r="S32" s="2"/>
      <c r="T32" s="2"/>
      <c r="U32" s="2"/>
      <c r="V32" s="2"/>
    </row>
    <row r="33" ht="22.5" customHeight="1">
      <c r="A33" s="3">
        <v>32.0</v>
      </c>
      <c r="B33" s="3" t="s">
        <v>3911</v>
      </c>
      <c r="C33" s="3" t="s">
        <v>3901</v>
      </c>
      <c r="D33" s="3" t="s">
        <v>3871</v>
      </c>
      <c r="E33" s="2"/>
      <c r="F33" s="3" t="str">
        <f>IFERROR(__xludf.DUMMYFUNCTION("GOOGLETRANSLATE(A33, ""it"", ""en"")"),"32")</f>
        <v>32</v>
      </c>
      <c r="G33" s="3" t="str">
        <f>IFERROR(__xludf.DUMMYFUNCTION("GOOGLETRANSLATE(B33, ""it"", ""en"")"),"A player shows ""three"" fingers and says ""two."" What happens?")</f>
        <v>A player shows "three" fingers and says "two." What happens?</v>
      </c>
      <c r="H33" s="3" t="str">
        <f>IFERROR(__xludf.DUMMYFUNCTION("GOOGLETRANSLATE(C33, ""it"", ""en"")"),"A. The point is awarded to the opponent B. The point is cancelled C. The game continues normally D. The player loses the turn")</f>
        <v>A. The point is awarded to the opponent B. The point is cancelled C. The game continues normally D. The player loses the turn</v>
      </c>
      <c r="I33" s="3" t="str">
        <f>IFERROR(__xludf.DUMMYFUNCTION("GOOGLETRANSLATE(D33, ""it"", ""en"")"),"The point is awarded to the opponent")</f>
        <v>The point is awarded to the opponent</v>
      </c>
      <c r="J33" s="2"/>
      <c r="K33" s="2"/>
      <c r="L33" s="2"/>
      <c r="M33" s="2"/>
      <c r="N33" s="2"/>
      <c r="O33" s="2"/>
      <c r="P33" s="2"/>
      <c r="Q33" s="2"/>
      <c r="R33" s="2"/>
      <c r="S33" s="2"/>
      <c r="T33" s="2"/>
      <c r="U33" s="2"/>
      <c r="V33" s="2"/>
    </row>
    <row r="34" ht="22.5" customHeight="1">
      <c r="A34" s="3">
        <v>33.0</v>
      </c>
      <c r="B34" s="3" t="s">
        <v>3912</v>
      </c>
      <c r="C34" s="3" t="s">
        <v>3894</v>
      </c>
      <c r="D34" s="3" t="s">
        <v>956</v>
      </c>
      <c r="E34" s="2"/>
      <c r="F34" s="3" t="str">
        <f>IFERROR(__xludf.DUMMYFUNCTION("GOOGLETRANSLATE(A34, ""it"", ""en"")"),"33")</f>
        <v>33</v>
      </c>
      <c r="G34" s="3" t="str">
        <f>IFERROR(__xludf.DUMMYFUNCTION("GOOGLETRANSLATE(B34, ""it"", ""en"")"),"A player says ""four"" and shows ""two"" fingers. What happens?")</f>
        <v>A player says "four" and shows "two" fingers. What happens?</v>
      </c>
      <c r="H34" s="3" t="str">
        <f>IFERROR(__xludf.DUMMYFUNCTION("GOOGLETRANSLATE(C34, ""it"", ""en"")"),"A. The point is awarded to the opponent B. The game continues normally C. The point is cancelled D. The point is awarded")</f>
        <v>A. The point is awarded to the opponent B. The game continues normally C. The point is cancelled D. The point is awarded</v>
      </c>
      <c r="I34" s="3" t="str">
        <f>IFERROR(__xludf.DUMMYFUNCTION("GOOGLETRANSLATE(D34, ""it"", ""en"")"),"The point is cancelled")</f>
        <v>The point is cancelled</v>
      </c>
      <c r="J34" s="2"/>
      <c r="K34" s="2"/>
      <c r="L34" s="2"/>
      <c r="M34" s="2"/>
      <c r="N34" s="2"/>
      <c r="O34" s="2"/>
      <c r="P34" s="2"/>
      <c r="Q34" s="2"/>
      <c r="R34" s="2"/>
      <c r="S34" s="2"/>
      <c r="T34" s="2"/>
      <c r="U34" s="2"/>
      <c r="V34" s="2"/>
    </row>
    <row r="35" ht="22.5" customHeight="1">
      <c r="A35" s="3">
        <v>34.0</v>
      </c>
      <c r="B35" s="3" t="s">
        <v>3913</v>
      </c>
      <c r="C35" s="3" t="s">
        <v>3901</v>
      </c>
      <c r="D35" s="3" t="s">
        <v>956</v>
      </c>
      <c r="E35" s="2"/>
      <c r="F35" s="3" t="str">
        <f>IFERROR(__xludf.DUMMYFUNCTION("GOOGLETRANSLATE(A35, ""it"", ""en"")"),"34")</f>
        <v>34</v>
      </c>
      <c r="G35" s="3" t="str">
        <f>IFERROR(__xludf.DUMMYFUNCTION("GOOGLETRANSLATE(B35, ""it"", ""en"")"),"A player says ""one"" but shows ""two"" fingers. What happens?")</f>
        <v>A player says "one" but shows "two" fingers. What happens?</v>
      </c>
      <c r="H35" s="3" t="str">
        <f>IFERROR(__xludf.DUMMYFUNCTION("GOOGLETRANSLATE(C35, ""it"", ""en"")"),"A. The point is awarded to the opponent B. The point is cancelled C. The game continues normally D. The player loses the turn")</f>
        <v>A. The point is awarded to the opponent B. The point is cancelled C. The game continues normally D. The player loses the turn</v>
      </c>
      <c r="I35" s="3" t="str">
        <f>IFERROR(__xludf.DUMMYFUNCTION("GOOGLETRANSLATE(D35, ""it"", ""en"")"),"The point is cancelled")</f>
        <v>The point is cancelled</v>
      </c>
      <c r="J35" s="2"/>
      <c r="K35" s="2"/>
      <c r="L35" s="2"/>
      <c r="M35" s="2"/>
      <c r="N35" s="2"/>
      <c r="O35" s="2"/>
      <c r="P35" s="2"/>
      <c r="Q35" s="2"/>
      <c r="R35" s="2"/>
      <c r="S35" s="2"/>
      <c r="T35" s="2"/>
      <c r="U35" s="2"/>
      <c r="V35" s="2"/>
    </row>
    <row r="36" ht="22.5" customHeight="1">
      <c r="A36" s="3">
        <v>35.0</v>
      </c>
      <c r="B36" s="3" t="s">
        <v>3914</v>
      </c>
      <c r="C36" s="3" t="s">
        <v>3873</v>
      </c>
      <c r="D36" s="3" t="s">
        <v>956</v>
      </c>
      <c r="E36" s="2"/>
      <c r="F36" s="3" t="str">
        <f>IFERROR(__xludf.DUMMYFUNCTION("GOOGLETRANSLATE(A36, ""it"", ""en"")"),"35")</f>
        <v>35</v>
      </c>
      <c r="G36" s="3" t="str">
        <f>IFERROR(__xludf.DUMMYFUNCTION("GOOGLETRANSLATE(B36, ""it"", ""en"")"),"A player shouts ""four"" but doesn't show a hand. What happens?")</f>
        <v>A player shouts "four" but doesn't show a hand. What happens?</v>
      </c>
      <c r="H36" s="3" t="str">
        <f>IFERROR(__xludf.DUMMYFUNCTION("GOOGLETRANSLATE(C36, ""it"", ""en"")"),"A. The point is cancelled B. The point is awarded to the opponent C. The game continues normally D. The point is awarded")</f>
        <v>A. The point is cancelled B. The point is awarded to the opponent C. The game continues normally D. The point is awarded</v>
      </c>
      <c r="I36" s="3" t="str">
        <f>IFERROR(__xludf.DUMMYFUNCTION("GOOGLETRANSLATE(D36, ""it"", ""en"")"),"The point is cancelled")</f>
        <v>The point is cancelled</v>
      </c>
      <c r="J36" s="2"/>
      <c r="K36" s="2"/>
      <c r="L36" s="2"/>
      <c r="M36" s="2"/>
      <c r="N36" s="2"/>
      <c r="O36" s="2"/>
      <c r="P36" s="2"/>
      <c r="Q36" s="2"/>
      <c r="R36" s="2"/>
      <c r="S36" s="2"/>
      <c r="T36" s="2"/>
      <c r="U36" s="2"/>
      <c r="V36" s="2"/>
    </row>
    <row r="37" ht="22.5" customHeight="1">
      <c r="A37" s="3">
        <v>36.0</v>
      </c>
      <c r="B37" s="3" t="s">
        <v>3915</v>
      </c>
      <c r="C37" s="3" t="s">
        <v>3881</v>
      </c>
      <c r="D37" s="3" t="s">
        <v>956</v>
      </c>
      <c r="E37" s="2"/>
      <c r="F37" s="3" t="str">
        <f>IFERROR(__xludf.DUMMYFUNCTION("GOOGLETRANSLATE(A37, ""it"", ""en"")"),"36")</f>
        <v>36</v>
      </c>
      <c r="G37" s="3" t="str">
        <f>IFERROR(__xludf.DUMMYFUNCTION("GOOGLETRANSLATE(B37, ""it"", ""en"")"),"A player says ""five"" and shows ""four"" fingers. What happens?")</f>
        <v>A player says "five" and shows "four" fingers. What happens?</v>
      </c>
      <c r="H37" s="3" t="str">
        <f>IFERROR(__xludf.DUMMYFUNCTION("GOOGLETRANSLATE(C37, ""it"", ""en"")"),"A. The point is awarded to the opponent B. The point is cancelled C. The game continues normally D. The point is awarded")</f>
        <v>A. The point is awarded to the opponent B. The point is cancelled C. The game continues normally D. The point is awarded</v>
      </c>
      <c r="I37" s="3" t="str">
        <f>IFERROR(__xludf.DUMMYFUNCTION("GOOGLETRANSLATE(D37, ""it"", ""en"")"),"The point is cancelled")</f>
        <v>The point is cancelled</v>
      </c>
      <c r="J37" s="2"/>
      <c r="K37" s="2"/>
      <c r="L37" s="2"/>
      <c r="M37" s="2"/>
      <c r="N37" s="2"/>
      <c r="O37" s="2"/>
      <c r="P37" s="2"/>
      <c r="Q37" s="2"/>
      <c r="R37" s="2"/>
      <c r="S37" s="2"/>
      <c r="T37" s="2"/>
      <c r="U37" s="2"/>
      <c r="V37" s="2"/>
    </row>
    <row r="38" ht="22.5" customHeight="1">
      <c r="A38" s="3">
        <v>37.0</v>
      </c>
      <c r="B38" s="3" t="s">
        <v>3916</v>
      </c>
      <c r="C38" s="3" t="s">
        <v>3901</v>
      </c>
      <c r="D38" s="3" t="s">
        <v>956</v>
      </c>
      <c r="E38" s="2"/>
      <c r="F38" s="3" t="str">
        <f>IFERROR(__xludf.DUMMYFUNCTION("GOOGLETRANSLATE(A38, ""it"", ""en"")"),"37")</f>
        <v>37</v>
      </c>
      <c r="G38" s="3" t="str">
        <f>IFERROR(__xludf.DUMMYFUNCTION("GOOGLETRANSLATE(B38, ""it"", ""en"")"),"A player shouts ""two"" but shows ""one"" finger. What happens?")</f>
        <v>A player shouts "two" but shows "one" finger. What happens?</v>
      </c>
      <c r="H38" s="3" t="str">
        <f>IFERROR(__xludf.DUMMYFUNCTION("GOOGLETRANSLATE(C38, ""it"", ""en"")"),"A. The point is awarded to the opponent B. The point is cancelled C. The game continues normally D. The player loses the turn")</f>
        <v>A. The point is awarded to the opponent B. The point is cancelled C. The game continues normally D. The player loses the turn</v>
      </c>
      <c r="I38" s="3" t="str">
        <f>IFERROR(__xludf.DUMMYFUNCTION("GOOGLETRANSLATE(D38, ""it"", ""en"")"),"The point is cancelled")</f>
        <v>The point is cancelled</v>
      </c>
      <c r="J38" s="2"/>
      <c r="K38" s="2"/>
      <c r="L38" s="2"/>
      <c r="M38" s="2"/>
      <c r="N38" s="2"/>
      <c r="O38" s="2"/>
      <c r="P38" s="2"/>
      <c r="Q38" s="2"/>
      <c r="R38" s="2"/>
      <c r="S38" s="2"/>
      <c r="T38" s="2"/>
      <c r="U38" s="2"/>
      <c r="V38" s="2"/>
    </row>
    <row r="39" ht="22.5" customHeight="1">
      <c r="A39" s="3">
        <v>38.0</v>
      </c>
      <c r="B39" s="3" t="s">
        <v>3917</v>
      </c>
      <c r="C39" s="3" t="s">
        <v>3873</v>
      </c>
      <c r="D39" s="3" t="s">
        <v>956</v>
      </c>
      <c r="E39" s="2"/>
      <c r="F39" s="3" t="str">
        <f>IFERROR(__xludf.DUMMYFUNCTION("GOOGLETRANSLATE(A39, ""it"", ""en"")"),"38")</f>
        <v>38</v>
      </c>
      <c r="G39" s="3" t="str">
        <f>IFERROR(__xludf.DUMMYFUNCTION("GOOGLETRANSLATE(B39, ""it"", ""en"")"),"A player shows ""five"" fingers and says ""four."" What happens?")</f>
        <v>A player shows "five" fingers and says "four." What happens?</v>
      </c>
      <c r="H39" s="3" t="str">
        <f>IFERROR(__xludf.DUMMYFUNCTION("GOOGLETRANSLATE(C39, ""it"", ""en"")"),"A. The point is cancelled B. The point is awarded to the opponent C. The game continues normally D. The point is awarded")</f>
        <v>A. The point is cancelled B. The point is awarded to the opponent C. The game continues normally D. The point is awarded</v>
      </c>
      <c r="I39" s="3" t="str">
        <f>IFERROR(__xludf.DUMMYFUNCTION("GOOGLETRANSLATE(D39, ""it"", ""en"")"),"The point is cancelled")</f>
        <v>The point is cancelled</v>
      </c>
      <c r="J39" s="2"/>
      <c r="K39" s="2"/>
      <c r="L39" s="2"/>
      <c r="M39" s="2"/>
      <c r="N39" s="2"/>
      <c r="O39" s="2"/>
      <c r="P39" s="2"/>
      <c r="Q39" s="2"/>
      <c r="R39" s="2"/>
      <c r="S39" s="2"/>
      <c r="T39" s="2"/>
      <c r="U39" s="2"/>
      <c r="V39" s="2"/>
    </row>
    <row r="40" ht="22.5" customHeight="1">
      <c r="A40" s="3">
        <v>39.0</v>
      </c>
      <c r="B40" s="3" t="s">
        <v>3918</v>
      </c>
      <c r="C40" s="3" t="s">
        <v>3919</v>
      </c>
      <c r="D40" s="3" t="s">
        <v>616</v>
      </c>
      <c r="E40" s="2"/>
      <c r="F40" s="3" t="str">
        <f>IFERROR(__xludf.DUMMYFUNCTION("GOOGLETRANSLATE(A40, ""it"", ""en"")"),"39")</f>
        <v>39</v>
      </c>
      <c r="G40" s="3" t="str">
        <f>IFERROR(__xludf.DUMMYFUNCTION("GOOGLETRANSLATE(B40, ""it"", ""en"")"),"A player shouts ""three"" but shows ""three"" fingers. What happens?")</f>
        <v>A player shouts "three" but shows "three" fingers. What happens?</v>
      </c>
      <c r="H40" s="3" t="str">
        <f>IFERROR(__xludf.DUMMYFUNCTION("GOOGLETRANSLATE(C40, ""it"", ""en"")"),"A. The point is awarded B. The point is cancelled C. The game continues normally D. The point is awarded")</f>
        <v>A. The point is awarded B. The point is cancelled C. The game continues normally D. The point is awarded</v>
      </c>
      <c r="I40" s="3" t="str">
        <f>IFERROR(__xludf.DUMMYFUNCTION("GOOGLETRANSLATE(D40, ""it"", ""en"")"),"The point is awarded")</f>
        <v>The point is awarded</v>
      </c>
      <c r="J40" s="2"/>
      <c r="K40" s="2"/>
      <c r="L40" s="2"/>
      <c r="M40" s="2"/>
      <c r="N40" s="2"/>
      <c r="O40" s="2"/>
      <c r="P40" s="2"/>
      <c r="Q40" s="2"/>
      <c r="R40" s="2"/>
      <c r="S40" s="2"/>
      <c r="T40" s="2"/>
      <c r="U40" s="2"/>
      <c r="V40" s="2"/>
    </row>
    <row r="41" ht="22.5" customHeight="1">
      <c r="A41" s="3">
        <v>40.0</v>
      </c>
      <c r="B41" s="3" t="s">
        <v>3920</v>
      </c>
      <c r="C41" s="3" t="s">
        <v>3885</v>
      </c>
      <c r="D41" s="3" t="s">
        <v>956</v>
      </c>
      <c r="E41" s="2"/>
      <c r="F41" s="3" t="str">
        <f>IFERROR(__xludf.DUMMYFUNCTION("GOOGLETRANSLATE(A41, ""it"", ""en"")"),"40")</f>
        <v>40</v>
      </c>
      <c r="G41" s="3" t="str">
        <f>IFERROR(__xludf.DUMMYFUNCTION("GOOGLETRANSLATE(B41, ""it"", ""en"")"),"A player misreads the number and shows ""four"" instead of ""three."" What happens?")</f>
        <v>A player misreads the number and shows "four" instead of "three." What happens?</v>
      </c>
      <c r="H41" s="3" t="str">
        <f>IFERROR(__xludf.DUMMYFUNCTION("GOOGLETRANSLATE(C41, ""it"", ""en"")"),"A. The point is awarded to the opponent B. The game continues normally C. The point is cancelled D. The player loses the turn")</f>
        <v>A. The point is awarded to the opponent B. The game continues normally C. The point is cancelled D. The player loses the turn</v>
      </c>
      <c r="I41" s="3" t="str">
        <f>IFERROR(__xludf.DUMMYFUNCTION("GOOGLETRANSLATE(D41, ""it"", ""en"")"),"The point is cancelled")</f>
        <v>The point is cancelled</v>
      </c>
      <c r="J41" s="2"/>
      <c r="K41" s="2"/>
      <c r="L41" s="2"/>
      <c r="M41" s="2"/>
      <c r="N41" s="2"/>
      <c r="O41" s="2"/>
      <c r="P41" s="2"/>
      <c r="Q41" s="2"/>
      <c r="R41" s="2"/>
      <c r="S41" s="2"/>
      <c r="T41" s="2"/>
      <c r="U41" s="2"/>
      <c r="V41" s="2"/>
    </row>
    <row r="42" ht="22.5" customHeight="1">
      <c r="A42" s="3">
        <v>41.0</v>
      </c>
      <c r="B42" s="3" t="s">
        <v>3910</v>
      </c>
      <c r="C42" s="3" t="s">
        <v>3883</v>
      </c>
      <c r="D42" s="3" t="s">
        <v>956</v>
      </c>
      <c r="E42" s="2"/>
      <c r="F42" s="3" t="str">
        <f>IFERROR(__xludf.DUMMYFUNCTION("GOOGLETRANSLATE(A42, ""it"", ""en"")"),"41")</f>
        <v>41</v>
      </c>
      <c r="G42" s="3" t="str">
        <f>IFERROR(__xludf.DUMMYFUNCTION("GOOGLETRANSLATE(B42, ""it"", ""en"")"),"A player shows ""two"" fingers and says ""three."" What happens?")</f>
        <v>A player shows "two" fingers and says "three." What happens?</v>
      </c>
      <c r="H42" s="3" t="str">
        <f>IFERROR(__xludf.DUMMYFUNCTION("GOOGLETRANSLATE(C42, ""it"", ""en"")"),"A. The point is cancelled B. The game continues normally C. The point is awarded to the opponent D. The point is awarded")</f>
        <v>A. The point is cancelled B. The game continues normally C. The point is awarded to the opponent D. The point is awarded</v>
      </c>
      <c r="I42" s="3" t="str">
        <f>IFERROR(__xludf.DUMMYFUNCTION("GOOGLETRANSLATE(D42, ""it"", ""en"")"),"The point is cancelled")</f>
        <v>The point is cancelled</v>
      </c>
      <c r="J42" s="2"/>
      <c r="K42" s="2"/>
      <c r="L42" s="2"/>
      <c r="M42" s="2"/>
      <c r="N42" s="2"/>
      <c r="O42" s="2"/>
      <c r="P42" s="2"/>
      <c r="Q42" s="2"/>
      <c r="R42" s="2"/>
      <c r="S42" s="2"/>
      <c r="T42" s="2"/>
      <c r="U42" s="2"/>
      <c r="V42" s="2"/>
    </row>
    <row r="43" ht="22.5" customHeight="1">
      <c r="A43" s="3">
        <v>42.0</v>
      </c>
      <c r="B43" s="3" t="s">
        <v>3921</v>
      </c>
      <c r="C43" s="3" t="s">
        <v>3881</v>
      </c>
      <c r="D43" s="3" t="s">
        <v>956</v>
      </c>
      <c r="E43" s="2"/>
      <c r="F43" s="3" t="str">
        <f>IFERROR(__xludf.DUMMYFUNCTION("GOOGLETRANSLATE(A43, ""it"", ""en"")"),"42")</f>
        <v>42</v>
      </c>
      <c r="G43" s="3" t="str">
        <f>IFERROR(__xludf.DUMMYFUNCTION("GOOGLETRANSLATE(B43, ""it"", ""en"")"),"A player shouts ""four"" but doesn't show any fingers. What happens?")</f>
        <v>A player shouts "four" but doesn't show any fingers. What happens?</v>
      </c>
      <c r="H43" s="3" t="str">
        <f>IFERROR(__xludf.DUMMYFUNCTION("GOOGLETRANSLATE(C43, ""it"", ""en"")"),"A. The point is awarded to the opponent B. The point is cancelled C. The game continues normally D. The point is awarded")</f>
        <v>A. The point is awarded to the opponent B. The point is cancelled C. The game continues normally D. The point is awarded</v>
      </c>
      <c r="I43" s="3" t="str">
        <f>IFERROR(__xludf.DUMMYFUNCTION("GOOGLETRANSLATE(D43, ""it"", ""en"")"),"The point is cancelled")</f>
        <v>The point is cancelled</v>
      </c>
      <c r="J43" s="2"/>
      <c r="K43" s="2"/>
      <c r="L43" s="2"/>
      <c r="M43" s="2"/>
      <c r="N43" s="2"/>
      <c r="O43" s="2"/>
      <c r="P43" s="2"/>
      <c r="Q43" s="2"/>
      <c r="R43" s="2"/>
      <c r="S43" s="2"/>
      <c r="T43" s="2"/>
      <c r="U43" s="2"/>
      <c r="V43" s="2"/>
    </row>
    <row r="44" ht="22.5" customHeight="1">
      <c r="A44" s="3">
        <v>43.0</v>
      </c>
      <c r="B44" s="3" t="s">
        <v>3922</v>
      </c>
      <c r="C44" s="3" t="s">
        <v>3894</v>
      </c>
      <c r="D44" s="3" t="s">
        <v>3871</v>
      </c>
      <c r="E44" s="2"/>
      <c r="F44" s="3" t="str">
        <f>IFERROR(__xludf.DUMMYFUNCTION("GOOGLETRANSLATE(A44, ""it"", ""en"")"),"43")</f>
        <v>43</v>
      </c>
      <c r="G44" s="3" t="str">
        <f>IFERROR(__xludf.DUMMYFUNCTION("GOOGLETRANSLATE(B44, ""it"", ""en"")"),"A player shows ""three"" fingers and says ""four."" What happens?")</f>
        <v>A player shows "three" fingers and says "four." What happens?</v>
      </c>
      <c r="H44" s="3" t="str">
        <f>IFERROR(__xludf.DUMMYFUNCTION("GOOGLETRANSLATE(C44, ""it"", ""en"")"),"A. The point is awarded to the opponent B. The game continues normally C. The point is cancelled D. The point is awarded")</f>
        <v>A. The point is awarded to the opponent B. The game continues normally C. The point is cancelled D. The point is awarded</v>
      </c>
      <c r="I44" s="3" t="str">
        <f>IFERROR(__xludf.DUMMYFUNCTION("GOOGLETRANSLATE(D44, ""it"", ""en"")"),"The point is awarded to the opponent")</f>
        <v>The point is awarded to the opponent</v>
      </c>
      <c r="J44" s="2"/>
      <c r="K44" s="2"/>
      <c r="L44" s="2"/>
      <c r="M44" s="2"/>
      <c r="N44" s="2"/>
      <c r="O44" s="2"/>
      <c r="P44" s="2"/>
      <c r="Q44" s="2"/>
      <c r="R44" s="2"/>
      <c r="S44" s="2"/>
      <c r="T44" s="2"/>
      <c r="U44" s="2"/>
      <c r="V44" s="2"/>
    </row>
    <row r="45" ht="22.5" customHeight="1">
      <c r="A45" s="3">
        <v>44.0</v>
      </c>
      <c r="B45" s="3" t="s">
        <v>3923</v>
      </c>
      <c r="C45" s="3" t="s">
        <v>3873</v>
      </c>
      <c r="D45" s="3" t="s">
        <v>956</v>
      </c>
      <c r="E45" s="2"/>
      <c r="F45" s="3" t="str">
        <f>IFERROR(__xludf.DUMMYFUNCTION("GOOGLETRANSLATE(A45, ""it"", ""en"")"),"44")</f>
        <v>44</v>
      </c>
      <c r="G45" s="3" t="str">
        <f>IFERROR(__xludf.DUMMYFUNCTION("GOOGLETRANSLATE(B45, ""it"", ""en"")"),"A player says ""five"" and shows ""three"" fingers. What happens?")</f>
        <v>A player says "five" and shows "three" fingers. What happens?</v>
      </c>
      <c r="H45" s="3" t="str">
        <f>IFERROR(__xludf.DUMMYFUNCTION("GOOGLETRANSLATE(C45, ""it"", ""en"")"),"A. The point is cancelled B. The point is awarded to the opponent C. The game continues normally D. The point is awarded")</f>
        <v>A. The point is cancelled B. The point is awarded to the opponent C. The game continues normally D. The point is awarded</v>
      </c>
      <c r="I45" s="3" t="str">
        <f>IFERROR(__xludf.DUMMYFUNCTION("GOOGLETRANSLATE(D45, ""it"", ""en"")"),"The point is cancelled")</f>
        <v>The point is cancelled</v>
      </c>
      <c r="J45" s="2"/>
      <c r="K45" s="2"/>
      <c r="L45" s="2"/>
      <c r="M45" s="2"/>
      <c r="N45" s="2"/>
      <c r="O45" s="2"/>
      <c r="P45" s="2"/>
      <c r="Q45" s="2"/>
      <c r="R45" s="2"/>
      <c r="S45" s="2"/>
      <c r="T45" s="2"/>
      <c r="U45" s="2"/>
      <c r="V45" s="2"/>
    </row>
    <row r="46" ht="22.5" customHeight="1">
      <c r="A46" s="3">
        <v>45.0</v>
      </c>
      <c r="B46" s="3" t="s">
        <v>3902</v>
      </c>
      <c r="C46" s="3" t="s">
        <v>3883</v>
      </c>
      <c r="D46" s="3" t="s">
        <v>956</v>
      </c>
      <c r="E46" s="2"/>
      <c r="F46" s="3" t="str">
        <f>IFERROR(__xludf.DUMMYFUNCTION("GOOGLETRANSLATE(A46, ""it"", ""en"")"),"45")</f>
        <v>45</v>
      </c>
      <c r="G46" s="3" t="str">
        <f>IFERROR(__xludf.DUMMYFUNCTION("GOOGLETRANSLATE(B46, ""it"", ""en"")"),"A player shouts ""two"" but shows ""three"" fingers. What happens?")</f>
        <v>A player shouts "two" but shows "three" fingers. What happens?</v>
      </c>
      <c r="H46" s="3" t="str">
        <f>IFERROR(__xludf.DUMMYFUNCTION("GOOGLETRANSLATE(C46, ""it"", ""en"")"),"A. The point is cancelled B. The game continues normally C. The point is awarded to the opponent D. The point is awarded")</f>
        <v>A. The point is cancelled B. The game continues normally C. The point is awarded to the opponent D. The point is awarded</v>
      </c>
      <c r="I46" s="3" t="str">
        <f>IFERROR(__xludf.DUMMYFUNCTION("GOOGLETRANSLATE(D46, ""it"", ""en"")"),"The point is cancelled")</f>
        <v>The point is cancelled</v>
      </c>
      <c r="J46" s="2"/>
      <c r="K46" s="2"/>
      <c r="L46" s="2"/>
      <c r="M46" s="2"/>
      <c r="N46" s="2"/>
      <c r="O46" s="2"/>
      <c r="P46" s="2"/>
      <c r="Q46" s="2"/>
      <c r="R46" s="2"/>
      <c r="S46" s="2"/>
      <c r="T46" s="2"/>
      <c r="U46" s="2"/>
      <c r="V46" s="2"/>
    </row>
    <row r="47" ht="22.5" customHeight="1">
      <c r="A47" s="3">
        <v>46.0</v>
      </c>
      <c r="B47" s="3" t="s">
        <v>3924</v>
      </c>
      <c r="C47" s="3" t="s">
        <v>3881</v>
      </c>
      <c r="D47" s="3" t="s">
        <v>956</v>
      </c>
      <c r="E47" s="2"/>
      <c r="F47" s="3" t="str">
        <f>IFERROR(__xludf.DUMMYFUNCTION("GOOGLETRANSLATE(A47, ""it"", ""en"")"),"46")</f>
        <v>46</v>
      </c>
      <c r="G47" s="3" t="str">
        <f>IFERROR(__xludf.DUMMYFUNCTION("GOOGLETRANSLATE(B47, ""it"", ""en"")"),"A player says ""four"" but doesn't show his fingers. What happens?")</f>
        <v>A player says "four" but doesn't show his fingers. What happens?</v>
      </c>
      <c r="H47" s="3" t="str">
        <f>IFERROR(__xludf.DUMMYFUNCTION("GOOGLETRANSLATE(C47, ""it"", ""en"")"),"A. The point is awarded to the opponent B. The point is cancelled C. The game continues normally D. The point is awarded")</f>
        <v>A. The point is awarded to the opponent B. The point is cancelled C. The game continues normally D. The point is awarded</v>
      </c>
      <c r="I47" s="3" t="str">
        <f>IFERROR(__xludf.DUMMYFUNCTION("GOOGLETRANSLATE(D47, ""it"", ""en"")"),"The point is cancelled")</f>
        <v>The point is cancelled</v>
      </c>
      <c r="J47" s="2"/>
      <c r="K47" s="2"/>
      <c r="L47" s="2"/>
      <c r="M47" s="2"/>
      <c r="N47" s="2"/>
      <c r="O47" s="2"/>
      <c r="P47" s="2"/>
      <c r="Q47" s="2"/>
      <c r="R47" s="2"/>
      <c r="S47" s="2"/>
      <c r="T47" s="2"/>
      <c r="U47" s="2"/>
      <c r="V47" s="2"/>
    </row>
    <row r="48" ht="22.5" customHeight="1">
      <c r="A48" s="3">
        <v>47.0</v>
      </c>
      <c r="B48" s="3" t="s">
        <v>3925</v>
      </c>
      <c r="C48" s="3" t="s">
        <v>3881</v>
      </c>
      <c r="D48" s="3" t="s">
        <v>956</v>
      </c>
      <c r="E48" s="2"/>
      <c r="F48" s="3" t="str">
        <f>IFERROR(__xludf.DUMMYFUNCTION("GOOGLETRANSLATE(A48, ""it"", ""en"")"),"47")</f>
        <v>47</v>
      </c>
      <c r="G48" s="3" t="str">
        <f>IFERROR(__xludf.DUMMYFUNCTION("GOOGLETRANSLATE(B48, ""it"", ""en"")"),"A player shouts ""four"" but shows ""two"" fingers. What happens?")</f>
        <v>A player shouts "four" but shows "two" fingers. What happens?</v>
      </c>
      <c r="H48" s="3" t="str">
        <f>IFERROR(__xludf.DUMMYFUNCTION("GOOGLETRANSLATE(C48, ""it"", ""en"")"),"A. The point is awarded to the opponent B. The point is cancelled C. The game continues normally D. The point is awarded")</f>
        <v>A. The point is awarded to the opponent B. The point is cancelled C. The game continues normally D. The point is awarded</v>
      </c>
      <c r="I48" s="3" t="str">
        <f>IFERROR(__xludf.DUMMYFUNCTION("GOOGLETRANSLATE(D48, ""it"", ""en"")"),"The point is cancelled")</f>
        <v>The point is cancelled</v>
      </c>
      <c r="J48" s="2"/>
      <c r="K48" s="2"/>
      <c r="L48" s="2"/>
      <c r="M48" s="2"/>
      <c r="N48" s="2"/>
      <c r="O48" s="2"/>
      <c r="P48" s="2"/>
      <c r="Q48" s="2"/>
      <c r="R48" s="2"/>
      <c r="S48" s="2"/>
      <c r="T48" s="2"/>
      <c r="U48" s="2"/>
      <c r="V48" s="2"/>
    </row>
    <row r="49" ht="22.5" customHeight="1">
      <c r="A49" s="3">
        <v>48.0</v>
      </c>
      <c r="B49" s="3" t="s">
        <v>3926</v>
      </c>
      <c r="C49" s="3" t="s">
        <v>3873</v>
      </c>
      <c r="D49" s="3" t="s">
        <v>956</v>
      </c>
      <c r="E49" s="2"/>
      <c r="F49" s="3" t="str">
        <f>IFERROR(__xludf.DUMMYFUNCTION("GOOGLETRANSLATE(A49, ""it"", ""en"")"),"48")</f>
        <v>48</v>
      </c>
      <c r="G49" s="3" t="str">
        <f>IFERROR(__xludf.DUMMYFUNCTION("GOOGLETRANSLATE(B49, ""it"", ""en"")"),"A player says ""five"" but shows ""three"" fingers. What happens?")</f>
        <v>A player says "five" but shows "three" fingers. What happens?</v>
      </c>
      <c r="H49" s="3" t="str">
        <f>IFERROR(__xludf.DUMMYFUNCTION("GOOGLETRANSLATE(C49, ""it"", ""en"")"),"A. The point is cancelled B. The point is awarded to the opponent C. The game continues normally D. The point is awarded")</f>
        <v>A. The point is cancelled B. The point is awarded to the opponent C. The game continues normally D. The point is awarded</v>
      </c>
      <c r="I49" s="3" t="str">
        <f>IFERROR(__xludf.DUMMYFUNCTION("GOOGLETRANSLATE(D49, ""it"", ""en"")"),"The point is cancelled")</f>
        <v>The point is cancelled</v>
      </c>
      <c r="J49" s="2"/>
      <c r="K49" s="2"/>
      <c r="L49" s="2"/>
      <c r="M49" s="2"/>
      <c r="N49" s="2"/>
      <c r="O49" s="2"/>
      <c r="P49" s="2"/>
      <c r="Q49" s="2"/>
      <c r="R49" s="2"/>
      <c r="S49" s="2"/>
      <c r="T49" s="2"/>
      <c r="U49" s="2"/>
      <c r="V49" s="2"/>
    </row>
    <row r="50" ht="22.5" customHeight="1">
      <c r="A50" s="3">
        <v>49.0</v>
      </c>
      <c r="B50" s="3" t="s">
        <v>3876</v>
      </c>
      <c r="C50" s="3" t="s">
        <v>3919</v>
      </c>
      <c r="D50" s="3" t="s">
        <v>616</v>
      </c>
      <c r="E50" s="2"/>
      <c r="F50" s="3" t="str">
        <f>IFERROR(__xludf.DUMMYFUNCTION("GOOGLETRANSLATE(A50, ""it"", ""en"")"),"49")</f>
        <v>49</v>
      </c>
      <c r="G50" s="3" t="str">
        <f>IFERROR(__xludf.DUMMYFUNCTION("GOOGLETRANSLATE(B50, ""it"", ""en"")"),"A player shouts ""two"" and shows ""two"" fingers. What happens?")</f>
        <v>A player shouts "two" and shows "two" fingers. What happens?</v>
      </c>
      <c r="H50" s="3" t="str">
        <f>IFERROR(__xludf.DUMMYFUNCTION("GOOGLETRANSLATE(C50, ""it"", ""en"")"),"A. The point is awarded B. The point is cancelled C. The game continues normally D. The point is awarded")</f>
        <v>A. The point is awarded B. The point is cancelled C. The game continues normally D. The point is awarded</v>
      </c>
      <c r="I50" s="3" t="str">
        <f>IFERROR(__xludf.DUMMYFUNCTION("GOOGLETRANSLATE(D50, ""it"", ""en"")"),"The point is awarded")</f>
        <v>The point is awarded</v>
      </c>
      <c r="J50" s="2"/>
      <c r="K50" s="2"/>
      <c r="L50" s="2"/>
      <c r="M50" s="2"/>
      <c r="N50" s="2"/>
      <c r="O50" s="2"/>
      <c r="P50" s="2"/>
      <c r="Q50" s="2"/>
      <c r="R50" s="2"/>
      <c r="S50" s="2"/>
      <c r="T50" s="2"/>
      <c r="U50" s="2"/>
      <c r="V50" s="2"/>
    </row>
    <row r="51" ht="22.5" customHeight="1">
      <c r="A51" s="3">
        <v>50.0</v>
      </c>
      <c r="B51" s="3" t="s">
        <v>3927</v>
      </c>
      <c r="C51" s="3" t="s">
        <v>3894</v>
      </c>
      <c r="D51" s="3" t="s">
        <v>956</v>
      </c>
      <c r="E51" s="2"/>
      <c r="F51" s="3" t="str">
        <f>IFERROR(__xludf.DUMMYFUNCTION("GOOGLETRANSLATE(A51, ""it"", ""en"")"),"50")</f>
        <v>50</v>
      </c>
      <c r="G51" s="3" t="str">
        <f>IFERROR(__xludf.DUMMYFUNCTION("GOOGLETRANSLATE(B51, ""it"", ""en"")"),"A player shows ""three"" fingers but says ""two."" What happens?")</f>
        <v>A player shows "three" fingers but says "two." What happens?</v>
      </c>
      <c r="H51" s="3" t="str">
        <f>IFERROR(__xludf.DUMMYFUNCTION("GOOGLETRANSLATE(C51, ""it"", ""en"")"),"A. The point is awarded to the opponent B. The game continues normally C. The point is cancelled D. The point is awarded")</f>
        <v>A. The point is awarded to the opponent B. The game continues normally C. The point is cancelled D. The point is awarded</v>
      </c>
      <c r="I51" s="3" t="str">
        <f>IFERROR(__xludf.DUMMYFUNCTION("GOOGLETRANSLATE(D51, ""it"", ""en"")"),"The point is cancelled")</f>
        <v>The point is cancelled</v>
      </c>
      <c r="J51" s="2"/>
      <c r="K51" s="2"/>
      <c r="L51" s="2"/>
      <c r="M51" s="2"/>
      <c r="N51" s="2"/>
      <c r="O51" s="2"/>
      <c r="P51" s="2"/>
      <c r="Q51" s="2"/>
      <c r="R51" s="2"/>
      <c r="S51" s="2"/>
      <c r="T51" s="2"/>
      <c r="U51" s="2"/>
      <c r="V51" s="2"/>
    </row>
    <row r="52" ht="22.5" customHeight="1">
      <c r="A52" s="3">
        <v>51.0</v>
      </c>
      <c r="B52" s="3" t="s">
        <v>3928</v>
      </c>
      <c r="C52" s="3" t="s">
        <v>3873</v>
      </c>
      <c r="D52" s="3" t="s">
        <v>956</v>
      </c>
      <c r="E52" s="2"/>
      <c r="F52" s="3" t="str">
        <f>IFERROR(__xludf.DUMMYFUNCTION("GOOGLETRANSLATE(A52, ""it"", ""en"")"),"51")</f>
        <v>51</v>
      </c>
      <c r="G52" s="3" t="str">
        <f>IFERROR(__xludf.DUMMYFUNCTION("GOOGLETRANSLATE(B52, ""it"", ""en"")"),"A player shouts ""five"" but shows ""two"" fingers. What happens?")</f>
        <v>A player shouts "five" but shows "two" fingers. What happens?</v>
      </c>
      <c r="H52" s="3" t="str">
        <f>IFERROR(__xludf.DUMMYFUNCTION("GOOGLETRANSLATE(C52, ""it"", ""en"")"),"A. The point is cancelled B. The point is awarded to the opponent C. The game continues normally D. The point is awarded")</f>
        <v>A. The point is cancelled B. The point is awarded to the opponent C. The game continues normally D. The point is awarded</v>
      </c>
      <c r="I52" s="3" t="str">
        <f>IFERROR(__xludf.DUMMYFUNCTION("GOOGLETRANSLATE(D52, ""it"", ""en"")"),"The point is cancelled")</f>
        <v>The point is cancelled</v>
      </c>
      <c r="J52" s="2"/>
      <c r="K52" s="2"/>
      <c r="L52" s="2"/>
      <c r="M52" s="2"/>
      <c r="N52" s="2"/>
      <c r="O52" s="2"/>
      <c r="P52" s="2"/>
      <c r="Q52" s="2"/>
      <c r="R52" s="2"/>
      <c r="S52" s="2"/>
      <c r="T52" s="2"/>
      <c r="U52" s="2"/>
      <c r="V52" s="2"/>
    </row>
    <row r="53" ht="22.5" customHeight="1">
      <c r="A53" s="3">
        <v>52.0</v>
      </c>
      <c r="B53" s="3" t="s">
        <v>3929</v>
      </c>
      <c r="C53" s="3" t="s">
        <v>3881</v>
      </c>
      <c r="D53" s="3" t="s">
        <v>956</v>
      </c>
      <c r="E53" s="2"/>
      <c r="F53" s="3" t="str">
        <f>IFERROR(__xludf.DUMMYFUNCTION("GOOGLETRANSLATE(A53, ""it"", ""en"")"),"52")</f>
        <v>52</v>
      </c>
      <c r="G53" s="3" t="str">
        <f>IFERROR(__xludf.DUMMYFUNCTION("GOOGLETRANSLATE(B53, ""it"", ""en"")"),"A player shows ""two"" fingers and says ""five."" What happens?")</f>
        <v>A player shows "two" fingers and says "five." What happens?</v>
      </c>
      <c r="H53" s="3" t="str">
        <f>IFERROR(__xludf.DUMMYFUNCTION("GOOGLETRANSLATE(C53, ""it"", ""en"")"),"A. The point is awarded to the opponent B. The point is cancelled C. The game continues normally D. The point is awarded")</f>
        <v>A. The point is awarded to the opponent B. The point is cancelled C. The game continues normally D. The point is awarded</v>
      </c>
      <c r="I53" s="3" t="str">
        <f>IFERROR(__xludf.DUMMYFUNCTION("GOOGLETRANSLATE(D53, ""it"", ""en"")"),"The point is cancelled")</f>
        <v>The point is cancelled</v>
      </c>
      <c r="J53" s="2"/>
      <c r="K53" s="2"/>
      <c r="L53" s="2"/>
      <c r="M53" s="2"/>
      <c r="N53" s="2"/>
      <c r="O53" s="2"/>
      <c r="P53" s="2"/>
      <c r="Q53" s="2"/>
      <c r="R53" s="2"/>
      <c r="S53" s="2"/>
      <c r="T53" s="2"/>
      <c r="U53" s="2"/>
      <c r="V53" s="2"/>
    </row>
    <row r="54" ht="22.5" customHeight="1">
      <c r="A54" s="3">
        <v>53.0</v>
      </c>
      <c r="B54" s="3" t="s">
        <v>3930</v>
      </c>
      <c r="C54" s="3" t="s">
        <v>3894</v>
      </c>
      <c r="D54" s="3" t="s">
        <v>3871</v>
      </c>
      <c r="E54" s="2"/>
      <c r="F54" s="3" t="str">
        <f>IFERROR(__xludf.DUMMYFUNCTION("GOOGLETRANSLATE(A54, ""it"", ""en"")"),"53")</f>
        <v>53</v>
      </c>
      <c r="G54" s="3" t="str">
        <f>IFERROR(__xludf.DUMMYFUNCTION("GOOGLETRANSLATE(B54, ""it"", ""en"")"),"A player says ""two"" but shows ""one."" What happens?")</f>
        <v>A player says "two" but shows "one." What happens?</v>
      </c>
      <c r="H54" s="3" t="str">
        <f>IFERROR(__xludf.DUMMYFUNCTION("GOOGLETRANSLATE(C54, ""it"", ""en"")"),"A. The point is awarded to the opponent B. The game continues normally C. The point is cancelled D. The point is awarded")</f>
        <v>A. The point is awarded to the opponent B. The game continues normally C. The point is cancelled D. The point is awarded</v>
      </c>
      <c r="I54" s="3" t="str">
        <f>IFERROR(__xludf.DUMMYFUNCTION("GOOGLETRANSLATE(D54, ""it"", ""en"")"),"The point is awarded to the opponent")</f>
        <v>The point is awarded to the opponent</v>
      </c>
      <c r="J54" s="2"/>
      <c r="K54" s="2"/>
      <c r="L54" s="2"/>
      <c r="M54" s="2"/>
      <c r="N54" s="2"/>
      <c r="O54" s="2"/>
      <c r="P54" s="2"/>
      <c r="Q54" s="2"/>
      <c r="R54" s="2"/>
      <c r="S54" s="2"/>
      <c r="T54" s="2"/>
      <c r="U54" s="2"/>
      <c r="V54" s="2"/>
    </row>
    <row r="55" ht="22.5" customHeight="1">
      <c r="A55" s="3">
        <v>54.0</v>
      </c>
      <c r="B55" s="3" t="s">
        <v>3931</v>
      </c>
      <c r="C55" s="3" t="s">
        <v>3873</v>
      </c>
      <c r="D55" s="3" t="s">
        <v>956</v>
      </c>
      <c r="E55" s="2"/>
      <c r="F55" s="3" t="str">
        <f>IFERROR(__xludf.DUMMYFUNCTION("GOOGLETRANSLATE(A55, ""it"", ""en"")"),"54")</f>
        <v>54</v>
      </c>
      <c r="G55" s="3" t="str">
        <f>IFERROR(__xludf.DUMMYFUNCTION("GOOGLETRANSLATE(B55, ""it"", ""en"")"),"A player shows ""five"" fingers and says ""three."" What happens?")</f>
        <v>A player shows "five" fingers and says "three." What happens?</v>
      </c>
      <c r="H55" s="3" t="str">
        <f>IFERROR(__xludf.DUMMYFUNCTION("GOOGLETRANSLATE(C55, ""it"", ""en"")"),"A. The point is cancelled B. The point is awarded to the opponent C. The game continues normally D. The point is awarded")</f>
        <v>A. The point is cancelled B. The point is awarded to the opponent C. The game continues normally D. The point is awarded</v>
      </c>
      <c r="I55" s="3" t="str">
        <f>IFERROR(__xludf.DUMMYFUNCTION("GOOGLETRANSLATE(D55, ""it"", ""en"")"),"The point is cancelled")</f>
        <v>The point is cancelled</v>
      </c>
      <c r="J55" s="2"/>
      <c r="K55" s="2"/>
      <c r="L55" s="2"/>
      <c r="M55" s="2"/>
      <c r="N55" s="2"/>
      <c r="O55" s="2"/>
      <c r="P55" s="2"/>
      <c r="Q55" s="2"/>
      <c r="R55" s="2"/>
      <c r="S55" s="2"/>
      <c r="T55" s="2"/>
      <c r="U55" s="2"/>
      <c r="V55" s="2"/>
    </row>
    <row r="56" ht="22.5" customHeight="1">
      <c r="A56" s="3">
        <v>55.0</v>
      </c>
      <c r="B56" s="3" t="s">
        <v>3932</v>
      </c>
      <c r="C56" s="3" t="s">
        <v>3873</v>
      </c>
      <c r="D56" s="3" t="s">
        <v>956</v>
      </c>
      <c r="E56" s="2"/>
      <c r="F56" s="3" t="str">
        <f>IFERROR(__xludf.DUMMYFUNCTION("GOOGLETRANSLATE(A56, ""it"", ""en"")"),"55")</f>
        <v>55</v>
      </c>
      <c r="G56" s="3" t="str">
        <f>IFERROR(__xludf.DUMMYFUNCTION("GOOGLETRANSLATE(B56, ""it"", ""en"")"),"A player shouts ""two"" but doesn't show his fingers. What happens?")</f>
        <v>A player shouts "two" but doesn't show his fingers. What happens?</v>
      </c>
      <c r="H56" s="3" t="str">
        <f>IFERROR(__xludf.DUMMYFUNCTION("GOOGLETRANSLATE(C56, ""it"", ""en"")"),"A. The point is cancelled B. The point is awarded to the opponent C. The game continues normally D. The point is awarded")</f>
        <v>A. The point is cancelled B. The point is awarded to the opponent C. The game continues normally D. The point is awarded</v>
      </c>
      <c r="I56" s="3" t="str">
        <f>IFERROR(__xludf.DUMMYFUNCTION("GOOGLETRANSLATE(D56, ""it"", ""en"")"),"The point is cancelled")</f>
        <v>The point is cancelled</v>
      </c>
      <c r="J56" s="2"/>
      <c r="K56" s="2"/>
      <c r="L56" s="2"/>
      <c r="M56" s="2"/>
      <c r="N56" s="2"/>
      <c r="O56" s="2"/>
      <c r="P56" s="2"/>
      <c r="Q56" s="2"/>
      <c r="R56" s="2"/>
      <c r="S56" s="2"/>
      <c r="T56" s="2"/>
      <c r="U56" s="2"/>
      <c r="V56" s="2"/>
    </row>
    <row r="57" ht="22.5" customHeight="1">
      <c r="A57" s="3">
        <v>56.0</v>
      </c>
      <c r="B57" s="3" t="s">
        <v>3933</v>
      </c>
      <c r="C57" s="3" t="s">
        <v>3873</v>
      </c>
      <c r="D57" s="3" t="s">
        <v>956</v>
      </c>
      <c r="E57" s="2"/>
      <c r="F57" s="3" t="str">
        <f>IFERROR(__xludf.DUMMYFUNCTION("GOOGLETRANSLATE(A57, ""it"", ""en"")"),"56")</f>
        <v>56</v>
      </c>
      <c r="G57" s="3" t="str">
        <f>IFERROR(__xludf.DUMMYFUNCTION("GOOGLETRANSLATE(B57, ""it"", ""en"")"),"A player says ""four"" and shows ""five"" fingers. What happens?")</f>
        <v>A player says "four" and shows "five" fingers. What happens?</v>
      </c>
      <c r="H57" s="3" t="str">
        <f>IFERROR(__xludf.DUMMYFUNCTION("GOOGLETRANSLATE(C57, ""it"", ""en"")"),"A. The point is cancelled B. The point is awarded to the opponent C. The game continues normally D. The point is awarded")</f>
        <v>A. The point is cancelled B. The point is awarded to the opponent C. The game continues normally D. The point is awarded</v>
      </c>
      <c r="I57" s="3" t="str">
        <f>IFERROR(__xludf.DUMMYFUNCTION("GOOGLETRANSLATE(D57, ""it"", ""en"")"),"The point is cancelled")</f>
        <v>The point is cancelled</v>
      </c>
      <c r="J57" s="2"/>
      <c r="K57" s="2"/>
      <c r="L57" s="2"/>
      <c r="M57" s="2"/>
      <c r="N57" s="2"/>
      <c r="O57" s="2"/>
      <c r="P57" s="2"/>
      <c r="Q57" s="2"/>
      <c r="R57" s="2"/>
      <c r="S57" s="2"/>
      <c r="T57" s="2"/>
      <c r="U57" s="2"/>
      <c r="V57" s="2"/>
    </row>
    <row r="58" ht="22.5" customHeight="1">
      <c r="A58" s="3">
        <v>57.0</v>
      </c>
      <c r="B58" s="3" t="s">
        <v>3934</v>
      </c>
      <c r="C58" s="3" t="s">
        <v>3881</v>
      </c>
      <c r="D58" s="3" t="s">
        <v>956</v>
      </c>
      <c r="E58" s="2"/>
      <c r="F58" s="3" t="str">
        <f>IFERROR(__xludf.DUMMYFUNCTION("GOOGLETRANSLATE(A58, ""it"", ""en"")"),"57")</f>
        <v>57</v>
      </c>
      <c r="G58" s="3" t="str">
        <f>IFERROR(__xludf.DUMMYFUNCTION("GOOGLETRANSLATE(B58, ""it"", ""en"")"),"A player shouts ""three"" but shows ""four"" fingers. What happens?")</f>
        <v>A player shouts "three" but shows "four" fingers. What happens?</v>
      </c>
      <c r="H58" s="3" t="str">
        <f>IFERROR(__xludf.DUMMYFUNCTION("GOOGLETRANSLATE(C58, ""it"", ""en"")"),"A. The point is awarded to the opponent B. The point is cancelled C. The game continues normally D. The point is awarded")</f>
        <v>A. The point is awarded to the opponent B. The point is cancelled C. The game continues normally D. The point is awarded</v>
      </c>
      <c r="I58" s="3" t="str">
        <f>IFERROR(__xludf.DUMMYFUNCTION("GOOGLETRANSLATE(D58, ""it"", ""en"")"),"The point is cancelled")</f>
        <v>The point is cancelled</v>
      </c>
      <c r="J58" s="2"/>
      <c r="K58" s="2"/>
      <c r="L58" s="2"/>
      <c r="M58" s="2"/>
      <c r="N58" s="2"/>
      <c r="O58" s="2"/>
      <c r="P58" s="2"/>
      <c r="Q58" s="2"/>
      <c r="R58" s="2"/>
      <c r="S58" s="2"/>
      <c r="T58" s="2"/>
      <c r="U58" s="2"/>
      <c r="V58" s="2"/>
    </row>
    <row r="59" ht="22.5" customHeight="1">
      <c r="A59" s="3">
        <v>58.0</v>
      </c>
      <c r="B59" s="3" t="s">
        <v>3935</v>
      </c>
      <c r="C59" s="3" t="s">
        <v>3873</v>
      </c>
      <c r="D59" s="3" t="s">
        <v>956</v>
      </c>
      <c r="E59" s="2"/>
      <c r="F59" s="3" t="str">
        <f>IFERROR(__xludf.DUMMYFUNCTION("GOOGLETRANSLATE(A59, ""it"", ""en"")"),"58")</f>
        <v>58</v>
      </c>
      <c r="G59" s="3" t="str">
        <f>IFERROR(__xludf.DUMMYFUNCTION("GOOGLETRANSLATE(B59, ""it"", ""en"")"),"A player says ""five"" and shows ""two"" fingers. What happens?")</f>
        <v>A player says "five" and shows "two" fingers. What happens?</v>
      </c>
      <c r="H59" s="3" t="str">
        <f>IFERROR(__xludf.DUMMYFUNCTION("GOOGLETRANSLATE(C59, ""it"", ""en"")"),"A. The point is cancelled B. The point is awarded to the opponent C. The game continues normally D. The point is awarded")</f>
        <v>A. The point is cancelled B. The point is awarded to the opponent C. The game continues normally D. The point is awarded</v>
      </c>
      <c r="I59" s="3" t="str">
        <f>IFERROR(__xludf.DUMMYFUNCTION("GOOGLETRANSLATE(D59, ""it"", ""en"")"),"The point is cancelled")</f>
        <v>The point is cancelled</v>
      </c>
      <c r="J59" s="2"/>
      <c r="K59" s="2"/>
      <c r="L59" s="2"/>
      <c r="M59" s="2"/>
      <c r="N59" s="2"/>
      <c r="O59" s="2"/>
      <c r="P59" s="2"/>
      <c r="Q59" s="2"/>
      <c r="R59" s="2"/>
      <c r="S59" s="2"/>
      <c r="T59" s="2"/>
      <c r="U59" s="2"/>
      <c r="V59" s="2"/>
    </row>
    <row r="60" ht="22.5" customHeight="1">
      <c r="A60" s="3">
        <v>59.0</v>
      </c>
      <c r="B60" s="3" t="s">
        <v>3910</v>
      </c>
      <c r="C60" s="3" t="s">
        <v>3894</v>
      </c>
      <c r="D60" s="3" t="s">
        <v>956</v>
      </c>
      <c r="E60" s="2"/>
      <c r="F60" s="3" t="str">
        <f>IFERROR(__xludf.DUMMYFUNCTION("GOOGLETRANSLATE(A60, ""it"", ""en"")"),"59")</f>
        <v>59</v>
      </c>
      <c r="G60" s="3" t="str">
        <f>IFERROR(__xludf.DUMMYFUNCTION("GOOGLETRANSLATE(B60, ""it"", ""en"")"),"A player shows ""two"" fingers and says ""three."" What happens?")</f>
        <v>A player shows "two" fingers and says "three." What happens?</v>
      </c>
      <c r="H60" s="3" t="str">
        <f>IFERROR(__xludf.DUMMYFUNCTION("GOOGLETRANSLATE(C60, ""it"", ""en"")"),"A. The point is awarded to the opponent B. The game continues normally C. The point is cancelled D. The point is awarded")</f>
        <v>A. The point is awarded to the opponent B. The game continues normally C. The point is cancelled D. The point is awarded</v>
      </c>
      <c r="I60" s="3" t="str">
        <f>IFERROR(__xludf.DUMMYFUNCTION("GOOGLETRANSLATE(D60, ""it"", ""en"")"),"The point is cancelled")</f>
        <v>The point is cancelled</v>
      </c>
      <c r="J60" s="2"/>
      <c r="K60" s="2"/>
      <c r="L60" s="2"/>
      <c r="M60" s="2"/>
      <c r="N60" s="2"/>
      <c r="O60" s="2"/>
      <c r="P60" s="2"/>
      <c r="Q60" s="2"/>
      <c r="R60" s="2"/>
      <c r="S60" s="2"/>
      <c r="T60" s="2"/>
      <c r="U60" s="2"/>
      <c r="V60" s="2"/>
    </row>
    <row r="61" ht="22.5" customHeight="1">
      <c r="A61" s="3">
        <v>60.0</v>
      </c>
      <c r="B61" s="3" t="s">
        <v>3936</v>
      </c>
      <c r="C61" s="3" t="s">
        <v>3919</v>
      </c>
      <c r="D61" s="3" t="s">
        <v>616</v>
      </c>
      <c r="E61" s="2"/>
      <c r="F61" s="3" t="str">
        <f>IFERROR(__xludf.DUMMYFUNCTION("GOOGLETRANSLATE(A61, ""it"", ""en"")"),"60")</f>
        <v>60</v>
      </c>
      <c r="G61" s="3" t="str">
        <f>IFERROR(__xludf.DUMMYFUNCTION("GOOGLETRANSLATE(B61, ""it"", ""en"")"),"A player says ""four"" and shows ""four"" fingers. What happens?")</f>
        <v>A player says "four" and shows "four" fingers. What happens?</v>
      </c>
      <c r="H61" s="3" t="str">
        <f>IFERROR(__xludf.DUMMYFUNCTION("GOOGLETRANSLATE(C61, ""it"", ""en"")"),"A. The point is awarded B. The point is cancelled C. The game continues normally D. The point is awarded")</f>
        <v>A. The point is awarded B. The point is cancelled C. The game continues normally D. The point is awarded</v>
      </c>
      <c r="I61" s="3" t="str">
        <f>IFERROR(__xludf.DUMMYFUNCTION("GOOGLETRANSLATE(D61, ""it"", ""en"")"),"The point is awarded")</f>
        <v>The point is awarded</v>
      </c>
      <c r="J61" s="2"/>
      <c r="K61" s="2"/>
      <c r="L61" s="2"/>
      <c r="M61" s="2"/>
      <c r="N61" s="2"/>
      <c r="O61" s="2"/>
      <c r="P61" s="2"/>
      <c r="Q61" s="2"/>
      <c r="R61" s="2"/>
      <c r="S61" s="2"/>
      <c r="T61" s="2"/>
      <c r="U61" s="2"/>
      <c r="V61" s="2"/>
    </row>
    <row r="62" ht="22.5" customHeight="1">
      <c r="A62" s="3">
        <v>61.0</v>
      </c>
      <c r="B62" s="3" t="s">
        <v>3937</v>
      </c>
      <c r="C62" s="3" t="s">
        <v>3873</v>
      </c>
      <c r="D62" s="3" t="s">
        <v>956</v>
      </c>
      <c r="E62" s="2"/>
      <c r="F62" s="3" t="str">
        <f>IFERROR(__xludf.DUMMYFUNCTION("GOOGLETRANSLATE(A62, ""it"", ""en"")"),"61")</f>
        <v>61</v>
      </c>
      <c r="G62" s="3" t="str">
        <f>IFERROR(__xludf.DUMMYFUNCTION("GOOGLETRANSLATE(B62, ""it"", ""en"")"),"A player shouts ""four"" and holds up ""two"" fingers. What happens?")</f>
        <v>A player shouts "four" and holds up "two" fingers. What happens?</v>
      </c>
      <c r="H62" s="3" t="str">
        <f>IFERROR(__xludf.DUMMYFUNCTION("GOOGLETRANSLATE(C62, ""it"", ""en"")"),"A. The point is cancelled B. The point is awarded to the opponent C. The game continues normally D. The point is awarded")</f>
        <v>A. The point is cancelled B. The point is awarded to the opponent C. The game continues normally D. The point is awarded</v>
      </c>
      <c r="I62" s="3" t="str">
        <f>IFERROR(__xludf.DUMMYFUNCTION("GOOGLETRANSLATE(D62, ""it"", ""en"")"),"The point is cancelled")</f>
        <v>The point is cancelled</v>
      </c>
      <c r="J62" s="2"/>
      <c r="K62" s="2"/>
      <c r="L62" s="2"/>
      <c r="M62" s="2"/>
      <c r="N62" s="2"/>
      <c r="O62" s="2"/>
      <c r="P62" s="2"/>
      <c r="Q62" s="2"/>
      <c r="R62" s="2"/>
      <c r="S62" s="2"/>
      <c r="T62" s="2"/>
      <c r="U62" s="2"/>
      <c r="V62" s="2"/>
    </row>
    <row r="63" ht="22.5" customHeight="1">
      <c r="A63" s="3">
        <v>62.0</v>
      </c>
      <c r="B63" s="3" t="s">
        <v>3938</v>
      </c>
      <c r="C63" s="3" t="s">
        <v>3919</v>
      </c>
      <c r="D63" s="3" t="s">
        <v>616</v>
      </c>
      <c r="E63" s="2"/>
      <c r="F63" s="3" t="str">
        <f>IFERROR(__xludf.DUMMYFUNCTION("GOOGLETRANSLATE(A63, ""it"", ""en"")"),"62")</f>
        <v>62</v>
      </c>
      <c r="G63" s="3" t="str">
        <f>IFERROR(__xludf.DUMMYFUNCTION("GOOGLETRANSLATE(B63, ""it"", ""en"")"),"A player shouts ""three"" and shows ""three"" fingers. What happens?")</f>
        <v>A player shouts "three" and shows "three" fingers. What happens?</v>
      </c>
      <c r="H63" s="3" t="str">
        <f>IFERROR(__xludf.DUMMYFUNCTION("GOOGLETRANSLATE(C63, ""it"", ""en"")"),"A. The point is awarded B. The point is cancelled C. The game continues normally D. The point is awarded")</f>
        <v>A. The point is awarded B. The point is cancelled C. The game continues normally D. The point is awarded</v>
      </c>
      <c r="I63" s="3" t="str">
        <f>IFERROR(__xludf.DUMMYFUNCTION("GOOGLETRANSLATE(D63, ""it"", ""en"")"),"The point is awarded")</f>
        <v>The point is awarded</v>
      </c>
      <c r="J63" s="2"/>
      <c r="K63" s="2"/>
      <c r="L63" s="2"/>
      <c r="M63" s="2"/>
      <c r="N63" s="2"/>
      <c r="O63" s="2"/>
      <c r="P63" s="2"/>
      <c r="Q63" s="2"/>
      <c r="R63" s="2"/>
      <c r="S63" s="2"/>
      <c r="T63" s="2"/>
      <c r="U63" s="2"/>
      <c r="V63" s="2"/>
    </row>
    <row r="64" ht="22.5" customHeight="1">
      <c r="A64" s="3">
        <v>63.0</v>
      </c>
      <c r="B64" s="3" t="s">
        <v>3939</v>
      </c>
      <c r="C64" s="3" t="s">
        <v>3873</v>
      </c>
      <c r="D64" s="3" t="s">
        <v>956</v>
      </c>
      <c r="E64" s="2"/>
      <c r="F64" s="3" t="str">
        <f>IFERROR(__xludf.DUMMYFUNCTION("GOOGLETRANSLATE(A64, ""it"", ""en"")"),"63")</f>
        <v>63</v>
      </c>
      <c r="G64" s="3" t="str">
        <f>IFERROR(__xludf.DUMMYFUNCTION("GOOGLETRANSLATE(B64, ""it"", ""en"")"),"A player shows ""five"" fingers and says ""two."" What happens?")</f>
        <v>A player shows "five" fingers and says "two." What happens?</v>
      </c>
      <c r="H64" s="3" t="str">
        <f>IFERROR(__xludf.DUMMYFUNCTION("GOOGLETRANSLATE(C64, ""it"", ""en"")"),"A. The point is cancelled B. The point is awarded to the opponent C. The game continues normally D. The point is awarded")</f>
        <v>A. The point is cancelled B. The point is awarded to the opponent C. The game continues normally D. The point is awarded</v>
      </c>
      <c r="I64" s="3" t="str">
        <f>IFERROR(__xludf.DUMMYFUNCTION("GOOGLETRANSLATE(D64, ""it"", ""en"")"),"The point is cancelled")</f>
        <v>The point is cancelled</v>
      </c>
      <c r="J64" s="2"/>
      <c r="K64" s="2"/>
      <c r="L64" s="2"/>
      <c r="M64" s="2"/>
      <c r="N64" s="2"/>
      <c r="O64" s="2"/>
      <c r="P64" s="2"/>
      <c r="Q64" s="2"/>
      <c r="R64" s="2"/>
      <c r="S64" s="2"/>
      <c r="T64" s="2"/>
      <c r="U64" s="2"/>
      <c r="V64" s="2"/>
    </row>
    <row r="65" ht="22.5" customHeight="1">
      <c r="A65" s="3">
        <v>64.0</v>
      </c>
      <c r="B65" s="3" t="s">
        <v>3940</v>
      </c>
      <c r="C65" s="3" t="s">
        <v>3919</v>
      </c>
      <c r="D65" s="3" t="s">
        <v>616</v>
      </c>
      <c r="E65" s="2"/>
      <c r="F65" s="3" t="str">
        <f>IFERROR(__xludf.DUMMYFUNCTION("GOOGLETRANSLATE(A65, ""it"", ""en"")"),"64")</f>
        <v>64</v>
      </c>
      <c r="G65" s="3" t="str">
        <f>IFERROR(__xludf.DUMMYFUNCTION("GOOGLETRANSLATE(B65, ""it"", ""en"")"),"A player shows ""two"" fingers and says ""two."" What happens?")</f>
        <v>A player shows "two" fingers and says "two." What happens?</v>
      </c>
      <c r="H65" s="3" t="str">
        <f>IFERROR(__xludf.DUMMYFUNCTION("GOOGLETRANSLATE(C65, ""it"", ""en"")"),"A. The point is awarded B. The point is cancelled C. The game continues normally D. The point is awarded")</f>
        <v>A. The point is awarded B. The point is cancelled C. The game continues normally D. The point is awarded</v>
      </c>
      <c r="I65" s="3" t="str">
        <f>IFERROR(__xludf.DUMMYFUNCTION("GOOGLETRANSLATE(D65, ""it"", ""en"")"),"The point is awarded")</f>
        <v>The point is awarded</v>
      </c>
      <c r="J65" s="2"/>
      <c r="K65" s="2"/>
      <c r="L65" s="2"/>
      <c r="M65" s="2"/>
      <c r="N65" s="2"/>
      <c r="O65" s="2"/>
      <c r="P65" s="2"/>
      <c r="Q65" s="2"/>
      <c r="R65" s="2"/>
      <c r="S65" s="2"/>
      <c r="T65" s="2"/>
      <c r="U65" s="2"/>
      <c r="V65" s="2"/>
    </row>
    <row r="66" ht="22.5" customHeight="1">
      <c r="A66" s="3">
        <v>65.0</v>
      </c>
      <c r="B66" s="3" t="s">
        <v>3928</v>
      </c>
      <c r="C66" s="3" t="s">
        <v>3881</v>
      </c>
      <c r="D66" s="3" t="s">
        <v>956</v>
      </c>
      <c r="E66" s="2"/>
      <c r="F66" s="3" t="str">
        <f>IFERROR(__xludf.DUMMYFUNCTION("GOOGLETRANSLATE(A66, ""it"", ""en"")"),"65")</f>
        <v>65</v>
      </c>
      <c r="G66" s="3" t="str">
        <f>IFERROR(__xludf.DUMMYFUNCTION("GOOGLETRANSLATE(B66, ""it"", ""en"")"),"A player shouts ""five"" but shows ""two"" fingers. What happens?")</f>
        <v>A player shouts "five" but shows "two" fingers. What happens?</v>
      </c>
      <c r="H66" s="3" t="str">
        <f>IFERROR(__xludf.DUMMYFUNCTION("GOOGLETRANSLATE(C66, ""it"", ""en"")"),"A. The point is awarded to the opponent B. The point is cancelled C. The game continues normally D. The point is awarded")</f>
        <v>A. The point is awarded to the opponent B. The point is cancelled C. The game continues normally D. The point is awarded</v>
      </c>
      <c r="I66" s="3" t="str">
        <f>IFERROR(__xludf.DUMMYFUNCTION("GOOGLETRANSLATE(D66, ""it"", ""en"")"),"The point is cancelled")</f>
        <v>The point is cancelled</v>
      </c>
      <c r="J66" s="2"/>
      <c r="K66" s="2"/>
      <c r="L66" s="2"/>
      <c r="M66" s="2"/>
      <c r="N66" s="2"/>
      <c r="O66" s="2"/>
      <c r="P66" s="2"/>
      <c r="Q66" s="2"/>
      <c r="R66" s="2"/>
      <c r="S66" s="2"/>
      <c r="T66" s="2"/>
      <c r="U66" s="2"/>
      <c r="V66" s="2"/>
    </row>
    <row r="67" ht="22.5" customHeight="1">
      <c r="A67" s="3">
        <v>66.0</v>
      </c>
      <c r="B67" s="3" t="s">
        <v>3929</v>
      </c>
      <c r="C67" s="3" t="s">
        <v>3881</v>
      </c>
      <c r="D67" s="3" t="s">
        <v>956</v>
      </c>
      <c r="E67" s="2"/>
      <c r="F67" s="3" t="str">
        <f>IFERROR(__xludf.DUMMYFUNCTION("GOOGLETRANSLATE(A67, ""it"", ""en"")"),"66")</f>
        <v>66</v>
      </c>
      <c r="G67" s="3" t="str">
        <f>IFERROR(__xludf.DUMMYFUNCTION("GOOGLETRANSLATE(B67, ""it"", ""en"")"),"A player shows ""two"" fingers and says ""five."" What happens?")</f>
        <v>A player shows "two" fingers and says "five." What happens?</v>
      </c>
      <c r="H67" s="3" t="str">
        <f>IFERROR(__xludf.DUMMYFUNCTION("GOOGLETRANSLATE(C67, ""it"", ""en"")"),"A. The point is awarded to the opponent B. The point is cancelled C. The game continues normally D. The point is awarded")</f>
        <v>A. The point is awarded to the opponent B. The point is cancelled C. The game continues normally D. The point is awarded</v>
      </c>
      <c r="I67" s="3" t="str">
        <f>IFERROR(__xludf.DUMMYFUNCTION("GOOGLETRANSLATE(D67, ""it"", ""en"")"),"The point is cancelled")</f>
        <v>The point is cancelled</v>
      </c>
      <c r="J67" s="2"/>
      <c r="K67" s="2"/>
      <c r="L67" s="2"/>
      <c r="M67" s="2"/>
      <c r="N67" s="2"/>
      <c r="O67" s="2"/>
      <c r="P67" s="2"/>
      <c r="Q67" s="2"/>
      <c r="R67" s="2"/>
      <c r="S67" s="2"/>
      <c r="T67" s="2"/>
      <c r="U67" s="2"/>
      <c r="V67" s="2"/>
    </row>
    <row r="68" ht="22.5" customHeight="1">
      <c r="A68" s="3">
        <v>67.0</v>
      </c>
      <c r="B68" s="3" t="s">
        <v>3941</v>
      </c>
      <c r="C68" s="3" t="s">
        <v>3881</v>
      </c>
      <c r="D68" s="3" t="s">
        <v>3871</v>
      </c>
      <c r="E68" s="2"/>
      <c r="F68" s="3" t="str">
        <f>IFERROR(__xludf.DUMMYFUNCTION("GOOGLETRANSLATE(A68, ""it"", ""en"")"),"67")</f>
        <v>67</v>
      </c>
      <c r="G68" s="3" t="str">
        <f>IFERROR(__xludf.DUMMYFUNCTION("GOOGLETRANSLATE(B68, ""it"", ""en"")"),"A player says ""three"" and shows ""two"" fingers. What happens?")</f>
        <v>A player says "three" and shows "two" fingers. What happens?</v>
      </c>
      <c r="H68" s="3" t="str">
        <f>IFERROR(__xludf.DUMMYFUNCTION("GOOGLETRANSLATE(C68, ""it"", ""en"")"),"A. The point is awarded to the opponent B. The point is cancelled C. The game continues normally D. The point is awarded")</f>
        <v>A. The point is awarded to the opponent B. The point is cancelled C. The game continues normally D. The point is awarded</v>
      </c>
      <c r="I68" s="3" t="str">
        <f>IFERROR(__xludf.DUMMYFUNCTION("GOOGLETRANSLATE(D68, ""it"", ""en"")"),"The point is awarded to the opponent")</f>
        <v>The point is awarded to the opponent</v>
      </c>
      <c r="J68" s="2"/>
      <c r="K68" s="2"/>
      <c r="L68" s="2"/>
      <c r="M68" s="2"/>
      <c r="N68" s="2"/>
      <c r="O68" s="2"/>
      <c r="P68" s="2"/>
      <c r="Q68" s="2"/>
      <c r="R68" s="2"/>
      <c r="S68" s="2"/>
      <c r="T68" s="2"/>
      <c r="U68" s="2"/>
      <c r="V68" s="2"/>
    </row>
    <row r="69" ht="22.5" customHeight="1">
      <c r="A69" s="3">
        <v>68.0</v>
      </c>
      <c r="B69" s="3" t="s">
        <v>3942</v>
      </c>
      <c r="C69" s="3" t="s">
        <v>3873</v>
      </c>
      <c r="D69" s="3" t="s">
        <v>956</v>
      </c>
      <c r="E69" s="2"/>
      <c r="F69" s="3" t="str">
        <f>IFERROR(__xludf.DUMMYFUNCTION("GOOGLETRANSLATE(A69, ""it"", ""en"")"),"68")</f>
        <v>68</v>
      </c>
      <c r="G69" s="3" t="str">
        <f>IFERROR(__xludf.DUMMYFUNCTION("GOOGLETRANSLATE(B69, ""it"", ""en"")"),"A player shouts ""two"" but shows ""four"" fingers. What happens?")</f>
        <v>A player shouts "two" but shows "four" fingers. What happens?</v>
      </c>
      <c r="H69" s="3" t="str">
        <f>IFERROR(__xludf.DUMMYFUNCTION("GOOGLETRANSLATE(C69, ""it"", ""en"")"),"A. The point is cancelled B. The point is awarded to the opponent C. The game continues normally D. The point is awarded")</f>
        <v>A. The point is cancelled B. The point is awarded to the opponent C. The game continues normally D. The point is awarded</v>
      </c>
      <c r="I69" s="3" t="str">
        <f>IFERROR(__xludf.DUMMYFUNCTION("GOOGLETRANSLATE(D69, ""it"", ""en"")"),"The point is cancelled")</f>
        <v>The point is cancelled</v>
      </c>
      <c r="J69" s="2"/>
      <c r="K69" s="2"/>
      <c r="L69" s="2"/>
      <c r="M69" s="2"/>
      <c r="N69" s="2"/>
      <c r="O69" s="2"/>
      <c r="P69" s="2"/>
      <c r="Q69" s="2"/>
      <c r="R69" s="2"/>
      <c r="S69" s="2"/>
      <c r="T69" s="2"/>
      <c r="U69" s="2"/>
      <c r="V69" s="2"/>
    </row>
    <row r="70" ht="22.5" customHeight="1">
      <c r="A70" s="3">
        <v>69.0</v>
      </c>
      <c r="B70" s="3" t="s">
        <v>3915</v>
      </c>
      <c r="C70" s="3" t="s">
        <v>3873</v>
      </c>
      <c r="D70" s="3" t="s">
        <v>956</v>
      </c>
      <c r="E70" s="2"/>
      <c r="F70" s="3" t="str">
        <f>IFERROR(__xludf.DUMMYFUNCTION("GOOGLETRANSLATE(A70, ""it"", ""en"")"),"69")</f>
        <v>69</v>
      </c>
      <c r="G70" s="3" t="str">
        <f>IFERROR(__xludf.DUMMYFUNCTION("GOOGLETRANSLATE(B70, ""it"", ""en"")"),"A player says ""five"" and shows ""four"" fingers. What happens?")</f>
        <v>A player says "five" and shows "four" fingers. What happens?</v>
      </c>
      <c r="H70" s="3" t="str">
        <f>IFERROR(__xludf.DUMMYFUNCTION("GOOGLETRANSLATE(C70, ""it"", ""en"")"),"A. The point is cancelled B. The point is awarded to the opponent C. The game continues normally D. The point is awarded")</f>
        <v>A. The point is cancelled B. The point is awarded to the opponent C. The game continues normally D. The point is awarded</v>
      </c>
      <c r="I70" s="3" t="str">
        <f>IFERROR(__xludf.DUMMYFUNCTION("GOOGLETRANSLATE(D70, ""it"", ""en"")"),"The point is cancelled")</f>
        <v>The point is cancelled</v>
      </c>
      <c r="J70" s="2"/>
      <c r="K70" s="2"/>
      <c r="L70" s="2"/>
      <c r="M70" s="2"/>
      <c r="N70" s="2"/>
      <c r="O70" s="2"/>
      <c r="P70" s="2"/>
      <c r="Q70" s="2"/>
      <c r="R70" s="2"/>
      <c r="S70" s="2"/>
      <c r="T70" s="2"/>
      <c r="U70" s="2"/>
      <c r="V70" s="2"/>
    </row>
    <row r="71" ht="22.5" customHeight="1">
      <c r="A71" s="3">
        <v>70.0</v>
      </c>
      <c r="B71" s="3" t="s">
        <v>3943</v>
      </c>
      <c r="C71" s="3" t="s">
        <v>3919</v>
      </c>
      <c r="D71" s="3" t="s">
        <v>616</v>
      </c>
      <c r="E71" s="2"/>
      <c r="F71" s="3" t="str">
        <f>IFERROR(__xludf.DUMMYFUNCTION("GOOGLETRANSLATE(A71, ""it"", ""en"")"),"70")</f>
        <v>70</v>
      </c>
      <c r="G71" s="3" t="str">
        <f>IFERROR(__xludf.DUMMYFUNCTION("GOOGLETRANSLATE(B71, ""it"", ""en"")"),"A player shows ""three"" fingers and says ""three."" What happens?")</f>
        <v>A player shows "three" fingers and says "three." What happens?</v>
      </c>
      <c r="H71" s="3" t="str">
        <f>IFERROR(__xludf.DUMMYFUNCTION("GOOGLETRANSLATE(C71, ""it"", ""en"")"),"A. The point is awarded B. The point is cancelled C. The game continues normally D. The point is awarded")</f>
        <v>A. The point is awarded B. The point is cancelled C. The game continues normally D. The point is awarded</v>
      </c>
      <c r="I71" s="3" t="str">
        <f>IFERROR(__xludf.DUMMYFUNCTION("GOOGLETRANSLATE(D71, ""it"", ""en"")"),"The point is awarded")</f>
        <v>The point is awarded</v>
      </c>
      <c r="J71" s="2"/>
      <c r="K71" s="2"/>
      <c r="L71" s="2"/>
      <c r="M71" s="2"/>
      <c r="N71" s="2"/>
      <c r="O71" s="2"/>
      <c r="P71" s="2"/>
      <c r="Q71" s="2"/>
      <c r="R71" s="2"/>
      <c r="S71" s="2"/>
      <c r="T71" s="2"/>
      <c r="U71" s="2"/>
      <c r="V71" s="2"/>
    </row>
    <row r="72" ht="22.5" customHeight="1">
      <c r="A72" s="3">
        <v>71.0</v>
      </c>
      <c r="B72" s="3" t="s">
        <v>3944</v>
      </c>
      <c r="C72" s="3" t="s">
        <v>3873</v>
      </c>
      <c r="D72" s="3" t="s">
        <v>956</v>
      </c>
      <c r="E72" s="2"/>
      <c r="F72" s="3" t="str">
        <f>IFERROR(__xludf.DUMMYFUNCTION("GOOGLETRANSLATE(A72, ""it"", ""en"")"),"71")</f>
        <v>71</v>
      </c>
      <c r="G72" s="3" t="str">
        <f>IFERROR(__xludf.DUMMYFUNCTION("GOOGLETRANSLATE(B72, ""it"", ""en"")"),"A player shouts ""two"" but shows ""five"" fingers. What happens?")</f>
        <v>A player shouts "two" but shows "five" fingers. What happens?</v>
      </c>
      <c r="H72" s="3" t="str">
        <f>IFERROR(__xludf.DUMMYFUNCTION("GOOGLETRANSLATE(C72, ""it"", ""en"")"),"A. The point is cancelled B. The point is awarded to the opponent C. The game continues normally D. The point is awarded")</f>
        <v>A. The point is cancelled B. The point is awarded to the opponent C. The game continues normally D. The point is awarded</v>
      </c>
      <c r="I72" s="3" t="str">
        <f>IFERROR(__xludf.DUMMYFUNCTION("GOOGLETRANSLATE(D72, ""it"", ""en"")"),"The point is cancelled")</f>
        <v>The point is cancelled</v>
      </c>
      <c r="J72" s="2"/>
      <c r="K72" s="2"/>
      <c r="L72" s="2"/>
      <c r="M72" s="2"/>
      <c r="N72" s="2"/>
      <c r="O72" s="2"/>
      <c r="P72" s="2"/>
      <c r="Q72" s="2"/>
      <c r="R72" s="2"/>
      <c r="S72" s="2"/>
      <c r="T72" s="2"/>
      <c r="U72" s="2"/>
      <c r="V72" s="2"/>
    </row>
    <row r="73" ht="22.5" customHeight="1">
      <c r="A73" s="3">
        <v>72.0</v>
      </c>
      <c r="B73" s="3" t="s">
        <v>3945</v>
      </c>
      <c r="C73" s="3" t="s">
        <v>3881</v>
      </c>
      <c r="D73" s="3" t="s">
        <v>956</v>
      </c>
      <c r="E73" s="2"/>
      <c r="F73" s="3" t="str">
        <f>IFERROR(__xludf.DUMMYFUNCTION("GOOGLETRANSLATE(A73, ""it"", ""en"")"),"72")</f>
        <v>72</v>
      </c>
      <c r="G73" s="3" t="str">
        <f>IFERROR(__xludf.DUMMYFUNCTION("GOOGLETRANSLATE(B73, ""it"", ""en"")"),"A player says ""two"" but shows ""three"" fingers. What happens?")</f>
        <v>A player says "two" but shows "three" fingers. What happens?</v>
      </c>
      <c r="H73" s="3" t="str">
        <f>IFERROR(__xludf.DUMMYFUNCTION("GOOGLETRANSLATE(C73, ""it"", ""en"")"),"A. The point is awarded to the opponent B. The point is cancelled C. The game continues normally D. The point is awarded")</f>
        <v>A. The point is awarded to the opponent B. The point is cancelled C. The game continues normally D. The point is awarded</v>
      </c>
      <c r="I73" s="3" t="str">
        <f>IFERROR(__xludf.DUMMYFUNCTION("GOOGLETRANSLATE(D73, ""it"", ""en"")"),"The point is cancelled")</f>
        <v>The point is cancelled</v>
      </c>
      <c r="J73" s="2"/>
      <c r="K73" s="2"/>
      <c r="L73" s="2"/>
      <c r="M73" s="2"/>
      <c r="N73" s="2"/>
      <c r="O73" s="2"/>
      <c r="P73" s="2"/>
      <c r="Q73" s="2"/>
      <c r="R73" s="2"/>
      <c r="S73" s="2"/>
      <c r="T73" s="2"/>
      <c r="U73" s="2"/>
      <c r="V73" s="2"/>
    </row>
    <row r="74" ht="22.5" customHeight="1">
      <c r="A74" s="3">
        <v>73.0</v>
      </c>
      <c r="B74" s="3" t="s">
        <v>3946</v>
      </c>
      <c r="C74" s="3" t="s">
        <v>3883</v>
      </c>
      <c r="D74" s="3" t="s">
        <v>956</v>
      </c>
      <c r="E74" s="2"/>
      <c r="F74" s="3" t="str">
        <f>IFERROR(__xludf.DUMMYFUNCTION("GOOGLETRANSLATE(A74, ""it"", ""en"")"),"73")</f>
        <v>73</v>
      </c>
      <c r="G74" s="3" t="str">
        <f>IFERROR(__xludf.DUMMYFUNCTION("GOOGLETRANSLATE(B74, ""it"", ""en"")"),"A player shouts ""five"" but doesn't show his fingers. What happens?")</f>
        <v>A player shouts "five" but doesn't show his fingers. What happens?</v>
      </c>
      <c r="H74" s="3" t="str">
        <f>IFERROR(__xludf.DUMMYFUNCTION("GOOGLETRANSLATE(C74, ""it"", ""en"")"),"A. The point is cancelled B. The game continues normally C. The point is awarded to the opponent D. The point is awarded")</f>
        <v>A. The point is cancelled B. The game continues normally C. The point is awarded to the opponent D. The point is awarded</v>
      </c>
      <c r="I74" s="3" t="str">
        <f>IFERROR(__xludf.DUMMYFUNCTION("GOOGLETRANSLATE(D74, ""it"", ""en"")"),"The point is cancelled")</f>
        <v>The point is cancelled</v>
      </c>
      <c r="J74" s="2"/>
      <c r="K74" s="2"/>
      <c r="L74" s="2"/>
      <c r="M74" s="2"/>
      <c r="N74" s="2"/>
      <c r="O74" s="2"/>
      <c r="P74" s="2"/>
      <c r="Q74" s="2"/>
      <c r="R74" s="2"/>
      <c r="S74" s="2"/>
      <c r="T74" s="2"/>
      <c r="U74" s="2"/>
      <c r="V74" s="2"/>
    </row>
    <row r="75" ht="22.5" customHeight="1">
      <c r="A75" s="3">
        <v>74.0</v>
      </c>
      <c r="B75" s="3" t="s">
        <v>3947</v>
      </c>
      <c r="C75" s="3" t="s">
        <v>3881</v>
      </c>
      <c r="D75" s="3" t="s">
        <v>956</v>
      </c>
      <c r="E75" s="2"/>
      <c r="F75" s="3" t="str">
        <f>IFERROR(__xludf.DUMMYFUNCTION("GOOGLETRANSLATE(A75, ""it"", ""en"")"),"74")</f>
        <v>74</v>
      </c>
      <c r="G75" s="3" t="str">
        <f>IFERROR(__xludf.DUMMYFUNCTION("GOOGLETRANSLATE(B75, ""it"", ""en"")"),"A player shows ""two"" fingers and shouts ""five."" What happens?")</f>
        <v>A player shows "two" fingers and shouts "five." What happens?</v>
      </c>
      <c r="H75" s="3" t="str">
        <f>IFERROR(__xludf.DUMMYFUNCTION("GOOGLETRANSLATE(C75, ""it"", ""en"")"),"A. The point is awarded to the opponent B. The point is cancelled C. The game continues normally D. The point is awarded")</f>
        <v>A. The point is awarded to the opponent B. The point is cancelled C. The game continues normally D. The point is awarded</v>
      </c>
      <c r="I75" s="3" t="str">
        <f>IFERROR(__xludf.DUMMYFUNCTION("GOOGLETRANSLATE(D75, ""it"", ""en"")"),"The point is cancelled")</f>
        <v>The point is cancelled</v>
      </c>
      <c r="J75" s="2"/>
      <c r="K75" s="2"/>
      <c r="L75" s="2"/>
      <c r="M75" s="2"/>
      <c r="N75" s="2"/>
      <c r="O75" s="2"/>
      <c r="P75" s="2"/>
      <c r="Q75" s="2"/>
      <c r="R75" s="2"/>
      <c r="S75" s="2"/>
      <c r="T75" s="2"/>
      <c r="U75" s="2"/>
      <c r="V75" s="2"/>
    </row>
    <row r="76" ht="22.5" customHeight="1">
      <c r="A76" s="3">
        <v>75.0</v>
      </c>
      <c r="B76" s="3" t="s">
        <v>3948</v>
      </c>
      <c r="C76" s="3" t="s">
        <v>3881</v>
      </c>
      <c r="D76" s="3" t="s">
        <v>956</v>
      </c>
      <c r="E76" s="2"/>
      <c r="F76" s="3" t="str">
        <f>IFERROR(__xludf.DUMMYFUNCTION("GOOGLETRANSLATE(A76, ""it"", ""en"")"),"75")</f>
        <v>75</v>
      </c>
      <c r="G76" s="3" t="str">
        <f>IFERROR(__xludf.DUMMYFUNCTION("GOOGLETRANSLATE(B76, ""it"", ""en"")"),"A player shows ""three"" fingers and shouts ""two."" What happens?")</f>
        <v>A player shows "three" fingers and shouts "two." What happens?</v>
      </c>
      <c r="H76" s="3" t="str">
        <f>IFERROR(__xludf.DUMMYFUNCTION("GOOGLETRANSLATE(C76, ""it"", ""en"")"),"A. The point is awarded to the opponent B. The point is cancelled C. The game continues normally D. The point is awarded")</f>
        <v>A. The point is awarded to the opponent B. The point is cancelled C. The game continues normally D. The point is awarded</v>
      </c>
      <c r="I76" s="3" t="str">
        <f>IFERROR(__xludf.DUMMYFUNCTION("GOOGLETRANSLATE(D76, ""it"", ""en"")"),"The point is cancelled")</f>
        <v>The point is cancelled</v>
      </c>
      <c r="J76" s="2"/>
      <c r="K76" s="2"/>
      <c r="L76" s="2"/>
      <c r="M76" s="2"/>
      <c r="N76" s="2"/>
      <c r="O76" s="2"/>
      <c r="P76" s="2"/>
      <c r="Q76" s="2"/>
      <c r="R76" s="2"/>
      <c r="S76" s="2"/>
      <c r="T76" s="2"/>
      <c r="U76" s="2"/>
      <c r="V76" s="2"/>
    </row>
    <row r="77" ht="22.5" customHeight="1">
      <c r="A77" s="3">
        <v>76.0</v>
      </c>
      <c r="B77" s="3" t="s">
        <v>3949</v>
      </c>
      <c r="C77" s="3" t="s">
        <v>3881</v>
      </c>
      <c r="D77" s="3" t="s">
        <v>956</v>
      </c>
      <c r="E77" s="2"/>
      <c r="F77" s="3" t="str">
        <f>IFERROR(__xludf.DUMMYFUNCTION("GOOGLETRANSLATE(A77, ""it"", ""en"")"),"76")</f>
        <v>76</v>
      </c>
      <c r="G77" s="3" t="str">
        <f>IFERROR(__xludf.DUMMYFUNCTION("GOOGLETRANSLATE(B77, ""it"", ""en"")"),"A player says ""three"" but shows ""four"" fingers. What happens?")</f>
        <v>A player says "three" but shows "four" fingers. What happens?</v>
      </c>
      <c r="H77" s="3" t="str">
        <f>IFERROR(__xludf.DUMMYFUNCTION("GOOGLETRANSLATE(C77, ""it"", ""en"")"),"A. The point is awarded to the opponent B. The point is cancelled C. The game continues normally D. The point is awarded")</f>
        <v>A. The point is awarded to the opponent B. The point is cancelled C. The game continues normally D. The point is awarded</v>
      </c>
      <c r="I77" s="3" t="str">
        <f>IFERROR(__xludf.DUMMYFUNCTION("GOOGLETRANSLATE(D77, ""it"", ""en"")"),"The point is cancelled")</f>
        <v>The point is cancelled</v>
      </c>
      <c r="J77" s="2"/>
      <c r="K77" s="2"/>
      <c r="L77" s="2"/>
      <c r="M77" s="2"/>
      <c r="N77" s="2"/>
      <c r="O77" s="2"/>
      <c r="P77" s="2"/>
      <c r="Q77" s="2"/>
      <c r="R77" s="2"/>
      <c r="S77" s="2"/>
      <c r="T77" s="2"/>
      <c r="U77" s="2"/>
      <c r="V77" s="2"/>
    </row>
    <row r="78" ht="22.5" customHeight="1">
      <c r="A78" s="3">
        <v>77.0</v>
      </c>
      <c r="B78" s="3" t="s">
        <v>3876</v>
      </c>
      <c r="C78" s="3" t="s">
        <v>3919</v>
      </c>
      <c r="D78" s="3" t="s">
        <v>616</v>
      </c>
      <c r="E78" s="2"/>
      <c r="F78" s="3" t="str">
        <f>IFERROR(__xludf.DUMMYFUNCTION("GOOGLETRANSLATE(A78, ""it"", ""en"")"),"77")</f>
        <v>77</v>
      </c>
      <c r="G78" s="3" t="str">
        <f>IFERROR(__xludf.DUMMYFUNCTION("GOOGLETRANSLATE(B78, ""it"", ""en"")"),"A player shouts ""two"" and shows ""two"" fingers. What happens?")</f>
        <v>A player shouts "two" and shows "two" fingers. What happens?</v>
      </c>
      <c r="H78" s="3" t="str">
        <f>IFERROR(__xludf.DUMMYFUNCTION("GOOGLETRANSLATE(C78, ""it"", ""en"")"),"A. The point is awarded B. The point is cancelled C. The game continues normally D. The point is awarded")</f>
        <v>A. The point is awarded B. The point is cancelled C. The game continues normally D. The point is awarded</v>
      </c>
      <c r="I78" s="3" t="str">
        <f>IFERROR(__xludf.DUMMYFUNCTION("GOOGLETRANSLATE(D78, ""it"", ""en"")"),"The point is awarded")</f>
        <v>The point is awarded</v>
      </c>
      <c r="J78" s="2"/>
      <c r="K78" s="2"/>
      <c r="L78" s="2"/>
      <c r="M78" s="2"/>
      <c r="N78" s="2"/>
      <c r="O78" s="2"/>
      <c r="P78" s="2"/>
      <c r="Q78" s="2"/>
      <c r="R78" s="2"/>
      <c r="S78" s="2"/>
      <c r="T78" s="2"/>
      <c r="U78" s="2"/>
      <c r="V78" s="2"/>
    </row>
    <row r="79" ht="22.5" customHeight="1">
      <c r="A79" s="3">
        <v>78.0</v>
      </c>
      <c r="B79" s="3" t="s">
        <v>3910</v>
      </c>
      <c r="C79" s="3" t="s">
        <v>3894</v>
      </c>
      <c r="D79" s="3" t="s">
        <v>956</v>
      </c>
      <c r="E79" s="2"/>
      <c r="F79" s="3" t="str">
        <f>IFERROR(__xludf.DUMMYFUNCTION("GOOGLETRANSLATE(A79, ""it"", ""en"")"),"78")</f>
        <v>78</v>
      </c>
      <c r="G79" s="3" t="str">
        <f>IFERROR(__xludf.DUMMYFUNCTION("GOOGLETRANSLATE(B79, ""it"", ""en"")"),"A player shows ""two"" fingers and says ""three."" What happens?")</f>
        <v>A player shows "two" fingers and says "three." What happens?</v>
      </c>
      <c r="H79" s="3" t="str">
        <f>IFERROR(__xludf.DUMMYFUNCTION("GOOGLETRANSLATE(C79, ""it"", ""en"")"),"A. The point is awarded to the opponent B. The game continues normally C. The point is cancelled D. The point is awarded")</f>
        <v>A. The point is awarded to the opponent B. The game continues normally C. The point is cancelled D. The point is awarded</v>
      </c>
      <c r="I79" s="3" t="str">
        <f>IFERROR(__xludf.DUMMYFUNCTION("GOOGLETRANSLATE(D79, ""it"", ""en"")"),"The point is cancelled")</f>
        <v>The point is cancelled</v>
      </c>
      <c r="J79" s="2"/>
      <c r="K79" s="2"/>
      <c r="L79" s="2"/>
      <c r="M79" s="2"/>
      <c r="N79" s="2"/>
      <c r="O79" s="2"/>
      <c r="P79" s="2"/>
      <c r="Q79" s="2"/>
      <c r="R79" s="2"/>
      <c r="S79" s="2"/>
      <c r="T79" s="2"/>
      <c r="U79" s="2"/>
      <c r="V79" s="2"/>
    </row>
    <row r="80" ht="22.5" customHeight="1">
      <c r="A80" s="3">
        <v>79.0</v>
      </c>
      <c r="B80" s="3" t="s">
        <v>3908</v>
      </c>
      <c r="C80" s="3" t="s">
        <v>3881</v>
      </c>
      <c r="D80" s="3" t="s">
        <v>956</v>
      </c>
      <c r="E80" s="2"/>
      <c r="F80" s="3" t="str">
        <f>IFERROR(__xludf.DUMMYFUNCTION("GOOGLETRANSLATE(A80, ""it"", ""en"")"),"79")</f>
        <v>79</v>
      </c>
      <c r="G80" s="3" t="str">
        <f>IFERROR(__xludf.DUMMYFUNCTION("GOOGLETRANSLATE(B80, ""it"", ""en"")"),"A player shows ""five"" fingers but says ""two."" What happens?")</f>
        <v>A player shows "five" fingers but says "two." What happens?</v>
      </c>
      <c r="H80" s="3" t="str">
        <f>IFERROR(__xludf.DUMMYFUNCTION("GOOGLETRANSLATE(C80, ""it"", ""en"")"),"A. The point is awarded to the opponent B. The point is cancelled C. The game continues normally D. The point is awarded")</f>
        <v>A. The point is awarded to the opponent B. The point is cancelled C. The game continues normally D. The point is awarded</v>
      </c>
      <c r="I80" s="3" t="str">
        <f>IFERROR(__xludf.DUMMYFUNCTION("GOOGLETRANSLATE(D80, ""it"", ""en"")"),"The point is cancelled")</f>
        <v>The point is cancelled</v>
      </c>
      <c r="J80" s="2"/>
      <c r="K80" s="2"/>
      <c r="L80" s="2"/>
      <c r="M80" s="2"/>
      <c r="N80" s="2"/>
      <c r="O80" s="2"/>
      <c r="P80" s="2"/>
      <c r="Q80" s="2"/>
      <c r="R80" s="2"/>
      <c r="S80" s="2"/>
      <c r="T80" s="2"/>
      <c r="U80" s="2"/>
      <c r="V80" s="2"/>
    </row>
    <row r="81" ht="22.5" customHeight="1">
      <c r="A81" s="3">
        <v>80.0</v>
      </c>
      <c r="B81" s="3" t="s">
        <v>3933</v>
      </c>
      <c r="C81" s="3" t="s">
        <v>3873</v>
      </c>
      <c r="D81" s="3" t="s">
        <v>956</v>
      </c>
      <c r="E81" s="2"/>
      <c r="F81" s="3" t="str">
        <f>IFERROR(__xludf.DUMMYFUNCTION("GOOGLETRANSLATE(A81, ""it"", ""en"")"),"80")</f>
        <v>80</v>
      </c>
      <c r="G81" s="3" t="str">
        <f>IFERROR(__xludf.DUMMYFUNCTION("GOOGLETRANSLATE(B81, ""it"", ""en"")"),"A player says ""four"" and shows ""five"" fingers. What happens?")</f>
        <v>A player says "four" and shows "five" fingers. What happens?</v>
      </c>
      <c r="H81" s="3" t="str">
        <f>IFERROR(__xludf.DUMMYFUNCTION("GOOGLETRANSLATE(C81, ""it"", ""en"")"),"A. The point is cancelled B. The point is awarded to the opponent C. The game continues normally D. The point is awarded")</f>
        <v>A. The point is cancelled B. The point is awarded to the opponent C. The game continues normally D. The point is awarded</v>
      </c>
      <c r="I81" s="3" t="str">
        <f>IFERROR(__xludf.DUMMYFUNCTION("GOOGLETRANSLATE(D81, ""it"", ""en"")"),"The point is cancelled")</f>
        <v>The point is cancelled</v>
      </c>
      <c r="J81" s="2"/>
      <c r="K81" s="2"/>
      <c r="L81" s="2"/>
      <c r="M81" s="2"/>
      <c r="N81" s="2"/>
      <c r="O81" s="2"/>
      <c r="P81" s="2"/>
      <c r="Q81" s="2"/>
      <c r="R81" s="2"/>
      <c r="S81" s="2"/>
      <c r="T81" s="2"/>
      <c r="U81" s="2"/>
      <c r="V81" s="2"/>
    </row>
    <row r="82" ht="22.5" customHeight="1">
      <c r="A82" s="3">
        <v>81.0</v>
      </c>
      <c r="B82" s="3" t="s">
        <v>3950</v>
      </c>
      <c r="C82" s="3" t="s">
        <v>3873</v>
      </c>
      <c r="D82" s="3" t="s">
        <v>956</v>
      </c>
      <c r="E82" s="2"/>
      <c r="F82" s="3" t="str">
        <f>IFERROR(__xludf.DUMMYFUNCTION("GOOGLETRANSLATE(A82, ""it"", ""en"")"),"81")</f>
        <v>81</v>
      </c>
      <c r="G82" s="3" t="str">
        <f>IFERROR(__xludf.DUMMYFUNCTION("GOOGLETRANSLATE(B82, ""it"", ""en"")"),"A player shows ""three"" fingers but says ""four."" What happens?")</f>
        <v>A player shows "three" fingers but says "four." What happens?</v>
      </c>
      <c r="H82" s="3" t="str">
        <f>IFERROR(__xludf.DUMMYFUNCTION("GOOGLETRANSLATE(C82, ""it"", ""en"")"),"A. The point is cancelled B. The point is awarded to the opponent C. The game continues normally D. The point is awarded")</f>
        <v>A. The point is cancelled B. The point is awarded to the opponent C. The game continues normally D. The point is awarded</v>
      </c>
      <c r="I82" s="3" t="str">
        <f>IFERROR(__xludf.DUMMYFUNCTION("GOOGLETRANSLATE(D82, ""it"", ""en"")"),"The point is cancelled")</f>
        <v>The point is cancelled</v>
      </c>
      <c r="J82" s="2"/>
      <c r="K82" s="2"/>
      <c r="L82" s="2"/>
      <c r="M82" s="2"/>
      <c r="N82" s="2"/>
      <c r="O82" s="2"/>
      <c r="P82" s="2"/>
      <c r="Q82" s="2"/>
      <c r="R82" s="2"/>
      <c r="S82" s="2"/>
      <c r="T82" s="2"/>
      <c r="U82" s="2"/>
      <c r="V82" s="2"/>
    </row>
    <row r="83" ht="22.5" customHeight="1">
      <c r="A83" s="3">
        <v>82.0</v>
      </c>
      <c r="B83" s="3" t="s">
        <v>3951</v>
      </c>
      <c r="C83" s="3" t="s">
        <v>3873</v>
      </c>
      <c r="D83" s="3" t="s">
        <v>956</v>
      </c>
      <c r="E83" s="2"/>
      <c r="F83" s="3" t="str">
        <f>IFERROR(__xludf.DUMMYFUNCTION("GOOGLETRANSLATE(A83, ""it"", ""en"")"),"82")</f>
        <v>82</v>
      </c>
      <c r="G83" s="3" t="str">
        <f>IFERROR(__xludf.DUMMYFUNCTION("GOOGLETRANSLATE(B83, ""it"", ""en"")"),"A player shouts ""three"" but shows ""five"" fingers. What happens?")</f>
        <v>A player shouts "three" but shows "five" fingers. What happens?</v>
      </c>
      <c r="H83" s="3" t="str">
        <f>IFERROR(__xludf.DUMMYFUNCTION("GOOGLETRANSLATE(C83, ""it"", ""en"")"),"A. The point is cancelled B. The point is awarded to the opponent C. The game continues normally D. The point is awarded")</f>
        <v>A. The point is cancelled B. The point is awarded to the opponent C. The game continues normally D. The point is awarded</v>
      </c>
      <c r="I83" s="3" t="str">
        <f>IFERROR(__xludf.DUMMYFUNCTION("GOOGLETRANSLATE(D83, ""it"", ""en"")"),"The point is cancelled")</f>
        <v>The point is cancelled</v>
      </c>
      <c r="J83" s="2"/>
      <c r="K83" s="2"/>
      <c r="L83" s="2"/>
      <c r="M83" s="2"/>
      <c r="N83" s="2"/>
      <c r="O83" s="2"/>
      <c r="P83" s="2"/>
      <c r="Q83" s="2"/>
      <c r="R83" s="2"/>
      <c r="S83" s="2"/>
      <c r="T83" s="2"/>
      <c r="U83" s="2"/>
      <c r="V83" s="2"/>
    </row>
    <row r="84" ht="22.5" customHeight="1">
      <c r="A84" s="3">
        <v>83.0</v>
      </c>
      <c r="B84" s="3" t="s">
        <v>3952</v>
      </c>
      <c r="C84" s="3" t="s">
        <v>3919</v>
      </c>
      <c r="D84" s="3" t="s">
        <v>616</v>
      </c>
      <c r="E84" s="2"/>
      <c r="F84" s="3" t="str">
        <f>IFERROR(__xludf.DUMMYFUNCTION("GOOGLETRANSLATE(A84, ""it"", ""en"")"),"83")</f>
        <v>83</v>
      </c>
      <c r="G84" s="3" t="str">
        <f>IFERROR(__xludf.DUMMYFUNCTION("GOOGLETRANSLATE(B84, ""it"", ""en"")"),"A player shows ""four"" fingers and shouts ""four."" What happens?")</f>
        <v>A player shows "four" fingers and shouts "four." What happens?</v>
      </c>
      <c r="H84" s="3" t="str">
        <f>IFERROR(__xludf.DUMMYFUNCTION("GOOGLETRANSLATE(C84, ""it"", ""en"")"),"A. The point is awarded B. The point is cancelled C. The game continues normally D. The point is awarded")</f>
        <v>A. The point is awarded B. The point is cancelled C. The game continues normally D. The point is awarded</v>
      </c>
      <c r="I84" s="3" t="str">
        <f>IFERROR(__xludf.DUMMYFUNCTION("GOOGLETRANSLATE(D84, ""it"", ""en"")"),"The point is awarded")</f>
        <v>The point is awarded</v>
      </c>
      <c r="J84" s="2"/>
      <c r="K84" s="2"/>
      <c r="L84" s="2"/>
      <c r="M84" s="2"/>
      <c r="N84" s="2"/>
      <c r="O84" s="2"/>
      <c r="P84" s="2"/>
      <c r="Q84" s="2"/>
      <c r="R84" s="2"/>
      <c r="S84" s="2"/>
      <c r="T84" s="2"/>
      <c r="U84" s="2"/>
      <c r="V84" s="2"/>
    </row>
    <row r="85" ht="22.5" customHeight="1">
      <c r="A85" s="3">
        <v>84.0</v>
      </c>
      <c r="B85" s="3" t="s">
        <v>3953</v>
      </c>
      <c r="C85" s="3" t="s">
        <v>3919</v>
      </c>
      <c r="D85" s="3" t="s">
        <v>616</v>
      </c>
      <c r="E85" s="2"/>
      <c r="F85" s="3" t="str">
        <f>IFERROR(__xludf.DUMMYFUNCTION("GOOGLETRANSLATE(A85, ""it"", ""en"")"),"84")</f>
        <v>84</v>
      </c>
      <c r="G85" s="3" t="str">
        <f>IFERROR(__xludf.DUMMYFUNCTION("GOOGLETRANSLATE(B85, ""it"", ""en"")"),"A player shows ""two"" fingers and shouts ""two."" What happens?")</f>
        <v>A player shows "two" fingers and shouts "two." What happens?</v>
      </c>
      <c r="H85" s="3" t="str">
        <f>IFERROR(__xludf.DUMMYFUNCTION("GOOGLETRANSLATE(C85, ""it"", ""en"")"),"A. The point is awarded B. The point is cancelled C. The game continues normally D. The point is awarded")</f>
        <v>A. The point is awarded B. The point is cancelled C. The game continues normally D. The point is awarded</v>
      </c>
      <c r="I85" s="3" t="str">
        <f>IFERROR(__xludf.DUMMYFUNCTION("GOOGLETRANSLATE(D85, ""it"", ""en"")"),"The point is awarded")</f>
        <v>The point is awarded</v>
      </c>
      <c r="J85" s="2"/>
      <c r="K85" s="2"/>
      <c r="L85" s="2"/>
      <c r="M85" s="2"/>
      <c r="N85" s="2"/>
      <c r="O85" s="2"/>
      <c r="P85" s="2"/>
      <c r="Q85" s="2"/>
      <c r="R85" s="2"/>
      <c r="S85" s="2"/>
      <c r="T85" s="2"/>
      <c r="U85" s="2"/>
      <c r="V85" s="2"/>
    </row>
    <row r="86" ht="22.5" customHeight="1">
      <c r="A86" s="3">
        <v>85.0</v>
      </c>
      <c r="B86" s="3" t="s">
        <v>3941</v>
      </c>
      <c r="C86" s="3" t="s">
        <v>3873</v>
      </c>
      <c r="D86" s="3" t="s">
        <v>956</v>
      </c>
      <c r="E86" s="2"/>
      <c r="F86" s="3" t="str">
        <f>IFERROR(__xludf.DUMMYFUNCTION("GOOGLETRANSLATE(A86, ""it"", ""en"")"),"85")</f>
        <v>85</v>
      </c>
      <c r="G86" s="3" t="str">
        <f>IFERROR(__xludf.DUMMYFUNCTION("GOOGLETRANSLATE(B86, ""it"", ""en"")"),"A player says ""three"" and shows ""two"" fingers. What happens?")</f>
        <v>A player says "three" and shows "two" fingers. What happens?</v>
      </c>
      <c r="H86" s="3" t="str">
        <f>IFERROR(__xludf.DUMMYFUNCTION("GOOGLETRANSLATE(C86, ""it"", ""en"")"),"A. The point is cancelled B. The point is awarded to the opponent C. The game continues normally D. The point is awarded")</f>
        <v>A. The point is cancelled B. The point is awarded to the opponent C. The game continues normally D. The point is awarded</v>
      </c>
      <c r="I86" s="3" t="str">
        <f>IFERROR(__xludf.DUMMYFUNCTION("GOOGLETRANSLATE(D86, ""it"", ""en"")"),"The point is cancelled")</f>
        <v>The point is cancelled</v>
      </c>
      <c r="J86" s="2"/>
      <c r="K86" s="2"/>
      <c r="L86" s="2"/>
      <c r="M86" s="2"/>
      <c r="N86" s="2"/>
      <c r="O86" s="2"/>
      <c r="P86" s="2"/>
      <c r="Q86" s="2"/>
      <c r="R86" s="2"/>
      <c r="S86" s="2"/>
      <c r="T86" s="2"/>
      <c r="U86" s="2"/>
      <c r="V86" s="2"/>
    </row>
    <row r="87" ht="22.5" customHeight="1">
      <c r="A87" s="3">
        <v>86.0</v>
      </c>
      <c r="B87" s="3" t="s">
        <v>3954</v>
      </c>
      <c r="C87" s="3" t="s">
        <v>3881</v>
      </c>
      <c r="D87" s="3" t="s">
        <v>956</v>
      </c>
      <c r="E87" s="2"/>
      <c r="F87" s="3" t="str">
        <f>IFERROR(__xludf.DUMMYFUNCTION("GOOGLETRANSLATE(A87, ""it"", ""en"")"),"86")</f>
        <v>86</v>
      </c>
      <c r="G87" s="3" t="str">
        <f>IFERROR(__xludf.DUMMYFUNCTION("GOOGLETRANSLATE(B87, ""it"", ""en"")"),"A player shouts ""two"" and shows ""four"" fingers. What happens?")</f>
        <v>A player shouts "two" and shows "four" fingers. What happens?</v>
      </c>
      <c r="H87" s="3" t="str">
        <f>IFERROR(__xludf.DUMMYFUNCTION("GOOGLETRANSLATE(C87, ""it"", ""en"")"),"A. The point is awarded to the opponent B. The point is cancelled C. The game continues normally D. The point is awarded")</f>
        <v>A. The point is awarded to the opponent B. The point is cancelled C. The game continues normally D. The point is awarded</v>
      </c>
      <c r="I87" s="3" t="str">
        <f>IFERROR(__xludf.DUMMYFUNCTION("GOOGLETRANSLATE(D87, ""it"", ""en"")"),"The point is cancelled")</f>
        <v>The point is cancelled</v>
      </c>
      <c r="J87" s="2"/>
      <c r="K87" s="2"/>
      <c r="L87" s="2"/>
      <c r="M87" s="2"/>
      <c r="N87" s="2"/>
      <c r="O87" s="2"/>
      <c r="P87" s="2"/>
      <c r="Q87" s="2"/>
      <c r="R87" s="2"/>
      <c r="S87" s="2"/>
      <c r="T87" s="2"/>
      <c r="U87" s="2"/>
      <c r="V87" s="2"/>
    </row>
    <row r="88" ht="22.5" customHeight="1">
      <c r="A88" s="3">
        <v>87.0</v>
      </c>
      <c r="B88" s="3" t="s">
        <v>3955</v>
      </c>
      <c r="C88" s="3" t="s">
        <v>3873</v>
      </c>
      <c r="D88" s="3" t="s">
        <v>956</v>
      </c>
      <c r="E88" s="2"/>
      <c r="F88" s="3" t="str">
        <f>IFERROR(__xludf.DUMMYFUNCTION("GOOGLETRANSLATE(A88, ""it"", ""en"")"),"87")</f>
        <v>87</v>
      </c>
      <c r="G88" s="3" t="str">
        <f>IFERROR(__xludf.DUMMYFUNCTION("GOOGLETRANSLATE(B88, ""it"", ""en"")"),"A player shows ""five"" fingers and shouts ""four."" What happens?")</f>
        <v>A player shows "five" fingers and shouts "four." What happens?</v>
      </c>
      <c r="H88" s="3" t="str">
        <f>IFERROR(__xludf.DUMMYFUNCTION("GOOGLETRANSLATE(C88, ""it"", ""en"")"),"A. The point is cancelled B. The point is awarded to the opponent C. The game continues normally D. The point is awarded")</f>
        <v>A. The point is cancelled B. The point is awarded to the opponent C. The game continues normally D. The point is awarded</v>
      </c>
      <c r="I88" s="3" t="str">
        <f>IFERROR(__xludf.DUMMYFUNCTION("GOOGLETRANSLATE(D88, ""it"", ""en"")"),"The point is cancelled")</f>
        <v>The point is cancelled</v>
      </c>
      <c r="J88" s="2"/>
      <c r="K88" s="2"/>
      <c r="L88" s="2"/>
      <c r="M88" s="2"/>
      <c r="N88" s="2"/>
      <c r="O88" s="2"/>
      <c r="P88" s="2"/>
      <c r="Q88" s="2"/>
      <c r="R88" s="2"/>
      <c r="S88" s="2"/>
      <c r="T88" s="2"/>
      <c r="U88" s="2"/>
      <c r="V88" s="2"/>
    </row>
    <row r="89" ht="22.5" customHeight="1">
      <c r="A89" s="3">
        <v>88.0</v>
      </c>
      <c r="B89" s="3" t="s">
        <v>3909</v>
      </c>
      <c r="C89" s="3" t="s">
        <v>3873</v>
      </c>
      <c r="D89" s="3" t="s">
        <v>956</v>
      </c>
      <c r="E89" s="2"/>
      <c r="F89" s="3" t="str">
        <f>IFERROR(__xludf.DUMMYFUNCTION("GOOGLETRANSLATE(A89, ""it"", ""en"")"),"88")</f>
        <v>88</v>
      </c>
      <c r="G89" s="3" t="str">
        <f>IFERROR(__xludf.DUMMYFUNCTION("GOOGLETRANSLATE(B89, ""it"", ""en"")"),"A player shouts ""two"" but shows ""one."" What happens?")</f>
        <v>A player shouts "two" but shows "one." What happens?</v>
      </c>
      <c r="H89" s="3" t="str">
        <f>IFERROR(__xludf.DUMMYFUNCTION("GOOGLETRANSLATE(C89, ""it"", ""en"")"),"A. The point is cancelled B. The point is awarded to the opponent C. The game continues normally D. The point is awarded")</f>
        <v>A. The point is cancelled B. The point is awarded to the opponent C. The game continues normally D. The point is awarded</v>
      </c>
      <c r="I89" s="3" t="str">
        <f>IFERROR(__xludf.DUMMYFUNCTION("GOOGLETRANSLATE(D89, ""it"", ""en"")"),"The point is cancelled")</f>
        <v>The point is cancelled</v>
      </c>
      <c r="J89" s="2"/>
      <c r="K89" s="2"/>
      <c r="L89" s="2"/>
      <c r="M89" s="2"/>
      <c r="N89" s="2"/>
      <c r="O89" s="2"/>
      <c r="P89" s="2"/>
      <c r="Q89" s="2"/>
      <c r="R89" s="2"/>
      <c r="S89" s="2"/>
      <c r="T89" s="2"/>
      <c r="U89" s="2"/>
      <c r="V89" s="2"/>
    </row>
    <row r="90" ht="22.5" customHeight="1">
      <c r="A90" s="3">
        <v>89.0</v>
      </c>
      <c r="B90" s="3" t="s">
        <v>3956</v>
      </c>
      <c r="C90" s="3" t="s">
        <v>3919</v>
      </c>
      <c r="D90" s="3" t="s">
        <v>616</v>
      </c>
      <c r="E90" s="2"/>
      <c r="F90" s="3" t="str">
        <f>IFERROR(__xludf.DUMMYFUNCTION("GOOGLETRANSLATE(A90, ""it"", ""en"")"),"89")</f>
        <v>89</v>
      </c>
      <c r="G90" s="3" t="str">
        <f>IFERROR(__xludf.DUMMYFUNCTION("GOOGLETRANSLATE(B90, ""it"", ""en"")"),"A player shows ""three"" fingers and shouts ""three."" What happens?")</f>
        <v>A player shows "three" fingers and shouts "three." What happens?</v>
      </c>
      <c r="H90" s="3" t="str">
        <f>IFERROR(__xludf.DUMMYFUNCTION("GOOGLETRANSLATE(C90, ""it"", ""en"")"),"A. The point is awarded B. The point is cancelled C. The game continues normally D. The point is awarded")</f>
        <v>A. The point is awarded B. The point is cancelled C. The game continues normally D. The point is awarded</v>
      </c>
      <c r="I90" s="3" t="str">
        <f>IFERROR(__xludf.DUMMYFUNCTION("GOOGLETRANSLATE(D90, ""it"", ""en"")"),"The point is awarded")</f>
        <v>The point is awarded</v>
      </c>
      <c r="J90" s="2"/>
      <c r="K90" s="2"/>
      <c r="L90" s="2"/>
      <c r="M90" s="2"/>
      <c r="N90" s="2"/>
      <c r="O90" s="2"/>
      <c r="P90" s="2"/>
      <c r="Q90" s="2"/>
      <c r="R90" s="2"/>
      <c r="S90" s="2"/>
      <c r="T90" s="2"/>
      <c r="U90" s="2"/>
      <c r="V90" s="2"/>
    </row>
    <row r="91" ht="22.5" customHeight="1">
      <c r="A91" s="3">
        <v>90.0</v>
      </c>
      <c r="B91" s="3" t="s">
        <v>3957</v>
      </c>
      <c r="C91" s="3" t="s">
        <v>3873</v>
      </c>
      <c r="D91" s="3" t="s">
        <v>956</v>
      </c>
      <c r="E91" s="2"/>
      <c r="F91" s="3" t="str">
        <f>IFERROR(__xludf.DUMMYFUNCTION("GOOGLETRANSLATE(A91, ""it"", ""en"")"),"90")</f>
        <v>90</v>
      </c>
      <c r="G91" s="3" t="str">
        <f>IFERROR(__xludf.DUMMYFUNCTION("GOOGLETRANSLATE(B91, ""it"", ""en"")"),"A player shouts ""five"" and holds up ""two"" fingers. What happens?")</f>
        <v>A player shouts "five" and holds up "two" fingers. What happens?</v>
      </c>
      <c r="H91" s="3" t="str">
        <f>IFERROR(__xludf.DUMMYFUNCTION("GOOGLETRANSLATE(C91, ""it"", ""en"")"),"A. The point is cancelled B. The point is awarded to the opponent C. The game continues normally D. The point is awarded")</f>
        <v>A. The point is cancelled B. The point is awarded to the opponent C. The game continues normally D. The point is awarded</v>
      </c>
      <c r="I91" s="3" t="str">
        <f>IFERROR(__xludf.DUMMYFUNCTION("GOOGLETRANSLATE(D91, ""it"", ""en"")"),"The point is cancelled")</f>
        <v>The point is cancelled</v>
      </c>
      <c r="J91" s="2"/>
      <c r="K91" s="2"/>
      <c r="L91" s="2"/>
      <c r="M91" s="2"/>
      <c r="N91" s="2"/>
      <c r="O91" s="2"/>
      <c r="P91" s="2"/>
      <c r="Q91" s="2"/>
      <c r="R91" s="2"/>
      <c r="S91" s="2"/>
      <c r="T91" s="2"/>
      <c r="U91" s="2"/>
      <c r="V91" s="2"/>
    </row>
    <row r="92" ht="22.5" customHeight="1">
      <c r="A92" s="3">
        <v>91.0</v>
      </c>
      <c r="B92" s="3" t="s">
        <v>3941</v>
      </c>
      <c r="C92" s="3" t="s">
        <v>3873</v>
      </c>
      <c r="D92" s="3" t="s">
        <v>956</v>
      </c>
      <c r="E92" s="2"/>
      <c r="F92" s="3" t="str">
        <f>IFERROR(__xludf.DUMMYFUNCTION("GOOGLETRANSLATE(A92, ""it"", ""en"")"),"91")</f>
        <v>91</v>
      </c>
      <c r="G92" s="3" t="str">
        <f>IFERROR(__xludf.DUMMYFUNCTION("GOOGLETRANSLATE(B92, ""it"", ""en"")"),"A player says ""three"" and shows ""two"" fingers. What happens?")</f>
        <v>A player says "three" and shows "two" fingers. What happens?</v>
      </c>
      <c r="H92" s="3" t="str">
        <f>IFERROR(__xludf.DUMMYFUNCTION("GOOGLETRANSLATE(C92, ""it"", ""en"")"),"A. The point is cancelled B. The point is awarded to the opponent C. The game continues normally D. The point is awarded")</f>
        <v>A. The point is cancelled B. The point is awarded to the opponent C. The game continues normally D. The point is awarded</v>
      </c>
      <c r="I92" s="3" t="str">
        <f>IFERROR(__xludf.DUMMYFUNCTION("GOOGLETRANSLATE(D92, ""it"", ""en"")"),"The point is cancelled")</f>
        <v>The point is cancelled</v>
      </c>
      <c r="J92" s="2"/>
      <c r="K92" s="2"/>
      <c r="L92" s="2"/>
      <c r="M92" s="2"/>
      <c r="N92" s="2"/>
      <c r="O92" s="2"/>
      <c r="P92" s="2"/>
      <c r="Q92" s="2"/>
      <c r="R92" s="2"/>
      <c r="S92" s="2"/>
      <c r="T92" s="2"/>
      <c r="U92" s="2"/>
      <c r="V92" s="2"/>
    </row>
    <row r="93" ht="22.5" customHeight="1">
      <c r="A93" s="3">
        <v>92.0</v>
      </c>
      <c r="B93" s="3" t="s">
        <v>3958</v>
      </c>
      <c r="C93" s="3" t="s">
        <v>3881</v>
      </c>
      <c r="D93" s="3" t="s">
        <v>956</v>
      </c>
      <c r="E93" s="2"/>
      <c r="F93" s="3" t="str">
        <f>IFERROR(__xludf.DUMMYFUNCTION("GOOGLETRANSLATE(A93, ""it"", ""en"")"),"92")</f>
        <v>92</v>
      </c>
      <c r="G93" s="3" t="str">
        <f>IFERROR(__xludf.DUMMYFUNCTION("GOOGLETRANSLATE(B93, ""it"", ""en"")"),"A player shows ""five"" fingers but says ""four."" What happens?")</f>
        <v>A player shows "five" fingers but says "four." What happens?</v>
      </c>
      <c r="H93" s="3" t="str">
        <f>IFERROR(__xludf.DUMMYFUNCTION("GOOGLETRANSLATE(C93, ""it"", ""en"")"),"A. The point is awarded to the opponent B. The point is cancelled C. The game continues normally D. The point is awarded")</f>
        <v>A. The point is awarded to the opponent B. The point is cancelled C. The game continues normally D. The point is awarded</v>
      </c>
      <c r="I93" s="3" t="str">
        <f>IFERROR(__xludf.DUMMYFUNCTION("GOOGLETRANSLATE(D93, ""it"", ""en"")"),"The point is cancelled")</f>
        <v>The point is cancelled</v>
      </c>
      <c r="J93" s="2"/>
      <c r="K93" s="2"/>
      <c r="L93" s="2"/>
      <c r="M93" s="2"/>
      <c r="N93" s="2"/>
      <c r="O93" s="2"/>
      <c r="P93" s="2"/>
      <c r="Q93" s="2"/>
      <c r="R93" s="2"/>
      <c r="S93" s="2"/>
      <c r="T93" s="2"/>
      <c r="U93" s="2"/>
      <c r="V93" s="2"/>
    </row>
    <row r="94" ht="22.5" customHeight="1">
      <c r="A94" s="3">
        <v>93.0</v>
      </c>
      <c r="B94" s="3" t="s">
        <v>3944</v>
      </c>
      <c r="C94" s="3" t="s">
        <v>3873</v>
      </c>
      <c r="D94" s="3" t="s">
        <v>956</v>
      </c>
      <c r="E94" s="2"/>
      <c r="F94" s="3" t="str">
        <f>IFERROR(__xludf.DUMMYFUNCTION("GOOGLETRANSLATE(A94, ""it"", ""en"")"),"93")</f>
        <v>93</v>
      </c>
      <c r="G94" s="3" t="str">
        <f>IFERROR(__xludf.DUMMYFUNCTION("GOOGLETRANSLATE(B94, ""it"", ""en"")"),"A player shouts ""two"" but shows ""five"" fingers. What happens?")</f>
        <v>A player shouts "two" but shows "five" fingers. What happens?</v>
      </c>
      <c r="H94" s="3" t="str">
        <f>IFERROR(__xludf.DUMMYFUNCTION("GOOGLETRANSLATE(C94, ""it"", ""en"")"),"A. The point is cancelled B. The point is awarded to the opponent C. The game continues normally D. The point is awarded")</f>
        <v>A. The point is cancelled B. The point is awarded to the opponent C. The game continues normally D. The point is awarded</v>
      </c>
      <c r="I94" s="3" t="str">
        <f>IFERROR(__xludf.DUMMYFUNCTION("GOOGLETRANSLATE(D94, ""it"", ""en"")"),"The point is cancelled")</f>
        <v>The point is cancelled</v>
      </c>
      <c r="J94" s="2"/>
      <c r="K94" s="2"/>
      <c r="L94" s="2"/>
      <c r="M94" s="2"/>
      <c r="N94" s="2"/>
      <c r="O94" s="2"/>
      <c r="P94" s="2"/>
      <c r="Q94" s="2"/>
      <c r="R94" s="2"/>
      <c r="S94" s="2"/>
      <c r="T94" s="2"/>
      <c r="U94" s="2"/>
      <c r="V94" s="2"/>
    </row>
    <row r="95" ht="22.5" customHeight="1">
      <c r="A95" s="3">
        <v>94.0</v>
      </c>
      <c r="B95" s="3" t="s">
        <v>3959</v>
      </c>
      <c r="C95" s="3" t="s">
        <v>3919</v>
      </c>
      <c r="D95" s="3" t="s">
        <v>616</v>
      </c>
      <c r="E95" s="2"/>
      <c r="F95" s="3" t="str">
        <f>IFERROR(__xludf.DUMMYFUNCTION("GOOGLETRANSLATE(A95, ""it"", ""en"")"),"94")</f>
        <v>94</v>
      </c>
      <c r="G95" s="3" t="str">
        <f>IFERROR(__xludf.DUMMYFUNCTION("GOOGLETRANSLATE(B95, ""it"", ""en"")"),"A player shouts ""five"" and holds up five fingers. What happens?")</f>
        <v>A player shouts "five" and holds up five fingers. What happens?</v>
      </c>
      <c r="H95" s="3" t="str">
        <f>IFERROR(__xludf.DUMMYFUNCTION("GOOGLETRANSLATE(C95, ""it"", ""en"")"),"A. The point is awarded B. The point is cancelled C. The game continues normally D. The point is awarded")</f>
        <v>A. The point is awarded B. The point is cancelled C. The game continues normally D. The point is awarded</v>
      </c>
      <c r="I95" s="3" t="str">
        <f>IFERROR(__xludf.DUMMYFUNCTION("GOOGLETRANSLATE(D95, ""it"", ""en"")"),"The point is awarded")</f>
        <v>The point is awarded</v>
      </c>
      <c r="J95" s="2"/>
      <c r="K95" s="2"/>
      <c r="L95" s="2"/>
      <c r="M95" s="2"/>
      <c r="N95" s="2"/>
      <c r="O95" s="2"/>
      <c r="P95" s="2"/>
      <c r="Q95" s="2"/>
      <c r="R95" s="2"/>
      <c r="S95" s="2"/>
      <c r="T95" s="2"/>
      <c r="U95" s="2"/>
      <c r="V95" s="2"/>
    </row>
    <row r="96" ht="22.5" customHeight="1">
      <c r="A96" s="3">
        <v>95.0</v>
      </c>
      <c r="B96" s="3" t="s">
        <v>3903</v>
      </c>
      <c r="C96" s="3" t="s">
        <v>3873</v>
      </c>
      <c r="D96" s="3" t="s">
        <v>956</v>
      </c>
      <c r="E96" s="2"/>
      <c r="F96" s="3" t="str">
        <f>IFERROR(__xludf.DUMMYFUNCTION("GOOGLETRANSLATE(A96, ""it"", ""en"")"),"95")</f>
        <v>95</v>
      </c>
      <c r="G96" s="3" t="str">
        <f>IFERROR(__xludf.DUMMYFUNCTION("GOOGLETRANSLATE(B96, ""it"", ""en"")"),"A player says ""two"" but shows ""four"" fingers. What happens?")</f>
        <v>A player says "two" but shows "four" fingers. What happens?</v>
      </c>
      <c r="H96" s="3" t="str">
        <f>IFERROR(__xludf.DUMMYFUNCTION("GOOGLETRANSLATE(C96, ""it"", ""en"")"),"A. The point is cancelled B. The point is awarded to the opponent C. The game continues normally D. The point is awarded")</f>
        <v>A. The point is cancelled B. The point is awarded to the opponent C. The game continues normally D. The point is awarded</v>
      </c>
      <c r="I96" s="3" t="str">
        <f>IFERROR(__xludf.DUMMYFUNCTION("GOOGLETRANSLATE(D96, ""it"", ""en"")"),"The point is cancelled")</f>
        <v>The point is cancelled</v>
      </c>
      <c r="J96" s="2"/>
      <c r="K96" s="2"/>
      <c r="L96" s="2"/>
      <c r="M96" s="2"/>
      <c r="N96" s="2"/>
      <c r="O96" s="2"/>
      <c r="P96" s="2"/>
      <c r="Q96" s="2"/>
      <c r="R96" s="2"/>
      <c r="S96" s="2"/>
      <c r="T96" s="2"/>
      <c r="U96" s="2"/>
      <c r="V96" s="2"/>
    </row>
    <row r="97" ht="22.5" customHeight="1">
      <c r="A97" s="3">
        <v>96.0</v>
      </c>
      <c r="B97" s="3" t="s">
        <v>3960</v>
      </c>
      <c r="C97" s="3" t="s">
        <v>3894</v>
      </c>
      <c r="D97" s="3" t="s">
        <v>956</v>
      </c>
      <c r="E97" s="2"/>
      <c r="F97" s="3" t="str">
        <f>IFERROR(__xludf.DUMMYFUNCTION("GOOGLETRANSLATE(A97, ""it"", ""en"")"),"96")</f>
        <v>96</v>
      </c>
      <c r="G97" s="3" t="str">
        <f>IFERROR(__xludf.DUMMYFUNCTION("GOOGLETRANSLATE(B97, ""it"", ""en"")"),"A player shows ""two"" fingers and shouts ""three."" What happens?")</f>
        <v>A player shows "two" fingers and shouts "three." What happens?</v>
      </c>
      <c r="H97" s="3" t="str">
        <f>IFERROR(__xludf.DUMMYFUNCTION("GOOGLETRANSLATE(C97, ""it"", ""en"")"),"A. The point is awarded to the opponent B. The game continues normally C. The point is cancelled D. The point is awarded")</f>
        <v>A. The point is awarded to the opponent B. The game continues normally C. The point is cancelled D. The point is awarded</v>
      </c>
      <c r="I97" s="3" t="str">
        <f>IFERROR(__xludf.DUMMYFUNCTION("GOOGLETRANSLATE(D97, ""it"", ""en"")"),"The point is cancelled")</f>
        <v>The point is cancelled</v>
      </c>
      <c r="J97" s="2"/>
      <c r="K97" s="2"/>
      <c r="L97" s="2"/>
      <c r="M97" s="2"/>
      <c r="N97" s="2"/>
      <c r="O97" s="2"/>
      <c r="P97" s="2"/>
      <c r="Q97" s="2"/>
      <c r="R97" s="2"/>
      <c r="S97" s="2"/>
      <c r="T97" s="2"/>
      <c r="U97" s="2"/>
      <c r="V97" s="2"/>
    </row>
    <row r="98" ht="22.5" customHeight="1">
      <c r="A98" s="3">
        <v>97.0</v>
      </c>
      <c r="B98" s="3" t="s">
        <v>3891</v>
      </c>
      <c r="C98" s="3" t="s">
        <v>3919</v>
      </c>
      <c r="D98" s="3" t="s">
        <v>616</v>
      </c>
      <c r="E98" s="2"/>
      <c r="F98" s="3" t="str">
        <f>IFERROR(__xludf.DUMMYFUNCTION("GOOGLETRANSLATE(A98, ""it"", ""en"")"),"97")</f>
        <v>97</v>
      </c>
      <c r="G98" s="3" t="str">
        <f>IFERROR(__xludf.DUMMYFUNCTION("GOOGLETRANSLATE(B98, ""it"", ""en"")"),"A player shouts ""four"" and shows ""four"" fingers. What happens?")</f>
        <v>A player shouts "four" and shows "four" fingers. What happens?</v>
      </c>
      <c r="H98" s="3" t="str">
        <f>IFERROR(__xludf.DUMMYFUNCTION("GOOGLETRANSLATE(C98, ""it"", ""en"")"),"A. The point is awarded B. The point is cancelled C. The game continues normally D. The point is awarded")</f>
        <v>A. The point is awarded B. The point is cancelled C. The game continues normally D. The point is awarded</v>
      </c>
      <c r="I98" s="3" t="str">
        <f>IFERROR(__xludf.DUMMYFUNCTION("GOOGLETRANSLATE(D98, ""it"", ""en"")"),"The point is awarded")</f>
        <v>The point is awarded</v>
      </c>
      <c r="J98" s="2"/>
      <c r="K98" s="2"/>
      <c r="L98" s="2"/>
      <c r="M98" s="2"/>
      <c r="N98" s="2"/>
      <c r="O98" s="2"/>
      <c r="P98" s="2"/>
      <c r="Q98" s="2"/>
      <c r="R98" s="2"/>
      <c r="S98" s="2"/>
      <c r="T98" s="2"/>
      <c r="U98" s="2"/>
      <c r="V98" s="2"/>
    </row>
    <row r="99" ht="22.5" customHeight="1">
      <c r="A99" s="3">
        <v>98.0</v>
      </c>
      <c r="B99" s="3" t="s">
        <v>3961</v>
      </c>
      <c r="C99" s="3" t="s">
        <v>3881</v>
      </c>
      <c r="D99" s="3" t="s">
        <v>956</v>
      </c>
      <c r="E99" s="2"/>
      <c r="F99" s="3" t="str">
        <f>IFERROR(__xludf.DUMMYFUNCTION("GOOGLETRANSLATE(A99, ""it"", ""en"")"),"98")</f>
        <v>98</v>
      </c>
      <c r="G99" s="3" t="str">
        <f>IFERROR(__xludf.DUMMYFUNCTION("GOOGLETRANSLATE(B99, ""it"", ""en"")"),"A player shows ""three"" fingers and says ""two."" What happens?")</f>
        <v>A player shows "three" fingers and says "two." What happens?</v>
      </c>
      <c r="H99" s="3" t="str">
        <f>IFERROR(__xludf.DUMMYFUNCTION("GOOGLETRANSLATE(C99, ""it"", ""en"")"),"A. The point is awarded to the opponent B. The point is cancelled C. The game continues normally D. The point is awarded")</f>
        <v>A. The point is awarded to the opponent B. The point is cancelled C. The game continues normally D. The point is awarded</v>
      </c>
      <c r="I99" s="3" t="str">
        <f>IFERROR(__xludf.DUMMYFUNCTION("GOOGLETRANSLATE(D99, ""it"", ""en"")"),"The point is cancelled")</f>
        <v>The point is cancelled</v>
      </c>
      <c r="J99" s="2"/>
      <c r="K99" s="2"/>
      <c r="L99" s="2"/>
      <c r="M99" s="2"/>
      <c r="N99" s="2"/>
      <c r="O99" s="2"/>
      <c r="P99" s="2"/>
      <c r="Q99" s="2"/>
      <c r="R99" s="2"/>
      <c r="S99" s="2"/>
      <c r="T99" s="2"/>
      <c r="U99" s="2"/>
      <c r="V99" s="2"/>
    </row>
    <row r="100" ht="22.5" customHeight="1">
      <c r="A100" s="3">
        <v>99.0</v>
      </c>
      <c r="B100" s="3" t="s">
        <v>3962</v>
      </c>
      <c r="C100" s="3" t="s">
        <v>3873</v>
      </c>
      <c r="D100" s="3" t="s">
        <v>956</v>
      </c>
      <c r="E100" s="2"/>
      <c r="F100" s="3" t="str">
        <f>IFERROR(__xludf.DUMMYFUNCTION("GOOGLETRANSLATE(A100, ""it"", ""en"")"),"99")</f>
        <v>99</v>
      </c>
      <c r="G100" s="3" t="str">
        <f>IFERROR(__xludf.DUMMYFUNCTION("GOOGLETRANSLATE(B100, ""it"", ""en"")"),"A player shouts ""four"" but shows ""three"" fingers. What happens?")</f>
        <v>A player shouts "four" but shows "three" fingers. What happens?</v>
      </c>
      <c r="H100" s="3" t="str">
        <f>IFERROR(__xludf.DUMMYFUNCTION("GOOGLETRANSLATE(C100, ""it"", ""en"")"),"A. The point is cancelled B. The point is awarded to the opponent C. The game continues normally D. The point is awarded")</f>
        <v>A. The point is cancelled B. The point is awarded to the opponent C. The game continues normally D. The point is awarded</v>
      </c>
      <c r="I100" s="3" t="str">
        <f>IFERROR(__xludf.DUMMYFUNCTION("GOOGLETRANSLATE(D100, ""it"", ""en"")"),"The point is cancelled")</f>
        <v>The point is cancelled</v>
      </c>
      <c r="J100" s="2"/>
      <c r="K100" s="2"/>
      <c r="L100" s="2"/>
      <c r="M100" s="2"/>
      <c r="N100" s="2"/>
      <c r="O100" s="2"/>
      <c r="P100" s="2"/>
      <c r="Q100" s="2"/>
      <c r="R100" s="2"/>
      <c r="S100" s="2"/>
      <c r="T100" s="2"/>
      <c r="U100" s="2"/>
      <c r="V100" s="2"/>
    </row>
    <row r="101" ht="22.5" customHeight="1">
      <c r="A101" s="3">
        <v>100.0</v>
      </c>
      <c r="B101" s="3" t="s">
        <v>3963</v>
      </c>
      <c r="C101" s="3" t="s">
        <v>3881</v>
      </c>
      <c r="D101" s="3" t="s">
        <v>956</v>
      </c>
      <c r="E101" s="2"/>
      <c r="F101" s="3" t="str">
        <f>IFERROR(__xludf.DUMMYFUNCTION("GOOGLETRANSLATE(A101, ""it"", ""en"")"),"100")</f>
        <v>100</v>
      </c>
      <c r="G101" s="3" t="str">
        <f>IFERROR(__xludf.DUMMYFUNCTION("GOOGLETRANSLATE(B101, ""it"", ""en"")"),"A player shows ""four"" fingers but says ""two."" What happens?")</f>
        <v>A player shows "four" fingers but says "two." What happens?</v>
      </c>
      <c r="H101" s="3" t="str">
        <f>IFERROR(__xludf.DUMMYFUNCTION("GOOGLETRANSLATE(C101, ""it"", ""en"")"),"A. The point is awarded to the opponent B. The point is cancelled C. The game continues normally D. The point is awarded")</f>
        <v>A. The point is awarded to the opponent B. The point is cancelled C. The game continues normally D. The point is awarded</v>
      </c>
      <c r="I101" s="3" t="str">
        <f>IFERROR(__xludf.DUMMYFUNCTION("GOOGLETRANSLATE(D101, ""it"", ""en"")"),"The point is cancelled")</f>
        <v>The point is cancelled</v>
      </c>
      <c r="J101" s="2"/>
      <c r="K101" s="2"/>
      <c r="L101" s="2"/>
      <c r="M101" s="2"/>
      <c r="N101" s="2"/>
      <c r="O101" s="2"/>
      <c r="P101" s="2"/>
      <c r="Q101" s="2"/>
      <c r="R101" s="2"/>
      <c r="S101" s="2"/>
      <c r="T101" s="2"/>
      <c r="U101" s="2"/>
      <c r="V101" s="2"/>
    </row>
    <row r="102" ht="22.5" customHeight="1">
      <c r="A102" s="3">
        <v>101.0</v>
      </c>
      <c r="B102" s="3" t="s">
        <v>3964</v>
      </c>
      <c r="C102" s="3" t="s">
        <v>3919</v>
      </c>
      <c r="D102" s="3" t="s">
        <v>616</v>
      </c>
      <c r="E102" s="2"/>
      <c r="F102" s="3" t="str">
        <f>IFERROR(__xludf.DUMMYFUNCTION("GOOGLETRANSLATE(A102, ""it"", ""en"")"),"101")</f>
        <v>101</v>
      </c>
      <c r="G102" s="3" t="str">
        <f>IFERROR(__xludf.DUMMYFUNCTION("GOOGLETRANSLATE(B102, ""it"", ""en"")"),"A player says ""two"" and shows ""two"" fingers. What happens?")</f>
        <v>A player says "two" and shows "two" fingers. What happens?</v>
      </c>
      <c r="H102" s="3" t="str">
        <f>IFERROR(__xludf.DUMMYFUNCTION("GOOGLETRANSLATE(C102, ""it"", ""en"")"),"A. The point is awarded B. The point is cancelled C. The game continues normally D. The point is awarded")</f>
        <v>A. The point is awarded B. The point is cancelled C. The game continues normally D. The point is awarded</v>
      </c>
      <c r="I102" s="3" t="str">
        <f>IFERROR(__xludf.DUMMYFUNCTION("GOOGLETRANSLATE(D102, ""it"", ""en"")"),"The point is awarded")</f>
        <v>The point is awarded</v>
      </c>
      <c r="J102" s="2"/>
      <c r="K102" s="2"/>
      <c r="L102" s="2"/>
      <c r="M102" s="2"/>
      <c r="N102" s="2"/>
      <c r="O102" s="2"/>
      <c r="P102" s="2"/>
      <c r="Q102" s="2"/>
      <c r="R102" s="2"/>
      <c r="S102" s="2"/>
      <c r="T102" s="2"/>
      <c r="U102" s="2"/>
      <c r="V102" s="2"/>
    </row>
    <row r="103" ht="22.5" customHeight="1">
      <c r="A103" s="3">
        <v>102.0</v>
      </c>
      <c r="B103" s="3" t="s">
        <v>3912</v>
      </c>
      <c r="C103" s="3" t="s">
        <v>3881</v>
      </c>
      <c r="D103" s="3" t="s">
        <v>956</v>
      </c>
      <c r="E103" s="2"/>
      <c r="F103" s="3" t="str">
        <f>IFERROR(__xludf.DUMMYFUNCTION("GOOGLETRANSLATE(A103, ""it"", ""en"")"),"102")</f>
        <v>102</v>
      </c>
      <c r="G103" s="3" t="str">
        <f>IFERROR(__xludf.DUMMYFUNCTION("GOOGLETRANSLATE(B103, ""it"", ""en"")"),"A player says ""four"" and shows ""two"" fingers. What happens?")</f>
        <v>A player says "four" and shows "two" fingers. What happens?</v>
      </c>
      <c r="H103" s="3" t="str">
        <f>IFERROR(__xludf.DUMMYFUNCTION("GOOGLETRANSLATE(C103, ""it"", ""en"")"),"A. The point is awarded to the opponent B. The point is cancelled C. The game continues normally D. The point is awarded")</f>
        <v>A. The point is awarded to the opponent B. The point is cancelled C. The game continues normally D. The point is awarded</v>
      </c>
      <c r="I103" s="3" t="str">
        <f>IFERROR(__xludf.DUMMYFUNCTION("GOOGLETRANSLATE(D103, ""it"", ""en"")"),"The point is cancelled")</f>
        <v>The point is cancelled</v>
      </c>
      <c r="J103" s="2"/>
      <c r="K103" s="2"/>
      <c r="L103" s="2"/>
      <c r="M103" s="2"/>
      <c r="N103" s="2"/>
      <c r="O103" s="2"/>
      <c r="P103" s="2"/>
      <c r="Q103" s="2"/>
      <c r="R103" s="2"/>
      <c r="S103" s="2"/>
      <c r="T103" s="2"/>
      <c r="U103" s="2"/>
      <c r="V103" s="2"/>
    </row>
    <row r="104" ht="22.5" customHeight="1">
      <c r="A104" s="3">
        <v>103.0</v>
      </c>
      <c r="B104" s="3" t="s">
        <v>3959</v>
      </c>
      <c r="C104" s="3" t="s">
        <v>3919</v>
      </c>
      <c r="D104" s="3" t="s">
        <v>616</v>
      </c>
      <c r="E104" s="2"/>
      <c r="F104" s="3" t="str">
        <f>IFERROR(__xludf.DUMMYFUNCTION("GOOGLETRANSLATE(A104, ""it"", ""en"")"),"103")</f>
        <v>103</v>
      </c>
      <c r="G104" s="3" t="str">
        <f>IFERROR(__xludf.DUMMYFUNCTION("GOOGLETRANSLATE(B104, ""it"", ""en"")"),"A player shouts ""five"" and holds up five fingers. What happens?")</f>
        <v>A player shouts "five" and holds up five fingers. What happens?</v>
      </c>
      <c r="H104" s="3" t="str">
        <f>IFERROR(__xludf.DUMMYFUNCTION("GOOGLETRANSLATE(C104, ""it"", ""en"")"),"A. The point is awarded B. The point is cancelled C. The game continues normally D. The point is awarded")</f>
        <v>A. The point is awarded B. The point is cancelled C. The game continues normally D. The point is awarded</v>
      </c>
      <c r="I104" s="3" t="str">
        <f>IFERROR(__xludf.DUMMYFUNCTION("GOOGLETRANSLATE(D104, ""it"", ""en"")"),"The point is awarded")</f>
        <v>The point is awarded</v>
      </c>
      <c r="J104" s="2"/>
      <c r="K104" s="2"/>
      <c r="L104" s="2"/>
      <c r="M104" s="2"/>
      <c r="N104" s="2"/>
      <c r="O104" s="2"/>
      <c r="P104" s="2"/>
      <c r="Q104" s="2"/>
      <c r="R104" s="2"/>
      <c r="S104" s="2"/>
      <c r="T104" s="2"/>
      <c r="U104" s="2"/>
      <c r="V104" s="2"/>
    </row>
    <row r="105" ht="22.5" customHeight="1">
      <c r="A105" s="3">
        <v>104.0</v>
      </c>
      <c r="B105" s="3" t="s">
        <v>3922</v>
      </c>
      <c r="C105" s="3" t="s">
        <v>3873</v>
      </c>
      <c r="D105" s="3" t="s">
        <v>956</v>
      </c>
      <c r="E105" s="2"/>
      <c r="F105" s="3" t="str">
        <f>IFERROR(__xludf.DUMMYFUNCTION("GOOGLETRANSLATE(A105, ""it"", ""en"")"),"104")</f>
        <v>104</v>
      </c>
      <c r="G105" s="3" t="str">
        <f>IFERROR(__xludf.DUMMYFUNCTION("GOOGLETRANSLATE(B105, ""it"", ""en"")"),"A player shows ""three"" fingers and says ""four."" What happens?")</f>
        <v>A player shows "three" fingers and says "four." What happens?</v>
      </c>
      <c r="H105" s="3" t="str">
        <f>IFERROR(__xludf.DUMMYFUNCTION("GOOGLETRANSLATE(C105, ""it"", ""en"")"),"A. The point is cancelled B. The point is awarded to the opponent C. The game continues normally D. The point is awarded")</f>
        <v>A. The point is cancelled B. The point is awarded to the opponent C. The game continues normally D. The point is awarded</v>
      </c>
      <c r="I105" s="3" t="str">
        <f>IFERROR(__xludf.DUMMYFUNCTION("GOOGLETRANSLATE(D105, ""it"", ""en"")"),"The point is cancelled")</f>
        <v>The point is cancelled</v>
      </c>
      <c r="J105" s="2"/>
      <c r="K105" s="2"/>
      <c r="L105" s="2"/>
      <c r="M105" s="2"/>
      <c r="N105" s="2"/>
      <c r="O105" s="2"/>
      <c r="P105" s="2"/>
      <c r="Q105" s="2"/>
      <c r="R105" s="2"/>
      <c r="S105" s="2"/>
      <c r="T105" s="2"/>
      <c r="U105" s="2"/>
      <c r="V105" s="2"/>
    </row>
    <row r="106" ht="22.5" customHeight="1">
      <c r="A106" s="3">
        <v>105.0</v>
      </c>
      <c r="B106" s="3" t="s">
        <v>3965</v>
      </c>
      <c r="C106" s="3" t="s">
        <v>3881</v>
      </c>
      <c r="D106" s="3" t="s">
        <v>956</v>
      </c>
      <c r="E106" s="2"/>
      <c r="F106" s="3" t="str">
        <f>IFERROR(__xludf.DUMMYFUNCTION("GOOGLETRANSLATE(A106, ""it"", ""en"")"),"105")</f>
        <v>105</v>
      </c>
      <c r="G106" s="3" t="str">
        <f>IFERROR(__xludf.DUMMYFUNCTION("GOOGLETRANSLATE(B106, ""it"", ""en"")"),"A player says ""two"" and shows ""five"" fingers. What happens?")</f>
        <v>A player says "two" and shows "five" fingers. What happens?</v>
      </c>
      <c r="H106" s="3" t="str">
        <f>IFERROR(__xludf.DUMMYFUNCTION("GOOGLETRANSLATE(C106, ""it"", ""en"")"),"A. The point is awarded to the opponent B. The point is cancelled C. The game continues normally D. The point is awarded")</f>
        <v>A. The point is awarded to the opponent B. The point is cancelled C. The game continues normally D. The point is awarded</v>
      </c>
      <c r="I106" s="3" t="str">
        <f>IFERROR(__xludf.DUMMYFUNCTION("GOOGLETRANSLATE(D106, ""it"", ""en"")"),"The point is cancelled")</f>
        <v>The point is cancelled</v>
      </c>
      <c r="J106" s="2"/>
      <c r="K106" s="2"/>
      <c r="L106" s="2"/>
      <c r="M106" s="2"/>
      <c r="N106" s="2"/>
      <c r="O106" s="2"/>
      <c r="P106" s="2"/>
      <c r="Q106" s="2"/>
      <c r="R106" s="2"/>
      <c r="S106" s="2"/>
      <c r="T106" s="2"/>
      <c r="U106" s="2"/>
      <c r="V106" s="2"/>
    </row>
    <row r="107" ht="22.5" customHeight="1">
      <c r="A107" s="3">
        <v>106.0</v>
      </c>
      <c r="B107" s="3" t="s">
        <v>3966</v>
      </c>
      <c r="C107" s="3" t="s">
        <v>3881</v>
      </c>
      <c r="D107" s="3" t="s">
        <v>956</v>
      </c>
      <c r="E107" s="2"/>
      <c r="F107" s="3" t="str">
        <f>IFERROR(__xludf.DUMMYFUNCTION("GOOGLETRANSLATE(A107, ""it"", ""en"")"),"106")</f>
        <v>106</v>
      </c>
      <c r="G107" s="3" t="str">
        <f>IFERROR(__xludf.DUMMYFUNCTION("GOOGLETRANSLATE(B107, ""it"", ""en"")"),"A player shows ""two"" fingers but shouts ""four."" What happens?")</f>
        <v>A player shows "two" fingers but shouts "four." What happens?</v>
      </c>
      <c r="H107" s="3" t="str">
        <f>IFERROR(__xludf.DUMMYFUNCTION("GOOGLETRANSLATE(C107, ""it"", ""en"")"),"A. The point is awarded to the opponent B. The point is cancelled C. The game continues normally D. The point is awarded")</f>
        <v>A. The point is awarded to the opponent B. The point is cancelled C. The game continues normally D. The point is awarded</v>
      </c>
      <c r="I107" s="3" t="str">
        <f>IFERROR(__xludf.DUMMYFUNCTION("GOOGLETRANSLATE(D107, ""it"", ""en"")"),"The point is cancelled")</f>
        <v>The point is cancelled</v>
      </c>
      <c r="J107" s="2"/>
      <c r="K107" s="2"/>
      <c r="L107" s="2"/>
      <c r="M107" s="2"/>
      <c r="N107" s="2"/>
      <c r="O107" s="2"/>
      <c r="P107" s="2"/>
      <c r="Q107" s="2"/>
      <c r="R107" s="2"/>
      <c r="S107" s="2"/>
      <c r="T107" s="2"/>
      <c r="U107" s="2"/>
      <c r="V107" s="2"/>
    </row>
    <row r="108" ht="22.5" customHeight="1">
      <c r="A108" s="3">
        <v>107.0</v>
      </c>
      <c r="B108" s="3" t="s">
        <v>3915</v>
      </c>
      <c r="C108" s="3" t="s">
        <v>3881</v>
      </c>
      <c r="D108" s="3" t="s">
        <v>956</v>
      </c>
      <c r="E108" s="2"/>
      <c r="F108" s="3" t="str">
        <f>IFERROR(__xludf.DUMMYFUNCTION("GOOGLETRANSLATE(A108, ""it"", ""en"")"),"107")</f>
        <v>107</v>
      </c>
      <c r="G108" s="3" t="str">
        <f>IFERROR(__xludf.DUMMYFUNCTION("GOOGLETRANSLATE(B108, ""it"", ""en"")"),"A player says ""five"" and shows ""four"" fingers. What happens?")</f>
        <v>A player says "five" and shows "four" fingers. What happens?</v>
      </c>
      <c r="H108" s="3" t="str">
        <f>IFERROR(__xludf.DUMMYFUNCTION("GOOGLETRANSLATE(C108, ""it"", ""en"")"),"A. The point is awarded to the opponent B. The point is cancelled C. The game continues normally D. The point is awarded")</f>
        <v>A. The point is awarded to the opponent B. The point is cancelled C. The game continues normally D. The point is awarded</v>
      </c>
      <c r="I108" s="3" t="str">
        <f>IFERROR(__xludf.DUMMYFUNCTION("GOOGLETRANSLATE(D108, ""it"", ""en"")"),"The point is cancelled")</f>
        <v>The point is cancelled</v>
      </c>
      <c r="J108" s="2"/>
      <c r="K108" s="2"/>
      <c r="L108" s="2"/>
      <c r="M108" s="2"/>
      <c r="N108" s="2"/>
      <c r="O108" s="2"/>
      <c r="P108" s="2"/>
      <c r="Q108" s="2"/>
      <c r="R108" s="2"/>
      <c r="S108" s="2"/>
      <c r="T108" s="2"/>
      <c r="U108" s="2"/>
      <c r="V108" s="2"/>
    </row>
    <row r="109" ht="22.5" customHeight="1">
      <c r="A109" s="3">
        <v>108.0</v>
      </c>
      <c r="B109" s="3" t="s">
        <v>3967</v>
      </c>
      <c r="C109" s="3" t="s">
        <v>3894</v>
      </c>
      <c r="D109" s="3" t="s">
        <v>956</v>
      </c>
      <c r="E109" s="2"/>
      <c r="F109" s="3" t="str">
        <f>IFERROR(__xludf.DUMMYFUNCTION("GOOGLETRANSLATE(A109, ""it"", ""en"")"),"108")</f>
        <v>108</v>
      </c>
      <c r="G109" s="3" t="str">
        <f>IFERROR(__xludf.DUMMYFUNCTION("GOOGLETRANSLATE(B109, ""it"", ""en"")"),"A player shows ""two"" fingers but shouts ""three."" What happens?")</f>
        <v>A player shows "two" fingers but shouts "three." What happens?</v>
      </c>
      <c r="H109" s="3" t="str">
        <f>IFERROR(__xludf.DUMMYFUNCTION("GOOGLETRANSLATE(C109, ""it"", ""en"")"),"A. The point is awarded to the opponent B. The game continues normally C. The point is cancelled D. The point is awarded")</f>
        <v>A. The point is awarded to the opponent B. The game continues normally C. The point is cancelled D. The point is awarded</v>
      </c>
      <c r="I109" s="3" t="str">
        <f>IFERROR(__xludf.DUMMYFUNCTION("GOOGLETRANSLATE(D109, ""it"", ""en"")"),"The point is cancelled")</f>
        <v>The point is cancelled</v>
      </c>
      <c r="J109" s="2"/>
      <c r="K109" s="2"/>
      <c r="L109" s="2"/>
      <c r="M109" s="2"/>
      <c r="N109" s="2"/>
      <c r="O109" s="2"/>
      <c r="P109" s="2"/>
      <c r="Q109" s="2"/>
      <c r="R109" s="2"/>
      <c r="S109" s="2"/>
      <c r="T109" s="2"/>
      <c r="U109" s="2"/>
      <c r="V109" s="2"/>
    </row>
    <row r="110" ht="22.5" customHeight="1">
      <c r="A110" s="3">
        <v>109.0</v>
      </c>
      <c r="B110" s="3" t="s">
        <v>3968</v>
      </c>
      <c r="C110" s="3" t="s">
        <v>3881</v>
      </c>
      <c r="D110" s="3" t="s">
        <v>956</v>
      </c>
      <c r="E110" s="2"/>
      <c r="F110" s="3" t="str">
        <f>IFERROR(__xludf.DUMMYFUNCTION("GOOGLETRANSLATE(A110, ""it"", ""en"")"),"109")</f>
        <v>109</v>
      </c>
      <c r="G110" s="3" t="str">
        <f>IFERROR(__xludf.DUMMYFUNCTION("GOOGLETRANSLATE(B110, ""it"", ""en"")"),"A player shouts ""two"" and shows ""three"" fingers. What happens?")</f>
        <v>A player shouts "two" and shows "three" fingers. What happens?</v>
      </c>
      <c r="H110" s="3" t="str">
        <f>IFERROR(__xludf.DUMMYFUNCTION("GOOGLETRANSLATE(C110, ""it"", ""en"")"),"A. The point is awarded to the opponent B. The point is cancelled C. The game continues normally D. The point is awarded")</f>
        <v>A. The point is awarded to the opponent B. The point is cancelled C. The game continues normally D. The point is awarded</v>
      </c>
      <c r="I110" s="3" t="str">
        <f>IFERROR(__xludf.DUMMYFUNCTION("GOOGLETRANSLATE(D110, ""it"", ""en"")"),"The point is cancelled")</f>
        <v>The point is cancelled</v>
      </c>
      <c r="J110" s="2"/>
      <c r="K110" s="2"/>
      <c r="L110" s="2"/>
      <c r="M110" s="2"/>
      <c r="N110" s="2"/>
      <c r="O110" s="2"/>
      <c r="P110" s="2"/>
      <c r="Q110" s="2"/>
      <c r="R110" s="2"/>
      <c r="S110" s="2"/>
      <c r="T110" s="2"/>
      <c r="U110" s="2"/>
      <c r="V110" s="2"/>
    </row>
    <row r="111" ht="22.5" customHeight="1">
      <c r="A111" s="3">
        <v>110.0</v>
      </c>
      <c r="B111" s="3" t="s">
        <v>3969</v>
      </c>
      <c r="C111" s="3" t="s">
        <v>3873</v>
      </c>
      <c r="D111" s="3" t="s">
        <v>956</v>
      </c>
      <c r="E111" s="2"/>
      <c r="F111" s="3" t="str">
        <f>IFERROR(__xludf.DUMMYFUNCTION("GOOGLETRANSLATE(A111, ""it"", ""en"")"),"110")</f>
        <v>110</v>
      </c>
      <c r="G111" s="3" t="str">
        <f>IFERROR(__xludf.DUMMYFUNCTION("GOOGLETRANSLATE(B111, ""it"", ""en"")"),"A player shows ""five"" fingers and shouts ""three."" What happens?")</f>
        <v>A player shows "five" fingers and shouts "three." What happens?</v>
      </c>
      <c r="H111" s="3" t="str">
        <f>IFERROR(__xludf.DUMMYFUNCTION("GOOGLETRANSLATE(C111, ""it"", ""en"")"),"A. The point is cancelled B. The point is awarded to the opponent C. The game continues normally D. The point is awarded")</f>
        <v>A. The point is cancelled B. The point is awarded to the opponent C. The game continues normally D. The point is awarded</v>
      </c>
      <c r="I111" s="3" t="str">
        <f>IFERROR(__xludf.DUMMYFUNCTION("GOOGLETRANSLATE(D111, ""it"", ""en"")"),"The point is cancelled")</f>
        <v>The point is cancelled</v>
      </c>
      <c r="J111" s="2"/>
      <c r="K111" s="2"/>
      <c r="L111" s="2"/>
      <c r="M111" s="2"/>
      <c r="N111" s="2"/>
      <c r="O111" s="2"/>
      <c r="P111" s="2"/>
      <c r="Q111" s="2"/>
      <c r="R111" s="2"/>
      <c r="S111" s="2"/>
      <c r="T111" s="2"/>
      <c r="U111" s="2"/>
      <c r="V111" s="2"/>
    </row>
    <row r="112" ht="22.5" customHeight="1">
      <c r="A112" s="3">
        <v>111.0</v>
      </c>
      <c r="B112" s="3" t="s">
        <v>3970</v>
      </c>
      <c r="C112" s="3" t="s">
        <v>3881</v>
      </c>
      <c r="D112" s="3" t="s">
        <v>956</v>
      </c>
      <c r="E112" s="2"/>
      <c r="F112" s="3" t="str">
        <f>IFERROR(__xludf.DUMMYFUNCTION("GOOGLETRANSLATE(A112, ""it"", ""en"")"),"111")</f>
        <v>111</v>
      </c>
      <c r="G112" s="3" t="str">
        <f>IFERROR(__xludf.DUMMYFUNCTION("GOOGLETRANSLATE(B112, ""it"", ""en"")"),"A player shows ""three"" fingers but shouts ""five."" What happens?")</f>
        <v>A player shows "three" fingers but shouts "five." What happens?</v>
      </c>
      <c r="H112" s="3" t="str">
        <f>IFERROR(__xludf.DUMMYFUNCTION("GOOGLETRANSLATE(C112, ""it"", ""en"")"),"A. The point is awarded to the opponent B. The point is cancelled C. The game continues normally D. The point is awarded")</f>
        <v>A. The point is awarded to the opponent B. The point is cancelled C. The game continues normally D. The point is awarded</v>
      </c>
      <c r="I112" s="3" t="str">
        <f>IFERROR(__xludf.DUMMYFUNCTION("GOOGLETRANSLATE(D112, ""it"", ""en"")"),"The point is cancelled")</f>
        <v>The point is cancelled</v>
      </c>
      <c r="J112" s="2"/>
      <c r="K112" s="2"/>
      <c r="L112" s="2"/>
      <c r="M112" s="2"/>
      <c r="N112" s="2"/>
      <c r="O112" s="2"/>
      <c r="P112" s="2"/>
      <c r="Q112" s="2"/>
      <c r="R112" s="2"/>
      <c r="S112" s="2"/>
      <c r="T112" s="2"/>
      <c r="U112" s="2"/>
      <c r="V112" s="2"/>
    </row>
    <row r="113" ht="22.5" customHeight="1">
      <c r="A113" s="3">
        <v>112.0</v>
      </c>
      <c r="B113" s="3" t="s">
        <v>3971</v>
      </c>
      <c r="C113" s="3" t="s">
        <v>3881</v>
      </c>
      <c r="D113" s="3" t="s">
        <v>956</v>
      </c>
      <c r="E113" s="2"/>
      <c r="F113" s="3" t="str">
        <f>IFERROR(__xludf.DUMMYFUNCTION("GOOGLETRANSLATE(A113, ""it"", ""en"")"),"112")</f>
        <v>112</v>
      </c>
      <c r="G113" s="3" t="str">
        <f>IFERROR(__xludf.DUMMYFUNCTION("GOOGLETRANSLATE(B113, ""it"", ""en"")"),"A player shouts ""three"" but shows ""one"" finger. What happens?")</f>
        <v>A player shouts "three" but shows "one" finger. What happens?</v>
      </c>
      <c r="H113" s="3" t="str">
        <f>IFERROR(__xludf.DUMMYFUNCTION("GOOGLETRANSLATE(C113, ""it"", ""en"")"),"A. The point is awarded to the opponent B. The point is cancelled C. The game continues normally D. The point is awarded")</f>
        <v>A. The point is awarded to the opponent B. The point is cancelled C. The game continues normally D. The point is awarded</v>
      </c>
      <c r="I113" s="3" t="str">
        <f>IFERROR(__xludf.DUMMYFUNCTION("GOOGLETRANSLATE(D113, ""it"", ""en"")"),"The point is cancelled")</f>
        <v>The point is cancelled</v>
      </c>
      <c r="J113" s="2"/>
      <c r="K113" s="2"/>
      <c r="L113" s="2"/>
      <c r="M113" s="2"/>
      <c r="N113" s="2"/>
      <c r="O113" s="2"/>
      <c r="P113" s="2"/>
      <c r="Q113" s="2"/>
      <c r="R113" s="2"/>
      <c r="S113" s="2"/>
      <c r="T113" s="2"/>
      <c r="U113" s="2"/>
      <c r="V113" s="2"/>
    </row>
    <row r="114" ht="22.5" customHeight="1">
      <c r="A114" s="3">
        <v>113.0</v>
      </c>
      <c r="B114" s="3" t="s">
        <v>3972</v>
      </c>
      <c r="C114" s="3" t="s">
        <v>3881</v>
      </c>
      <c r="D114" s="3" t="s">
        <v>956</v>
      </c>
      <c r="E114" s="2"/>
      <c r="F114" s="3" t="str">
        <f>IFERROR(__xludf.DUMMYFUNCTION("GOOGLETRANSLATE(A114, ""it"", ""en"")"),"113")</f>
        <v>113</v>
      </c>
      <c r="G114" s="3" t="str">
        <f>IFERROR(__xludf.DUMMYFUNCTION("GOOGLETRANSLATE(B114, ""it"", ""en"")"),"A player shows ""two"" fingers and shouts ""one."" What happens?")</f>
        <v>A player shows "two" fingers and shouts "one." What happens?</v>
      </c>
      <c r="H114" s="3" t="str">
        <f>IFERROR(__xludf.DUMMYFUNCTION("GOOGLETRANSLATE(C114, ""it"", ""en"")"),"A. The point is awarded to the opponent B. The point is cancelled C. The game continues normally D. The point is awarded")</f>
        <v>A. The point is awarded to the opponent B. The point is cancelled C. The game continues normally D. The point is awarded</v>
      </c>
      <c r="I114" s="3" t="str">
        <f>IFERROR(__xludf.DUMMYFUNCTION("GOOGLETRANSLATE(D114, ""it"", ""en"")"),"The point is cancelled")</f>
        <v>The point is cancelled</v>
      </c>
      <c r="J114" s="2"/>
      <c r="K114" s="2"/>
      <c r="L114" s="2"/>
      <c r="M114" s="2"/>
      <c r="N114" s="2"/>
      <c r="O114" s="2"/>
      <c r="P114" s="2"/>
      <c r="Q114" s="2"/>
      <c r="R114" s="2"/>
      <c r="S114" s="2"/>
      <c r="T114" s="2"/>
      <c r="U114" s="2"/>
      <c r="V114" s="2"/>
    </row>
    <row r="115" ht="22.5" customHeight="1">
      <c r="A115" s="3">
        <v>114.0</v>
      </c>
      <c r="B115" s="3" t="s">
        <v>3880</v>
      </c>
      <c r="C115" s="3" t="s">
        <v>3881</v>
      </c>
      <c r="D115" s="3" t="s">
        <v>956</v>
      </c>
      <c r="E115" s="2"/>
      <c r="F115" s="3" t="str">
        <f>IFERROR(__xludf.DUMMYFUNCTION("GOOGLETRANSLATE(A115, ""it"", ""en"")"),"114")</f>
        <v>114</v>
      </c>
      <c r="G115" s="3" t="str">
        <f>IFERROR(__xludf.DUMMYFUNCTION("GOOGLETRANSLATE(B115, ""it"", ""en"")"),"A player shouts ""five"" but shows ""four"" fingers. What happens?")</f>
        <v>A player shouts "five" but shows "four" fingers. What happens?</v>
      </c>
      <c r="H115" s="3" t="str">
        <f>IFERROR(__xludf.DUMMYFUNCTION("GOOGLETRANSLATE(C115, ""it"", ""en"")"),"A. The point is awarded to the opponent B. The point is cancelled C. The game continues normally D. The point is awarded")</f>
        <v>A. The point is awarded to the opponent B. The point is cancelled C. The game continues normally D. The point is awarded</v>
      </c>
      <c r="I115" s="3" t="str">
        <f>IFERROR(__xludf.DUMMYFUNCTION("GOOGLETRANSLATE(D115, ""it"", ""en"")"),"The point is cancelled")</f>
        <v>The point is cancelled</v>
      </c>
      <c r="J115" s="2"/>
      <c r="K115" s="2"/>
      <c r="L115" s="2"/>
      <c r="M115" s="2"/>
      <c r="N115" s="2"/>
      <c r="O115" s="2"/>
      <c r="P115" s="2"/>
      <c r="Q115" s="2"/>
      <c r="R115" s="2"/>
      <c r="S115" s="2"/>
      <c r="T115" s="2"/>
      <c r="U115" s="2"/>
      <c r="V115" s="2"/>
    </row>
    <row r="116" ht="22.5" customHeight="1">
      <c r="A116" s="3">
        <v>115.0</v>
      </c>
      <c r="B116" s="3" t="s">
        <v>3887</v>
      </c>
      <c r="C116" s="3" t="s">
        <v>3881</v>
      </c>
      <c r="D116" s="3" t="s">
        <v>956</v>
      </c>
      <c r="E116" s="2"/>
      <c r="F116" s="3" t="str">
        <f>IFERROR(__xludf.DUMMYFUNCTION("GOOGLETRANSLATE(A116, ""it"", ""en"")"),"115")</f>
        <v>115</v>
      </c>
      <c r="G116" s="3" t="str">
        <f>IFERROR(__xludf.DUMMYFUNCTION("GOOGLETRANSLATE(B116, ""it"", ""en"")"),"A player shows ""four"" fingers but says ""three."" What happens?")</f>
        <v>A player shows "four" fingers but says "three." What happens?</v>
      </c>
      <c r="H116" s="3" t="str">
        <f>IFERROR(__xludf.DUMMYFUNCTION("GOOGLETRANSLATE(C116, ""it"", ""en"")"),"A. The point is awarded to the opponent B. The point is cancelled C. The game continues normally D. The point is awarded")</f>
        <v>A. The point is awarded to the opponent B. The point is cancelled C. The game continues normally D. The point is awarded</v>
      </c>
      <c r="I116" s="3" t="str">
        <f>IFERROR(__xludf.DUMMYFUNCTION("GOOGLETRANSLATE(D116, ""it"", ""en"")"),"The point is cancelled")</f>
        <v>The point is cancelled</v>
      </c>
      <c r="J116" s="2"/>
      <c r="K116" s="2"/>
      <c r="L116" s="2"/>
      <c r="M116" s="2"/>
      <c r="N116" s="2"/>
      <c r="O116" s="2"/>
      <c r="P116" s="2"/>
      <c r="Q116" s="2"/>
      <c r="R116" s="2"/>
      <c r="S116" s="2"/>
      <c r="T116" s="2"/>
      <c r="U116" s="2"/>
      <c r="V116" s="2"/>
    </row>
    <row r="117" ht="22.5" customHeight="1">
      <c r="A117" s="3">
        <v>116.0</v>
      </c>
      <c r="B117" s="3" t="s">
        <v>3973</v>
      </c>
      <c r="C117" s="3" t="s">
        <v>3873</v>
      </c>
      <c r="D117" s="3" t="s">
        <v>956</v>
      </c>
      <c r="E117" s="2"/>
      <c r="F117" s="3" t="str">
        <f>IFERROR(__xludf.DUMMYFUNCTION("GOOGLETRANSLATE(A117, ""it"", ""en"")"),"116")</f>
        <v>116</v>
      </c>
      <c r="G117" s="3" t="str">
        <f>IFERROR(__xludf.DUMMYFUNCTION("GOOGLETRANSLATE(B117, ""it"", ""en"")"),"A player shouts ""three"" and shows ""five"" fingers. What happens?")</f>
        <v>A player shouts "three" and shows "five" fingers. What happens?</v>
      </c>
      <c r="H117" s="3" t="str">
        <f>IFERROR(__xludf.DUMMYFUNCTION("GOOGLETRANSLATE(C117, ""it"", ""en"")"),"A. The point is cancelled B. The point is awarded to the opponent C. The game continues normally D. The point is awarded")</f>
        <v>A. The point is cancelled B. The point is awarded to the opponent C. The game continues normally D. The point is awarded</v>
      </c>
      <c r="I117" s="3" t="str">
        <f>IFERROR(__xludf.DUMMYFUNCTION("GOOGLETRANSLATE(D117, ""it"", ""en"")"),"The point is cancelled")</f>
        <v>The point is cancelled</v>
      </c>
      <c r="J117" s="2"/>
      <c r="K117" s="2"/>
      <c r="L117" s="2"/>
      <c r="M117" s="2"/>
      <c r="N117" s="2"/>
      <c r="O117" s="2"/>
      <c r="P117" s="2"/>
      <c r="Q117" s="2"/>
      <c r="R117" s="2"/>
      <c r="S117" s="2"/>
      <c r="T117" s="2"/>
      <c r="U117" s="2"/>
      <c r="V117" s="2"/>
    </row>
    <row r="118" ht="22.5" customHeight="1">
      <c r="A118" s="3">
        <v>117.0</v>
      </c>
      <c r="B118" s="3" t="s">
        <v>3974</v>
      </c>
      <c r="C118" s="3" t="s">
        <v>3881</v>
      </c>
      <c r="D118" s="3" t="s">
        <v>956</v>
      </c>
      <c r="E118" s="2"/>
      <c r="F118" s="3" t="str">
        <f>IFERROR(__xludf.DUMMYFUNCTION("GOOGLETRANSLATE(A118, ""it"", ""en"")"),"117")</f>
        <v>117</v>
      </c>
      <c r="G118" s="3" t="str">
        <f>IFERROR(__xludf.DUMMYFUNCTION("GOOGLETRANSLATE(B118, ""it"", ""en"")"),"A player shows ""two"" fingers and shouts ""four."" What happens?")</f>
        <v>A player shows "two" fingers and shouts "four." What happens?</v>
      </c>
      <c r="H118" s="3" t="str">
        <f>IFERROR(__xludf.DUMMYFUNCTION("GOOGLETRANSLATE(C118, ""it"", ""en"")"),"A. The point is awarded to the opponent B. The point is cancelled C. The game continues normally D. The point is awarded")</f>
        <v>A. The point is awarded to the opponent B. The point is cancelled C. The game continues normally D. The point is awarded</v>
      </c>
      <c r="I118" s="3" t="str">
        <f>IFERROR(__xludf.DUMMYFUNCTION("GOOGLETRANSLATE(D118, ""it"", ""en"")"),"The point is cancelled")</f>
        <v>The point is cancelled</v>
      </c>
      <c r="J118" s="2"/>
      <c r="K118" s="2"/>
      <c r="L118" s="2"/>
      <c r="M118" s="2"/>
      <c r="N118" s="2"/>
      <c r="O118" s="2"/>
      <c r="P118" s="2"/>
      <c r="Q118" s="2"/>
      <c r="R118" s="2"/>
      <c r="S118" s="2"/>
      <c r="T118" s="2"/>
      <c r="U118" s="2"/>
      <c r="V118" s="2"/>
    </row>
    <row r="119" ht="22.5" customHeight="1">
      <c r="A119" s="3">
        <v>118.0</v>
      </c>
      <c r="B119" s="3" t="s">
        <v>3975</v>
      </c>
      <c r="C119" s="3" t="s">
        <v>3881</v>
      </c>
      <c r="D119" s="3" t="s">
        <v>956</v>
      </c>
      <c r="E119" s="2"/>
      <c r="F119" s="3" t="str">
        <f>IFERROR(__xludf.DUMMYFUNCTION("GOOGLETRANSLATE(A119, ""it"", ""en"")"),"118")</f>
        <v>118</v>
      </c>
      <c r="G119" s="3" t="str">
        <f>IFERROR(__xludf.DUMMYFUNCTION("GOOGLETRANSLATE(B119, ""it"", ""en"")"),"A player shows ""three"" fingers and shouts ""four."" What happens?")</f>
        <v>A player shows "three" fingers and shouts "four." What happens?</v>
      </c>
      <c r="H119" s="3" t="str">
        <f>IFERROR(__xludf.DUMMYFUNCTION("GOOGLETRANSLATE(C119, ""it"", ""en"")"),"A. The point is awarded to the opponent B. The point is cancelled C. The game continues normally D. The point is awarded")</f>
        <v>A. The point is awarded to the opponent B. The point is cancelled C. The game continues normally D. The point is awarded</v>
      </c>
      <c r="I119" s="3" t="str">
        <f>IFERROR(__xludf.DUMMYFUNCTION("GOOGLETRANSLATE(D119, ""it"", ""en"")"),"The point is cancelled")</f>
        <v>The point is cancelled</v>
      </c>
      <c r="J119" s="2"/>
      <c r="K119" s="2"/>
      <c r="L119" s="2"/>
      <c r="M119" s="2"/>
      <c r="N119" s="2"/>
      <c r="O119" s="2"/>
      <c r="P119" s="2"/>
      <c r="Q119" s="2"/>
      <c r="R119" s="2"/>
      <c r="S119" s="2"/>
      <c r="T119" s="2"/>
      <c r="U119" s="2"/>
      <c r="V119" s="2"/>
    </row>
    <row r="120" ht="22.5" customHeight="1">
      <c r="A120" s="3">
        <v>119.0</v>
      </c>
      <c r="B120" s="3" t="s">
        <v>3968</v>
      </c>
      <c r="C120" s="3" t="s">
        <v>3881</v>
      </c>
      <c r="D120" s="3" t="s">
        <v>956</v>
      </c>
      <c r="E120" s="2"/>
      <c r="F120" s="3" t="str">
        <f>IFERROR(__xludf.DUMMYFUNCTION("GOOGLETRANSLATE(A120, ""it"", ""en"")"),"119")</f>
        <v>119</v>
      </c>
      <c r="G120" s="3" t="str">
        <f>IFERROR(__xludf.DUMMYFUNCTION("GOOGLETRANSLATE(B120, ""it"", ""en"")"),"A player shouts ""two"" and shows ""three"" fingers. What happens?")</f>
        <v>A player shouts "two" and shows "three" fingers. What happens?</v>
      </c>
      <c r="H120" s="3" t="str">
        <f>IFERROR(__xludf.DUMMYFUNCTION("GOOGLETRANSLATE(C120, ""it"", ""en"")"),"A. The point is awarded to the opponent B. The point is cancelled C. The game continues normally D. The point is awarded")</f>
        <v>A. The point is awarded to the opponent B. The point is cancelled C. The game continues normally D. The point is awarded</v>
      </c>
      <c r="I120" s="3" t="str">
        <f>IFERROR(__xludf.DUMMYFUNCTION("GOOGLETRANSLATE(D120, ""it"", ""en"")"),"The point is cancelled")</f>
        <v>The point is cancelled</v>
      </c>
      <c r="J120" s="2"/>
      <c r="K120" s="2"/>
      <c r="L120" s="2"/>
      <c r="M120" s="2"/>
      <c r="N120" s="2"/>
      <c r="O120" s="2"/>
      <c r="P120" s="2"/>
      <c r="Q120" s="2"/>
      <c r="R120" s="2"/>
      <c r="S120" s="2"/>
      <c r="T120" s="2"/>
      <c r="U120" s="2"/>
      <c r="V120" s="2"/>
    </row>
    <row r="121" ht="22.5" customHeight="1">
      <c r="A121" s="3">
        <v>120.0</v>
      </c>
      <c r="B121" s="3" t="s">
        <v>3962</v>
      </c>
      <c r="C121" s="3" t="s">
        <v>3873</v>
      </c>
      <c r="D121" s="3" t="s">
        <v>956</v>
      </c>
      <c r="E121" s="2"/>
      <c r="F121" s="3" t="str">
        <f>IFERROR(__xludf.DUMMYFUNCTION("GOOGLETRANSLATE(A121, ""it"", ""en"")"),"120")</f>
        <v>120</v>
      </c>
      <c r="G121" s="3" t="str">
        <f>IFERROR(__xludf.DUMMYFUNCTION("GOOGLETRANSLATE(B121, ""it"", ""en"")"),"A player shouts ""four"" but shows ""three"" fingers. What happens?")</f>
        <v>A player shouts "four" but shows "three" fingers. What happens?</v>
      </c>
      <c r="H121" s="3" t="str">
        <f>IFERROR(__xludf.DUMMYFUNCTION("GOOGLETRANSLATE(C121, ""it"", ""en"")"),"A. The point is cancelled B. The point is awarded to the opponent C. The game continues normally D. The point is awarded")</f>
        <v>A. The point is cancelled B. The point is awarded to the opponent C. The game continues normally D. The point is awarded</v>
      </c>
      <c r="I121" s="3" t="str">
        <f>IFERROR(__xludf.DUMMYFUNCTION("GOOGLETRANSLATE(D121, ""it"", ""en"")"),"The point is cancelled")</f>
        <v>The point is cancelled</v>
      </c>
      <c r="J121" s="2"/>
      <c r="K121" s="2"/>
      <c r="L121" s="2"/>
      <c r="M121" s="2"/>
      <c r="N121" s="2"/>
      <c r="O121" s="2"/>
      <c r="P121" s="2"/>
      <c r="Q121" s="2"/>
      <c r="R121" s="2"/>
      <c r="S121" s="2"/>
      <c r="T121" s="2"/>
      <c r="U121" s="2"/>
      <c r="V121" s="2"/>
    </row>
    <row r="122" ht="22.5" customHeight="1">
      <c r="A122" s="3">
        <v>121.0</v>
      </c>
      <c r="B122" s="3" t="s">
        <v>3961</v>
      </c>
      <c r="C122" s="3" t="s">
        <v>3881</v>
      </c>
      <c r="D122" s="3" t="s">
        <v>956</v>
      </c>
      <c r="E122" s="2"/>
      <c r="F122" s="3" t="str">
        <f>IFERROR(__xludf.DUMMYFUNCTION("GOOGLETRANSLATE(A122, ""it"", ""en"")"),"121")</f>
        <v>121</v>
      </c>
      <c r="G122" s="3" t="str">
        <f>IFERROR(__xludf.DUMMYFUNCTION("GOOGLETRANSLATE(B122, ""it"", ""en"")"),"A player shows ""three"" fingers and says ""two."" What happens?")</f>
        <v>A player shows "three" fingers and says "two." What happens?</v>
      </c>
      <c r="H122" s="3" t="str">
        <f>IFERROR(__xludf.DUMMYFUNCTION("GOOGLETRANSLATE(C122, ""it"", ""en"")"),"A. The point is awarded to the opponent B. The point is cancelled C. The game continues normally D. The point is awarded")</f>
        <v>A. The point is awarded to the opponent B. The point is cancelled C. The game continues normally D. The point is awarded</v>
      </c>
      <c r="I122" s="3" t="str">
        <f>IFERROR(__xludf.DUMMYFUNCTION("GOOGLETRANSLATE(D122, ""it"", ""en"")"),"The point is cancelled")</f>
        <v>The point is cancelled</v>
      </c>
      <c r="J122" s="2"/>
      <c r="K122" s="2"/>
      <c r="L122" s="2"/>
      <c r="M122" s="2"/>
      <c r="N122" s="2"/>
      <c r="O122" s="2"/>
      <c r="P122" s="2"/>
      <c r="Q122" s="2"/>
      <c r="R122" s="2"/>
      <c r="S122" s="2"/>
      <c r="T122" s="2"/>
      <c r="U122" s="2"/>
      <c r="V122" s="2"/>
    </row>
    <row r="123" ht="22.5" customHeight="1">
      <c r="A123" s="3">
        <v>122.0</v>
      </c>
      <c r="B123" s="3" t="s">
        <v>3957</v>
      </c>
      <c r="C123" s="3" t="s">
        <v>3881</v>
      </c>
      <c r="D123" s="3" t="s">
        <v>956</v>
      </c>
      <c r="E123" s="2"/>
      <c r="F123" s="3" t="str">
        <f>IFERROR(__xludf.DUMMYFUNCTION("GOOGLETRANSLATE(A123, ""it"", ""en"")"),"122")</f>
        <v>122</v>
      </c>
      <c r="G123" s="3" t="str">
        <f>IFERROR(__xludf.DUMMYFUNCTION("GOOGLETRANSLATE(B123, ""it"", ""en"")"),"A player shouts ""five"" and holds up ""two"" fingers. What happens?")</f>
        <v>A player shouts "five" and holds up "two" fingers. What happens?</v>
      </c>
      <c r="H123" s="3" t="str">
        <f>IFERROR(__xludf.DUMMYFUNCTION("GOOGLETRANSLATE(C123, ""it"", ""en"")"),"A. The point is awarded to the opponent B. The point is cancelled C. The game continues normally D. The point is awarded")</f>
        <v>A. The point is awarded to the opponent B. The point is cancelled C. The game continues normally D. The point is awarded</v>
      </c>
      <c r="I123" s="3" t="str">
        <f>IFERROR(__xludf.DUMMYFUNCTION("GOOGLETRANSLATE(D123, ""it"", ""en"")"),"The point is cancelled")</f>
        <v>The point is cancelled</v>
      </c>
      <c r="J123" s="2"/>
      <c r="K123" s="2"/>
      <c r="L123" s="2"/>
      <c r="M123" s="2"/>
      <c r="N123" s="2"/>
      <c r="O123" s="2"/>
      <c r="P123" s="2"/>
      <c r="Q123" s="2"/>
      <c r="R123" s="2"/>
      <c r="S123" s="2"/>
      <c r="T123" s="2"/>
      <c r="U123" s="2"/>
      <c r="V123" s="2"/>
    </row>
    <row r="124" ht="22.5" customHeight="1">
      <c r="A124" s="3">
        <v>123.0</v>
      </c>
      <c r="B124" s="3" t="s">
        <v>3976</v>
      </c>
      <c r="C124" s="3" t="s">
        <v>3881</v>
      </c>
      <c r="D124" s="3" t="s">
        <v>956</v>
      </c>
      <c r="E124" s="2"/>
      <c r="F124" s="3" t="str">
        <f>IFERROR(__xludf.DUMMYFUNCTION("GOOGLETRANSLATE(A124, ""it"", ""en"")"),"123")</f>
        <v>123</v>
      </c>
      <c r="G124" s="3" t="str">
        <f>IFERROR(__xludf.DUMMYFUNCTION("GOOGLETRANSLATE(B124, ""it"", ""en"")"),"A player shouts ""three"" but shows ""two"" fingers. What happens?")</f>
        <v>A player shouts "three" but shows "two" fingers. What happens?</v>
      </c>
      <c r="H124" s="3" t="str">
        <f>IFERROR(__xludf.DUMMYFUNCTION("GOOGLETRANSLATE(C124, ""it"", ""en"")"),"A. The point is awarded to the opponent B. The point is cancelled C. The game continues normally D. The point is awarded")</f>
        <v>A. The point is awarded to the opponent B. The point is cancelled C. The game continues normally D. The point is awarded</v>
      </c>
      <c r="I124" s="3" t="str">
        <f>IFERROR(__xludf.DUMMYFUNCTION("GOOGLETRANSLATE(D124, ""it"", ""en"")"),"The point is cancelled")</f>
        <v>The point is cancelled</v>
      </c>
      <c r="J124" s="2"/>
      <c r="K124" s="2"/>
      <c r="L124" s="2"/>
      <c r="M124" s="2"/>
      <c r="N124" s="2"/>
      <c r="O124" s="2"/>
      <c r="P124" s="2"/>
      <c r="Q124" s="2"/>
      <c r="R124" s="2"/>
      <c r="S124" s="2"/>
      <c r="T124" s="2"/>
      <c r="U124" s="2"/>
      <c r="V124" s="2"/>
    </row>
    <row r="125" ht="22.5" customHeight="1">
      <c r="A125" s="3">
        <v>124.0</v>
      </c>
      <c r="B125" s="3" t="s">
        <v>3876</v>
      </c>
      <c r="C125" s="3" t="s">
        <v>3919</v>
      </c>
      <c r="D125" s="3" t="s">
        <v>616</v>
      </c>
      <c r="E125" s="2"/>
      <c r="F125" s="3" t="str">
        <f>IFERROR(__xludf.DUMMYFUNCTION("GOOGLETRANSLATE(A125, ""it"", ""en"")"),"124")</f>
        <v>124</v>
      </c>
      <c r="G125" s="3" t="str">
        <f>IFERROR(__xludf.DUMMYFUNCTION("GOOGLETRANSLATE(B125, ""it"", ""en"")"),"A player shouts ""two"" and shows ""two"" fingers. What happens?")</f>
        <v>A player shouts "two" and shows "two" fingers. What happens?</v>
      </c>
      <c r="H125" s="3" t="str">
        <f>IFERROR(__xludf.DUMMYFUNCTION("GOOGLETRANSLATE(C125, ""it"", ""en"")"),"A. The point is awarded B. The point is cancelled C. The game continues normally D. The point is awarded")</f>
        <v>A. The point is awarded B. The point is cancelled C. The game continues normally D. The point is awarded</v>
      </c>
      <c r="I125" s="3" t="str">
        <f>IFERROR(__xludf.DUMMYFUNCTION("GOOGLETRANSLATE(D125, ""it"", ""en"")"),"The point is awarded")</f>
        <v>The point is awarded</v>
      </c>
      <c r="J125" s="2"/>
      <c r="K125" s="2"/>
      <c r="L125" s="2"/>
      <c r="M125" s="2"/>
      <c r="N125" s="2"/>
      <c r="O125" s="2"/>
      <c r="P125" s="2"/>
      <c r="Q125" s="2"/>
      <c r="R125" s="2"/>
      <c r="S125" s="2"/>
      <c r="T125" s="2"/>
      <c r="U125" s="2"/>
      <c r="V125" s="2"/>
    </row>
    <row r="126" ht="22.5" customHeight="1">
      <c r="A126" s="3">
        <v>125.0</v>
      </c>
      <c r="B126" s="3" t="s">
        <v>3969</v>
      </c>
      <c r="C126" s="3" t="s">
        <v>3873</v>
      </c>
      <c r="D126" s="3" t="s">
        <v>956</v>
      </c>
      <c r="E126" s="2"/>
      <c r="F126" s="3" t="str">
        <f>IFERROR(__xludf.DUMMYFUNCTION("GOOGLETRANSLATE(A126, ""it"", ""en"")"),"125")</f>
        <v>125</v>
      </c>
      <c r="G126" s="3" t="str">
        <f>IFERROR(__xludf.DUMMYFUNCTION("GOOGLETRANSLATE(B126, ""it"", ""en"")"),"A player shows ""five"" fingers and shouts ""three."" What happens?")</f>
        <v>A player shows "five" fingers and shouts "three." What happens?</v>
      </c>
      <c r="H126" s="3" t="str">
        <f>IFERROR(__xludf.DUMMYFUNCTION("GOOGLETRANSLATE(C126, ""it"", ""en"")"),"A. The point is cancelled B. The point is awarded to the opponent C. The game continues normally D. The point is awarded")</f>
        <v>A. The point is cancelled B. The point is awarded to the opponent C. The game continues normally D. The point is awarded</v>
      </c>
      <c r="I126" s="3" t="str">
        <f>IFERROR(__xludf.DUMMYFUNCTION("GOOGLETRANSLATE(D126, ""it"", ""en"")"),"The point is cancelled")</f>
        <v>The point is cancelled</v>
      </c>
      <c r="J126" s="2"/>
      <c r="K126" s="2"/>
      <c r="L126" s="2"/>
      <c r="M126" s="2"/>
      <c r="N126" s="2"/>
      <c r="O126" s="2"/>
      <c r="P126" s="2"/>
      <c r="Q126" s="2"/>
      <c r="R126" s="2"/>
      <c r="S126" s="2"/>
      <c r="T126" s="2"/>
      <c r="U126" s="2"/>
      <c r="V126" s="2"/>
    </row>
    <row r="127" ht="22.5" customHeight="1">
      <c r="A127" s="3">
        <v>126.0</v>
      </c>
      <c r="B127" s="3" t="s">
        <v>3953</v>
      </c>
      <c r="C127" s="3" t="s">
        <v>3919</v>
      </c>
      <c r="D127" s="3" t="s">
        <v>616</v>
      </c>
      <c r="E127" s="2"/>
      <c r="F127" s="3" t="str">
        <f>IFERROR(__xludf.DUMMYFUNCTION("GOOGLETRANSLATE(A127, ""it"", ""en"")"),"126")</f>
        <v>126</v>
      </c>
      <c r="G127" s="3" t="str">
        <f>IFERROR(__xludf.DUMMYFUNCTION("GOOGLETRANSLATE(B127, ""it"", ""en"")"),"A player shows ""two"" fingers and shouts ""two."" What happens?")</f>
        <v>A player shows "two" fingers and shouts "two." What happens?</v>
      </c>
      <c r="H127" s="3" t="str">
        <f>IFERROR(__xludf.DUMMYFUNCTION("GOOGLETRANSLATE(C127, ""it"", ""en"")"),"A. The point is awarded B. The point is cancelled C. The game continues normally D. The point is awarded")</f>
        <v>A. The point is awarded B. The point is cancelled C. The game continues normally D. The point is awarded</v>
      </c>
      <c r="I127" s="3" t="str">
        <f>IFERROR(__xludf.DUMMYFUNCTION("GOOGLETRANSLATE(D127, ""it"", ""en"")"),"The point is awarded")</f>
        <v>The point is awarded</v>
      </c>
      <c r="J127" s="2"/>
      <c r="K127" s="2"/>
      <c r="L127" s="2"/>
      <c r="M127" s="2"/>
      <c r="N127" s="2"/>
      <c r="O127" s="2"/>
      <c r="P127" s="2"/>
      <c r="Q127" s="2"/>
      <c r="R127" s="2"/>
      <c r="S127" s="2"/>
      <c r="T127" s="2"/>
      <c r="U127" s="2"/>
      <c r="V127" s="2"/>
    </row>
    <row r="128" ht="22.5" customHeight="1">
      <c r="A128" s="3">
        <v>127.0</v>
      </c>
      <c r="B128" s="3" t="s">
        <v>3937</v>
      </c>
      <c r="C128" s="3" t="s">
        <v>3881</v>
      </c>
      <c r="D128" s="3" t="s">
        <v>956</v>
      </c>
      <c r="E128" s="2"/>
      <c r="F128" s="3" t="str">
        <f>IFERROR(__xludf.DUMMYFUNCTION("GOOGLETRANSLATE(A128, ""it"", ""en"")"),"127")</f>
        <v>127</v>
      </c>
      <c r="G128" s="3" t="str">
        <f>IFERROR(__xludf.DUMMYFUNCTION("GOOGLETRANSLATE(B128, ""it"", ""en"")"),"A player shouts ""four"" and holds up ""two"" fingers. What happens?")</f>
        <v>A player shouts "four" and holds up "two" fingers. What happens?</v>
      </c>
      <c r="H128" s="3" t="str">
        <f>IFERROR(__xludf.DUMMYFUNCTION("GOOGLETRANSLATE(C128, ""it"", ""en"")"),"A. The point is awarded to the opponent B. The point is cancelled C. The game continues normally D. The point is awarded")</f>
        <v>A. The point is awarded to the opponent B. The point is cancelled C. The game continues normally D. The point is awarded</v>
      </c>
      <c r="I128" s="3" t="str">
        <f>IFERROR(__xludf.DUMMYFUNCTION("GOOGLETRANSLATE(D128, ""it"", ""en"")"),"The point is cancelled")</f>
        <v>The point is cancelled</v>
      </c>
      <c r="J128" s="2"/>
      <c r="K128" s="2"/>
      <c r="L128" s="2"/>
      <c r="M128" s="2"/>
      <c r="N128" s="2"/>
      <c r="O128" s="2"/>
      <c r="P128" s="2"/>
      <c r="Q128" s="2"/>
      <c r="R128" s="2"/>
      <c r="S128" s="2"/>
      <c r="T128" s="2"/>
      <c r="U128" s="2"/>
      <c r="V128" s="2"/>
    </row>
    <row r="129" ht="22.5" customHeight="1">
      <c r="A129" s="3">
        <v>128.0</v>
      </c>
      <c r="B129" s="3" t="s">
        <v>3977</v>
      </c>
      <c r="C129" s="3" t="s">
        <v>3881</v>
      </c>
      <c r="D129" s="3" t="s">
        <v>956</v>
      </c>
      <c r="E129" s="2"/>
      <c r="F129" s="3" t="str">
        <f>IFERROR(__xludf.DUMMYFUNCTION("GOOGLETRANSLATE(A129, ""it"", ""en"")"),"128")</f>
        <v>128</v>
      </c>
      <c r="G129" s="3" t="str">
        <f>IFERROR(__xludf.DUMMYFUNCTION("GOOGLETRANSLATE(B129, ""it"", ""en"")"),"A player shouts ""two"" and points ""one"" finger. What happens?")</f>
        <v>A player shouts "two" and points "one" finger. What happens?</v>
      </c>
      <c r="H129" s="3" t="str">
        <f>IFERROR(__xludf.DUMMYFUNCTION("GOOGLETRANSLATE(C129, ""it"", ""en"")"),"A. The point is awarded to the opponent B. The point is cancelled C. The game continues normally D. The point is awarded")</f>
        <v>A. The point is awarded to the opponent B. The point is cancelled C. The game continues normally D. The point is awarded</v>
      </c>
      <c r="I129" s="3" t="str">
        <f>IFERROR(__xludf.DUMMYFUNCTION("GOOGLETRANSLATE(D129, ""it"", ""en"")"),"The point is cancelled")</f>
        <v>The point is cancelled</v>
      </c>
      <c r="J129" s="2"/>
      <c r="K129" s="2"/>
      <c r="L129" s="2"/>
      <c r="M129" s="2"/>
      <c r="N129" s="2"/>
      <c r="O129" s="2"/>
      <c r="P129" s="2"/>
      <c r="Q129" s="2"/>
      <c r="R129" s="2"/>
      <c r="S129" s="2"/>
      <c r="T129" s="2"/>
      <c r="U129" s="2"/>
      <c r="V129" s="2"/>
    </row>
    <row r="130" ht="22.5" customHeight="1">
      <c r="A130" s="3">
        <v>129.0</v>
      </c>
      <c r="B130" s="3" t="s">
        <v>3950</v>
      </c>
      <c r="C130" s="3" t="s">
        <v>3881</v>
      </c>
      <c r="D130" s="3" t="s">
        <v>956</v>
      </c>
      <c r="E130" s="2"/>
      <c r="F130" s="3" t="str">
        <f>IFERROR(__xludf.DUMMYFUNCTION("GOOGLETRANSLATE(A130, ""it"", ""en"")"),"129")</f>
        <v>129</v>
      </c>
      <c r="G130" s="3" t="str">
        <f>IFERROR(__xludf.DUMMYFUNCTION("GOOGLETRANSLATE(B130, ""it"", ""en"")"),"A player shows ""three"" fingers but says ""four."" What happens?")</f>
        <v>A player shows "three" fingers but says "four." What happens?</v>
      </c>
      <c r="H130" s="3" t="str">
        <f>IFERROR(__xludf.DUMMYFUNCTION("GOOGLETRANSLATE(C130, ""it"", ""en"")"),"A. The point is awarded to the opponent B. The point is cancelled C. The game continues normally D. The point is awarded")</f>
        <v>A. The point is awarded to the opponent B. The point is cancelled C. The game continues normally D. The point is awarded</v>
      </c>
      <c r="I130" s="3" t="str">
        <f>IFERROR(__xludf.DUMMYFUNCTION("GOOGLETRANSLATE(D130, ""it"", ""en"")"),"The point is cancelled")</f>
        <v>The point is cancelled</v>
      </c>
      <c r="J130" s="2"/>
      <c r="K130" s="2"/>
      <c r="L130" s="2"/>
      <c r="M130" s="2"/>
      <c r="N130" s="2"/>
      <c r="O130" s="2"/>
      <c r="P130" s="2"/>
      <c r="Q130" s="2"/>
      <c r="R130" s="2"/>
      <c r="S130" s="2"/>
      <c r="T130" s="2"/>
      <c r="U130" s="2"/>
      <c r="V130" s="2"/>
    </row>
    <row r="131" ht="22.5" customHeight="1">
      <c r="A131" s="3">
        <v>130.0</v>
      </c>
      <c r="B131" s="3" t="s">
        <v>3978</v>
      </c>
      <c r="C131" s="3" t="s">
        <v>3881</v>
      </c>
      <c r="D131" s="3" t="s">
        <v>956</v>
      </c>
      <c r="E131" s="2"/>
      <c r="F131" s="3" t="str">
        <f>IFERROR(__xludf.DUMMYFUNCTION("GOOGLETRANSLATE(A131, ""it"", ""en"")"),"130")</f>
        <v>130</v>
      </c>
      <c r="G131" s="3" t="str">
        <f>IFERROR(__xludf.DUMMYFUNCTION("GOOGLETRANSLATE(B131, ""it"", ""en"")"),"A player shows ""five"" fingers but shouts ""two."" What happens?")</f>
        <v>A player shows "five" fingers but shouts "two." What happens?</v>
      </c>
      <c r="H131" s="3" t="str">
        <f>IFERROR(__xludf.DUMMYFUNCTION("GOOGLETRANSLATE(C131, ""it"", ""en"")"),"A. The point is awarded to the opponent B. The point is cancelled C. The game continues normally D. The point is awarded")</f>
        <v>A. The point is awarded to the opponent B. The point is cancelled C. The game continues normally D. The point is awarded</v>
      </c>
      <c r="I131" s="3" t="str">
        <f>IFERROR(__xludf.DUMMYFUNCTION("GOOGLETRANSLATE(D131, ""it"", ""en"")"),"The point is cancelled")</f>
        <v>The point is cancelled</v>
      </c>
      <c r="J131" s="2"/>
      <c r="K131" s="2"/>
      <c r="L131" s="2"/>
      <c r="M131" s="2"/>
      <c r="N131" s="2"/>
      <c r="O131" s="2"/>
      <c r="P131" s="2"/>
      <c r="Q131" s="2"/>
      <c r="R131" s="2"/>
      <c r="S131" s="2"/>
      <c r="T131" s="2"/>
      <c r="U131" s="2"/>
      <c r="V131" s="2"/>
    </row>
    <row r="132" ht="22.5" customHeight="1">
      <c r="A132" s="3">
        <v>131.0</v>
      </c>
      <c r="B132" s="3" t="s">
        <v>3979</v>
      </c>
      <c r="C132" s="3" t="s">
        <v>3881</v>
      </c>
      <c r="D132" s="3" t="s">
        <v>956</v>
      </c>
      <c r="E132" s="2"/>
      <c r="F132" s="3" t="str">
        <f>IFERROR(__xludf.DUMMYFUNCTION("GOOGLETRANSLATE(A132, ""it"", ""en"")"),"131")</f>
        <v>131</v>
      </c>
      <c r="G132" s="3" t="str">
        <f>IFERROR(__xludf.DUMMYFUNCTION("GOOGLETRANSLATE(B132, ""it"", ""en"")"),"A player shouts ""three"" and shows ""two"" fingers. What happens?")</f>
        <v>A player shouts "three" and shows "two" fingers. What happens?</v>
      </c>
      <c r="H132" s="3" t="str">
        <f>IFERROR(__xludf.DUMMYFUNCTION("GOOGLETRANSLATE(C132, ""it"", ""en"")"),"A. The point is awarded to the opponent B. The point is cancelled C. The game continues normally D. The point is awarded")</f>
        <v>A. The point is awarded to the opponent B. The point is cancelled C. The game continues normally D. The point is awarded</v>
      </c>
      <c r="I132" s="3" t="str">
        <f>IFERROR(__xludf.DUMMYFUNCTION("GOOGLETRANSLATE(D132, ""it"", ""en"")"),"The point is cancelled")</f>
        <v>The point is cancelled</v>
      </c>
      <c r="J132" s="2"/>
      <c r="K132" s="2"/>
      <c r="L132" s="2"/>
      <c r="M132" s="2"/>
      <c r="N132" s="2"/>
      <c r="O132" s="2"/>
      <c r="P132" s="2"/>
      <c r="Q132" s="2"/>
      <c r="R132" s="2"/>
      <c r="S132" s="2"/>
      <c r="T132" s="2"/>
      <c r="U132" s="2"/>
      <c r="V132" s="2"/>
    </row>
    <row r="133" ht="22.5" customHeight="1">
      <c r="A133" s="3">
        <v>132.0</v>
      </c>
      <c r="B133" s="3" t="s">
        <v>3980</v>
      </c>
      <c r="C133" s="3" t="s">
        <v>3881</v>
      </c>
      <c r="D133" s="3" t="s">
        <v>956</v>
      </c>
      <c r="E133" s="2"/>
      <c r="F133" s="3" t="str">
        <f>IFERROR(__xludf.DUMMYFUNCTION("GOOGLETRANSLATE(A133, ""it"", ""en"")"),"132")</f>
        <v>132</v>
      </c>
      <c r="G133" s="3" t="str">
        <f>IFERROR(__xludf.DUMMYFUNCTION("GOOGLETRANSLATE(B133, ""it"", ""en"")"),"A player says ""two"" and shows ""four"" fingers. What happens?")</f>
        <v>A player says "two" and shows "four" fingers. What happens?</v>
      </c>
      <c r="H133" s="3" t="str">
        <f>IFERROR(__xludf.DUMMYFUNCTION("GOOGLETRANSLATE(C133, ""it"", ""en"")"),"A. The point is awarded to the opponent B. The point is cancelled C. The game continues normally D. The point is awarded")</f>
        <v>A. The point is awarded to the opponent B. The point is cancelled C. The game continues normally D. The point is awarded</v>
      </c>
      <c r="I133" s="3" t="str">
        <f>IFERROR(__xludf.DUMMYFUNCTION("GOOGLETRANSLATE(D133, ""it"", ""en"")"),"The point is cancelled")</f>
        <v>The point is cancelled</v>
      </c>
      <c r="J133" s="2"/>
      <c r="K133" s="2"/>
      <c r="L133" s="2"/>
      <c r="M133" s="2"/>
      <c r="N133" s="2"/>
      <c r="O133" s="2"/>
      <c r="P133" s="2"/>
      <c r="Q133" s="2"/>
      <c r="R133" s="2"/>
      <c r="S133" s="2"/>
      <c r="T133" s="2"/>
      <c r="U133" s="2"/>
      <c r="V133" s="2"/>
    </row>
    <row r="134" ht="22.5" customHeight="1">
      <c r="A134" s="3">
        <v>133.0</v>
      </c>
      <c r="B134" s="3" t="s">
        <v>3891</v>
      </c>
      <c r="C134" s="3" t="s">
        <v>3919</v>
      </c>
      <c r="D134" s="3" t="s">
        <v>616</v>
      </c>
      <c r="E134" s="2"/>
      <c r="F134" s="3" t="str">
        <f>IFERROR(__xludf.DUMMYFUNCTION("GOOGLETRANSLATE(A134, ""it"", ""en"")"),"133")</f>
        <v>133</v>
      </c>
      <c r="G134" s="3" t="str">
        <f>IFERROR(__xludf.DUMMYFUNCTION("GOOGLETRANSLATE(B134, ""it"", ""en"")"),"A player shouts ""four"" and shows ""four"" fingers. What happens?")</f>
        <v>A player shouts "four" and shows "four" fingers. What happens?</v>
      </c>
      <c r="H134" s="3" t="str">
        <f>IFERROR(__xludf.DUMMYFUNCTION("GOOGLETRANSLATE(C134, ""it"", ""en"")"),"A. The point is awarded B. The point is cancelled C. The game continues normally D. The point is awarded")</f>
        <v>A. The point is awarded B. The point is cancelled C. The game continues normally D. The point is awarded</v>
      </c>
      <c r="I134" s="3" t="str">
        <f>IFERROR(__xludf.DUMMYFUNCTION("GOOGLETRANSLATE(D134, ""it"", ""en"")"),"The point is awarded")</f>
        <v>The point is awarded</v>
      </c>
      <c r="J134" s="2"/>
      <c r="K134" s="2"/>
      <c r="L134" s="2"/>
      <c r="M134" s="2"/>
      <c r="N134" s="2"/>
      <c r="O134" s="2"/>
      <c r="P134" s="2"/>
      <c r="Q134" s="2"/>
      <c r="R134" s="2"/>
      <c r="S134" s="2"/>
      <c r="T134" s="2"/>
      <c r="U134" s="2"/>
      <c r="V134" s="2"/>
    </row>
    <row r="135" ht="22.5" customHeight="1">
      <c r="A135" s="3">
        <v>134.0</v>
      </c>
      <c r="B135" s="3" t="s">
        <v>3947</v>
      </c>
      <c r="C135" s="3" t="s">
        <v>3881</v>
      </c>
      <c r="D135" s="3" t="s">
        <v>956</v>
      </c>
      <c r="E135" s="2"/>
      <c r="F135" s="3" t="str">
        <f>IFERROR(__xludf.DUMMYFUNCTION("GOOGLETRANSLATE(A135, ""it"", ""en"")"),"134")</f>
        <v>134</v>
      </c>
      <c r="G135" s="3" t="str">
        <f>IFERROR(__xludf.DUMMYFUNCTION("GOOGLETRANSLATE(B135, ""it"", ""en"")"),"A player shows ""two"" fingers and shouts ""five."" What happens?")</f>
        <v>A player shows "two" fingers and shouts "five." What happens?</v>
      </c>
      <c r="H135" s="3" t="str">
        <f>IFERROR(__xludf.DUMMYFUNCTION("GOOGLETRANSLATE(C135, ""it"", ""en"")"),"A. The point is awarded to the opponent B. The point is cancelled C. The game continues normally D. The point is awarded")</f>
        <v>A. The point is awarded to the opponent B. The point is cancelled C. The game continues normally D. The point is awarded</v>
      </c>
      <c r="I135" s="3" t="str">
        <f>IFERROR(__xludf.DUMMYFUNCTION("GOOGLETRANSLATE(D135, ""it"", ""en"")"),"The point is cancelled")</f>
        <v>The point is cancelled</v>
      </c>
      <c r="J135" s="2"/>
      <c r="K135" s="2"/>
      <c r="L135" s="2"/>
      <c r="M135" s="2"/>
      <c r="N135" s="2"/>
      <c r="O135" s="2"/>
      <c r="P135" s="2"/>
      <c r="Q135" s="2"/>
      <c r="R135" s="2"/>
      <c r="S135" s="2"/>
      <c r="T135" s="2"/>
      <c r="U135" s="2"/>
      <c r="V135" s="2"/>
    </row>
    <row r="136" ht="22.5" customHeight="1">
      <c r="A136" s="3">
        <v>135.0</v>
      </c>
      <c r="B136" s="3" t="s">
        <v>3971</v>
      </c>
      <c r="C136" s="3" t="s">
        <v>3881</v>
      </c>
      <c r="D136" s="3" t="s">
        <v>956</v>
      </c>
      <c r="E136" s="2"/>
      <c r="F136" s="3" t="str">
        <f>IFERROR(__xludf.DUMMYFUNCTION("GOOGLETRANSLATE(A136, ""it"", ""en"")"),"135")</f>
        <v>135</v>
      </c>
      <c r="G136" s="3" t="str">
        <f>IFERROR(__xludf.DUMMYFUNCTION("GOOGLETRANSLATE(B136, ""it"", ""en"")"),"A player shouts ""three"" but shows ""one"" finger. What happens?")</f>
        <v>A player shouts "three" but shows "one" finger. What happens?</v>
      </c>
      <c r="H136" s="3" t="str">
        <f>IFERROR(__xludf.DUMMYFUNCTION("GOOGLETRANSLATE(C136, ""it"", ""en"")"),"A. The point is awarded to the opponent B. The point is cancelled C. The game continues normally D. The point is awarded")</f>
        <v>A. The point is awarded to the opponent B. The point is cancelled C. The game continues normally D. The point is awarded</v>
      </c>
      <c r="I136" s="3" t="str">
        <f>IFERROR(__xludf.DUMMYFUNCTION("GOOGLETRANSLATE(D136, ""it"", ""en"")"),"The point is cancelled")</f>
        <v>The point is cancelled</v>
      </c>
      <c r="J136" s="2"/>
      <c r="K136" s="2"/>
      <c r="L136" s="2"/>
      <c r="M136" s="2"/>
      <c r="N136" s="2"/>
      <c r="O136" s="2"/>
      <c r="P136" s="2"/>
      <c r="Q136" s="2"/>
      <c r="R136" s="2"/>
      <c r="S136" s="2"/>
      <c r="T136" s="2"/>
      <c r="U136" s="2"/>
      <c r="V136" s="2"/>
    </row>
    <row r="137" ht="22.5" customHeight="1">
      <c r="A137" s="3">
        <v>136.0</v>
      </c>
      <c r="B137" s="3" t="s">
        <v>3968</v>
      </c>
      <c r="C137" s="3" t="s">
        <v>3881</v>
      </c>
      <c r="D137" s="3" t="s">
        <v>956</v>
      </c>
      <c r="E137" s="2"/>
      <c r="F137" s="3" t="str">
        <f>IFERROR(__xludf.DUMMYFUNCTION("GOOGLETRANSLATE(A137, ""it"", ""en"")"),"136")</f>
        <v>136</v>
      </c>
      <c r="G137" s="3" t="str">
        <f>IFERROR(__xludf.DUMMYFUNCTION("GOOGLETRANSLATE(B137, ""it"", ""en"")"),"A player shouts ""two"" and shows ""three"" fingers. What happens?")</f>
        <v>A player shouts "two" and shows "three" fingers. What happens?</v>
      </c>
      <c r="H137" s="3" t="str">
        <f>IFERROR(__xludf.DUMMYFUNCTION("GOOGLETRANSLATE(C137, ""it"", ""en"")"),"A. The point is awarded to the opponent B. The point is cancelled C. The game continues normally D. The point is awarded")</f>
        <v>A. The point is awarded to the opponent B. The point is cancelled C. The game continues normally D. The point is awarded</v>
      </c>
      <c r="I137" s="3" t="str">
        <f>IFERROR(__xludf.DUMMYFUNCTION("GOOGLETRANSLATE(D137, ""it"", ""en"")"),"The point is cancelled")</f>
        <v>The point is cancelled</v>
      </c>
      <c r="J137" s="2"/>
      <c r="K137" s="2"/>
      <c r="L137" s="2"/>
      <c r="M137" s="2"/>
      <c r="N137" s="2"/>
      <c r="O137" s="2"/>
      <c r="P137" s="2"/>
      <c r="Q137" s="2"/>
      <c r="R137" s="2"/>
      <c r="S137" s="2"/>
      <c r="T137" s="2"/>
      <c r="U137" s="2"/>
      <c r="V137" s="2"/>
    </row>
    <row r="138" ht="22.5" customHeight="1">
      <c r="A138" s="3">
        <v>137.0</v>
      </c>
      <c r="B138" s="3" t="s">
        <v>3880</v>
      </c>
      <c r="C138" s="3" t="s">
        <v>3881</v>
      </c>
      <c r="D138" s="3" t="s">
        <v>956</v>
      </c>
      <c r="E138" s="2"/>
      <c r="F138" s="3" t="str">
        <f>IFERROR(__xludf.DUMMYFUNCTION("GOOGLETRANSLATE(A138, ""it"", ""en"")"),"137")</f>
        <v>137</v>
      </c>
      <c r="G138" s="3" t="str">
        <f>IFERROR(__xludf.DUMMYFUNCTION("GOOGLETRANSLATE(B138, ""it"", ""en"")"),"A player shouts ""five"" but shows ""four"" fingers. What happens?")</f>
        <v>A player shouts "five" but shows "four" fingers. What happens?</v>
      </c>
      <c r="H138" s="3" t="str">
        <f>IFERROR(__xludf.DUMMYFUNCTION("GOOGLETRANSLATE(C138, ""it"", ""en"")"),"A. The point is awarded to the opponent B. The point is cancelled C. The game continues normally D. The point is awarded")</f>
        <v>A. The point is awarded to the opponent B. The point is cancelled C. The game continues normally D. The point is awarded</v>
      </c>
      <c r="I138" s="3" t="str">
        <f>IFERROR(__xludf.DUMMYFUNCTION("GOOGLETRANSLATE(D138, ""it"", ""en"")"),"The point is cancelled")</f>
        <v>The point is cancelled</v>
      </c>
      <c r="J138" s="2"/>
      <c r="K138" s="2"/>
      <c r="L138" s="2"/>
      <c r="M138" s="2"/>
      <c r="N138" s="2"/>
      <c r="O138" s="2"/>
      <c r="P138" s="2"/>
      <c r="Q138" s="2"/>
      <c r="R138" s="2"/>
      <c r="S138" s="2"/>
      <c r="T138" s="2"/>
      <c r="U138" s="2"/>
      <c r="V138" s="2"/>
    </row>
    <row r="139" ht="22.5" customHeight="1">
      <c r="A139" s="3">
        <v>138.0</v>
      </c>
      <c r="B139" s="3" t="s">
        <v>3952</v>
      </c>
      <c r="C139" s="3" t="s">
        <v>3919</v>
      </c>
      <c r="D139" s="3" t="s">
        <v>616</v>
      </c>
      <c r="E139" s="2"/>
      <c r="F139" s="3" t="str">
        <f>IFERROR(__xludf.DUMMYFUNCTION("GOOGLETRANSLATE(A139, ""it"", ""en"")"),"138")</f>
        <v>138</v>
      </c>
      <c r="G139" s="3" t="str">
        <f>IFERROR(__xludf.DUMMYFUNCTION("GOOGLETRANSLATE(B139, ""it"", ""en"")"),"A player shows ""four"" fingers and shouts ""four."" What happens?")</f>
        <v>A player shows "four" fingers and shouts "four." What happens?</v>
      </c>
      <c r="H139" s="3" t="str">
        <f>IFERROR(__xludf.DUMMYFUNCTION("GOOGLETRANSLATE(C139, ""it"", ""en"")"),"A. The point is awarded B. The point is cancelled C. The game continues normally D. The point is awarded")</f>
        <v>A. The point is awarded B. The point is cancelled C. The game continues normally D. The point is awarded</v>
      </c>
      <c r="I139" s="3" t="str">
        <f>IFERROR(__xludf.DUMMYFUNCTION("GOOGLETRANSLATE(D139, ""it"", ""en"")"),"The point is awarded")</f>
        <v>The point is awarded</v>
      </c>
      <c r="J139" s="2"/>
      <c r="K139" s="2"/>
      <c r="L139" s="2"/>
      <c r="M139" s="2"/>
      <c r="N139" s="2"/>
      <c r="O139" s="2"/>
      <c r="P139" s="2"/>
      <c r="Q139" s="2"/>
      <c r="R139" s="2"/>
      <c r="S139" s="2"/>
      <c r="T139" s="2"/>
      <c r="U139" s="2"/>
      <c r="V139" s="2"/>
    </row>
    <row r="140" ht="22.5" customHeight="1">
      <c r="A140" s="3">
        <v>139.0</v>
      </c>
      <c r="B140" s="3" t="s">
        <v>3981</v>
      </c>
      <c r="C140" s="3" t="s">
        <v>3881</v>
      </c>
      <c r="D140" s="3" t="s">
        <v>956</v>
      </c>
      <c r="E140" s="2"/>
      <c r="F140" s="3" t="str">
        <f>IFERROR(__xludf.DUMMYFUNCTION("GOOGLETRANSLATE(A140, ""it"", ""en"")"),"139")</f>
        <v>139</v>
      </c>
      <c r="G140" s="3" t="str">
        <f>IFERROR(__xludf.DUMMYFUNCTION("GOOGLETRANSLATE(B140, ""it"", ""en"")"),"A player shouts ""one"" and shows ""two"" fingers. What happens?")</f>
        <v>A player shouts "one" and shows "two" fingers. What happens?</v>
      </c>
      <c r="H140" s="3" t="str">
        <f>IFERROR(__xludf.DUMMYFUNCTION("GOOGLETRANSLATE(C140, ""it"", ""en"")"),"A. The point is awarded to the opponent B. The point is cancelled C. The game continues normally D. The point is awarded")</f>
        <v>A. The point is awarded to the opponent B. The point is cancelled C. The game continues normally D. The point is awarded</v>
      </c>
      <c r="I140" s="3" t="str">
        <f>IFERROR(__xludf.DUMMYFUNCTION("GOOGLETRANSLATE(D140, ""it"", ""en"")"),"The point is cancelled")</f>
        <v>The point is cancelled</v>
      </c>
      <c r="J140" s="2"/>
      <c r="K140" s="2"/>
      <c r="L140" s="2"/>
      <c r="M140" s="2"/>
      <c r="N140" s="2"/>
      <c r="O140" s="2"/>
      <c r="P140" s="2"/>
      <c r="Q140" s="2"/>
      <c r="R140" s="2"/>
      <c r="S140" s="2"/>
      <c r="T140" s="2"/>
      <c r="U140" s="2"/>
      <c r="V140" s="2"/>
    </row>
    <row r="141" ht="22.5" customHeight="1">
      <c r="A141" s="3">
        <v>140.0</v>
      </c>
      <c r="B141" s="3" t="s">
        <v>3940</v>
      </c>
      <c r="C141" s="3" t="s">
        <v>3919</v>
      </c>
      <c r="D141" s="3" t="s">
        <v>616</v>
      </c>
      <c r="E141" s="2"/>
      <c r="F141" s="3" t="str">
        <f>IFERROR(__xludf.DUMMYFUNCTION("GOOGLETRANSLATE(A141, ""it"", ""en"")"),"140")</f>
        <v>140</v>
      </c>
      <c r="G141" s="3" t="str">
        <f>IFERROR(__xludf.DUMMYFUNCTION("GOOGLETRANSLATE(B141, ""it"", ""en"")"),"A player shows ""two"" fingers and says ""two."" What happens?")</f>
        <v>A player shows "two" fingers and says "two." What happens?</v>
      </c>
      <c r="H141" s="3" t="str">
        <f>IFERROR(__xludf.DUMMYFUNCTION("GOOGLETRANSLATE(C141, ""it"", ""en"")"),"A. The point is awarded B. The point is cancelled C. The game continues normally D. The point is awarded")</f>
        <v>A. The point is awarded B. The point is cancelled C. The game continues normally D. The point is awarded</v>
      </c>
      <c r="I141" s="3" t="str">
        <f>IFERROR(__xludf.DUMMYFUNCTION("GOOGLETRANSLATE(D141, ""it"", ""en"")"),"The point is awarded")</f>
        <v>The point is awarded</v>
      </c>
      <c r="J141" s="2"/>
      <c r="K141" s="2"/>
      <c r="L141" s="2"/>
      <c r="M141" s="2"/>
      <c r="N141" s="2"/>
      <c r="O141" s="2"/>
      <c r="P141" s="2"/>
      <c r="Q141" s="2"/>
      <c r="R141" s="2"/>
      <c r="S141" s="2"/>
      <c r="T141" s="2"/>
      <c r="U141" s="2"/>
      <c r="V141" s="2"/>
    </row>
    <row r="142" ht="22.5" customHeight="1">
      <c r="A142" s="3">
        <v>141.0</v>
      </c>
      <c r="B142" s="3" t="s">
        <v>3982</v>
      </c>
      <c r="C142" s="3" t="s">
        <v>3881</v>
      </c>
      <c r="D142" s="3" t="s">
        <v>956</v>
      </c>
      <c r="E142" s="2"/>
      <c r="F142" s="3" t="str">
        <f>IFERROR(__xludf.DUMMYFUNCTION("GOOGLETRANSLATE(A142, ""it"", ""en"")"),"141")</f>
        <v>141</v>
      </c>
      <c r="G142" s="3" t="str">
        <f>IFERROR(__xludf.DUMMYFUNCTION("GOOGLETRANSLATE(B142, ""it"", ""en"")"),"A player shouts ""three"" and shows ""four"" fingers. What happens?")</f>
        <v>A player shouts "three" and shows "four" fingers. What happens?</v>
      </c>
      <c r="H142" s="3" t="str">
        <f>IFERROR(__xludf.DUMMYFUNCTION("GOOGLETRANSLATE(C142, ""it"", ""en"")"),"A. The point is awarded to the opponent B. The point is cancelled C. The game continues normally D. The point is awarded")</f>
        <v>A. The point is awarded to the opponent B. The point is cancelled C. The game continues normally D. The point is awarded</v>
      </c>
      <c r="I142" s="3" t="str">
        <f>IFERROR(__xludf.DUMMYFUNCTION("GOOGLETRANSLATE(D142, ""it"", ""en"")"),"The point is cancelled")</f>
        <v>The point is cancelled</v>
      </c>
      <c r="J142" s="2"/>
      <c r="K142" s="2"/>
      <c r="L142" s="2"/>
      <c r="M142" s="2"/>
      <c r="N142" s="2"/>
      <c r="O142" s="2"/>
      <c r="P142" s="2"/>
      <c r="Q142" s="2"/>
      <c r="R142" s="2"/>
      <c r="S142" s="2"/>
      <c r="T142" s="2"/>
      <c r="U142" s="2"/>
      <c r="V142" s="2"/>
    </row>
    <row r="143" ht="22.5" customHeight="1">
      <c r="A143" s="3">
        <v>142.0</v>
      </c>
      <c r="B143" s="3" t="s">
        <v>3931</v>
      </c>
      <c r="C143" s="3" t="s">
        <v>3881</v>
      </c>
      <c r="D143" s="3" t="s">
        <v>956</v>
      </c>
      <c r="E143" s="2"/>
      <c r="F143" s="3" t="str">
        <f>IFERROR(__xludf.DUMMYFUNCTION("GOOGLETRANSLATE(A143, ""it"", ""en"")"),"142")</f>
        <v>142</v>
      </c>
      <c r="G143" s="3" t="str">
        <f>IFERROR(__xludf.DUMMYFUNCTION("GOOGLETRANSLATE(B143, ""it"", ""en"")"),"A player shows ""five"" fingers and says ""three."" What happens?")</f>
        <v>A player shows "five" fingers and says "three." What happens?</v>
      </c>
      <c r="H143" s="3" t="str">
        <f>IFERROR(__xludf.DUMMYFUNCTION("GOOGLETRANSLATE(C143, ""it"", ""en"")"),"A. The point is awarded to the opponent B. The point is cancelled C. The game continues normally D. The point is awarded")</f>
        <v>A. The point is awarded to the opponent B. The point is cancelled C. The game continues normally D. The point is awarded</v>
      </c>
      <c r="I143" s="3" t="str">
        <f>IFERROR(__xludf.DUMMYFUNCTION("GOOGLETRANSLATE(D143, ""it"", ""en"")"),"The point is cancelled")</f>
        <v>The point is cancelled</v>
      </c>
      <c r="J143" s="2"/>
      <c r="K143" s="2"/>
      <c r="L143" s="2"/>
      <c r="M143" s="2"/>
      <c r="N143" s="2"/>
      <c r="O143" s="2"/>
      <c r="P143" s="2"/>
      <c r="Q143" s="2"/>
      <c r="R143" s="2"/>
      <c r="S143" s="2"/>
      <c r="T143" s="2"/>
      <c r="U143" s="2"/>
      <c r="V143" s="2"/>
    </row>
    <row r="144" ht="22.5" customHeight="1">
      <c r="A144" s="3">
        <v>143.0</v>
      </c>
      <c r="B144" s="3" t="s">
        <v>3974</v>
      </c>
      <c r="C144" s="3" t="s">
        <v>3881</v>
      </c>
      <c r="D144" s="3" t="s">
        <v>956</v>
      </c>
      <c r="E144" s="2"/>
      <c r="F144" s="3" t="str">
        <f>IFERROR(__xludf.DUMMYFUNCTION("GOOGLETRANSLATE(A144, ""it"", ""en"")"),"143")</f>
        <v>143</v>
      </c>
      <c r="G144" s="3" t="str">
        <f>IFERROR(__xludf.DUMMYFUNCTION("GOOGLETRANSLATE(B144, ""it"", ""en"")"),"A player shows ""two"" fingers and shouts ""four."" What happens?")</f>
        <v>A player shows "two" fingers and shouts "four." What happens?</v>
      </c>
      <c r="H144" s="3" t="str">
        <f>IFERROR(__xludf.DUMMYFUNCTION("GOOGLETRANSLATE(C144, ""it"", ""en"")"),"A. The point is awarded to the opponent B. The point is cancelled C. The game continues normally D. The point is awarded")</f>
        <v>A. The point is awarded to the opponent B. The point is cancelled C. The game continues normally D. The point is awarded</v>
      </c>
      <c r="I144" s="3" t="str">
        <f>IFERROR(__xludf.DUMMYFUNCTION("GOOGLETRANSLATE(D144, ""it"", ""en"")"),"The point is cancelled")</f>
        <v>The point is cancelled</v>
      </c>
      <c r="J144" s="2"/>
      <c r="K144" s="2"/>
      <c r="L144" s="2"/>
      <c r="M144" s="2"/>
      <c r="N144" s="2"/>
      <c r="O144" s="2"/>
      <c r="P144" s="2"/>
      <c r="Q144" s="2"/>
      <c r="R144" s="2"/>
      <c r="S144" s="2"/>
      <c r="T144" s="2"/>
      <c r="U144" s="2"/>
      <c r="V144" s="2"/>
    </row>
    <row r="145" ht="22.5" customHeight="1">
      <c r="A145" s="3">
        <v>144.0</v>
      </c>
      <c r="B145" s="3" t="s">
        <v>3876</v>
      </c>
      <c r="C145" s="3" t="s">
        <v>3919</v>
      </c>
      <c r="D145" s="3" t="s">
        <v>616</v>
      </c>
      <c r="E145" s="2"/>
      <c r="F145" s="3" t="str">
        <f>IFERROR(__xludf.DUMMYFUNCTION("GOOGLETRANSLATE(A145, ""it"", ""en"")"),"144")</f>
        <v>144</v>
      </c>
      <c r="G145" s="3" t="str">
        <f>IFERROR(__xludf.DUMMYFUNCTION("GOOGLETRANSLATE(B145, ""it"", ""en"")"),"A player shouts ""two"" and shows ""two"" fingers. What happens?")</f>
        <v>A player shouts "two" and shows "two" fingers. What happens?</v>
      </c>
      <c r="H145" s="3" t="str">
        <f>IFERROR(__xludf.DUMMYFUNCTION("GOOGLETRANSLATE(C145, ""it"", ""en"")"),"A. The point is awarded B. The point is cancelled C. The game continues normally D. The point is awarded")</f>
        <v>A. The point is awarded B. The point is cancelled C. The game continues normally D. The point is awarded</v>
      </c>
      <c r="I145" s="3" t="str">
        <f>IFERROR(__xludf.DUMMYFUNCTION("GOOGLETRANSLATE(D145, ""it"", ""en"")"),"The point is awarded")</f>
        <v>The point is awarded</v>
      </c>
      <c r="J145" s="2"/>
      <c r="K145" s="2"/>
      <c r="L145" s="2"/>
      <c r="M145" s="2"/>
      <c r="N145" s="2"/>
      <c r="O145" s="2"/>
      <c r="P145" s="2"/>
      <c r="Q145" s="2"/>
      <c r="R145" s="2"/>
      <c r="S145" s="2"/>
      <c r="T145" s="2"/>
      <c r="U145" s="2"/>
      <c r="V145" s="2"/>
    </row>
    <row r="146" ht="22.5" customHeight="1">
      <c r="A146" s="3">
        <v>145.0</v>
      </c>
      <c r="B146" s="3" t="s">
        <v>3948</v>
      </c>
      <c r="C146" s="3" t="s">
        <v>3881</v>
      </c>
      <c r="D146" s="3" t="s">
        <v>956</v>
      </c>
      <c r="E146" s="2"/>
      <c r="F146" s="3" t="str">
        <f>IFERROR(__xludf.DUMMYFUNCTION("GOOGLETRANSLATE(A146, ""it"", ""en"")"),"145")</f>
        <v>145</v>
      </c>
      <c r="G146" s="3" t="str">
        <f>IFERROR(__xludf.DUMMYFUNCTION("GOOGLETRANSLATE(B146, ""it"", ""en"")"),"A player shows ""three"" fingers and shouts ""two."" What happens?")</f>
        <v>A player shows "three" fingers and shouts "two." What happens?</v>
      </c>
      <c r="H146" s="3" t="str">
        <f>IFERROR(__xludf.DUMMYFUNCTION("GOOGLETRANSLATE(C146, ""it"", ""en"")"),"A. The point is awarded to the opponent B. The point is cancelled C. The game continues normally D. The point is awarded")</f>
        <v>A. The point is awarded to the opponent B. The point is cancelled C. The game continues normally D. The point is awarded</v>
      </c>
      <c r="I146" s="3" t="str">
        <f>IFERROR(__xludf.DUMMYFUNCTION("GOOGLETRANSLATE(D146, ""it"", ""en"")"),"The point is cancelled")</f>
        <v>The point is cancelled</v>
      </c>
      <c r="J146" s="2"/>
      <c r="K146" s="2"/>
      <c r="L146" s="2"/>
      <c r="M146" s="2"/>
      <c r="N146" s="2"/>
      <c r="O146" s="2"/>
      <c r="P146" s="2"/>
      <c r="Q146" s="2"/>
      <c r="R146" s="2"/>
      <c r="S146" s="2"/>
      <c r="T146" s="2"/>
      <c r="U146" s="2"/>
      <c r="V146" s="2"/>
    </row>
    <row r="147" ht="22.5" customHeight="1">
      <c r="A147" s="3">
        <v>146.0</v>
      </c>
      <c r="B147" s="3" t="s">
        <v>3959</v>
      </c>
      <c r="C147" s="3" t="s">
        <v>3919</v>
      </c>
      <c r="D147" s="3" t="s">
        <v>616</v>
      </c>
      <c r="E147" s="2"/>
      <c r="F147" s="3" t="str">
        <f>IFERROR(__xludf.DUMMYFUNCTION("GOOGLETRANSLATE(A147, ""it"", ""en"")"),"146")</f>
        <v>146</v>
      </c>
      <c r="G147" s="3" t="str">
        <f>IFERROR(__xludf.DUMMYFUNCTION("GOOGLETRANSLATE(B147, ""it"", ""en"")"),"A player shouts ""five"" and holds up five fingers. What happens?")</f>
        <v>A player shouts "five" and holds up five fingers. What happens?</v>
      </c>
      <c r="H147" s="3" t="str">
        <f>IFERROR(__xludf.DUMMYFUNCTION("GOOGLETRANSLATE(C147, ""it"", ""en"")"),"A. The point is awarded B. The point is cancelled C. The game continues normally D. The point is awarded")</f>
        <v>A. The point is awarded B. The point is cancelled C. The game continues normally D. The point is awarded</v>
      </c>
      <c r="I147" s="3" t="str">
        <f>IFERROR(__xludf.DUMMYFUNCTION("GOOGLETRANSLATE(D147, ""it"", ""en"")"),"The point is awarded")</f>
        <v>The point is awarded</v>
      </c>
      <c r="J147" s="2"/>
      <c r="K147" s="2"/>
      <c r="L147" s="2"/>
      <c r="M147" s="2"/>
      <c r="N147" s="2"/>
      <c r="O147" s="2"/>
      <c r="P147" s="2"/>
      <c r="Q147" s="2"/>
      <c r="R147" s="2"/>
      <c r="S147" s="2"/>
      <c r="T147" s="2"/>
      <c r="U147" s="2"/>
      <c r="V147" s="2"/>
    </row>
    <row r="148" ht="22.5" customHeight="1">
      <c r="A148" s="3">
        <v>147.0</v>
      </c>
      <c r="B148" s="3" t="s">
        <v>3960</v>
      </c>
      <c r="C148" s="3" t="s">
        <v>3881</v>
      </c>
      <c r="D148" s="3" t="s">
        <v>956</v>
      </c>
      <c r="E148" s="2"/>
      <c r="F148" s="3" t="str">
        <f>IFERROR(__xludf.DUMMYFUNCTION("GOOGLETRANSLATE(A148, ""it"", ""en"")"),"147")</f>
        <v>147</v>
      </c>
      <c r="G148" s="3" t="str">
        <f>IFERROR(__xludf.DUMMYFUNCTION("GOOGLETRANSLATE(B148, ""it"", ""en"")"),"A player shows ""two"" fingers and shouts ""three."" What happens?")</f>
        <v>A player shows "two" fingers and shouts "three." What happens?</v>
      </c>
      <c r="H148" s="3" t="str">
        <f>IFERROR(__xludf.DUMMYFUNCTION("GOOGLETRANSLATE(C148, ""it"", ""en"")"),"A. The point is awarded to the opponent B. The point is cancelled C. The game continues normally D. The point is awarded")</f>
        <v>A. The point is awarded to the opponent B. The point is cancelled C. The game continues normally D. The point is awarded</v>
      </c>
      <c r="I148" s="3" t="str">
        <f>IFERROR(__xludf.DUMMYFUNCTION("GOOGLETRANSLATE(D148, ""it"", ""en"")"),"The point is cancelled")</f>
        <v>The point is cancelled</v>
      </c>
      <c r="J148" s="2"/>
      <c r="K148" s="2"/>
      <c r="L148" s="2"/>
      <c r="M148" s="2"/>
      <c r="N148" s="2"/>
      <c r="O148" s="2"/>
      <c r="P148" s="2"/>
      <c r="Q148" s="2"/>
      <c r="R148" s="2"/>
      <c r="S148" s="2"/>
      <c r="T148" s="2"/>
      <c r="U148" s="2"/>
      <c r="V148" s="2"/>
    </row>
    <row r="149" ht="22.5" customHeight="1">
      <c r="A149" s="3">
        <v>148.0</v>
      </c>
      <c r="B149" s="3" t="s">
        <v>3891</v>
      </c>
      <c r="C149" s="3" t="s">
        <v>3919</v>
      </c>
      <c r="D149" s="3" t="s">
        <v>616</v>
      </c>
      <c r="E149" s="2"/>
      <c r="F149" s="3" t="str">
        <f>IFERROR(__xludf.DUMMYFUNCTION("GOOGLETRANSLATE(A149, ""it"", ""en"")"),"148")</f>
        <v>148</v>
      </c>
      <c r="G149" s="3" t="str">
        <f>IFERROR(__xludf.DUMMYFUNCTION("GOOGLETRANSLATE(B149, ""it"", ""en"")"),"A player shouts ""four"" and shows ""four"" fingers. What happens?")</f>
        <v>A player shouts "four" and shows "four" fingers. What happens?</v>
      </c>
      <c r="H149" s="3" t="str">
        <f>IFERROR(__xludf.DUMMYFUNCTION("GOOGLETRANSLATE(C149, ""it"", ""en"")"),"A. The point is awarded B. The point is cancelled C. The game continues normally D. The point is awarded")</f>
        <v>A. The point is awarded B. The point is cancelled C. The game continues normally D. The point is awarded</v>
      </c>
      <c r="I149" s="3" t="str">
        <f>IFERROR(__xludf.DUMMYFUNCTION("GOOGLETRANSLATE(D149, ""it"", ""en"")"),"The point is awarded")</f>
        <v>The point is awarded</v>
      </c>
      <c r="J149" s="2"/>
      <c r="K149" s="2"/>
      <c r="L149" s="2"/>
      <c r="M149" s="2"/>
      <c r="N149" s="2"/>
      <c r="O149" s="2"/>
      <c r="P149" s="2"/>
      <c r="Q149" s="2"/>
      <c r="R149" s="2"/>
      <c r="S149" s="2"/>
      <c r="T149" s="2"/>
      <c r="U149" s="2"/>
      <c r="V149" s="2"/>
    </row>
    <row r="150" ht="22.5" customHeight="1">
      <c r="A150" s="3">
        <v>149.0</v>
      </c>
      <c r="B150" s="3" t="s">
        <v>3975</v>
      </c>
      <c r="C150" s="3" t="s">
        <v>3881</v>
      </c>
      <c r="D150" s="3" t="s">
        <v>956</v>
      </c>
      <c r="E150" s="2"/>
      <c r="F150" s="3" t="str">
        <f>IFERROR(__xludf.DUMMYFUNCTION("GOOGLETRANSLATE(A150, ""it"", ""en"")"),"149")</f>
        <v>149</v>
      </c>
      <c r="G150" s="3" t="str">
        <f>IFERROR(__xludf.DUMMYFUNCTION("GOOGLETRANSLATE(B150, ""it"", ""en"")"),"A player shows ""three"" fingers and shouts ""four."" What happens?")</f>
        <v>A player shows "three" fingers and shouts "four." What happens?</v>
      </c>
      <c r="H150" s="3" t="str">
        <f>IFERROR(__xludf.DUMMYFUNCTION("GOOGLETRANSLATE(C150, ""it"", ""en"")"),"A. The point is awarded to the opponent B. The point is cancelled C. The game continues normally D. The point is awarded")</f>
        <v>A. The point is awarded to the opponent B. The point is cancelled C. The game continues normally D. The point is awarded</v>
      </c>
      <c r="I150" s="3" t="str">
        <f>IFERROR(__xludf.DUMMYFUNCTION("GOOGLETRANSLATE(D150, ""it"", ""en"")"),"The point is cancelled")</f>
        <v>The point is cancelled</v>
      </c>
      <c r="J150" s="2"/>
      <c r="K150" s="2"/>
      <c r="L150" s="2"/>
      <c r="M150" s="2"/>
      <c r="N150" s="2"/>
      <c r="O150" s="2"/>
      <c r="P150" s="2"/>
      <c r="Q150" s="2"/>
      <c r="R150" s="2"/>
      <c r="S150" s="2"/>
      <c r="T150" s="2"/>
      <c r="U150" s="2"/>
      <c r="V150" s="2"/>
    </row>
    <row r="151" ht="22.5" customHeight="1">
      <c r="A151" s="3">
        <v>150.0</v>
      </c>
      <c r="B151" s="3" t="s">
        <v>3983</v>
      </c>
      <c r="C151" s="3" t="s">
        <v>3881</v>
      </c>
      <c r="D151" s="3" t="s">
        <v>956</v>
      </c>
      <c r="E151" s="2"/>
      <c r="F151" s="3" t="str">
        <f>IFERROR(__xludf.DUMMYFUNCTION("GOOGLETRANSLATE(A151, ""it"", ""en"")"),"150")</f>
        <v>150</v>
      </c>
      <c r="G151" s="3" t="str">
        <f>IFERROR(__xludf.DUMMYFUNCTION("GOOGLETRANSLATE(B151, ""it"", ""en"")"),"A player shouts ""one"" and shows ""five"" fingers. What happens?")</f>
        <v>A player shouts "one" and shows "five" fingers. What happens?</v>
      </c>
      <c r="H151" s="3" t="str">
        <f>IFERROR(__xludf.DUMMYFUNCTION("GOOGLETRANSLATE(C151, ""it"", ""en"")"),"A. The point is awarded to the opponent B. The point is cancelled C. The game continues normally D. The point is awarded")</f>
        <v>A. The point is awarded to the opponent B. The point is cancelled C. The game continues normally D. The point is awarded</v>
      </c>
      <c r="I151" s="3" t="str">
        <f>IFERROR(__xludf.DUMMYFUNCTION("GOOGLETRANSLATE(D151, ""it"", ""en"")"),"The point is cancelled")</f>
        <v>The point is cancelled</v>
      </c>
      <c r="J151" s="2"/>
      <c r="K151" s="2"/>
      <c r="L151" s="2"/>
      <c r="M151" s="2"/>
      <c r="N151" s="2"/>
      <c r="O151" s="2"/>
      <c r="P151" s="2"/>
      <c r="Q151" s="2"/>
      <c r="R151" s="2"/>
      <c r="S151" s="2"/>
      <c r="T151" s="2"/>
      <c r="U151" s="2"/>
      <c r="V151" s="2"/>
    </row>
    <row r="152" ht="22.5" customHeight="1">
      <c r="A152" s="3">
        <v>151.0</v>
      </c>
      <c r="B152" s="3" t="s">
        <v>3937</v>
      </c>
      <c r="C152" s="3" t="s">
        <v>3881</v>
      </c>
      <c r="D152" s="3" t="s">
        <v>956</v>
      </c>
      <c r="E152" s="2"/>
      <c r="F152" s="3" t="str">
        <f>IFERROR(__xludf.DUMMYFUNCTION("GOOGLETRANSLATE(A152, ""it"", ""en"")"),"151")</f>
        <v>151</v>
      </c>
      <c r="G152" s="3" t="str">
        <f>IFERROR(__xludf.DUMMYFUNCTION("GOOGLETRANSLATE(B152, ""it"", ""en"")"),"A player shouts ""four"" and holds up ""two"" fingers. What happens?")</f>
        <v>A player shouts "four" and holds up "two" fingers. What happens?</v>
      </c>
      <c r="H152" s="3" t="str">
        <f>IFERROR(__xludf.DUMMYFUNCTION("GOOGLETRANSLATE(C152, ""it"", ""en"")"),"A. The point is awarded to the opponent B. The point is cancelled C. The game continues normally D. The point is awarded")</f>
        <v>A. The point is awarded to the opponent B. The point is cancelled C. The game continues normally D. The point is awarded</v>
      </c>
      <c r="I152" s="3" t="str">
        <f>IFERROR(__xludf.DUMMYFUNCTION("GOOGLETRANSLATE(D152, ""it"", ""en"")"),"The point is cancelled")</f>
        <v>The point is cancelled</v>
      </c>
      <c r="J152" s="2"/>
      <c r="K152" s="2"/>
      <c r="L152" s="2"/>
      <c r="M152" s="2"/>
      <c r="N152" s="2"/>
      <c r="O152" s="2"/>
      <c r="P152" s="2"/>
      <c r="Q152" s="2"/>
      <c r="R152" s="2"/>
      <c r="S152" s="2"/>
      <c r="T152" s="2"/>
      <c r="U152" s="2"/>
      <c r="V152" s="2"/>
    </row>
    <row r="153" ht="22.5" customHeight="1">
      <c r="A153" s="3">
        <v>152.0</v>
      </c>
      <c r="B153" s="3" t="s">
        <v>3977</v>
      </c>
      <c r="C153" s="3" t="s">
        <v>3881</v>
      </c>
      <c r="D153" s="3" t="s">
        <v>956</v>
      </c>
      <c r="E153" s="2"/>
      <c r="F153" s="3" t="str">
        <f>IFERROR(__xludf.DUMMYFUNCTION("GOOGLETRANSLATE(A153, ""it"", ""en"")"),"152")</f>
        <v>152</v>
      </c>
      <c r="G153" s="3" t="str">
        <f>IFERROR(__xludf.DUMMYFUNCTION("GOOGLETRANSLATE(B153, ""it"", ""en"")"),"A player shouts ""two"" and points ""one"" finger. What happens?")</f>
        <v>A player shouts "two" and points "one" finger. What happens?</v>
      </c>
      <c r="H153" s="3" t="str">
        <f>IFERROR(__xludf.DUMMYFUNCTION("GOOGLETRANSLATE(C153, ""it"", ""en"")"),"A. The point is awarded to the opponent B. The point is cancelled C. The game continues normally D. The point is awarded")</f>
        <v>A. The point is awarded to the opponent B. The point is cancelled C. The game continues normally D. The point is awarded</v>
      </c>
      <c r="I153" s="3" t="str">
        <f>IFERROR(__xludf.DUMMYFUNCTION("GOOGLETRANSLATE(D153, ""it"", ""en"")"),"The point is cancelled")</f>
        <v>The point is cancelled</v>
      </c>
      <c r="J153" s="2"/>
      <c r="K153" s="2"/>
      <c r="L153" s="2"/>
      <c r="M153" s="2"/>
      <c r="N153" s="2"/>
      <c r="O153" s="2"/>
      <c r="P153" s="2"/>
      <c r="Q153" s="2"/>
      <c r="R153" s="2"/>
      <c r="S153" s="2"/>
      <c r="T153" s="2"/>
      <c r="U153" s="2"/>
      <c r="V153" s="2"/>
    </row>
    <row r="154" ht="22.5" customHeight="1">
      <c r="A154" s="3">
        <v>153.0</v>
      </c>
      <c r="B154" s="3" t="s">
        <v>3973</v>
      </c>
      <c r="C154" s="3" t="s">
        <v>3873</v>
      </c>
      <c r="D154" s="3" t="s">
        <v>956</v>
      </c>
      <c r="E154" s="2"/>
      <c r="F154" s="3" t="str">
        <f>IFERROR(__xludf.DUMMYFUNCTION("GOOGLETRANSLATE(A154, ""it"", ""en"")"),"153")</f>
        <v>153</v>
      </c>
      <c r="G154" s="3" t="str">
        <f>IFERROR(__xludf.DUMMYFUNCTION("GOOGLETRANSLATE(B154, ""it"", ""en"")"),"A player shouts ""three"" and shows ""five"" fingers. What happens?")</f>
        <v>A player shouts "three" and shows "five" fingers. What happens?</v>
      </c>
      <c r="H154" s="3" t="str">
        <f>IFERROR(__xludf.DUMMYFUNCTION("GOOGLETRANSLATE(C154, ""it"", ""en"")"),"A. The point is cancelled B. The point is awarded to the opponent C. The game continues normally D. The point is awarded")</f>
        <v>A. The point is cancelled B. The point is awarded to the opponent C. The game continues normally D. The point is awarded</v>
      </c>
      <c r="I154" s="3" t="str">
        <f>IFERROR(__xludf.DUMMYFUNCTION("GOOGLETRANSLATE(D154, ""it"", ""en"")"),"The point is cancelled")</f>
        <v>The point is cancelled</v>
      </c>
      <c r="J154" s="2"/>
      <c r="K154" s="2"/>
      <c r="L154" s="2"/>
      <c r="M154" s="2"/>
      <c r="N154" s="2"/>
      <c r="O154" s="2"/>
      <c r="P154" s="2"/>
      <c r="Q154" s="2"/>
      <c r="R154" s="2"/>
      <c r="S154" s="2"/>
      <c r="T154" s="2"/>
      <c r="U154" s="2"/>
      <c r="V154" s="2"/>
    </row>
    <row r="155" ht="22.5" customHeight="1">
      <c r="A155" s="3">
        <v>154.0</v>
      </c>
      <c r="B155" s="3" t="s">
        <v>3947</v>
      </c>
      <c r="C155" s="3" t="s">
        <v>3881</v>
      </c>
      <c r="D155" s="3" t="s">
        <v>956</v>
      </c>
      <c r="E155" s="2"/>
      <c r="F155" s="3" t="str">
        <f>IFERROR(__xludf.DUMMYFUNCTION("GOOGLETRANSLATE(A155, ""it"", ""en"")"),"154")</f>
        <v>154</v>
      </c>
      <c r="G155" s="3" t="str">
        <f>IFERROR(__xludf.DUMMYFUNCTION("GOOGLETRANSLATE(B155, ""it"", ""en"")"),"A player shows ""two"" fingers and shouts ""five."" What happens?")</f>
        <v>A player shows "two" fingers and shouts "five." What happens?</v>
      </c>
      <c r="H155" s="3" t="str">
        <f>IFERROR(__xludf.DUMMYFUNCTION("GOOGLETRANSLATE(C155, ""it"", ""en"")"),"A. The point is awarded to the opponent B. The point is cancelled C. The game continues normally D. The point is awarded")</f>
        <v>A. The point is awarded to the opponent B. The point is cancelled C. The game continues normally D. The point is awarded</v>
      </c>
      <c r="I155" s="3" t="str">
        <f>IFERROR(__xludf.DUMMYFUNCTION("GOOGLETRANSLATE(D155, ""it"", ""en"")"),"The point is cancelled")</f>
        <v>The point is cancelled</v>
      </c>
      <c r="J155" s="2"/>
      <c r="K155" s="2"/>
      <c r="L155" s="2"/>
      <c r="M155" s="2"/>
      <c r="N155" s="2"/>
      <c r="O155" s="2"/>
      <c r="P155" s="2"/>
      <c r="Q155" s="2"/>
      <c r="R155" s="2"/>
      <c r="S155" s="2"/>
      <c r="T155" s="2"/>
      <c r="U155" s="2"/>
      <c r="V155" s="2"/>
    </row>
    <row r="156" ht="22.5" customHeight="1">
      <c r="A156" s="3">
        <v>155.0</v>
      </c>
      <c r="B156" s="3" t="s">
        <v>3984</v>
      </c>
      <c r="C156" s="3" t="s">
        <v>3873</v>
      </c>
      <c r="D156" s="3" t="s">
        <v>956</v>
      </c>
      <c r="E156" s="2"/>
      <c r="F156" s="3" t="str">
        <f>IFERROR(__xludf.DUMMYFUNCTION("GOOGLETRANSLATE(A156, ""it"", ""en"")"),"155")</f>
        <v>155</v>
      </c>
      <c r="G156" s="3" t="str">
        <f>IFERROR(__xludf.DUMMYFUNCTION("GOOGLETRANSLATE(B156, ""it"", ""en"")"),"A player shouts ""five"" and shows ""three"" fingers. What happens?")</f>
        <v>A player shouts "five" and shows "three" fingers. What happens?</v>
      </c>
      <c r="H156" s="3" t="str">
        <f>IFERROR(__xludf.DUMMYFUNCTION("GOOGLETRANSLATE(C156, ""it"", ""en"")"),"A. The point is cancelled B. The point is awarded to the opponent C. The game continues normally D. The point is awarded")</f>
        <v>A. The point is cancelled B. The point is awarded to the opponent C. The game continues normally D. The point is awarded</v>
      </c>
      <c r="I156" s="3" t="str">
        <f>IFERROR(__xludf.DUMMYFUNCTION("GOOGLETRANSLATE(D156, ""it"", ""en"")"),"The point is cancelled")</f>
        <v>The point is cancelled</v>
      </c>
      <c r="J156" s="2"/>
      <c r="K156" s="2"/>
      <c r="L156" s="2"/>
      <c r="M156" s="2"/>
      <c r="N156" s="2"/>
      <c r="O156" s="2"/>
      <c r="P156" s="2"/>
      <c r="Q156" s="2"/>
      <c r="R156" s="2"/>
      <c r="S156" s="2"/>
      <c r="T156" s="2"/>
      <c r="U156" s="2"/>
      <c r="V156" s="2"/>
    </row>
    <row r="157" ht="22.5" customHeight="1">
      <c r="A157" s="3">
        <v>156.0</v>
      </c>
      <c r="B157" s="3" t="s">
        <v>3985</v>
      </c>
      <c r="C157" s="3" t="s">
        <v>3881</v>
      </c>
      <c r="D157" s="3" t="s">
        <v>956</v>
      </c>
      <c r="E157" s="2"/>
      <c r="F157" s="3" t="str">
        <f>IFERROR(__xludf.DUMMYFUNCTION("GOOGLETRANSLATE(A157, ""it"", ""en"")"),"156")</f>
        <v>156</v>
      </c>
      <c r="G157" s="3" t="str">
        <f>IFERROR(__xludf.DUMMYFUNCTION("GOOGLETRANSLATE(B157, ""it"", ""en"")"),"A player shows ""two"" fingers and says ""four."" What happens?")</f>
        <v>A player shows "two" fingers and says "four." What happens?</v>
      </c>
      <c r="H157" s="3" t="str">
        <f>IFERROR(__xludf.DUMMYFUNCTION("GOOGLETRANSLATE(C157, ""it"", ""en"")"),"A. The point is awarded to the opponent B. The point is cancelled C. The game continues normally D. The point is awarded")</f>
        <v>A. The point is awarded to the opponent B. The point is cancelled C. The game continues normally D. The point is awarded</v>
      </c>
      <c r="I157" s="3" t="str">
        <f>IFERROR(__xludf.DUMMYFUNCTION("GOOGLETRANSLATE(D157, ""it"", ""en"")"),"The point is cancelled")</f>
        <v>The point is cancelled</v>
      </c>
      <c r="J157" s="2"/>
      <c r="K157" s="2"/>
      <c r="L157" s="2"/>
      <c r="M157" s="2"/>
      <c r="N157" s="2"/>
      <c r="O157" s="2"/>
      <c r="P157" s="2"/>
      <c r="Q157" s="2"/>
      <c r="R157" s="2"/>
      <c r="S157" s="2"/>
      <c r="T157" s="2"/>
      <c r="U157" s="2"/>
      <c r="V157" s="2"/>
    </row>
    <row r="158" ht="22.5" customHeight="1">
      <c r="A158" s="3">
        <v>157.0</v>
      </c>
      <c r="B158" s="3" t="s">
        <v>3977</v>
      </c>
      <c r="C158" s="3" t="s">
        <v>3881</v>
      </c>
      <c r="D158" s="3" t="s">
        <v>956</v>
      </c>
      <c r="E158" s="2"/>
      <c r="F158" s="3" t="str">
        <f>IFERROR(__xludf.DUMMYFUNCTION("GOOGLETRANSLATE(A158, ""it"", ""en"")"),"157")</f>
        <v>157</v>
      </c>
      <c r="G158" s="3" t="str">
        <f>IFERROR(__xludf.DUMMYFUNCTION("GOOGLETRANSLATE(B158, ""it"", ""en"")"),"A player shouts ""two"" and points ""one"" finger. What happens?")</f>
        <v>A player shouts "two" and points "one" finger. What happens?</v>
      </c>
      <c r="H158" s="3" t="str">
        <f>IFERROR(__xludf.DUMMYFUNCTION("GOOGLETRANSLATE(C158, ""it"", ""en"")"),"A. The point is awarded to the opponent B. The point is cancelled C. The game continues normally D. The point is awarded")</f>
        <v>A. The point is awarded to the opponent B. The point is cancelled C. The game continues normally D. The point is awarded</v>
      </c>
      <c r="I158" s="3" t="str">
        <f>IFERROR(__xludf.DUMMYFUNCTION("GOOGLETRANSLATE(D158, ""it"", ""en"")"),"The point is cancelled")</f>
        <v>The point is cancelled</v>
      </c>
      <c r="J158" s="2"/>
      <c r="K158" s="2"/>
      <c r="L158" s="2"/>
      <c r="M158" s="2"/>
      <c r="N158" s="2"/>
      <c r="O158" s="2"/>
      <c r="P158" s="2"/>
      <c r="Q158" s="2"/>
      <c r="R158" s="2"/>
      <c r="S158" s="2"/>
      <c r="T158" s="2"/>
      <c r="U158" s="2"/>
      <c r="V158" s="2"/>
    </row>
    <row r="159" ht="22.5" customHeight="1">
      <c r="A159" s="3">
        <v>158.0</v>
      </c>
      <c r="B159" s="3" t="s">
        <v>3986</v>
      </c>
      <c r="C159" s="3" t="s">
        <v>3881</v>
      </c>
      <c r="D159" s="3" t="s">
        <v>956</v>
      </c>
      <c r="E159" s="2"/>
      <c r="F159" s="3" t="str">
        <f>IFERROR(__xludf.DUMMYFUNCTION("GOOGLETRANSLATE(A159, ""it"", ""en"")"),"158")</f>
        <v>158</v>
      </c>
      <c r="G159" s="3" t="str">
        <f>IFERROR(__xludf.DUMMYFUNCTION("GOOGLETRANSLATE(B159, ""it"", ""en"")"),"A player shows ""four"" fingers and shouts ""two."" What happens?")</f>
        <v>A player shows "four" fingers and shouts "two." What happens?</v>
      </c>
      <c r="H159" s="3" t="str">
        <f>IFERROR(__xludf.DUMMYFUNCTION("GOOGLETRANSLATE(C159, ""it"", ""en"")"),"A. The point is awarded to the opponent B. The point is cancelled C. The game continues normally D. The point is awarded")</f>
        <v>A. The point is awarded to the opponent B. The point is cancelled C. The game continues normally D. The point is awarded</v>
      </c>
      <c r="I159" s="3" t="str">
        <f>IFERROR(__xludf.DUMMYFUNCTION("GOOGLETRANSLATE(D159, ""it"", ""en"")"),"The point is cancelled")</f>
        <v>The point is cancelled</v>
      </c>
      <c r="J159" s="2"/>
      <c r="K159" s="2"/>
      <c r="L159" s="2"/>
      <c r="M159" s="2"/>
      <c r="N159" s="2"/>
      <c r="O159" s="2"/>
      <c r="P159" s="2"/>
      <c r="Q159" s="2"/>
      <c r="R159" s="2"/>
      <c r="S159" s="2"/>
      <c r="T159" s="2"/>
      <c r="U159" s="2"/>
      <c r="V159" s="2"/>
    </row>
    <row r="160" ht="22.5" customHeight="1">
      <c r="A160" s="3">
        <v>159.0</v>
      </c>
      <c r="B160" s="3" t="s">
        <v>3979</v>
      </c>
      <c r="C160" s="3" t="s">
        <v>3881</v>
      </c>
      <c r="D160" s="3" t="s">
        <v>956</v>
      </c>
      <c r="E160" s="2"/>
      <c r="F160" s="3" t="str">
        <f>IFERROR(__xludf.DUMMYFUNCTION("GOOGLETRANSLATE(A160, ""it"", ""en"")"),"159")</f>
        <v>159</v>
      </c>
      <c r="G160" s="3" t="str">
        <f>IFERROR(__xludf.DUMMYFUNCTION("GOOGLETRANSLATE(B160, ""it"", ""en"")"),"A player shouts ""three"" and shows ""two"" fingers. What happens?")</f>
        <v>A player shouts "three" and shows "two" fingers. What happens?</v>
      </c>
      <c r="H160" s="3" t="str">
        <f>IFERROR(__xludf.DUMMYFUNCTION("GOOGLETRANSLATE(C160, ""it"", ""en"")"),"A. The point is awarded to the opponent B. The point is cancelled C. The game continues normally D. The point is awarded")</f>
        <v>A. The point is awarded to the opponent B. The point is cancelled C. The game continues normally D. The point is awarded</v>
      </c>
      <c r="I160" s="3" t="str">
        <f>IFERROR(__xludf.DUMMYFUNCTION("GOOGLETRANSLATE(D160, ""it"", ""en"")"),"The point is cancelled")</f>
        <v>The point is cancelled</v>
      </c>
      <c r="J160" s="2"/>
      <c r="K160" s="2"/>
      <c r="L160" s="2"/>
      <c r="M160" s="2"/>
      <c r="N160" s="2"/>
      <c r="O160" s="2"/>
      <c r="P160" s="2"/>
      <c r="Q160" s="2"/>
      <c r="R160" s="2"/>
      <c r="S160" s="2"/>
      <c r="T160" s="2"/>
      <c r="U160" s="2"/>
      <c r="V160" s="2"/>
    </row>
    <row r="161" ht="22.5" customHeight="1">
      <c r="A161" s="3">
        <v>160.0</v>
      </c>
      <c r="B161" s="3" t="s">
        <v>3987</v>
      </c>
      <c r="C161" s="3" t="s">
        <v>3881</v>
      </c>
      <c r="D161" s="3" t="s">
        <v>956</v>
      </c>
      <c r="E161" s="2"/>
      <c r="F161" s="3" t="str">
        <f>IFERROR(__xludf.DUMMYFUNCTION("GOOGLETRANSLATE(A161, ""it"", ""en"")"),"160")</f>
        <v>160</v>
      </c>
      <c r="G161" s="3" t="str">
        <f>IFERROR(__xludf.DUMMYFUNCTION("GOOGLETRANSLATE(B161, ""it"", ""en"")"),"A player shouts ""one"" and shows ""three"" fingers. What happens?")</f>
        <v>A player shouts "one" and shows "three" fingers. What happens?</v>
      </c>
      <c r="H161" s="3" t="str">
        <f>IFERROR(__xludf.DUMMYFUNCTION("GOOGLETRANSLATE(C161, ""it"", ""en"")"),"A. The point is awarded to the opponent B. The point is cancelled C. The game continues normally D. The point is awarded")</f>
        <v>A. The point is awarded to the opponent B. The point is cancelled C. The game continues normally D. The point is awarded</v>
      </c>
      <c r="I161" s="3" t="str">
        <f>IFERROR(__xludf.DUMMYFUNCTION("GOOGLETRANSLATE(D161, ""it"", ""en"")"),"The point is cancelled")</f>
        <v>The point is cancelled</v>
      </c>
      <c r="J161" s="2"/>
      <c r="K161" s="2"/>
      <c r="L161" s="2"/>
      <c r="M161" s="2"/>
      <c r="N161" s="2"/>
      <c r="O161" s="2"/>
      <c r="P161" s="2"/>
      <c r="Q161" s="2"/>
      <c r="R161" s="2"/>
      <c r="S161" s="2"/>
      <c r="T161" s="2"/>
      <c r="U161" s="2"/>
      <c r="V161" s="2"/>
    </row>
    <row r="162" ht="22.5" customHeight="1">
      <c r="A162" s="3">
        <v>161.0</v>
      </c>
      <c r="B162" s="3" t="s">
        <v>3953</v>
      </c>
      <c r="C162" s="3" t="s">
        <v>3919</v>
      </c>
      <c r="D162" s="3" t="s">
        <v>616</v>
      </c>
      <c r="E162" s="2"/>
      <c r="F162" s="3" t="str">
        <f>IFERROR(__xludf.DUMMYFUNCTION("GOOGLETRANSLATE(A162, ""it"", ""en"")"),"161")</f>
        <v>161</v>
      </c>
      <c r="G162" s="3" t="str">
        <f>IFERROR(__xludf.DUMMYFUNCTION("GOOGLETRANSLATE(B162, ""it"", ""en"")"),"A player shows ""two"" fingers and shouts ""two."" What happens?")</f>
        <v>A player shows "two" fingers and shouts "two." What happens?</v>
      </c>
      <c r="H162" s="3" t="str">
        <f>IFERROR(__xludf.DUMMYFUNCTION("GOOGLETRANSLATE(C162, ""it"", ""en"")"),"A. The point is awarded B. The point is cancelled C. The game continues normally D. The point is awarded")</f>
        <v>A. The point is awarded B. The point is cancelled C. The game continues normally D. The point is awarded</v>
      </c>
      <c r="I162" s="3" t="str">
        <f>IFERROR(__xludf.DUMMYFUNCTION("GOOGLETRANSLATE(D162, ""it"", ""en"")"),"The point is awarded")</f>
        <v>The point is awarded</v>
      </c>
      <c r="J162" s="2"/>
      <c r="K162" s="2"/>
      <c r="L162" s="2"/>
      <c r="M162" s="2"/>
      <c r="N162" s="2"/>
      <c r="O162" s="2"/>
      <c r="P162" s="2"/>
      <c r="Q162" s="2"/>
      <c r="R162" s="2"/>
      <c r="S162" s="2"/>
      <c r="T162" s="2"/>
      <c r="U162" s="2"/>
      <c r="V162" s="2"/>
    </row>
    <row r="163" ht="22.5" customHeight="1">
      <c r="A163" s="3">
        <v>162.0</v>
      </c>
      <c r="B163" s="3" t="s">
        <v>3922</v>
      </c>
      <c r="C163" s="3" t="s">
        <v>3881</v>
      </c>
      <c r="D163" s="3" t="s">
        <v>956</v>
      </c>
      <c r="E163" s="2"/>
      <c r="F163" s="3" t="str">
        <f>IFERROR(__xludf.DUMMYFUNCTION("GOOGLETRANSLATE(A163, ""it"", ""en"")"),"162")</f>
        <v>162</v>
      </c>
      <c r="G163" s="3" t="str">
        <f>IFERROR(__xludf.DUMMYFUNCTION("GOOGLETRANSLATE(B163, ""it"", ""en"")"),"A player shows ""three"" fingers and says ""four."" What happens?")</f>
        <v>A player shows "three" fingers and says "four." What happens?</v>
      </c>
      <c r="H163" s="3" t="str">
        <f>IFERROR(__xludf.DUMMYFUNCTION("GOOGLETRANSLATE(C163, ""it"", ""en"")"),"A. The point is awarded to the opponent B. The point is cancelled C. The game continues normally D. The point is awarded")</f>
        <v>A. The point is awarded to the opponent B. The point is cancelled C. The game continues normally D. The point is awarded</v>
      </c>
      <c r="I163" s="3" t="str">
        <f>IFERROR(__xludf.DUMMYFUNCTION("GOOGLETRANSLATE(D163, ""it"", ""en"")"),"The point is cancelled")</f>
        <v>The point is cancelled</v>
      </c>
      <c r="J163" s="2"/>
      <c r="K163" s="2"/>
      <c r="L163" s="2"/>
      <c r="M163" s="2"/>
      <c r="N163" s="2"/>
      <c r="O163" s="2"/>
      <c r="P163" s="2"/>
      <c r="Q163" s="2"/>
      <c r="R163" s="2"/>
      <c r="S163" s="2"/>
      <c r="T163" s="2"/>
      <c r="U163" s="2"/>
      <c r="V163" s="2"/>
    </row>
    <row r="164" ht="22.5" customHeight="1">
      <c r="A164" s="3">
        <v>163.0</v>
      </c>
      <c r="B164" s="3" t="s">
        <v>3957</v>
      </c>
      <c r="C164" s="3" t="s">
        <v>3881</v>
      </c>
      <c r="D164" s="3" t="s">
        <v>956</v>
      </c>
      <c r="E164" s="2"/>
      <c r="F164" s="3" t="str">
        <f>IFERROR(__xludf.DUMMYFUNCTION("GOOGLETRANSLATE(A164, ""it"", ""en"")"),"163")</f>
        <v>163</v>
      </c>
      <c r="G164" s="3" t="str">
        <f>IFERROR(__xludf.DUMMYFUNCTION("GOOGLETRANSLATE(B164, ""it"", ""en"")"),"A player shouts ""five"" and holds up ""two"" fingers. What happens?")</f>
        <v>A player shouts "five" and holds up "two" fingers. What happens?</v>
      </c>
      <c r="H164" s="3" t="str">
        <f>IFERROR(__xludf.DUMMYFUNCTION("GOOGLETRANSLATE(C164, ""it"", ""en"")"),"A. The point is awarded to the opponent B. The point is cancelled C. The game continues normally D. The point is awarded")</f>
        <v>A. The point is awarded to the opponent B. The point is cancelled C. The game continues normally D. The point is awarded</v>
      </c>
      <c r="I164" s="3" t="str">
        <f>IFERROR(__xludf.DUMMYFUNCTION("GOOGLETRANSLATE(D164, ""it"", ""en"")"),"The point is cancelled")</f>
        <v>The point is cancelled</v>
      </c>
      <c r="J164" s="2"/>
      <c r="K164" s="2"/>
      <c r="L164" s="2"/>
      <c r="M164" s="2"/>
      <c r="N164" s="2"/>
      <c r="O164" s="2"/>
      <c r="P164" s="2"/>
      <c r="Q164" s="2"/>
      <c r="R164" s="2"/>
      <c r="S164" s="2"/>
      <c r="T164" s="2"/>
      <c r="U164" s="2"/>
      <c r="V164" s="2"/>
    </row>
    <row r="165" ht="22.5" customHeight="1">
      <c r="A165" s="3">
        <v>164.0</v>
      </c>
      <c r="B165" s="3" t="s">
        <v>3988</v>
      </c>
      <c r="C165" s="3" t="s">
        <v>3881</v>
      </c>
      <c r="D165" s="3" t="s">
        <v>956</v>
      </c>
      <c r="E165" s="2"/>
      <c r="F165" s="3" t="str">
        <f>IFERROR(__xludf.DUMMYFUNCTION("GOOGLETRANSLATE(A165, ""it"", ""en"")"),"164")</f>
        <v>164</v>
      </c>
      <c r="G165" s="3" t="str">
        <f>IFERROR(__xludf.DUMMYFUNCTION("GOOGLETRANSLATE(B165, ""it"", ""en"")"),"A player shouts ""four"" and shows ""five"" fingers. What happens?")</f>
        <v>A player shouts "four" and shows "five" fingers. What happens?</v>
      </c>
      <c r="H165" s="3" t="str">
        <f>IFERROR(__xludf.DUMMYFUNCTION("GOOGLETRANSLATE(C165, ""it"", ""en"")"),"A. The point is awarded to the opponent B. The point is cancelled C. The game continues normally D. The point is awarded")</f>
        <v>A. The point is awarded to the opponent B. The point is cancelled C. The game continues normally D. The point is awarded</v>
      </c>
      <c r="I165" s="3" t="str">
        <f>IFERROR(__xludf.DUMMYFUNCTION("GOOGLETRANSLATE(D165, ""it"", ""en"")"),"The point is cancelled")</f>
        <v>The point is cancelled</v>
      </c>
      <c r="J165" s="2"/>
      <c r="K165" s="2"/>
      <c r="L165" s="2"/>
      <c r="M165" s="2"/>
      <c r="N165" s="2"/>
      <c r="O165" s="2"/>
      <c r="P165" s="2"/>
      <c r="Q165" s="2"/>
      <c r="R165" s="2"/>
      <c r="S165" s="2"/>
      <c r="T165" s="2"/>
      <c r="U165" s="2"/>
      <c r="V165" s="2"/>
    </row>
    <row r="166" ht="22.5" customHeight="1">
      <c r="A166" s="3">
        <v>165.0</v>
      </c>
      <c r="B166" s="3" t="s">
        <v>3938</v>
      </c>
      <c r="C166" s="3" t="s">
        <v>3919</v>
      </c>
      <c r="D166" s="3" t="s">
        <v>616</v>
      </c>
      <c r="E166" s="2"/>
      <c r="F166" s="3" t="str">
        <f>IFERROR(__xludf.DUMMYFUNCTION("GOOGLETRANSLATE(A166, ""it"", ""en"")"),"165")</f>
        <v>165</v>
      </c>
      <c r="G166" s="3" t="str">
        <f>IFERROR(__xludf.DUMMYFUNCTION("GOOGLETRANSLATE(B166, ""it"", ""en"")"),"A player shouts ""three"" and shows ""three"" fingers. What happens?")</f>
        <v>A player shouts "three" and shows "three" fingers. What happens?</v>
      </c>
      <c r="H166" s="3" t="str">
        <f>IFERROR(__xludf.DUMMYFUNCTION("GOOGLETRANSLATE(C166, ""it"", ""en"")"),"A. The point is awarded B. The point is cancelled C. The game continues normally D. The point is awarded")</f>
        <v>A. The point is awarded B. The point is cancelled C. The game continues normally D. The point is awarded</v>
      </c>
      <c r="I166" s="3" t="str">
        <f>IFERROR(__xludf.DUMMYFUNCTION("GOOGLETRANSLATE(D166, ""it"", ""en"")"),"The point is awarded")</f>
        <v>The point is awarded</v>
      </c>
      <c r="J166" s="2"/>
      <c r="K166" s="2"/>
      <c r="L166" s="2"/>
      <c r="M166" s="2"/>
      <c r="N166" s="2"/>
      <c r="O166" s="2"/>
      <c r="P166" s="2"/>
      <c r="Q166" s="2"/>
      <c r="R166" s="2"/>
      <c r="S166" s="2"/>
      <c r="T166" s="2"/>
      <c r="U166" s="2"/>
      <c r="V166" s="2"/>
    </row>
    <row r="167" ht="22.5" customHeight="1">
      <c r="A167" s="3">
        <v>166.0</v>
      </c>
      <c r="B167" s="3" t="s">
        <v>3989</v>
      </c>
      <c r="C167" s="3" t="s">
        <v>3919</v>
      </c>
      <c r="D167" s="3" t="s">
        <v>616</v>
      </c>
      <c r="E167" s="2"/>
      <c r="F167" s="3" t="str">
        <f>IFERROR(__xludf.DUMMYFUNCTION("GOOGLETRANSLATE(A167, ""it"", ""en"")"),"166")</f>
        <v>166</v>
      </c>
      <c r="G167" s="3" t="str">
        <f>IFERROR(__xludf.DUMMYFUNCTION("GOOGLETRANSLATE(B167, ""it"", ""en"")"),"A player shows ""five"" fingers and says ""five."" What happens?")</f>
        <v>A player shows "five" fingers and says "five." What happens?</v>
      </c>
      <c r="H167" s="3" t="str">
        <f>IFERROR(__xludf.DUMMYFUNCTION("GOOGLETRANSLATE(C167, ""it"", ""en"")"),"A. The point is awarded B. The point is cancelled C. The game continues normally D. The point is awarded")</f>
        <v>A. The point is awarded B. The point is cancelled C. The game continues normally D. The point is awarded</v>
      </c>
      <c r="I167" s="3" t="str">
        <f>IFERROR(__xludf.DUMMYFUNCTION("GOOGLETRANSLATE(D167, ""it"", ""en"")"),"The point is awarded")</f>
        <v>The point is awarded</v>
      </c>
      <c r="J167" s="2"/>
      <c r="K167" s="2"/>
      <c r="L167" s="2"/>
      <c r="M167" s="2"/>
      <c r="N167" s="2"/>
      <c r="O167" s="2"/>
      <c r="P167" s="2"/>
      <c r="Q167" s="2"/>
      <c r="R167" s="2"/>
      <c r="S167" s="2"/>
      <c r="T167" s="2"/>
      <c r="U167" s="2"/>
      <c r="V167" s="2"/>
    </row>
    <row r="168" ht="22.5" customHeight="1">
      <c r="A168" s="3">
        <v>167.0</v>
      </c>
      <c r="B168" s="3" t="s">
        <v>3968</v>
      </c>
      <c r="C168" s="3" t="s">
        <v>3881</v>
      </c>
      <c r="D168" s="3" t="s">
        <v>956</v>
      </c>
      <c r="E168" s="2"/>
      <c r="F168" s="3" t="str">
        <f>IFERROR(__xludf.DUMMYFUNCTION("GOOGLETRANSLATE(A168, ""it"", ""en"")"),"167")</f>
        <v>167</v>
      </c>
      <c r="G168" s="3" t="str">
        <f>IFERROR(__xludf.DUMMYFUNCTION("GOOGLETRANSLATE(B168, ""it"", ""en"")"),"A player shouts ""two"" and shows ""three"" fingers. What happens?")</f>
        <v>A player shouts "two" and shows "three" fingers. What happens?</v>
      </c>
      <c r="H168" s="3" t="str">
        <f>IFERROR(__xludf.DUMMYFUNCTION("GOOGLETRANSLATE(C168, ""it"", ""en"")"),"A. The point is awarded to the opponent B. The point is cancelled C. The game continues normally D. The point is awarded")</f>
        <v>A. The point is awarded to the opponent B. The point is cancelled C. The game continues normally D. The point is awarded</v>
      </c>
      <c r="I168" s="3" t="str">
        <f>IFERROR(__xludf.DUMMYFUNCTION("GOOGLETRANSLATE(D168, ""it"", ""en"")"),"The point is cancelled")</f>
        <v>The point is cancelled</v>
      </c>
      <c r="J168" s="2"/>
      <c r="K168" s="2"/>
      <c r="L168" s="2"/>
      <c r="M168" s="2"/>
      <c r="N168" s="2"/>
      <c r="O168" s="2"/>
      <c r="P168" s="2"/>
      <c r="Q168" s="2"/>
      <c r="R168" s="2"/>
      <c r="S168" s="2"/>
      <c r="T168" s="2"/>
      <c r="U168" s="2"/>
      <c r="V168" s="2"/>
    </row>
    <row r="169" ht="22.5" customHeight="1">
      <c r="A169" s="3">
        <v>168.0</v>
      </c>
      <c r="B169" s="3" t="s">
        <v>3990</v>
      </c>
      <c r="C169" s="3" t="s">
        <v>3881</v>
      </c>
      <c r="D169" s="3" t="s">
        <v>956</v>
      </c>
      <c r="E169" s="2"/>
      <c r="F169" s="3" t="str">
        <f>IFERROR(__xludf.DUMMYFUNCTION("GOOGLETRANSLATE(A169, ""it"", ""en"")"),"168")</f>
        <v>168</v>
      </c>
      <c r="G169" s="3" t="str">
        <f>IFERROR(__xludf.DUMMYFUNCTION("GOOGLETRANSLATE(B169, ""it"", ""en"")"),"A player shows ""one"" finger and says ""four."" What happens?")</f>
        <v>A player shows "one" finger and says "four." What happens?</v>
      </c>
      <c r="H169" s="3" t="str">
        <f>IFERROR(__xludf.DUMMYFUNCTION("GOOGLETRANSLATE(C169, ""it"", ""en"")"),"A. The point is awarded to the opponent B. The point is cancelled C. The game continues normally D. The point is awarded")</f>
        <v>A. The point is awarded to the opponent B. The point is cancelled C. The game continues normally D. The point is awarded</v>
      </c>
      <c r="I169" s="3" t="str">
        <f>IFERROR(__xludf.DUMMYFUNCTION("GOOGLETRANSLATE(D169, ""it"", ""en"")"),"The point is cancelled")</f>
        <v>The point is cancelled</v>
      </c>
      <c r="J169" s="2"/>
      <c r="K169" s="2"/>
      <c r="L169" s="2"/>
      <c r="M169" s="2"/>
      <c r="N169" s="2"/>
      <c r="O169" s="2"/>
      <c r="P169" s="2"/>
      <c r="Q169" s="2"/>
      <c r="R169" s="2"/>
      <c r="S169" s="2"/>
      <c r="T169" s="2"/>
      <c r="U169" s="2"/>
      <c r="V169" s="2"/>
    </row>
    <row r="170" ht="22.5" customHeight="1">
      <c r="A170" s="3">
        <v>169.0</v>
      </c>
      <c r="B170" s="3" t="s">
        <v>3973</v>
      </c>
      <c r="C170" s="3" t="s">
        <v>3873</v>
      </c>
      <c r="D170" s="3" t="s">
        <v>956</v>
      </c>
      <c r="E170" s="2"/>
      <c r="F170" s="3" t="str">
        <f>IFERROR(__xludf.DUMMYFUNCTION("GOOGLETRANSLATE(A170, ""it"", ""en"")"),"169")</f>
        <v>169</v>
      </c>
      <c r="G170" s="3" t="str">
        <f>IFERROR(__xludf.DUMMYFUNCTION("GOOGLETRANSLATE(B170, ""it"", ""en"")"),"A player shouts ""three"" and shows ""five"" fingers. What happens?")</f>
        <v>A player shouts "three" and shows "five" fingers. What happens?</v>
      </c>
      <c r="H170" s="3" t="str">
        <f>IFERROR(__xludf.DUMMYFUNCTION("GOOGLETRANSLATE(C170, ""it"", ""en"")"),"A. The point is cancelled B. The point is awarded to the opponent C. The game continues normally D. The point is awarded")</f>
        <v>A. The point is cancelled B. The point is awarded to the opponent C. The game continues normally D. The point is awarded</v>
      </c>
      <c r="I170" s="3" t="str">
        <f>IFERROR(__xludf.DUMMYFUNCTION("GOOGLETRANSLATE(D170, ""it"", ""en"")"),"The point is cancelled")</f>
        <v>The point is cancelled</v>
      </c>
      <c r="J170" s="2"/>
      <c r="K170" s="2"/>
      <c r="L170" s="2"/>
      <c r="M170" s="2"/>
      <c r="N170" s="2"/>
      <c r="O170" s="2"/>
      <c r="P170" s="2"/>
      <c r="Q170" s="2"/>
      <c r="R170" s="2"/>
      <c r="S170" s="2"/>
      <c r="T170" s="2"/>
      <c r="U170" s="2"/>
      <c r="V170" s="2"/>
    </row>
    <row r="171" ht="22.5" customHeight="1">
      <c r="A171" s="3">
        <v>170.0</v>
      </c>
      <c r="B171" s="3" t="s">
        <v>3972</v>
      </c>
      <c r="C171" s="3" t="s">
        <v>3881</v>
      </c>
      <c r="D171" s="3" t="s">
        <v>956</v>
      </c>
      <c r="E171" s="2"/>
      <c r="F171" s="3" t="str">
        <f>IFERROR(__xludf.DUMMYFUNCTION("GOOGLETRANSLATE(A171, ""it"", ""en"")"),"170")</f>
        <v>170</v>
      </c>
      <c r="G171" s="3" t="str">
        <f>IFERROR(__xludf.DUMMYFUNCTION("GOOGLETRANSLATE(B171, ""it"", ""en"")"),"A player shows ""two"" fingers and shouts ""one."" What happens?")</f>
        <v>A player shows "two" fingers and shouts "one." What happens?</v>
      </c>
      <c r="H171" s="3" t="str">
        <f>IFERROR(__xludf.DUMMYFUNCTION("GOOGLETRANSLATE(C171, ""it"", ""en"")"),"A. The point is awarded to the opponent B. The point is cancelled C. The game continues normally D. The point is awarded")</f>
        <v>A. The point is awarded to the opponent B. The point is cancelled C. The game continues normally D. The point is awarded</v>
      </c>
      <c r="I171" s="3" t="str">
        <f>IFERROR(__xludf.DUMMYFUNCTION("GOOGLETRANSLATE(D171, ""it"", ""en"")"),"The point is cancelled")</f>
        <v>The point is cancelled</v>
      </c>
      <c r="J171" s="2"/>
      <c r="K171" s="2"/>
      <c r="L171" s="2"/>
      <c r="M171" s="2"/>
      <c r="N171" s="2"/>
      <c r="O171" s="2"/>
      <c r="P171" s="2"/>
      <c r="Q171" s="2"/>
      <c r="R171" s="2"/>
      <c r="S171" s="2"/>
      <c r="T171" s="2"/>
      <c r="U171" s="2"/>
      <c r="V171" s="2"/>
    </row>
    <row r="172" ht="22.5" customHeight="1">
      <c r="A172" s="3">
        <v>171.0</v>
      </c>
      <c r="B172" s="3" t="s">
        <v>3957</v>
      </c>
      <c r="C172" s="3" t="s">
        <v>3873</v>
      </c>
      <c r="D172" s="3" t="s">
        <v>956</v>
      </c>
      <c r="E172" s="2"/>
      <c r="F172" s="3" t="str">
        <f>IFERROR(__xludf.DUMMYFUNCTION("GOOGLETRANSLATE(A172, ""it"", ""en"")"),"171")</f>
        <v>171</v>
      </c>
      <c r="G172" s="3" t="str">
        <f>IFERROR(__xludf.DUMMYFUNCTION("GOOGLETRANSLATE(B172, ""it"", ""en"")"),"A player shouts ""five"" and holds up ""two"" fingers. What happens?")</f>
        <v>A player shouts "five" and holds up "two" fingers. What happens?</v>
      </c>
      <c r="H172" s="3" t="str">
        <f>IFERROR(__xludf.DUMMYFUNCTION("GOOGLETRANSLATE(C172, ""it"", ""en"")"),"A. The point is cancelled B. The point is awarded to the opponent C. The game continues normally D. The point is awarded")</f>
        <v>A. The point is cancelled B. The point is awarded to the opponent C. The game continues normally D. The point is awarded</v>
      </c>
      <c r="I172" s="3" t="str">
        <f>IFERROR(__xludf.DUMMYFUNCTION("GOOGLETRANSLATE(D172, ""it"", ""en"")"),"The point is cancelled")</f>
        <v>The point is cancelled</v>
      </c>
      <c r="J172" s="2"/>
      <c r="K172" s="2"/>
      <c r="L172" s="2"/>
      <c r="M172" s="2"/>
      <c r="N172" s="2"/>
      <c r="O172" s="2"/>
      <c r="P172" s="2"/>
      <c r="Q172" s="2"/>
      <c r="R172" s="2"/>
      <c r="S172" s="2"/>
      <c r="T172" s="2"/>
      <c r="U172" s="2"/>
      <c r="V172" s="2"/>
    </row>
    <row r="173" ht="22.5" customHeight="1">
      <c r="A173" s="3">
        <v>172.0</v>
      </c>
      <c r="B173" s="3" t="s">
        <v>3972</v>
      </c>
      <c r="C173" s="3" t="s">
        <v>3881</v>
      </c>
      <c r="D173" s="3" t="s">
        <v>956</v>
      </c>
      <c r="E173" s="2"/>
      <c r="F173" s="3" t="str">
        <f>IFERROR(__xludf.DUMMYFUNCTION("GOOGLETRANSLATE(A173, ""it"", ""en"")"),"172")</f>
        <v>172</v>
      </c>
      <c r="G173" s="3" t="str">
        <f>IFERROR(__xludf.DUMMYFUNCTION("GOOGLETRANSLATE(B173, ""it"", ""en"")"),"A player shows ""two"" fingers and shouts ""one."" What happens?")</f>
        <v>A player shows "two" fingers and shouts "one." What happens?</v>
      </c>
      <c r="H173" s="3" t="str">
        <f>IFERROR(__xludf.DUMMYFUNCTION("GOOGLETRANSLATE(C173, ""it"", ""en"")"),"A. The point is awarded to the opponent B. The point is cancelled C. The game continues normally D. The point is awarded")</f>
        <v>A. The point is awarded to the opponent B. The point is cancelled C. The game continues normally D. The point is awarded</v>
      </c>
      <c r="I173" s="3" t="str">
        <f>IFERROR(__xludf.DUMMYFUNCTION("GOOGLETRANSLATE(D173, ""it"", ""en"")"),"The point is cancelled")</f>
        <v>The point is cancelled</v>
      </c>
      <c r="J173" s="2"/>
      <c r="K173" s="2"/>
      <c r="L173" s="2"/>
      <c r="M173" s="2"/>
      <c r="N173" s="2"/>
      <c r="O173" s="2"/>
      <c r="P173" s="2"/>
      <c r="Q173" s="2"/>
      <c r="R173" s="2"/>
      <c r="S173" s="2"/>
      <c r="T173" s="2"/>
      <c r="U173" s="2"/>
      <c r="V173" s="2"/>
    </row>
    <row r="174" ht="22.5" customHeight="1">
      <c r="A174" s="3">
        <v>173.0</v>
      </c>
      <c r="B174" s="3" t="s">
        <v>3981</v>
      </c>
      <c r="C174" s="3" t="s">
        <v>3919</v>
      </c>
      <c r="D174" s="3" t="s">
        <v>956</v>
      </c>
      <c r="E174" s="2"/>
      <c r="F174" s="3" t="str">
        <f>IFERROR(__xludf.DUMMYFUNCTION("GOOGLETRANSLATE(A174, ""it"", ""en"")"),"173")</f>
        <v>173</v>
      </c>
      <c r="G174" s="3" t="str">
        <f>IFERROR(__xludf.DUMMYFUNCTION("GOOGLETRANSLATE(B174, ""it"", ""en"")"),"A player shouts ""one"" and shows ""two"" fingers. What happens?")</f>
        <v>A player shouts "one" and shows "two" fingers. What happens?</v>
      </c>
      <c r="H174" s="3" t="str">
        <f>IFERROR(__xludf.DUMMYFUNCTION("GOOGLETRANSLATE(C174, ""it"", ""en"")"),"A. The point is awarded B. The point is cancelled C. The game continues normally D. The point is awarded")</f>
        <v>A. The point is awarded B. The point is cancelled C. The game continues normally D. The point is awarded</v>
      </c>
      <c r="I174" s="3" t="str">
        <f>IFERROR(__xludf.DUMMYFUNCTION("GOOGLETRANSLATE(D174, ""it"", ""en"")"),"The point is cancelled")</f>
        <v>The point is cancelled</v>
      </c>
      <c r="J174" s="2"/>
      <c r="K174" s="2"/>
      <c r="L174" s="2"/>
      <c r="M174" s="2"/>
      <c r="N174" s="2"/>
      <c r="O174" s="2"/>
      <c r="P174" s="2"/>
      <c r="Q174" s="2"/>
      <c r="R174" s="2"/>
      <c r="S174" s="2"/>
      <c r="T174" s="2"/>
      <c r="U174" s="2"/>
      <c r="V174" s="2"/>
    </row>
    <row r="175" ht="22.5" customHeight="1">
      <c r="A175" s="3">
        <v>174.0</v>
      </c>
      <c r="B175" s="3" t="s">
        <v>3991</v>
      </c>
      <c r="C175" s="3" t="s">
        <v>3919</v>
      </c>
      <c r="D175" s="3" t="s">
        <v>616</v>
      </c>
      <c r="E175" s="2"/>
      <c r="F175" s="3" t="str">
        <f>IFERROR(__xludf.DUMMYFUNCTION("GOOGLETRANSLATE(A175, ""it"", ""en"")"),"174")</f>
        <v>174</v>
      </c>
      <c r="G175" s="3" t="str">
        <f>IFERROR(__xludf.DUMMYFUNCTION("GOOGLETRANSLATE(B175, ""it"", ""en"")"),"A player shows ""four"" fingers and says ""four."" What happens?")</f>
        <v>A player shows "four" fingers and says "four." What happens?</v>
      </c>
      <c r="H175" s="3" t="str">
        <f>IFERROR(__xludf.DUMMYFUNCTION("GOOGLETRANSLATE(C175, ""it"", ""en"")"),"A. The point is awarded B. The point is cancelled C. The game continues normally D. The point is awarded")</f>
        <v>A. The point is awarded B. The point is cancelled C. The game continues normally D. The point is awarded</v>
      </c>
      <c r="I175" s="3" t="str">
        <f>IFERROR(__xludf.DUMMYFUNCTION("GOOGLETRANSLATE(D175, ""it"", ""en"")"),"The point is awarded")</f>
        <v>The point is awarded</v>
      </c>
      <c r="J175" s="2"/>
      <c r="K175" s="2"/>
      <c r="L175" s="2"/>
      <c r="M175" s="2"/>
      <c r="N175" s="2"/>
      <c r="O175" s="2"/>
      <c r="P175" s="2"/>
      <c r="Q175" s="2"/>
      <c r="R175" s="2"/>
      <c r="S175" s="2"/>
      <c r="T175" s="2"/>
      <c r="U175" s="2"/>
      <c r="V175" s="2"/>
    </row>
    <row r="176" ht="22.5" customHeight="1">
      <c r="A176" s="3">
        <v>175.0</v>
      </c>
      <c r="B176" s="3" t="s">
        <v>3992</v>
      </c>
      <c r="C176" s="3" t="s">
        <v>3873</v>
      </c>
      <c r="D176" s="3" t="s">
        <v>956</v>
      </c>
      <c r="E176" s="2"/>
      <c r="F176" s="3" t="str">
        <f>IFERROR(__xludf.DUMMYFUNCTION("GOOGLETRANSLATE(A176, ""it"", ""en"")"),"175")</f>
        <v>175</v>
      </c>
      <c r="G176" s="3" t="str">
        <f>IFERROR(__xludf.DUMMYFUNCTION("GOOGLETRANSLATE(B176, ""it"", ""en"")"),"A player shouts ""five"" and holds up a ""one"" finger. What happens?")</f>
        <v>A player shouts "five" and holds up a "one" finger. What happens?</v>
      </c>
      <c r="H176" s="3" t="str">
        <f>IFERROR(__xludf.DUMMYFUNCTION("GOOGLETRANSLATE(C176, ""it"", ""en"")"),"A. The point is cancelled B. The point is awarded to the opponent C. The game continues normally D. The point is awarded")</f>
        <v>A. The point is cancelled B. The point is awarded to the opponent C. The game continues normally D. The point is awarded</v>
      </c>
      <c r="I176" s="3" t="str">
        <f>IFERROR(__xludf.DUMMYFUNCTION("GOOGLETRANSLATE(D176, ""it"", ""en"")"),"The point is cancelled")</f>
        <v>The point is cancelled</v>
      </c>
      <c r="J176" s="2"/>
      <c r="K176" s="2"/>
      <c r="L176" s="2"/>
      <c r="M176" s="2"/>
      <c r="N176" s="2"/>
      <c r="O176" s="2"/>
      <c r="P176" s="2"/>
      <c r="Q176" s="2"/>
      <c r="R176" s="2"/>
      <c r="S176" s="2"/>
      <c r="T176" s="2"/>
      <c r="U176" s="2"/>
      <c r="V176" s="2"/>
    </row>
    <row r="177" ht="22.5" customHeight="1">
      <c r="A177" s="3">
        <v>176.0</v>
      </c>
      <c r="B177" s="3" t="s">
        <v>3986</v>
      </c>
      <c r="C177" s="3" t="s">
        <v>3881</v>
      </c>
      <c r="D177" s="3" t="s">
        <v>956</v>
      </c>
      <c r="E177" s="2"/>
      <c r="F177" s="3" t="str">
        <f>IFERROR(__xludf.DUMMYFUNCTION("GOOGLETRANSLATE(A177, ""it"", ""en"")"),"176")</f>
        <v>176</v>
      </c>
      <c r="G177" s="3" t="str">
        <f>IFERROR(__xludf.DUMMYFUNCTION("GOOGLETRANSLATE(B177, ""it"", ""en"")"),"A player shows ""four"" fingers and shouts ""two."" What happens?")</f>
        <v>A player shows "four" fingers and shouts "two." What happens?</v>
      </c>
      <c r="H177" s="3" t="str">
        <f>IFERROR(__xludf.DUMMYFUNCTION("GOOGLETRANSLATE(C177, ""it"", ""en"")"),"A. The point is awarded to the opponent B. The point is cancelled C. The game continues normally D. The point is awarded")</f>
        <v>A. The point is awarded to the opponent B. The point is cancelled C. The game continues normally D. The point is awarded</v>
      </c>
      <c r="I177" s="3" t="str">
        <f>IFERROR(__xludf.DUMMYFUNCTION("GOOGLETRANSLATE(D177, ""it"", ""en"")"),"The point is cancelled")</f>
        <v>The point is cancelled</v>
      </c>
      <c r="J177" s="2"/>
      <c r="K177" s="2"/>
      <c r="L177" s="2"/>
      <c r="M177" s="2"/>
      <c r="N177" s="2"/>
      <c r="O177" s="2"/>
      <c r="P177" s="2"/>
      <c r="Q177" s="2"/>
      <c r="R177" s="2"/>
      <c r="S177" s="2"/>
      <c r="T177" s="2"/>
      <c r="U177" s="2"/>
      <c r="V177" s="2"/>
    </row>
    <row r="178" ht="22.5" customHeight="1">
      <c r="A178" s="3">
        <v>177.0</v>
      </c>
      <c r="B178" s="3" t="s">
        <v>3993</v>
      </c>
      <c r="C178" s="3" t="s">
        <v>3881</v>
      </c>
      <c r="D178" s="3" t="s">
        <v>956</v>
      </c>
      <c r="E178" s="2"/>
      <c r="F178" s="3" t="str">
        <f>IFERROR(__xludf.DUMMYFUNCTION("GOOGLETRANSLATE(A178, ""it"", ""en"")"),"177")</f>
        <v>177</v>
      </c>
      <c r="G178" s="3" t="str">
        <f>IFERROR(__xludf.DUMMYFUNCTION("GOOGLETRANSLATE(B178, ""it"", ""en"")"),"A player shouts ""three"" and holds up a ""one"" finger. What happens?")</f>
        <v>A player shouts "three" and holds up a "one" finger. What happens?</v>
      </c>
      <c r="H178" s="3" t="str">
        <f>IFERROR(__xludf.DUMMYFUNCTION("GOOGLETRANSLATE(C178, ""it"", ""en"")"),"A. The point is awarded to the opponent B. The point is cancelled C. The game continues normally D. The point is awarded")</f>
        <v>A. The point is awarded to the opponent B. The point is cancelled C. The game continues normally D. The point is awarded</v>
      </c>
      <c r="I178" s="3" t="str">
        <f>IFERROR(__xludf.DUMMYFUNCTION("GOOGLETRANSLATE(D178, ""it"", ""en"")"),"The point is cancelled")</f>
        <v>The point is cancelled</v>
      </c>
      <c r="J178" s="2"/>
      <c r="K178" s="2"/>
      <c r="L178" s="2"/>
      <c r="M178" s="2"/>
      <c r="N178" s="2"/>
      <c r="O178" s="2"/>
      <c r="P178" s="2"/>
      <c r="Q178" s="2"/>
      <c r="R178" s="2"/>
      <c r="S178" s="2"/>
      <c r="T178" s="2"/>
      <c r="U178" s="2"/>
      <c r="V178" s="2"/>
    </row>
    <row r="179" ht="22.5" customHeight="1">
      <c r="A179" s="3">
        <v>178.0</v>
      </c>
      <c r="B179" s="3" t="s">
        <v>3940</v>
      </c>
      <c r="C179" s="3" t="s">
        <v>3919</v>
      </c>
      <c r="D179" s="3" t="s">
        <v>616</v>
      </c>
      <c r="E179" s="2"/>
      <c r="F179" s="3" t="str">
        <f>IFERROR(__xludf.DUMMYFUNCTION("GOOGLETRANSLATE(A179, ""it"", ""en"")"),"178")</f>
        <v>178</v>
      </c>
      <c r="G179" s="3" t="str">
        <f>IFERROR(__xludf.DUMMYFUNCTION("GOOGLETRANSLATE(B179, ""it"", ""en"")"),"A player shows ""two"" fingers and says ""two."" What happens?")</f>
        <v>A player shows "two" fingers and says "two." What happens?</v>
      </c>
      <c r="H179" s="3" t="str">
        <f>IFERROR(__xludf.DUMMYFUNCTION("GOOGLETRANSLATE(C179, ""it"", ""en"")"),"A. The point is awarded B. The point is cancelled C. The game continues normally D. The point is awarded")</f>
        <v>A. The point is awarded B. The point is cancelled C. The game continues normally D. The point is awarded</v>
      </c>
      <c r="I179" s="3" t="str">
        <f>IFERROR(__xludf.DUMMYFUNCTION("GOOGLETRANSLATE(D179, ""it"", ""en"")"),"The point is awarded")</f>
        <v>The point is awarded</v>
      </c>
      <c r="J179" s="2"/>
      <c r="K179" s="2"/>
      <c r="L179" s="2"/>
      <c r="M179" s="2"/>
      <c r="N179" s="2"/>
      <c r="O179" s="2"/>
      <c r="P179" s="2"/>
      <c r="Q179" s="2"/>
      <c r="R179" s="2"/>
      <c r="S179" s="2"/>
      <c r="T179" s="2"/>
      <c r="U179" s="2"/>
      <c r="V179" s="2"/>
    </row>
    <row r="180" ht="22.5" customHeight="1">
      <c r="A180" s="3">
        <v>179.0</v>
      </c>
      <c r="B180" s="3" t="s">
        <v>3994</v>
      </c>
      <c r="C180" s="3" t="s">
        <v>3873</v>
      </c>
      <c r="D180" s="3" t="s">
        <v>956</v>
      </c>
      <c r="E180" s="2"/>
      <c r="F180" s="3" t="str">
        <f>IFERROR(__xludf.DUMMYFUNCTION("GOOGLETRANSLATE(A180, ""it"", ""en"")"),"179")</f>
        <v>179</v>
      </c>
      <c r="G180" s="3" t="str">
        <f>IFERROR(__xludf.DUMMYFUNCTION("GOOGLETRANSLATE(B180, ""it"", ""en"")"),"A player shows ""one"" finger and says ""five."" What happens?")</f>
        <v>A player shows "one" finger and says "five." What happens?</v>
      </c>
      <c r="H180" s="3" t="str">
        <f>IFERROR(__xludf.DUMMYFUNCTION("GOOGLETRANSLATE(C180, ""it"", ""en"")"),"A. The point is cancelled B. The point is awarded to the opponent C. The game continues normally D. The point is awarded")</f>
        <v>A. The point is cancelled B. The point is awarded to the opponent C. The game continues normally D. The point is awarded</v>
      </c>
      <c r="I180" s="3" t="str">
        <f>IFERROR(__xludf.DUMMYFUNCTION("GOOGLETRANSLATE(D180, ""it"", ""en"")"),"The point is cancelled")</f>
        <v>The point is cancelled</v>
      </c>
      <c r="J180" s="2"/>
      <c r="K180" s="2"/>
      <c r="L180" s="2"/>
      <c r="M180" s="2"/>
      <c r="N180" s="2"/>
      <c r="O180" s="2"/>
      <c r="P180" s="2"/>
      <c r="Q180" s="2"/>
      <c r="R180" s="2"/>
      <c r="S180" s="2"/>
      <c r="T180" s="2"/>
      <c r="U180" s="2"/>
      <c r="V180" s="2"/>
    </row>
    <row r="181" ht="22.5" customHeight="1">
      <c r="A181" s="3">
        <v>180.0</v>
      </c>
      <c r="B181" s="3" t="s">
        <v>3995</v>
      </c>
      <c r="C181" s="3" t="s">
        <v>3873</v>
      </c>
      <c r="D181" s="3" t="s">
        <v>956</v>
      </c>
      <c r="E181" s="2"/>
      <c r="F181" s="3" t="str">
        <f>IFERROR(__xludf.DUMMYFUNCTION("GOOGLETRANSLATE(A181, ""it"", ""en"")"),"180")</f>
        <v>180</v>
      </c>
      <c r="G181" s="3" t="str">
        <f>IFERROR(__xludf.DUMMYFUNCTION("GOOGLETRANSLATE(B181, ""it"", ""en"")"),"A player shouts ""two"" and shows ""five"" fingers. What happens?")</f>
        <v>A player shouts "two" and shows "five" fingers. What happens?</v>
      </c>
      <c r="H181" s="3" t="str">
        <f>IFERROR(__xludf.DUMMYFUNCTION("GOOGLETRANSLATE(C181, ""it"", ""en"")"),"A. The point is cancelled B. The point is awarded to the opponent C. The game continues normally D. The point is awarded")</f>
        <v>A. The point is cancelled B. The point is awarded to the opponent C. The game continues normally D. The point is awarded</v>
      </c>
      <c r="I181" s="3" t="str">
        <f>IFERROR(__xludf.DUMMYFUNCTION("GOOGLETRANSLATE(D181, ""it"", ""en"")"),"The point is cancelled")</f>
        <v>The point is cancelled</v>
      </c>
      <c r="J181" s="2"/>
      <c r="K181" s="2"/>
      <c r="L181" s="2"/>
      <c r="M181" s="2"/>
      <c r="N181" s="2"/>
      <c r="O181" s="2"/>
      <c r="P181" s="2"/>
      <c r="Q181" s="2"/>
      <c r="R181" s="2"/>
      <c r="S181" s="2"/>
      <c r="T181" s="2"/>
      <c r="U181" s="2"/>
      <c r="V181" s="2"/>
    </row>
    <row r="182" ht="22.5" customHeight="1">
      <c r="A182" s="3">
        <v>181.0</v>
      </c>
      <c r="B182" s="3" t="s">
        <v>3996</v>
      </c>
      <c r="C182" s="3" t="s">
        <v>3881</v>
      </c>
      <c r="D182" s="3" t="s">
        <v>956</v>
      </c>
      <c r="E182" s="2"/>
      <c r="F182" s="3" t="str">
        <f>IFERROR(__xludf.DUMMYFUNCTION("GOOGLETRANSLATE(A182, ""it"", ""en"")"),"181")</f>
        <v>181</v>
      </c>
      <c r="G182" s="3" t="str">
        <f>IFERROR(__xludf.DUMMYFUNCTION("GOOGLETRANSLATE(B182, ""it"", ""en"")"),"A player shows ""three"" fingers and shouts ""five."" What happens?")</f>
        <v>A player shows "three" fingers and shouts "five." What happens?</v>
      </c>
      <c r="H182" s="3" t="str">
        <f>IFERROR(__xludf.DUMMYFUNCTION("GOOGLETRANSLATE(C182, ""it"", ""en"")"),"A. The point is awarded to the opponent B. The point is cancelled C. The game continues normally D. The point is awarded")</f>
        <v>A. The point is awarded to the opponent B. The point is cancelled C. The game continues normally D. The point is awarded</v>
      </c>
      <c r="I182" s="3" t="str">
        <f>IFERROR(__xludf.DUMMYFUNCTION("GOOGLETRANSLATE(D182, ""it"", ""en"")"),"The point is cancelled")</f>
        <v>The point is cancelled</v>
      </c>
      <c r="J182" s="2"/>
      <c r="K182" s="2"/>
      <c r="L182" s="2"/>
      <c r="M182" s="2"/>
      <c r="N182" s="2"/>
      <c r="O182" s="2"/>
      <c r="P182" s="2"/>
      <c r="Q182" s="2"/>
      <c r="R182" s="2"/>
      <c r="S182" s="2"/>
      <c r="T182" s="2"/>
      <c r="U182" s="2"/>
      <c r="V182" s="2"/>
    </row>
    <row r="183" ht="22.5" customHeight="1">
      <c r="A183" s="3">
        <v>182.0</v>
      </c>
      <c r="B183" s="3" t="s">
        <v>3937</v>
      </c>
      <c r="C183" s="3" t="s">
        <v>3881</v>
      </c>
      <c r="D183" s="3" t="s">
        <v>956</v>
      </c>
      <c r="E183" s="2"/>
      <c r="F183" s="3" t="str">
        <f>IFERROR(__xludf.DUMMYFUNCTION("GOOGLETRANSLATE(A183, ""it"", ""en"")"),"182")</f>
        <v>182</v>
      </c>
      <c r="G183" s="3" t="str">
        <f>IFERROR(__xludf.DUMMYFUNCTION("GOOGLETRANSLATE(B183, ""it"", ""en"")"),"A player shouts ""four"" and holds up ""two"" fingers. What happens?")</f>
        <v>A player shouts "four" and holds up "two" fingers. What happens?</v>
      </c>
      <c r="H183" s="3" t="str">
        <f>IFERROR(__xludf.DUMMYFUNCTION("GOOGLETRANSLATE(C183, ""it"", ""en"")"),"A. The point is awarded to the opponent B. The point is cancelled C. The game continues normally D. The point is awarded")</f>
        <v>A. The point is awarded to the opponent B. The point is cancelled C. The game continues normally D. The point is awarded</v>
      </c>
      <c r="I183" s="3" t="str">
        <f>IFERROR(__xludf.DUMMYFUNCTION("GOOGLETRANSLATE(D183, ""it"", ""en"")"),"The point is cancelled")</f>
        <v>The point is cancelled</v>
      </c>
      <c r="J183" s="2"/>
      <c r="K183" s="2"/>
      <c r="L183" s="2"/>
      <c r="M183" s="2"/>
      <c r="N183" s="2"/>
      <c r="O183" s="2"/>
      <c r="P183" s="2"/>
      <c r="Q183" s="2"/>
      <c r="R183" s="2"/>
      <c r="S183" s="2"/>
      <c r="T183" s="2"/>
      <c r="U183" s="2"/>
      <c r="V183" s="2"/>
    </row>
    <row r="184" ht="22.5" customHeight="1">
      <c r="A184" s="3">
        <v>183.0</v>
      </c>
      <c r="B184" s="3" t="s">
        <v>3979</v>
      </c>
      <c r="C184" s="3" t="s">
        <v>3881</v>
      </c>
      <c r="D184" s="3" t="s">
        <v>956</v>
      </c>
      <c r="E184" s="2"/>
      <c r="F184" s="3" t="str">
        <f>IFERROR(__xludf.DUMMYFUNCTION("GOOGLETRANSLATE(A184, ""it"", ""en"")"),"183")</f>
        <v>183</v>
      </c>
      <c r="G184" s="3" t="str">
        <f>IFERROR(__xludf.DUMMYFUNCTION("GOOGLETRANSLATE(B184, ""it"", ""en"")"),"A player shouts ""three"" and shows ""two"" fingers. What happens?")</f>
        <v>A player shouts "three" and shows "two" fingers. What happens?</v>
      </c>
      <c r="H184" s="3" t="str">
        <f>IFERROR(__xludf.DUMMYFUNCTION("GOOGLETRANSLATE(C184, ""it"", ""en"")"),"A. The point is awarded to the opponent B. The point is cancelled C. The game continues normally D. The point is awarded")</f>
        <v>A. The point is awarded to the opponent B. The point is cancelled C. The game continues normally D. The point is awarded</v>
      </c>
      <c r="I184" s="3" t="str">
        <f>IFERROR(__xludf.DUMMYFUNCTION("GOOGLETRANSLATE(D184, ""it"", ""en"")"),"The point is cancelled")</f>
        <v>The point is cancelled</v>
      </c>
      <c r="J184" s="2"/>
      <c r="K184" s="2"/>
      <c r="L184" s="2"/>
      <c r="M184" s="2"/>
      <c r="N184" s="2"/>
      <c r="O184" s="2"/>
      <c r="P184" s="2"/>
      <c r="Q184" s="2"/>
      <c r="R184" s="2"/>
      <c r="S184" s="2"/>
      <c r="T184" s="2"/>
      <c r="U184" s="2"/>
      <c r="V184" s="2"/>
    </row>
    <row r="185" ht="22.5" customHeight="1">
      <c r="A185" s="3">
        <v>184.0</v>
      </c>
      <c r="B185" s="3" t="s">
        <v>3997</v>
      </c>
      <c r="C185" s="3" t="s">
        <v>3919</v>
      </c>
      <c r="D185" s="3" t="s">
        <v>616</v>
      </c>
      <c r="E185" s="2"/>
      <c r="F185" s="3" t="str">
        <f>IFERROR(__xludf.DUMMYFUNCTION("GOOGLETRANSLATE(A185, ""it"", ""en"")"),"184")</f>
        <v>184</v>
      </c>
      <c r="G185" s="3" t="str">
        <f>IFERROR(__xludf.DUMMYFUNCTION("GOOGLETRANSLATE(B185, ""it"", ""en"")"),"A player shows ""five"" fingers and shouts ""five."" What happens?")</f>
        <v>A player shows "five" fingers and shouts "five." What happens?</v>
      </c>
      <c r="H185" s="3" t="str">
        <f>IFERROR(__xludf.DUMMYFUNCTION("GOOGLETRANSLATE(C185, ""it"", ""en"")"),"A. The point is awarded B. The point is cancelled C. The game continues normally D. The point is awarded")</f>
        <v>A. The point is awarded B. The point is cancelled C. The game continues normally D. The point is awarded</v>
      </c>
      <c r="I185" s="3" t="str">
        <f>IFERROR(__xludf.DUMMYFUNCTION("GOOGLETRANSLATE(D185, ""it"", ""en"")"),"The point is awarded")</f>
        <v>The point is awarded</v>
      </c>
      <c r="J185" s="2"/>
      <c r="K185" s="2"/>
      <c r="L185" s="2"/>
      <c r="M185" s="2"/>
      <c r="N185" s="2"/>
      <c r="O185" s="2"/>
      <c r="P185" s="2"/>
      <c r="Q185" s="2"/>
      <c r="R185" s="2"/>
      <c r="S185" s="2"/>
      <c r="T185" s="2"/>
      <c r="U185" s="2"/>
      <c r="V185" s="2"/>
    </row>
    <row r="186" ht="22.5" customHeight="1">
      <c r="A186" s="3">
        <v>185.0</v>
      </c>
      <c r="B186" s="3" t="s">
        <v>3987</v>
      </c>
      <c r="C186" s="3" t="s">
        <v>3881</v>
      </c>
      <c r="D186" s="3" t="s">
        <v>956</v>
      </c>
      <c r="E186" s="2"/>
      <c r="F186" s="3" t="str">
        <f>IFERROR(__xludf.DUMMYFUNCTION("GOOGLETRANSLATE(A186, ""it"", ""en"")"),"185")</f>
        <v>185</v>
      </c>
      <c r="G186" s="3" t="str">
        <f>IFERROR(__xludf.DUMMYFUNCTION("GOOGLETRANSLATE(B186, ""it"", ""en"")"),"A player shouts ""one"" and shows ""three"" fingers. What happens?")</f>
        <v>A player shouts "one" and shows "three" fingers. What happens?</v>
      </c>
      <c r="H186" s="3" t="str">
        <f>IFERROR(__xludf.DUMMYFUNCTION("GOOGLETRANSLATE(C186, ""it"", ""en"")"),"A. The point is awarded to the opponent B. The point is cancelled C. The game continues normally D. The point is awarded")</f>
        <v>A. The point is awarded to the opponent B. The point is cancelled C. The game continues normally D. The point is awarded</v>
      </c>
      <c r="I186" s="3" t="str">
        <f>IFERROR(__xludf.DUMMYFUNCTION("GOOGLETRANSLATE(D186, ""it"", ""en"")"),"The point is cancelled")</f>
        <v>The point is cancelled</v>
      </c>
      <c r="J186" s="2"/>
      <c r="K186" s="2"/>
      <c r="L186" s="2"/>
      <c r="M186" s="2"/>
      <c r="N186" s="2"/>
      <c r="O186" s="2"/>
      <c r="P186" s="2"/>
      <c r="Q186" s="2"/>
      <c r="R186" s="2"/>
      <c r="S186" s="2"/>
      <c r="T186" s="2"/>
      <c r="U186" s="2"/>
      <c r="V186" s="2"/>
    </row>
    <row r="187" ht="22.5" customHeight="1">
      <c r="A187" s="3">
        <v>186.0</v>
      </c>
      <c r="B187" s="3" t="s">
        <v>3998</v>
      </c>
      <c r="C187" s="3" t="s">
        <v>3881</v>
      </c>
      <c r="D187" s="3" t="s">
        <v>956</v>
      </c>
      <c r="E187" s="2"/>
      <c r="F187" s="3" t="str">
        <f>IFERROR(__xludf.DUMMYFUNCTION("GOOGLETRANSLATE(A187, ""it"", ""en"")"),"186")</f>
        <v>186</v>
      </c>
      <c r="G187" s="3" t="str">
        <f>IFERROR(__xludf.DUMMYFUNCTION("GOOGLETRANSLATE(B187, ""it"", ""en"")"),"A player shows ""four"" fingers and shouts ""one."" What happens?")</f>
        <v>A player shows "four" fingers and shouts "one." What happens?</v>
      </c>
      <c r="H187" s="3" t="str">
        <f>IFERROR(__xludf.DUMMYFUNCTION("GOOGLETRANSLATE(C187, ""it"", ""en"")"),"A. The point is awarded to the opponent B. The point is cancelled C. The game continues normally D. The point is awarded")</f>
        <v>A. The point is awarded to the opponent B. The point is cancelled C. The game continues normally D. The point is awarded</v>
      </c>
      <c r="I187" s="3" t="str">
        <f>IFERROR(__xludf.DUMMYFUNCTION("GOOGLETRANSLATE(D187, ""it"", ""en"")"),"The point is cancelled")</f>
        <v>The point is cancelled</v>
      </c>
      <c r="J187" s="2"/>
      <c r="K187" s="2"/>
      <c r="L187" s="2"/>
      <c r="M187" s="2"/>
      <c r="N187" s="2"/>
      <c r="O187" s="2"/>
      <c r="P187" s="2"/>
      <c r="Q187" s="2"/>
      <c r="R187" s="2"/>
      <c r="S187" s="2"/>
      <c r="T187" s="2"/>
      <c r="U187" s="2"/>
      <c r="V187" s="2"/>
    </row>
    <row r="188" ht="22.5" customHeight="1">
      <c r="A188" s="3">
        <v>187.0</v>
      </c>
      <c r="B188" s="3" t="s">
        <v>3972</v>
      </c>
      <c r="C188" s="3" t="s">
        <v>3881</v>
      </c>
      <c r="D188" s="3" t="s">
        <v>956</v>
      </c>
      <c r="E188" s="2"/>
      <c r="F188" s="3" t="str">
        <f>IFERROR(__xludf.DUMMYFUNCTION("GOOGLETRANSLATE(A188, ""it"", ""en"")"),"187")</f>
        <v>187</v>
      </c>
      <c r="G188" s="3" t="str">
        <f>IFERROR(__xludf.DUMMYFUNCTION("GOOGLETRANSLATE(B188, ""it"", ""en"")"),"A player shows ""two"" fingers and shouts ""one."" What happens?")</f>
        <v>A player shows "two" fingers and shouts "one." What happens?</v>
      </c>
      <c r="H188" s="3" t="str">
        <f>IFERROR(__xludf.DUMMYFUNCTION("GOOGLETRANSLATE(C188, ""it"", ""en"")"),"A. The point is awarded to the opponent B. The point is cancelled C. The game continues normally D. The point is awarded")</f>
        <v>A. The point is awarded to the opponent B. The point is cancelled C. The game continues normally D. The point is awarded</v>
      </c>
      <c r="I188" s="3" t="str">
        <f>IFERROR(__xludf.DUMMYFUNCTION("GOOGLETRANSLATE(D188, ""it"", ""en"")"),"The point is cancelled")</f>
        <v>The point is cancelled</v>
      </c>
      <c r="J188" s="2"/>
      <c r="K188" s="2"/>
      <c r="L188" s="2"/>
      <c r="M188" s="2"/>
      <c r="N188" s="2"/>
      <c r="O188" s="2"/>
      <c r="P188" s="2"/>
      <c r="Q188" s="2"/>
      <c r="R188" s="2"/>
      <c r="S188" s="2"/>
      <c r="T188" s="2"/>
      <c r="U188" s="2"/>
      <c r="V188" s="2"/>
    </row>
    <row r="189" ht="22.5" customHeight="1">
      <c r="A189" s="3">
        <v>188.0</v>
      </c>
      <c r="B189" s="3" t="s">
        <v>3891</v>
      </c>
      <c r="C189" s="3" t="s">
        <v>3919</v>
      </c>
      <c r="D189" s="3" t="s">
        <v>616</v>
      </c>
      <c r="E189" s="2"/>
      <c r="F189" s="3" t="str">
        <f>IFERROR(__xludf.DUMMYFUNCTION("GOOGLETRANSLATE(A189, ""it"", ""en"")"),"188")</f>
        <v>188</v>
      </c>
      <c r="G189" s="3" t="str">
        <f>IFERROR(__xludf.DUMMYFUNCTION("GOOGLETRANSLATE(B189, ""it"", ""en"")"),"A player shouts ""four"" and shows ""four"" fingers. What happens?")</f>
        <v>A player shouts "four" and shows "four" fingers. What happens?</v>
      </c>
      <c r="H189" s="3" t="str">
        <f>IFERROR(__xludf.DUMMYFUNCTION("GOOGLETRANSLATE(C189, ""it"", ""en"")"),"A. The point is awarded B. The point is cancelled C. The game continues normally D. The point is awarded")</f>
        <v>A. The point is awarded B. The point is cancelled C. The game continues normally D. The point is awarded</v>
      </c>
      <c r="I189" s="3" t="str">
        <f>IFERROR(__xludf.DUMMYFUNCTION("GOOGLETRANSLATE(D189, ""it"", ""en"")"),"The point is awarded")</f>
        <v>The point is awarded</v>
      </c>
      <c r="J189" s="2"/>
      <c r="K189" s="2"/>
      <c r="L189" s="2"/>
      <c r="M189" s="2"/>
      <c r="N189" s="2"/>
      <c r="O189" s="2"/>
      <c r="P189" s="2"/>
      <c r="Q189" s="2"/>
      <c r="R189" s="2"/>
      <c r="S189" s="2"/>
      <c r="T189" s="2"/>
      <c r="U189" s="2"/>
      <c r="V189" s="2"/>
    </row>
    <row r="190" ht="22.5" customHeight="1">
      <c r="A190" s="3">
        <v>189.0</v>
      </c>
      <c r="B190" s="3" t="s">
        <v>3943</v>
      </c>
      <c r="C190" s="3" t="s">
        <v>3919</v>
      </c>
      <c r="D190" s="3" t="s">
        <v>616</v>
      </c>
      <c r="E190" s="2"/>
      <c r="F190" s="3" t="str">
        <f>IFERROR(__xludf.DUMMYFUNCTION("GOOGLETRANSLATE(A190, ""it"", ""en"")"),"189")</f>
        <v>189</v>
      </c>
      <c r="G190" s="3" t="str">
        <f>IFERROR(__xludf.DUMMYFUNCTION("GOOGLETRANSLATE(B190, ""it"", ""en"")"),"A player shows ""three"" fingers and says ""three."" What happens?")</f>
        <v>A player shows "three" fingers and says "three." What happens?</v>
      </c>
      <c r="H190" s="3" t="str">
        <f>IFERROR(__xludf.DUMMYFUNCTION("GOOGLETRANSLATE(C190, ""it"", ""en"")"),"A. The point is awarded B. The point is cancelled C. The game continues normally D. The point is awarded")</f>
        <v>A. The point is awarded B. The point is cancelled C. The game continues normally D. The point is awarded</v>
      </c>
      <c r="I190" s="3" t="str">
        <f>IFERROR(__xludf.DUMMYFUNCTION("GOOGLETRANSLATE(D190, ""it"", ""en"")"),"The point is awarded")</f>
        <v>The point is awarded</v>
      </c>
      <c r="J190" s="2"/>
      <c r="K190" s="2"/>
      <c r="L190" s="2"/>
      <c r="M190" s="2"/>
      <c r="N190" s="2"/>
      <c r="O190" s="2"/>
      <c r="P190" s="2"/>
      <c r="Q190" s="2"/>
      <c r="R190" s="2"/>
      <c r="S190" s="2"/>
      <c r="T190" s="2"/>
      <c r="U190" s="2"/>
      <c r="V190" s="2"/>
    </row>
    <row r="191" ht="22.5" customHeight="1">
      <c r="A191" s="3">
        <v>190.0</v>
      </c>
      <c r="B191" s="3" t="s">
        <v>3981</v>
      </c>
      <c r="C191" s="3" t="s">
        <v>3873</v>
      </c>
      <c r="D191" s="3" t="s">
        <v>956</v>
      </c>
      <c r="E191" s="2"/>
      <c r="F191" s="3" t="str">
        <f>IFERROR(__xludf.DUMMYFUNCTION("GOOGLETRANSLATE(A191, ""it"", ""en"")"),"190")</f>
        <v>190</v>
      </c>
      <c r="G191" s="3" t="str">
        <f>IFERROR(__xludf.DUMMYFUNCTION("GOOGLETRANSLATE(B191, ""it"", ""en"")"),"A player shouts ""one"" and shows ""two"" fingers. What happens?")</f>
        <v>A player shouts "one" and shows "two" fingers. What happens?</v>
      </c>
      <c r="H191" s="3" t="str">
        <f>IFERROR(__xludf.DUMMYFUNCTION("GOOGLETRANSLATE(C191, ""it"", ""en"")"),"A. The point is cancelled B. The point is awarded to the opponent C. The game continues normally D. The point is awarded")</f>
        <v>A. The point is cancelled B. The point is awarded to the opponent C. The game continues normally D. The point is awarded</v>
      </c>
      <c r="I191" s="3" t="str">
        <f>IFERROR(__xludf.DUMMYFUNCTION("GOOGLETRANSLATE(D191, ""it"", ""en"")"),"The point is cancelled")</f>
        <v>The point is cancelled</v>
      </c>
      <c r="J191" s="2"/>
      <c r="K191" s="2"/>
      <c r="L191" s="2"/>
      <c r="M191" s="2"/>
      <c r="N191" s="2"/>
      <c r="O191" s="2"/>
      <c r="P191" s="2"/>
      <c r="Q191" s="2"/>
      <c r="R191" s="2"/>
      <c r="S191" s="2"/>
      <c r="T191" s="2"/>
      <c r="U191" s="2"/>
      <c r="V191" s="2"/>
    </row>
    <row r="192" ht="22.5" customHeight="1">
      <c r="A192" s="3">
        <v>191.0</v>
      </c>
      <c r="B192" s="3" t="s">
        <v>3955</v>
      </c>
      <c r="C192" s="3" t="s">
        <v>3919</v>
      </c>
      <c r="D192" s="3" t="s">
        <v>956</v>
      </c>
      <c r="E192" s="2"/>
      <c r="F192" s="3" t="str">
        <f>IFERROR(__xludf.DUMMYFUNCTION("GOOGLETRANSLATE(A192, ""it"", ""en"")"),"191")</f>
        <v>191</v>
      </c>
      <c r="G192" s="3" t="str">
        <f>IFERROR(__xludf.DUMMYFUNCTION("GOOGLETRANSLATE(B192, ""it"", ""en"")"),"A player shows ""five"" fingers and shouts ""four."" What happens?")</f>
        <v>A player shows "five" fingers and shouts "four." What happens?</v>
      </c>
      <c r="H192" s="3" t="str">
        <f>IFERROR(__xludf.DUMMYFUNCTION("GOOGLETRANSLATE(C192, ""it"", ""en"")"),"A. The point is awarded B. The point is cancelled C. The game continues normally D. The point is awarded")</f>
        <v>A. The point is awarded B. The point is cancelled C. The game continues normally D. The point is awarded</v>
      </c>
      <c r="I192" s="3" t="str">
        <f>IFERROR(__xludf.DUMMYFUNCTION("GOOGLETRANSLATE(D192, ""it"", ""en"")"),"The point is cancelled")</f>
        <v>The point is cancelled</v>
      </c>
      <c r="J192" s="2"/>
      <c r="K192" s="2"/>
      <c r="L192" s="2"/>
      <c r="M192" s="2"/>
      <c r="N192" s="2"/>
      <c r="O192" s="2"/>
      <c r="P192" s="2"/>
      <c r="Q192" s="2"/>
      <c r="R192" s="2"/>
      <c r="S192" s="2"/>
      <c r="T192" s="2"/>
      <c r="U192" s="2"/>
      <c r="V192" s="2"/>
    </row>
    <row r="193" ht="22.5" customHeight="1">
      <c r="A193" s="3">
        <v>192.0</v>
      </c>
      <c r="B193" s="3" t="s">
        <v>3876</v>
      </c>
      <c r="C193" s="3" t="s">
        <v>3919</v>
      </c>
      <c r="D193" s="3" t="s">
        <v>616</v>
      </c>
      <c r="E193" s="2"/>
      <c r="F193" s="3" t="str">
        <f>IFERROR(__xludf.DUMMYFUNCTION("GOOGLETRANSLATE(A193, ""it"", ""en"")"),"192")</f>
        <v>192</v>
      </c>
      <c r="G193" s="3" t="str">
        <f>IFERROR(__xludf.DUMMYFUNCTION("GOOGLETRANSLATE(B193, ""it"", ""en"")"),"A player shouts ""two"" and shows ""two"" fingers. What happens?")</f>
        <v>A player shouts "two" and shows "two" fingers. What happens?</v>
      </c>
      <c r="H193" s="3" t="str">
        <f>IFERROR(__xludf.DUMMYFUNCTION("GOOGLETRANSLATE(C193, ""it"", ""en"")"),"A. The point is awarded B. The point is cancelled C. The game continues normally D. The point is awarded")</f>
        <v>A. The point is awarded B. The point is cancelled C. The game continues normally D. The point is awarded</v>
      </c>
      <c r="I193" s="3" t="str">
        <f>IFERROR(__xludf.DUMMYFUNCTION("GOOGLETRANSLATE(D193, ""it"", ""en"")"),"The point is awarded")</f>
        <v>The point is awarded</v>
      </c>
      <c r="J193" s="2"/>
      <c r="K193" s="2"/>
      <c r="L193" s="2"/>
      <c r="M193" s="2"/>
      <c r="N193" s="2"/>
      <c r="O193" s="2"/>
      <c r="P193" s="2"/>
      <c r="Q193" s="2"/>
      <c r="R193" s="2"/>
      <c r="S193" s="2"/>
      <c r="T193" s="2"/>
      <c r="U193" s="2"/>
      <c r="V193" s="2"/>
    </row>
    <row r="194" ht="22.5" customHeight="1">
      <c r="A194" s="3">
        <v>193.0</v>
      </c>
      <c r="B194" s="3" t="s">
        <v>3999</v>
      </c>
      <c r="C194" s="3" t="s">
        <v>3919</v>
      </c>
      <c r="D194" s="3" t="s">
        <v>956</v>
      </c>
      <c r="E194" s="2"/>
      <c r="F194" s="3" t="str">
        <f>IFERROR(__xludf.DUMMYFUNCTION("GOOGLETRANSLATE(A194, ""it"", ""en"")"),"193")</f>
        <v>193</v>
      </c>
      <c r="G194" s="3" t="str">
        <f>IFERROR(__xludf.DUMMYFUNCTION("GOOGLETRANSLATE(B194, ""it"", ""en"")"),"A player shouts ""five"" and shows ""four"" fingers. What happens?")</f>
        <v>A player shouts "five" and shows "four" fingers. What happens?</v>
      </c>
      <c r="H194" s="3" t="str">
        <f>IFERROR(__xludf.DUMMYFUNCTION("GOOGLETRANSLATE(C194, ""it"", ""en"")"),"A. The point is awarded B. The point is cancelled C. The game continues normally D. The point is awarded")</f>
        <v>A. The point is awarded B. The point is cancelled C. The game continues normally D. The point is awarded</v>
      </c>
      <c r="I194" s="3" t="str">
        <f>IFERROR(__xludf.DUMMYFUNCTION("GOOGLETRANSLATE(D194, ""it"", ""en"")"),"The point is cancelled")</f>
        <v>The point is cancelled</v>
      </c>
      <c r="J194" s="2"/>
      <c r="K194" s="2"/>
      <c r="L194" s="2"/>
      <c r="M194" s="2"/>
      <c r="N194" s="2"/>
      <c r="O194" s="2"/>
      <c r="P194" s="2"/>
      <c r="Q194" s="2"/>
      <c r="R194" s="2"/>
      <c r="S194" s="2"/>
      <c r="T194" s="2"/>
      <c r="U194" s="2"/>
      <c r="V194" s="2"/>
    </row>
    <row r="195" ht="22.5" customHeight="1">
      <c r="A195" s="3">
        <v>194.0</v>
      </c>
      <c r="B195" s="3" t="s">
        <v>4000</v>
      </c>
      <c r="C195" s="3" t="s">
        <v>3881</v>
      </c>
      <c r="D195" s="3" t="s">
        <v>956</v>
      </c>
      <c r="E195" s="2"/>
      <c r="F195" s="3" t="str">
        <f>IFERROR(__xludf.DUMMYFUNCTION("GOOGLETRANSLATE(A195, ""it"", ""en"")"),"194")</f>
        <v>194</v>
      </c>
      <c r="G195" s="3" t="str">
        <f>IFERROR(__xludf.DUMMYFUNCTION("GOOGLETRANSLATE(B195, ""it"", ""en"")"),"A player shows ""three"" fingers and shouts ""one."" What happens?")</f>
        <v>A player shows "three" fingers and shouts "one." What happens?</v>
      </c>
      <c r="H195" s="3" t="str">
        <f>IFERROR(__xludf.DUMMYFUNCTION("GOOGLETRANSLATE(C195, ""it"", ""en"")"),"A. The point is awarded to the opponent B. The point is cancelled C. The game continues normally D. The point is awarded")</f>
        <v>A. The point is awarded to the opponent B. The point is cancelled C. The game continues normally D. The point is awarded</v>
      </c>
      <c r="I195" s="3" t="str">
        <f>IFERROR(__xludf.DUMMYFUNCTION("GOOGLETRANSLATE(D195, ""it"", ""en"")"),"The point is cancelled")</f>
        <v>The point is cancelled</v>
      </c>
      <c r="J195" s="2"/>
      <c r="K195" s="2"/>
      <c r="L195" s="2"/>
      <c r="M195" s="2"/>
      <c r="N195" s="2"/>
      <c r="O195" s="2"/>
      <c r="P195" s="2"/>
      <c r="Q195" s="2"/>
      <c r="R195" s="2"/>
      <c r="S195" s="2"/>
      <c r="T195" s="2"/>
      <c r="U195" s="2"/>
      <c r="V195" s="2"/>
    </row>
    <row r="196" ht="22.5" customHeight="1">
      <c r="A196" s="3">
        <v>195.0</v>
      </c>
      <c r="B196" s="3" t="s">
        <v>3979</v>
      </c>
      <c r="C196" s="3" t="s">
        <v>3873</v>
      </c>
      <c r="D196" s="3" t="s">
        <v>956</v>
      </c>
      <c r="E196" s="2"/>
      <c r="F196" s="3" t="str">
        <f>IFERROR(__xludf.DUMMYFUNCTION("GOOGLETRANSLATE(A196, ""it"", ""en"")"),"195")</f>
        <v>195</v>
      </c>
      <c r="G196" s="3" t="str">
        <f>IFERROR(__xludf.DUMMYFUNCTION("GOOGLETRANSLATE(B196, ""it"", ""en"")"),"A player shouts ""three"" and shows ""two"" fingers. What happens?")</f>
        <v>A player shouts "three" and shows "two" fingers. What happens?</v>
      </c>
      <c r="H196" s="3" t="str">
        <f>IFERROR(__xludf.DUMMYFUNCTION("GOOGLETRANSLATE(C196, ""it"", ""en"")"),"A. The point is cancelled B. The point is awarded to the opponent C. The game continues normally D. The point is awarded")</f>
        <v>A. The point is cancelled B. The point is awarded to the opponent C. The game continues normally D. The point is awarded</v>
      </c>
      <c r="I196" s="3" t="str">
        <f>IFERROR(__xludf.DUMMYFUNCTION("GOOGLETRANSLATE(D196, ""it"", ""en"")"),"The point is cancelled")</f>
        <v>The point is cancelled</v>
      </c>
      <c r="J196" s="2"/>
      <c r="K196" s="2"/>
      <c r="L196" s="2"/>
      <c r="M196" s="2"/>
      <c r="N196" s="2"/>
      <c r="O196" s="2"/>
      <c r="P196" s="2"/>
      <c r="Q196" s="2"/>
      <c r="R196" s="2"/>
      <c r="S196" s="2"/>
      <c r="T196" s="2"/>
      <c r="U196" s="2"/>
      <c r="V196" s="2"/>
    </row>
    <row r="197" ht="22.5" customHeight="1">
      <c r="A197" s="3">
        <v>196.0</v>
      </c>
      <c r="B197" s="3" t="s">
        <v>3960</v>
      </c>
      <c r="C197" s="3" t="s">
        <v>3881</v>
      </c>
      <c r="D197" s="3" t="s">
        <v>956</v>
      </c>
      <c r="E197" s="2"/>
      <c r="F197" s="3" t="str">
        <f>IFERROR(__xludf.DUMMYFUNCTION("GOOGLETRANSLATE(A197, ""it"", ""en"")"),"196")</f>
        <v>196</v>
      </c>
      <c r="G197" s="3" t="str">
        <f>IFERROR(__xludf.DUMMYFUNCTION("GOOGLETRANSLATE(B197, ""it"", ""en"")"),"A player shows ""two"" fingers and shouts ""three."" What happens?")</f>
        <v>A player shows "two" fingers and shouts "three." What happens?</v>
      </c>
      <c r="H197" s="3" t="str">
        <f>IFERROR(__xludf.DUMMYFUNCTION("GOOGLETRANSLATE(C197, ""it"", ""en"")"),"A. The point is awarded to the opponent B. The point is cancelled C. The game continues normally D. The point is awarded")</f>
        <v>A. The point is awarded to the opponent B. The point is cancelled C. The game continues normally D. The point is awarded</v>
      </c>
      <c r="I197" s="3" t="str">
        <f>IFERROR(__xludf.DUMMYFUNCTION("GOOGLETRANSLATE(D197, ""it"", ""en"")"),"The point is cancelled")</f>
        <v>The point is cancelled</v>
      </c>
      <c r="J197" s="2"/>
      <c r="K197" s="2"/>
      <c r="L197" s="2"/>
      <c r="M197" s="2"/>
      <c r="N197" s="2"/>
      <c r="O197" s="2"/>
      <c r="P197" s="2"/>
      <c r="Q197" s="2"/>
      <c r="R197" s="2"/>
      <c r="S197" s="2"/>
      <c r="T197" s="2"/>
      <c r="U197" s="2"/>
      <c r="V197" s="2"/>
    </row>
    <row r="198" ht="22.5" customHeight="1">
      <c r="A198" s="3">
        <v>197.0</v>
      </c>
      <c r="B198" s="3" t="s">
        <v>4001</v>
      </c>
      <c r="C198" s="3" t="s">
        <v>3881</v>
      </c>
      <c r="D198" s="3" t="s">
        <v>956</v>
      </c>
      <c r="E198" s="2"/>
      <c r="F198" s="3" t="str">
        <f>IFERROR(__xludf.DUMMYFUNCTION("GOOGLETRANSLATE(A198, ""it"", ""en"")"),"197")</f>
        <v>197</v>
      </c>
      <c r="G198" s="3" t="str">
        <f>IFERROR(__xludf.DUMMYFUNCTION("GOOGLETRANSLATE(B198, ""it"", ""en"")"),"A player shouts ""four"" and shows ""three"" fingers. What happens?")</f>
        <v>A player shouts "four" and shows "three" fingers. What happens?</v>
      </c>
      <c r="H198" s="3" t="str">
        <f>IFERROR(__xludf.DUMMYFUNCTION("GOOGLETRANSLATE(C198, ""it"", ""en"")"),"A. The point is awarded to the opponent B. The point is cancelled C. The game continues normally D. The point is awarded")</f>
        <v>A. The point is awarded to the opponent B. The point is cancelled C. The game continues normally D. The point is awarded</v>
      </c>
      <c r="I198" s="3" t="str">
        <f>IFERROR(__xludf.DUMMYFUNCTION("GOOGLETRANSLATE(D198, ""it"", ""en"")"),"The point is cancelled")</f>
        <v>The point is cancelled</v>
      </c>
      <c r="J198" s="2"/>
      <c r="K198" s="2"/>
      <c r="L198" s="2"/>
      <c r="M198" s="2"/>
      <c r="N198" s="2"/>
      <c r="O198" s="2"/>
      <c r="P198" s="2"/>
      <c r="Q198" s="2"/>
      <c r="R198" s="2"/>
      <c r="S198" s="2"/>
      <c r="T198" s="2"/>
      <c r="U198" s="2"/>
      <c r="V198" s="2"/>
    </row>
    <row r="199" ht="22.5" customHeight="1">
      <c r="A199" s="3">
        <v>198.0</v>
      </c>
      <c r="B199" s="3" t="s">
        <v>3968</v>
      </c>
      <c r="C199" s="3" t="s">
        <v>3881</v>
      </c>
      <c r="D199" s="3" t="s">
        <v>956</v>
      </c>
      <c r="E199" s="2"/>
      <c r="F199" s="3" t="str">
        <f>IFERROR(__xludf.DUMMYFUNCTION("GOOGLETRANSLATE(A199, ""it"", ""en"")"),"198")</f>
        <v>198</v>
      </c>
      <c r="G199" s="3" t="str">
        <f>IFERROR(__xludf.DUMMYFUNCTION("GOOGLETRANSLATE(B199, ""it"", ""en"")"),"A player shouts ""two"" and shows ""three"" fingers. What happens?")</f>
        <v>A player shouts "two" and shows "three" fingers. What happens?</v>
      </c>
      <c r="H199" s="3" t="str">
        <f>IFERROR(__xludf.DUMMYFUNCTION("GOOGLETRANSLATE(C199, ""it"", ""en"")"),"A. The point is awarded to the opponent B. The point is cancelled C. The game continues normally D. The point is awarded")</f>
        <v>A. The point is awarded to the opponent B. The point is cancelled C. The game continues normally D. The point is awarded</v>
      </c>
      <c r="I199" s="3" t="str">
        <f>IFERROR(__xludf.DUMMYFUNCTION("GOOGLETRANSLATE(D199, ""it"", ""en"")"),"The point is cancelled")</f>
        <v>The point is cancelled</v>
      </c>
      <c r="J199" s="2"/>
      <c r="K199" s="2"/>
      <c r="L199" s="2"/>
      <c r="M199" s="2"/>
      <c r="N199" s="2"/>
      <c r="O199" s="2"/>
      <c r="P199" s="2"/>
      <c r="Q199" s="2"/>
      <c r="R199" s="2"/>
      <c r="S199" s="2"/>
      <c r="T199" s="2"/>
      <c r="U199" s="2"/>
      <c r="V199" s="2"/>
    </row>
    <row r="200" ht="22.5" customHeight="1">
      <c r="A200" s="3">
        <v>199.0</v>
      </c>
      <c r="B200" s="3" t="s">
        <v>4002</v>
      </c>
      <c r="C200" s="3" t="s">
        <v>3919</v>
      </c>
      <c r="D200" s="3" t="s">
        <v>616</v>
      </c>
      <c r="E200" s="2"/>
      <c r="F200" s="3" t="str">
        <f>IFERROR(__xludf.DUMMYFUNCTION("GOOGLETRANSLATE(A200, ""it"", ""en"")"),"199")</f>
        <v>199</v>
      </c>
      <c r="G200" s="3" t="str">
        <f>IFERROR(__xludf.DUMMYFUNCTION("GOOGLETRANSLATE(B200, ""it"", ""en"")"),"A player shows ""four"" fingers and says ""two."" What happens?")</f>
        <v>A player shows "four" fingers and says "two." What happens?</v>
      </c>
      <c r="H200" s="3" t="str">
        <f>IFERROR(__xludf.DUMMYFUNCTION("GOOGLETRANSLATE(C200, ""it"", ""en"")"),"A. The point is awarded B. The point is cancelled C. The game continues normally D. The point is awarded")</f>
        <v>A. The point is awarded B. The point is cancelled C. The game continues normally D. The point is awarded</v>
      </c>
      <c r="I200" s="3" t="str">
        <f>IFERROR(__xludf.DUMMYFUNCTION("GOOGLETRANSLATE(D200, ""it"", ""en"")"),"The point is awarded")</f>
        <v>The point is awarded</v>
      </c>
      <c r="J200" s="2"/>
      <c r="K200" s="2"/>
      <c r="L200" s="2"/>
      <c r="M200" s="2"/>
      <c r="N200" s="2"/>
      <c r="O200" s="2"/>
      <c r="P200" s="2"/>
      <c r="Q200" s="2"/>
      <c r="R200" s="2"/>
      <c r="S200" s="2"/>
      <c r="T200" s="2"/>
      <c r="U200" s="2"/>
      <c r="V200" s="2"/>
    </row>
    <row r="201" ht="22.5" customHeight="1">
      <c r="A201" s="3">
        <v>200.0</v>
      </c>
      <c r="B201" s="3" t="s">
        <v>3987</v>
      </c>
      <c r="C201" s="3" t="s">
        <v>3873</v>
      </c>
      <c r="D201" s="3" t="s">
        <v>956</v>
      </c>
      <c r="E201" s="2"/>
      <c r="F201" s="3" t="str">
        <f>IFERROR(__xludf.DUMMYFUNCTION("GOOGLETRANSLATE(A201, ""it"", ""en"")"),"200")</f>
        <v>200</v>
      </c>
      <c r="G201" s="3" t="str">
        <f>IFERROR(__xludf.DUMMYFUNCTION("GOOGLETRANSLATE(B201, ""it"", ""en"")"),"A player shouts ""one"" and shows ""three"" fingers. What happens?")</f>
        <v>A player shouts "one" and shows "three" fingers. What happens?</v>
      </c>
      <c r="H201" s="3" t="str">
        <f>IFERROR(__xludf.DUMMYFUNCTION("GOOGLETRANSLATE(C201, ""it"", ""en"")"),"A. The point is cancelled B. The point is awarded to the opponent C. The game continues normally D. The point is awarded")</f>
        <v>A. The point is cancelled B. The point is awarded to the opponent C. The game continues normally D. The point is awarded</v>
      </c>
      <c r="I201" s="3" t="str">
        <f>IFERROR(__xludf.DUMMYFUNCTION("GOOGLETRANSLATE(D201, ""it"", ""en"")"),"The point is cancelled")</f>
        <v>The point is cancelled</v>
      </c>
      <c r="J201" s="2"/>
      <c r="K201" s="2"/>
      <c r="L201" s="2"/>
      <c r="M201" s="2"/>
      <c r="N201" s="2"/>
      <c r="O201" s="2"/>
      <c r="P201" s="2"/>
      <c r="Q201" s="2"/>
      <c r="R201" s="2"/>
      <c r="S201" s="2"/>
      <c r="T201" s="2"/>
      <c r="U201" s="2"/>
      <c r="V201" s="2"/>
    </row>
    <row r="202" ht="22.5" customHeight="1">
      <c r="A202" s="3">
        <v>201.0</v>
      </c>
      <c r="B202" s="3" t="s">
        <v>3939</v>
      </c>
      <c r="C202" s="3" t="s">
        <v>3881</v>
      </c>
      <c r="D202" s="3" t="s">
        <v>956</v>
      </c>
      <c r="E202" s="2"/>
      <c r="F202" s="3" t="str">
        <f>IFERROR(__xludf.DUMMYFUNCTION("GOOGLETRANSLATE(A202, ""it"", ""en"")"),"201")</f>
        <v>201</v>
      </c>
      <c r="G202" s="3" t="str">
        <f>IFERROR(__xludf.DUMMYFUNCTION("GOOGLETRANSLATE(B202, ""it"", ""en"")"),"A player shows ""five"" fingers and says ""two."" What happens?")</f>
        <v>A player shows "five" fingers and says "two." What happens?</v>
      </c>
      <c r="H202" s="3" t="str">
        <f>IFERROR(__xludf.DUMMYFUNCTION("GOOGLETRANSLATE(C202, ""it"", ""en"")"),"A. The point is awarded to the opponent B. The point is cancelled C. The game continues normally D. The point is awarded")</f>
        <v>A. The point is awarded to the opponent B. The point is cancelled C. The game continues normally D. The point is awarded</v>
      </c>
      <c r="I202" s="3" t="str">
        <f>IFERROR(__xludf.DUMMYFUNCTION("GOOGLETRANSLATE(D202, ""it"", ""en"")"),"The point is cancelled")</f>
        <v>The point is cancelled</v>
      </c>
      <c r="J202" s="2"/>
      <c r="K202" s="2"/>
      <c r="L202" s="2"/>
      <c r="M202" s="2"/>
      <c r="N202" s="2"/>
      <c r="O202" s="2"/>
      <c r="P202" s="2"/>
      <c r="Q202" s="2"/>
      <c r="R202" s="2"/>
      <c r="S202" s="2"/>
      <c r="T202" s="2"/>
      <c r="U202" s="2"/>
      <c r="V202" s="2"/>
    </row>
    <row r="203" ht="22.5" customHeight="1">
      <c r="A203" s="3">
        <v>202.0</v>
      </c>
      <c r="B203" s="3" t="s">
        <v>3974</v>
      </c>
      <c r="C203" s="3" t="s">
        <v>3873</v>
      </c>
      <c r="D203" s="3" t="s">
        <v>956</v>
      </c>
      <c r="E203" s="2"/>
      <c r="F203" s="3" t="str">
        <f>IFERROR(__xludf.DUMMYFUNCTION("GOOGLETRANSLATE(A203, ""it"", ""en"")"),"202")</f>
        <v>202</v>
      </c>
      <c r="G203" s="3" t="str">
        <f>IFERROR(__xludf.DUMMYFUNCTION("GOOGLETRANSLATE(B203, ""it"", ""en"")"),"A player shows ""two"" fingers and shouts ""four."" What happens?")</f>
        <v>A player shows "two" fingers and shouts "four." What happens?</v>
      </c>
      <c r="H203" s="3" t="str">
        <f>IFERROR(__xludf.DUMMYFUNCTION("GOOGLETRANSLATE(C203, ""it"", ""en"")"),"A. The point is cancelled B. The point is awarded to the opponent C. The game continues normally D. The point is awarded")</f>
        <v>A. The point is cancelled B. The point is awarded to the opponent C. The game continues normally D. The point is awarded</v>
      </c>
      <c r="I203" s="3" t="str">
        <f>IFERROR(__xludf.DUMMYFUNCTION("GOOGLETRANSLATE(D203, ""it"", ""en"")"),"The point is cancelled")</f>
        <v>The point is cancelled</v>
      </c>
      <c r="J203" s="2"/>
      <c r="K203" s="2"/>
      <c r="L203" s="2"/>
      <c r="M203" s="2"/>
      <c r="N203" s="2"/>
      <c r="O203" s="2"/>
      <c r="P203" s="2"/>
      <c r="Q203" s="2"/>
      <c r="R203" s="2"/>
      <c r="S203" s="2"/>
      <c r="T203" s="2"/>
      <c r="U203" s="2"/>
      <c r="V203" s="2"/>
    </row>
    <row r="204" ht="22.5" customHeight="1">
      <c r="A204" s="3">
        <v>203.0</v>
      </c>
      <c r="B204" s="3" t="s">
        <v>3973</v>
      </c>
      <c r="C204" s="3" t="s">
        <v>3881</v>
      </c>
      <c r="D204" s="3" t="s">
        <v>956</v>
      </c>
      <c r="E204" s="2"/>
      <c r="F204" s="3" t="str">
        <f>IFERROR(__xludf.DUMMYFUNCTION("GOOGLETRANSLATE(A204, ""it"", ""en"")"),"203")</f>
        <v>203</v>
      </c>
      <c r="G204" s="3" t="str">
        <f>IFERROR(__xludf.DUMMYFUNCTION("GOOGLETRANSLATE(B204, ""it"", ""en"")"),"A player shouts ""three"" and shows ""five"" fingers. What happens?")</f>
        <v>A player shouts "three" and shows "five" fingers. What happens?</v>
      </c>
      <c r="H204" s="3" t="str">
        <f>IFERROR(__xludf.DUMMYFUNCTION("GOOGLETRANSLATE(C204, ""it"", ""en"")"),"A. The point is awarded to the opponent B. The point is cancelled C. The game continues normally D. The point is awarded")</f>
        <v>A. The point is awarded to the opponent B. The point is cancelled C. The game continues normally D. The point is awarded</v>
      </c>
      <c r="I204" s="3" t="str">
        <f>IFERROR(__xludf.DUMMYFUNCTION("GOOGLETRANSLATE(D204, ""it"", ""en"")"),"The point is cancelled")</f>
        <v>The point is cancelled</v>
      </c>
      <c r="J204" s="2"/>
      <c r="K204" s="2"/>
      <c r="L204" s="2"/>
      <c r="M204" s="2"/>
      <c r="N204" s="2"/>
      <c r="O204" s="2"/>
      <c r="P204" s="2"/>
      <c r="Q204" s="2"/>
      <c r="R204" s="2"/>
      <c r="S204" s="2"/>
      <c r="T204" s="2"/>
      <c r="U204" s="2"/>
      <c r="V204" s="2"/>
    </row>
    <row r="205" ht="22.5" customHeight="1">
      <c r="A205" s="3">
        <v>204.0</v>
      </c>
      <c r="B205" s="3" t="s">
        <v>3974</v>
      </c>
      <c r="C205" s="3" t="s">
        <v>3881</v>
      </c>
      <c r="D205" s="3" t="s">
        <v>956</v>
      </c>
      <c r="E205" s="2"/>
      <c r="F205" s="3" t="str">
        <f>IFERROR(__xludf.DUMMYFUNCTION("GOOGLETRANSLATE(A205, ""it"", ""en"")"),"204")</f>
        <v>204</v>
      </c>
      <c r="G205" s="3" t="str">
        <f>IFERROR(__xludf.DUMMYFUNCTION("GOOGLETRANSLATE(B205, ""it"", ""en"")"),"A player shows ""two"" fingers and shouts ""four."" What happens?")</f>
        <v>A player shows "two" fingers and shouts "four." What happens?</v>
      </c>
      <c r="H205" s="3" t="str">
        <f>IFERROR(__xludf.DUMMYFUNCTION("GOOGLETRANSLATE(C205, ""it"", ""en"")"),"A. The point is awarded to the opponent B. The point is cancelled C. The game continues normally D. The point is awarded")</f>
        <v>A. The point is awarded to the opponent B. The point is cancelled C. The game continues normally D. The point is awarded</v>
      </c>
      <c r="I205" s="3" t="str">
        <f>IFERROR(__xludf.DUMMYFUNCTION("GOOGLETRANSLATE(D205, ""it"", ""en"")"),"The point is cancelled")</f>
        <v>The point is cancelled</v>
      </c>
      <c r="J205" s="2"/>
      <c r="K205" s="2"/>
      <c r="L205" s="2"/>
      <c r="M205" s="2"/>
      <c r="N205" s="2"/>
      <c r="O205" s="2"/>
      <c r="P205" s="2"/>
      <c r="Q205" s="2"/>
      <c r="R205" s="2"/>
      <c r="S205" s="2"/>
      <c r="T205" s="2"/>
      <c r="U205" s="2"/>
      <c r="V205" s="2"/>
    </row>
    <row r="206" ht="22.5" customHeight="1">
      <c r="A206" s="3">
        <v>205.0</v>
      </c>
      <c r="B206" s="3" t="s">
        <v>3984</v>
      </c>
      <c r="C206" s="3" t="s">
        <v>3881</v>
      </c>
      <c r="D206" s="3" t="s">
        <v>956</v>
      </c>
      <c r="E206" s="2"/>
      <c r="F206" s="3" t="str">
        <f>IFERROR(__xludf.DUMMYFUNCTION("GOOGLETRANSLATE(A206, ""it"", ""en"")"),"205")</f>
        <v>205</v>
      </c>
      <c r="G206" s="3" t="str">
        <f>IFERROR(__xludf.DUMMYFUNCTION("GOOGLETRANSLATE(B206, ""it"", ""en"")"),"A player shouts ""five"" and shows ""three"" fingers. What happens?")</f>
        <v>A player shouts "five" and shows "three" fingers. What happens?</v>
      </c>
      <c r="H206" s="3" t="str">
        <f>IFERROR(__xludf.DUMMYFUNCTION("GOOGLETRANSLATE(C206, ""it"", ""en"")"),"A. The point is awarded to the opponent B. The point is cancelled C. The game continues normally D. The point is awarded")</f>
        <v>A. The point is awarded to the opponent B. The point is cancelled C. The game continues normally D. The point is awarded</v>
      </c>
      <c r="I206" s="3" t="str">
        <f>IFERROR(__xludf.DUMMYFUNCTION("GOOGLETRANSLATE(D206, ""it"", ""en"")"),"The point is cancelled")</f>
        <v>The point is cancelled</v>
      </c>
      <c r="J206" s="2"/>
      <c r="K206" s="2"/>
      <c r="L206" s="2"/>
      <c r="M206" s="2"/>
      <c r="N206" s="2"/>
      <c r="O206" s="2"/>
      <c r="P206" s="2"/>
      <c r="Q206" s="2"/>
      <c r="R206" s="2"/>
      <c r="S206" s="2"/>
      <c r="T206" s="2"/>
      <c r="U206" s="2"/>
      <c r="V206" s="2"/>
    </row>
    <row r="207" ht="22.5" customHeight="1">
      <c r="A207" s="3">
        <v>206.0</v>
      </c>
      <c r="B207" s="3" t="s">
        <v>3937</v>
      </c>
      <c r="C207" s="3" t="s">
        <v>3919</v>
      </c>
      <c r="D207" s="3" t="s">
        <v>956</v>
      </c>
      <c r="E207" s="2"/>
      <c r="F207" s="3" t="str">
        <f>IFERROR(__xludf.DUMMYFUNCTION("GOOGLETRANSLATE(A207, ""it"", ""en"")"),"206")</f>
        <v>206</v>
      </c>
      <c r="G207" s="3" t="str">
        <f>IFERROR(__xludf.DUMMYFUNCTION("GOOGLETRANSLATE(B207, ""it"", ""en"")"),"A player shouts ""four"" and holds up ""two"" fingers. What happens?")</f>
        <v>A player shouts "four" and holds up "two" fingers. What happens?</v>
      </c>
      <c r="H207" s="3" t="str">
        <f>IFERROR(__xludf.DUMMYFUNCTION("GOOGLETRANSLATE(C207, ""it"", ""en"")"),"A. The point is awarded B. The point is cancelled C. The game continues normally D. The point is awarded")</f>
        <v>A. The point is awarded B. The point is cancelled C. The game continues normally D. The point is awarded</v>
      </c>
      <c r="I207" s="3" t="str">
        <f>IFERROR(__xludf.DUMMYFUNCTION("GOOGLETRANSLATE(D207, ""it"", ""en"")"),"The point is cancelled")</f>
        <v>The point is cancelled</v>
      </c>
      <c r="J207" s="2"/>
      <c r="K207" s="2"/>
      <c r="L207" s="2"/>
      <c r="M207" s="2"/>
      <c r="N207" s="2"/>
      <c r="O207" s="2"/>
      <c r="P207" s="2"/>
      <c r="Q207" s="2"/>
      <c r="R207" s="2"/>
      <c r="S207" s="2"/>
      <c r="T207" s="2"/>
      <c r="U207" s="2"/>
      <c r="V207" s="2"/>
    </row>
    <row r="208" ht="22.5" customHeight="1">
      <c r="A208" s="3">
        <v>207.0</v>
      </c>
      <c r="B208" s="3" t="s">
        <v>3969</v>
      </c>
      <c r="C208" s="3" t="s">
        <v>3881</v>
      </c>
      <c r="D208" s="3" t="s">
        <v>956</v>
      </c>
      <c r="E208" s="2"/>
      <c r="F208" s="3" t="str">
        <f>IFERROR(__xludf.DUMMYFUNCTION("GOOGLETRANSLATE(A208, ""it"", ""en"")"),"207")</f>
        <v>207</v>
      </c>
      <c r="G208" s="3" t="str">
        <f>IFERROR(__xludf.DUMMYFUNCTION("GOOGLETRANSLATE(B208, ""it"", ""en"")"),"A player shows ""five"" fingers and shouts ""three."" What happens?")</f>
        <v>A player shows "five" fingers and shouts "three." What happens?</v>
      </c>
      <c r="H208" s="3" t="str">
        <f>IFERROR(__xludf.DUMMYFUNCTION("GOOGLETRANSLATE(C208, ""it"", ""en"")"),"A. The point is awarded to the opponent B. The point is cancelled C. The game continues normally D. The point is awarded")</f>
        <v>A. The point is awarded to the opponent B. The point is cancelled C. The game continues normally D. The point is awarded</v>
      </c>
      <c r="I208" s="3" t="str">
        <f>IFERROR(__xludf.DUMMYFUNCTION("GOOGLETRANSLATE(D208, ""it"", ""en"")"),"The point is cancelled")</f>
        <v>The point is cancelled</v>
      </c>
      <c r="J208" s="2"/>
      <c r="K208" s="2"/>
      <c r="L208" s="2"/>
      <c r="M208" s="2"/>
      <c r="N208" s="2"/>
      <c r="O208" s="2"/>
      <c r="P208" s="2"/>
      <c r="Q208" s="2"/>
      <c r="R208" s="2"/>
      <c r="S208" s="2"/>
      <c r="T208" s="2"/>
      <c r="U208" s="2"/>
      <c r="V208" s="2"/>
    </row>
    <row r="209" ht="22.5" customHeight="1">
      <c r="A209" s="3">
        <v>208.0</v>
      </c>
      <c r="B209" s="3" t="s">
        <v>4003</v>
      </c>
      <c r="C209" s="3" t="s">
        <v>3873</v>
      </c>
      <c r="D209" s="3" t="s">
        <v>956</v>
      </c>
      <c r="E209" s="2"/>
      <c r="F209" s="3" t="str">
        <f>IFERROR(__xludf.DUMMYFUNCTION("GOOGLETRANSLATE(A209, ""it"", ""en"")"),"208")</f>
        <v>208</v>
      </c>
      <c r="G209" s="3" t="str">
        <f>IFERROR(__xludf.DUMMYFUNCTION("GOOGLETRANSLATE(B209, ""it"", ""en"")"),"A player shows ""three"" fingers and says ""five."" What happens?")</f>
        <v>A player shows "three" fingers and says "five." What happens?</v>
      </c>
      <c r="H209" s="3" t="str">
        <f>IFERROR(__xludf.DUMMYFUNCTION("GOOGLETRANSLATE(C209, ""it"", ""en"")"),"A. The point is cancelled B. The point is awarded to the opponent C. The game continues normally D. The point is awarded")</f>
        <v>A. The point is cancelled B. The point is awarded to the opponent C. The game continues normally D. The point is awarded</v>
      </c>
      <c r="I209" s="3" t="str">
        <f>IFERROR(__xludf.DUMMYFUNCTION("GOOGLETRANSLATE(D209, ""it"", ""en"")"),"The point is cancelled")</f>
        <v>The point is cancelled</v>
      </c>
      <c r="J209" s="2"/>
      <c r="K209" s="2"/>
      <c r="L209" s="2"/>
      <c r="M209" s="2"/>
      <c r="N209" s="2"/>
      <c r="O209" s="2"/>
      <c r="P209" s="2"/>
      <c r="Q209" s="2"/>
      <c r="R209" s="2"/>
      <c r="S209" s="2"/>
      <c r="T209" s="2"/>
      <c r="U209" s="2"/>
      <c r="V209" s="2"/>
    </row>
    <row r="210" ht="22.5" customHeight="1">
      <c r="A210" s="3">
        <v>209.0</v>
      </c>
      <c r="B210" s="3" t="s">
        <v>3981</v>
      </c>
      <c r="C210" s="3" t="s">
        <v>3873</v>
      </c>
      <c r="D210" s="3" t="s">
        <v>956</v>
      </c>
      <c r="E210" s="2"/>
      <c r="F210" s="3" t="str">
        <f>IFERROR(__xludf.DUMMYFUNCTION("GOOGLETRANSLATE(A210, ""it"", ""en"")"),"209")</f>
        <v>209</v>
      </c>
      <c r="G210" s="3" t="str">
        <f>IFERROR(__xludf.DUMMYFUNCTION("GOOGLETRANSLATE(B210, ""it"", ""en"")"),"A player shouts ""one"" and shows ""two"" fingers. What happens?")</f>
        <v>A player shouts "one" and shows "two" fingers. What happens?</v>
      </c>
      <c r="H210" s="3" t="str">
        <f>IFERROR(__xludf.DUMMYFUNCTION("GOOGLETRANSLATE(C210, ""it"", ""en"")"),"A. The point is cancelled B. The point is awarded to the opponent C. The game continues normally D. The point is awarded")</f>
        <v>A. The point is cancelled B. The point is awarded to the opponent C. The game continues normally D. The point is awarded</v>
      </c>
      <c r="I210" s="3" t="str">
        <f>IFERROR(__xludf.DUMMYFUNCTION("GOOGLETRANSLATE(D210, ""it"", ""en"")"),"The point is cancelled")</f>
        <v>The point is cancelled</v>
      </c>
      <c r="J210" s="2"/>
      <c r="K210" s="2"/>
      <c r="L210" s="2"/>
      <c r="M210" s="2"/>
      <c r="N210" s="2"/>
      <c r="O210" s="2"/>
      <c r="P210" s="2"/>
      <c r="Q210" s="2"/>
      <c r="R210" s="2"/>
      <c r="S210" s="2"/>
      <c r="T210" s="2"/>
      <c r="U210" s="2"/>
      <c r="V210" s="2"/>
    </row>
    <row r="211" ht="22.5" customHeight="1">
      <c r="A211" s="3">
        <v>210.0</v>
      </c>
      <c r="B211" s="3" t="s">
        <v>3948</v>
      </c>
      <c r="C211" s="3" t="s">
        <v>3881</v>
      </c>
      <c r="D211" s="3" t="s">
        <v>956</v>
      </c>
      <c r="E211" s="2"/>
      <c r="F211" s="3" t="str">
        <f>IFERROR(__xludf.DUMMYFUNCTION("GOOGLETRANSLATE(A211, ""it"", ""en"")"),"210")</f>
        <v>210</v>
      </c>
      <c r="G211" s="3" t="str">
        <f>IFERROR(__xludf.DUMMYFUNCTION("GOOGLETRANSLATE(B211, ""it"", ""en"")"),"A player shows ""three"" fingers and shouts ""two."" What happens?")</f>
        <v>A player shows "three" fingers and shouts "two." What happens?</v>
      </c>
      <c r="H211" s="3" t="str">
        <f>IFERROR(__xludf.DUMMYFUNCTION("GOOGLETRANSLATE(C211, ""it"", ""en"")"),"A. The point is awarded to the opponent B. The point is cancelled C. The game continues normally D. The point is awarded")</f>
        <v>A. The point is awarded to the opponent B. The point is cancelled C. The game continues normally D. The point is awarded</v>
      </c>
      <c r="I211" s="3" t="str">
        <f>IFERROR(__xludf.DUMMYFUNCTION("GOOGLETRANSLATE(D211, ""it"", ""en"")"),"The point is cancelled")</f>
        <v>The point is cancelled</v>
      </c>
      <c r="J211" s="2"/>
      <c r="K211" s="2"/>
      <c r="L211" s="2"/>
      <c r="M211" s="2"/>
      <c r="N211" s="2"/>
      <c r="O211" s="2"/>
      <c r="P211" s="2"/>
      <c r="Q211" s="2"/>
      <c r="R211" s="2"/>
      <c r="S211" s="2"/>
      <c r="T211" s="2"/>
      <c r="U211" s="2"/>
      <c r="V211" s="2"/>
    </row>
    <row r="212" ht="22.5" customHeight="1">
      <c r="A212" s="3">
        <v>211.0</v>
      </c>
      <c r="B212" s="3" t="s">
        <v>4004</v>
      </c>
      <c r="C212" s="3" t="s">
        <v>3881</v>
      </c>
      <c r="D212" s="3" t="s">
        <v>956</v>
      </c>
      <c r="E212" s="2"/>
      <c r="F212" s="3" t="str">
        <f>IFERROR(__xludf.DUMMYFUNCTION("GOOGLETRANSLATE(A212, ""it"", ""en"")"),"211")</f>
        <v>211</v>
      </c>
      <c r="G212" s="3" t="str">
        <f>IFERROR(__xludf.DUMMYFUNCTION("GOOGLETRANSLATE(B212, ""it"", ""en"")"),"A player shouts ""four"" and holds up a ""one"" finger. What happens?")</f>
        <v>A player shouts "four" and holds up a "one" finger. What happens?</v>
      </c>
      <c r="H212" s="3" t="str">
        <f>IFERROR(__xludf.DUMMYFUNCTION("GOOGLETRANSLATE(C212, ""it"", ""en"")"),"A. The point is awarded to the opponent B. The point is cancelled C. The game continues normally D. The point is awarded")</f>
        <v>A. The point is awarded to the opponent B. The point is cancelled C. The game continues normally D. The point is awarded</v>
      </c>
      <c r="I212" s="3" t="str">
        <f>IFERROR(__xludf.DUMMYFUNCTION("GOOGLETRANSLATE(D212, ""it"", ""en"")"),"The point is cancelled")</f>
        <v>The point is cancelled</v>
      </c>
      <c r="J212" s="2"/>
      <c r="K212" s="2"/>
      <c r="L212" s="2"/>
      <c r="M212" s="2"/>
      <c r="N212" s="2"/>
      <c r="O212" s="2"/>
      <c r="P212" s="2"/>
      <c r="Q212" s="2"/>
      <c r="R212" s="2"/>
      <c r="S212" s="2"/>
      <c r="T212" s="2"/>
      <c r="U212" s="2"/>
      <c r="V212" s="2"/>
    </row>
    <row r="213" ht="22.5" customHeight="1">
      <c r="A213" s="3">
        <v>212.0</v>
      </c>
      <c r="B213" s="3" t="s">
        <v>4005</v>
      </c>
      <c r="C213" s="3" t="s">
        <v>3881</v>
      </c>
      <c r="D213" s="3" t="s">
        <v>956</v>
      </c>
      <c r="E213" s="2"/>
      <c r="F213" s="3" t="str">
        <f>IFERROR(__xludf.DUMMYFUNCTION("GOOGLETRANSLATE(A213, ""it"", ""en"")"),"212")</f>
        <v>212</v>
      </c>
      <c r="G213" s="3" t="str">
        <f>IFERROR(__xludf.DUMMYFUNCTION("GOOGLETRANSLATE(B213, ""it"", ""en"")"),"A player shows ""two"" fingers and says ""one."" What happens?")</f>
        <v>A player shows "two" fingers and says "one." What happens?</v>
      </c>
      <c r="H213" s="3" t="str">
        <f>IFERROR(__xludf.DUMMYFUNCTION("GOOGLETRANSLATE(C213, ""it"", ""en"")"),"A. The point is awarded to the opponent B. The point is cancelled C. The game continues normally D. The point is awarded")</f>
        <v>A. The point is awarded to the opponent B. The point is cancelled C. The game continues normally D. The point is awarded</v>
      </c>
      <c r="I213" s="3" t="str">
        <f>IFERROR(__xludf.DUMMYFUNCTION("GOOGLETRANSLATE(D213, ""it"", ""en"")"),"The point is cancelled")</f>
        <v>The point is cancelled</v>
      </c>
      <c r="J213" s="2"/>
      <c r="K213" s="2"/>
      <c r="L213" s="2"/>
      <c r="M213" s="2"/>
      <c r="N213" s="2"/>
      <c r="O213" s="2"/>
      <c r="P213" s="2"/>
      <c r="Q213" s="2"/>
      <c r="R213" s="2"/>
      <c r="S213" s="2"/>
      <c r="T213" s="2"/>
      <c r="U213" s="2"/>
      <c r="V213" s="2"/>
    </row>
    <row r="214" ht="22.5" customHeight="1">
      <c r="A214" s="3">
        <v>213.0</v>
      </c>
      <c r="B214" s="3" t="s">
        <v>4006</v>
      </c>
      <c r="C214" s="3" t="s">
        <v>3881</v>
      </c>
      <c r="D214" s="3" t="s">
        <v>956</v>
      </c>
      <c r="E214" s="2"/>
      <c r="F214" s="3" t="str">
        <f>IFERROR(__xludf.DUMMYFUNCTION("GOOGLETRANSLATE(A214, ""it"", ""en"")"),"213")</f>
        <v>213</v>
      </c>
      <c r="G214" s="3" t="str">
        <f>IFERROR(__xludf.DUMMYFUNCTION("GOOGLETRANSLATE(B214, ""it"", ""en"")"),"A player shows ""five"" fingers and shouts ""one."" What happens?")</f>
        <v>A player shows "five" fingers and shouts "one." What happens?</v>
      </c>
      <c r="H214" s="3" t="str">
        <f>IFERROR(__xludf.DUMMYFUNCTION("GOOGLETRANSLATE(C214, ""it"", ""en"")"),"A. The point is awarded to the opponent B. The point is cancelled C. The game continues normally D. The point is awarded")</f>
        <v>A. The point is awarded to the opponent B. The point is cancelled C. The game continues normally D. The point is awarded</v>
      </c>
      <c r="I214" s="3" t="str">
        <f>IFERROR(__xludf.DUMMYFUNCTION("GOOGLETRANSLATE(D214, ""it"", ""en"")"),"The point is cancelled")</f>
        <v>The point is cancelled</v>
      </c>
      <c r="J214" s="2"/>
      <c r="K214" s="2"/>
      <c r="L214" s="2"/>
      <c r="M214" s="2"/>
      <c r="N214" s="2"/>
      <c r="O214" s="2"/>
      <c r="P214" s="2"/>
      <c r="Q214" s="2"/>
      <c r="R214" s="2"/>
      <c r="S214" s="2"/>
      <c r="T214" s="2"/>
      <c r="U214" s="2"/>
      <c r="V214" s="2"/>
    </row>
    <row r="215" ht="22.5" customHeight="1">
      <c r="A215" s="3">
        <v>214.0</v>
      </c>
      <c r="B215" s="3" t="s">
        <v>3993</v>
      </c>
      <c r="C215" s="3" t="s">
        <v>3873</v>
      </c>
      <c r="D215" s="3" t="s">
        <v>956</v>
      </c>
      <c r="E215" s="2"/>
      <c r="F215" s="3" t="str">
        <f>IFERROR(__xludf.DUMMYFUNCTION("GOOGLETRANSLATE(A215, ""it"", ""en"")"),"214")</f>
        <v>214</v>
      </c>
      <c r="G215" s="3" t="str">
        <f>IFERROR(__xludf.DUMMYFUNCTION("GOOGLETRANSLATE(B215, ""it"", ""en"")"),"A player shouts ""three"" and holds up a ""one"" finger. What happens?")</f>
        <v>A player shouts "three" and holds up a "one" finger. What happens?</v>
      </c>
      <c r="H215" s="3" t="str">
        <f>IFERROR(__xludf.DUMMYFUNCTION("GOOGLETRANSLATE(C215, ""it"", ""en"")"),"A. The point is cancelled B. The point is awarded to the opponent C. The game continues normally D. The point is awarded")</f>
        <v>A. The point is cancelled B. The point is awarded to the opponent C. The game continues normally D. The point is awarded</v>
      </c>
      <c r="I215" s="3" t="str">
        <f>IFERROR(__xludf.DUMMYFUNCTION("GOOGLETRANSLATE(D215, ""it"", ""en"")"),"The point is cancelled")</f>
        <v>The point is cancelled</v>
      </c>
      <c r="J215" s="2"/>
      <c r="K215" s="2"/>
      <c r="L215" s="2"/>
      <c r="M215" s="2"/>
      <c r="N215" s="2"/>
      <c r="O215" s="2"/>
      <c r="P215" s="2"/>
      <c r="Q215" s="2"/>
      <c r="R215" s="2"/>
      <c r="S215" s="2"/>
      <c r="T215" s="2"/>
      <c r="U215" s="2"/>
      <c r="V215" s="2"/>
    </row>
    <row r="216" ht="22.5" customHeight="1">
      <c r="A216" s="3">
        <v>215.0</v>
      </c>
      <c r="B216" s="3" t="s">
        <v>4007</v>
      </c>
      <c r="C216" s="3" t="s">
        <v>3873</v>
      </c>
      <c r="D216" s="3" t="s">
        <v>956</v>
      </c>
      <c r="E216" s="2"/>
      <c r="F216" s="3" t="str">
        <f>IFERROR(__xludf.DUMMYFUNCTION("GOOGLETRANSLATE(A216, ""it"", ""en"")"),"215")</f>
        <v>215</v>
      </c>
      <c r="G216" s="3" t="str">
        <f>IFERROR(__xludf.DUMMYFUNCTION("GOOGLETRANSLATE(B216, ""it"", ""en"")"),"A player points ""one"" and shouts ""two."" What happens?")</f>
        <v>A player points "one" and shouts "two." What happens?</v>
      </c>
      <c r="H216" s="3" t="str">
        <f>IFERROR(__xludf.DUMMYFUNCTION("GOOGLETRANSLATE(C216, ""it"", ""en"")"),"A. The point is cancelled B. The point is awarded to the opponent C. The game continues normally D. The point is awarded")</f>
        <v>A. The point is cancelled B. The point is awarded to the opponent C. The game continues normally D. The point is awarded</v>
      </c>
      <c r="I216" s="3" t="str">
        <f>IFERROR(__xludf.DUMMYFUNCTION("GOOGLETRANSLATE(D216, ""it"", ""en"")"),"The point is cancelled")</f>
        <v>The point is cancelled</v>
      </c>
      <c r="J216" s="2"/>
      <c r="K216" s="2"/>
      <c r="L216" s="2"/>
      <c r="M216" s="2"/>
      <c r="N216" s="2"/>
      <c r="O216" s="2"/>
      <c r="P216" s="2"/>
      <c r="Q216" s="2"/>
      <c r="R216" s="2"/>
      <c r="S216" s="2"/>
      <c r="T216" s="2"/>
      <c r="U216" s="2"/>
      <c r="V216" s="2"/>
    </row>
    <row r="217" ht="22.5" customHeight="1">
      <c r="A217" s="3">
        <v>216.0</v>
      </c>
      <c r="B217" s="3" t="s">
        <v>3977</v>
      </c>
      <c r="C217" s="3" t="s">
        <v>3873</v>
      </c>
      <c r="D217" s="3" t="s">
        <v>956</v>
      </c>
      <c r="E217" s="2"/>
      <c r="F217" s="3" t="str">
        <f>IFERROR(__xludf.DUMMYFUNCTION("GOOGLETRANSLATE(A217, ""it"", ""en"")"),"216")</f>
        <v>216</v>
      </c>
      <c r="G217" s="3" t="str">
        <f>IFERROR(__xludf.DUMMYFUNCTION("GOOGLETRANSLATE(B217, ""it"", ""en"")"),"A player shouts ""two"" and points ""one"" finger. What happens?")</f>
        <v>A player shouts "two" and points "one" finger. What happens?</v>
      </c>
      <c r="H217" s="3" t="str">
        <f>IFERROR(__xludf.DUMMYFUNCTION("GOOGLETRANSLATE(C217, ""it"", ""en"")"),"A. The point is cancelled B. The point is awarded to the opponent C. The game continues normally D. The point is awarded")</f>
        <v>A. The point is cancelled B. The point is awarded to the opponent C. The game continues normally D. The point is awarded</v>
      </c>
      <c r="I217" s="3" t="str">
        <f>IFERROR(__xludf.DUMMYFUNCTION("GOOGLETRANSLATE(D217, ""it"", ""en"")"),"The point is cancelled")</f>
        <v>The point is cancelled</v>
      </c>
      <c r="J217" s="2"/>
      <c r="K217" s="2"/>
      <c r="L217" s="2"/>
      <c r="M217" s="2"/>
      <c r="N217" s="2"/>
      <c r="O217" s="2"/>
      <c r="P217" s="2"/>
      <c r="Q217" s="2"/>
      <c r="R217" s="2"/>
      <c r="S217" s="2"/>
      <c r="T217" s="2"/>
      <c r="U217" s="2"/>
      <c r="V217" s="2"/>
    </row>
    <row r="218" ht="22.5" customHeight="1">
      <c r="A218" s="3">
        <v>217.0</v>
      </c>
      <c r="B218" s="3" t="s">
        <v>3988</v>
      </c>
      <c r="C218" s="3" t="s">
        <v>3881</v>
      </c>
      <c r="D218" s="3" t="s">
        <v>956</v>
      </c>
      <c r="E218" s="2"/>
      <c r="F218" s="3" t="str">
        <f>IFERROR(__xludf.DUMMYFUNCTION("GOOGLETRANSLATE(A218, ""it"", ""en"")"),"217")</f>
        <v>217</v>
      </c>
      <c r="G218" s="3" t="str">
        <f>IFERROR(__xludf.DUMMYFUNCTION("GOOGLETRANSLATE(B218, ""it"", ""en"")"),"A player shouts ""four"" and shows ""five"" fingers. What happens?")</f>
        <v>A player shouts "four" and shows "five" fingers. What happens?</v>
      </c>
      <c r="H218" s="3" t="str">
        <f>IFERROR(__xludf.DUMMYFUNCTION("GOOGLETRANSLATE(C218, ""it"", ""en"")"),"A. The point is awarded to the opponent B. The point is cancelled C. The game continues normally D. The point is awarded")</f>
        <v>A. The point is awarded to the opponent B. The point is cancelled C. The game continues normally D. The point is awarded</v>
      </c>
      <c r="I218" s="3" t="str">
        <f>IFERROR(__xludf.DUMMYFUNCTION("GOOGLETRANSLATE(D218, ""it"", ""en"")"),"The point is cancelled")</f>
        <v>The point is cancelled</v>
      </c>
      <c r="J218" s="2"/>
      <c r="K218" s="2"/>
      <c r="L218" s="2"/>
      <c r="M218" s="2"/>
      <c r="N218" s="2"/>
      <c r="O218" s="2"/>
      <c r="P218" s="2"/>
      <c r="Q218" s="2"/>
      <c r="R218" s="2"/>
      <c r="S218" s="2"/>
      <c r="T218" s="2"/>
      <c r="U218" s="2"/>
      <c r="V218" s="2"/>
    </row>
    <row r="219" ht="22.5" customHeight="1">
      <c r="A219" s="3">
        <v>218.0</v>
      </c>
      <c r="B219" s="3" t="s">
        <v>3947</v>
      </c>
      <c r="C219" s="3" t="s">
        <v>3873</v>
      </c>
      <c r="D219" s="3" t="s">
        <v>956</v>
      </c>
      <c r="E219" s="2"/>
      <c r="F219" s="3" t="str">
        <f>IFERROR(__xludf.DUMMYFUNCTION("GOOGLETRANSLATE(A219, ""it"", ""en"")"),"218")</f>
        <v>218</v>
      </c>
      <c r="G219" s="3" t="str">
        <f>IFERROR(__xludf.DUMMYFUNCTION("GOOGLETRANSLATE(B219, ""it"", ""en"")"),"A player shows ""two"" fingers and shouts ""five."" What happens?")</f>
        <v>A player shows "two" fingers and shouts "five." What happens?</v>
      </c>
      <c r="H219" s="3" t="str">
        <f>IFERROR(__xludf.DUMMYFUNCTION("GOOGLETRANSLATE(C219, ""it"", ""en"")"),"A. The point is cancelled B. The point is awarded to the opponent C. The game continues normally D. The point is awarded")</f>
        <v>A. The point is cancelled B. The point is awarded to the opponent C. The game continues normally D. The point is awarded</v>
      </c>
      <c r="I219" s="3" t="str">
        <f>IFERROR(__xludf.DUMMYFUNCTION("GOOGLETRANSLATE(D219, ""it"", ""en"")"),"The point is cancelled")</f>
        <v>The point is cancelled</v>
      </c>
      <c r="J219" s="2"/>
      <c r="K219" s="2"/>
      <c r="L219" s="2"/>
      <c r="M219" s="2"/>
      <c r="N219" s="2"/>
      <c r="O219" s="2"/>
      <c r="P219" s="2"/>
      <c r="Q219" s="2"/>
      <c r="R219" s="2"/>
      <c r="S219" s="2"/>
      <c r="T219" s="2"/>
      <c r="U219" s="2"/>
      <c r="V219" s="2"/>
    </row>
    <row r="220" ht="22.5" customHeight="1">
      <c r="A220" s="3">
        <v>219.0</v>
      </c>
      <c r="B220" s="3" t="s">
        <v>3979</v>
      </c>
      <c r="C220" s="3" t="s">
        <v>3873</v>
      </c>
      <c r="D220" s="3" t="s">
        <v>956</v>
      </c>
      <c r="E220" s="2"/>
      <c r="F220" s="3" t="str">
        <f>IFERROR(__xludf.DUMMYFUNCTION("GOOGLETRANSLATE(A220, ""it"", ""en"")"),"219")</f>
        <v>219</v>
      </c>
      <c r="G220" s="3" t="str">
        <f>IFERROR(__xludf.DUMMYFUNCTION("GOOGLETRANSLATE(B220, ""it"", ""en"")"),"A player shouts ""three"" and shows ""two"" fingers. What happens?")</f>
        <v>A player shouts "three" and shows "two" fingers. What happens?</v>
      </c>
      <c r="H220" s="3" t="str">
        <f>IFERROR(__xludf.DUMMYFUNCTION("GOOGLETRANSLATE(C220, ""it"", ""en"")"),"A. The point is cancelled B. The point is awarded to the opponent C. The game continues normally D. The point is awarded")</f>
        <v>A. The point is cancelled B. The point is awarded to the opponent C. The game continues normally D. The point is awarded</v>
      </c>
      <c r="I220" s="3" t="str">
        <f>IFERROR(__xludf.DUMMYFUNCTION("GOOGLETRANSLATE(D220, ""it"", ""en"")"),"The point is cancelled")</f>
        <v>The point is cancelled</v>
      </c>
      <c r="J220" s="2"/>
      <c r="K220" s="2"/>
      <c r="L220" s="2"/>
      <c r="M220" s="2"/>
      <c r="N220" s="2"/>
      <c r="O220" s="2"/>
      <c r="P220" s="2"/>
      <c r="Q220" s="2"/>
      <c r="R220" s="2"/>
      <c r="S220" s="2"/>
      <c r="T220" s="2"/>
      <c r="U220" s="2"/>
      <c r="V220" s="2"/>
    </row>
    <row r="221" ht="22.5" customHeight="1">
      <c r="A221" s="3">
        <v>220.0</v>
      </c>
      <c r="B221" s="3" t="s">
        <v>3968</v>
      </c>
      <c r="C221" s="3" t="s">
        <v>3873</v>
      </c>
      <c r="D221" s="3" t="s">
        <v>956</v>
      </c>
      <c r="E221" s="2"/>
      <c r="F221" s="3" t="str">
        <f>IFERROR(__xludf.DUMMYFUNCTION("GOOGLETRANSLATE(A221, ""it"", ""en"")"),"220")</f>
        <v>220</v>
      </c>
      <c r="G221" s="3" t="str">
        <f>IFERROR(__xludf.DUMMYFUNCTION("GOOGLETRANSLATE(B221, ""it"", ""en"")"),"A player shouts ""two"" and shows ""three"" fingers. What happens?")</f>
        <v>A player shouts "two" and shows "three" fingers. What happens?</v>
      </c>
      <c r="H221" s="3" t="str">
        <f>IFERROR(__xludf.DUMMYFUNCTION("GOOGLETRANSLATE(C221, ""it"", ""en"")"),"A. The point is cancelled B. The point is awarded to the opponent C. The game continues normally D. The point is awarded")</f>
        <v>A. The point is cancelled B. The point is awarded to the opponent C. The game continues normally D. The point is awarded</v>
      </c>
      <c r="I221" s="3" t="str">
        <f>IFERROR(__xludf.DUMMYFUNCTION("GOOGLETRANSLATE(D221, ""it"", ""en"")"),"The point is cancelled")</f>
        <v>The point is cancelled</v>
      </c>
      <c r="J221" s="2"/>
      <c r="K221" s="2"/>
      <c r="L221" s="2"/>
      <c r="M221" s="2"/>
      <c r="N221" s="2"/>
      <c r="O221" s="2"/>
      <c r="P221" s="2"/>
      <c r="Q221" s="2"/>
      <c r="R221" s="2"/>
      <c r="S221" s="2"/>
      <c r="T221" s="2"/>
      <c r="U221" s="2"/>
      <c r="V221" s="2"/>
    </row>
    <row r="222" ht="22.5" customHeight="1">
      <c r="A222" s="3">
        <v>221.0</v>
      </c>
      <c r="B222" s="3" t="s">
        <v>3955</v>
      </c>
      <c r="C222" s="3" t="s">
        <v>3881</v>
      </c>
      <c r="D222" s="3" t="s">
        <v>956</v>
      </c>
      <c r="E222" s="2"/>
      <c r="F222" s="3" t="str">
        <f>IFERROR(__xludf.DUMMYFUNCTION("GOOGLETRANSLATE(A222, ""it"", ""en"")"),"221")</f>
        <v>221</v>
      </c>
      <c r="G222" s="3" t="str">
        <f>IFERROR(__xludf.DUMMYFUNCTION("GOOGLETRANSLATE(B222, ""it"", ""en"")"),"A player shows ""five"" fingers and shouts ""four."" What happens?")</f>
        <v>A player shows "five" fingers and shouts "four." What happens?</v>
      </c>
      <c r="H222" s="3" t="str">
        <f>IFERROR(__xludf.DUMMYFUNCTION("GOOGLETRANSLATE(C222, ""it"", ""en"")"),"A. The point is awarded to the opponent B. The point is cancelled C. The game continues normally D. The point is awarded")</f>
        <v>A. The point is awarded to the opponent B. The point is cancelled C. The game continues normally D. The point is awarded</v>
      </c>
      <c r="I222" s="3" t="str">
        <f>IFERROR(__xludf.DUMMYFUNCTION("GOOGLETRANSLATE(D222, ""it"", ""en"")"),"The point is cancelled")</f>
        <v>The point is cancelled</v>
      </c>
      <c r="J222" s="2"/>
      <c r="K222" s="2"/>
      <c r="L222" s="2"/>
      <c r="M222" s="2"/>
      <c r="N222" s="2"/>
      <c r="O222" s="2"/>
      <c r="P222" s="2"/>
      <c r="Q222" s="2"/>
      <c r="R222" s="2"/>
      <c r="S222" s="2"/>
      <c r="T222" s="2"/>
      <c r="U222" s="2"/>
      <c r="V222" s="2"/>
    </row>
    <row r="223" ht="22.5" customHeight="1">
      <c r="A223" s="3">
        <v>222.0</v>
      </c>
      <c r="B223" s="3" t="s">
        <v>3982</v>
      </c>
      <c r="C223" s="3" t="s">
        <v>3873</v>
      </c>
      <c r="D223" s="3" t="s">
        <v>956</v>
      </c>
      <c r="E223" s="2"/>
      <c r="F223" s="3" t="str">
        <f>IFERROR(__xludf.DUMMYFUNCTION("GOOGLETRANSLATE(A223, ""it"", ""en"")"),"222")</f>
        <v>222</v>
      </c>
      <c r="G223" s="3" t="str">
        <f>IFERROR(__xludf.DUMMYFUNCTION("GOOGLETRANSLATE(B223, ""it"", ""en"")"),"A player shouts ""three"" and shows ""four"" fingers. What happens?")</f>
        <v>A player shouts "three" and shows "four" fingers. What happens?</v>
      </c>
      <c r="H223" s="3" t="str">
        <f>IFERROR(__xludf.DUMMYFUNCTION("GOOGLETRANSLATE(C223, ""it"", ""en"")"),"A. The point is cancelled B. The point is awarded to the opponent C. The game continues normally D. The point is awarded")</f>
        <v>A. The point is cancelled B. The point is awarded to the opponent C. The game continues normally D. The point is awarded</v>
      </c>
      <c r="I223" s="3" t="str">
        <f>IFERROR(__xludf.DUMMYFUNCTION("GOOGLETRANSLATE(D223, ""it"", ""en"")"),"The point is cancelled")</f>
        <v>The point is cancelled</v>
      </c>
      <c r="J223" s="2"/>
      <c r="K223" s="2"/>
      <c r="L223" s="2"/>
      <c r="M223" s="2"/>
      <c r="N223" s="2"/>
      <c r="O223" s="2"/>
      <c r="P223" s="2"/>
      <c r="Q223" s="2"/>
      <c r="R223" s="2"/>
      <c r="S223" s="2"/>
      <c r="T223" s="2"/>
      <c r="U223" s="2"/>
      <c r="V223" s="2"/>
    </row>
    <row r="224" ht="22.5" customHeight="1">
      <c r="A224" s="3">
        <v>223.0</v>
      </c>
      <c r="B224" s="3" t="s">
        <v>3985</v>
      </c>
      <c r="C224" s="3" t="s">
        <v>3873</v>
      </c>
      <c r="D224" s="3" t="s">
        <v>956</v>
      </c>
      <c r="E224" s="2"/>
      <c r="F224" s="3" t="str">
        <f>IFERROR(__xludf.DUMMYFUNCTION("GOOGLETRANSLATE(A224, ""it"", ""en"")"),"223")</f>
        <v>223</v>
      </c>
      <c r="G224" s="3" t="str">
        <f>IFERROR(__xludf.DUMMYFUNCTION("GOOGLETRANSLATE(B224, ""it"", ""en"")"),"A player shows ""two"" fingers and says ""four."" What happens?")</f>
        <v>A player shows "two" fingers and says "four." What happens?</v>
      </c>
      <c r="H224" s="3" t="str">
        <f>IFERROR(__xludf.DUMMYFUNCTION("GOOGLETRANSLATE(C224, ""it"", ""en"")"),"A. The point is cancelled B. The point is awarded to the opponent C. The game continues normally D. The point is awarded")</f>
        <v>A. The point is cancelled B. The point is awarded to the opponent C. The game continues normally D. The point is awarded</v>
      </c>
      <c r="I224" s="3" t="str">
        <f>IFERROR(__xludf.DUMMYFUNCTION("GOOGLETRANSLATE(D224, ""it"", ""en"")"),"The point is cancelled")</f>
        <v>The point is cancelled</v>
      </c>
      <c r="J224" s="2"/>
      <c r="K224" s="2"/>
      <c r="L224" s="2"/>
      <c r="M224" s="2"/>
      <c r="N224" s="2"/>
      <c r="O224" s="2"/>
      <c r="P224" s="2"/>
      <c r="Q224" s="2"/>
      <c r="R224" s="2"/>
      <c r="S224" s="2"/>
      <c r="T224" s="2"/>
      <c r="U224" s="2"/>
      <c r="V224" s="2"/>
    </row>
    <row r="225" ht="22.5" customHeight="1">
      <c r="A225" s="3">
        <v>224.0</v>
      </c>
      <c r="B225" s="3" t="s">
        <v>3957</v>
      </c>
      <c r="C225" s="3" t="s">
        <v>3873</v>
      </c>
      <c r="D225" s="3" t="s">
        <v>956</v>
      </c>
      <c r="E225" s="2"/>
      <c r="F225" s="3" t="str">
        <f>IFERROR(__xludf.DUMMYFUNCTION("GOOGLETRANSLATE(A225, ""it"", ""en"")"),"224")</f>
        <v>224</v>
      </c>
      <c r="G225" s="3" t="str">
        <f>IFERROR(__xludf.DUMMYFUNCTION("GOOGLETRANSLATE(B225, ""it"", ""en"")"),"A player shouts ""five"" and holds up ""two"" fingers. What happens?")</f>
        <v>A player shouts "five" and holds up "two" fingers. What happens?</v>
      </c>
      <c r="H225" s="3" t="str">
        <f>IFERROR(__xludf.DUMMYFUNCTION("GOOGLETRANSLATE(C225, ""it"", ""en"")"),"A. The point is cancelled B. The point is awarded to the opponent C. The game continues normally D. The point is awarded")</f>
        <v>A. The point is cancelled B. The point is awarded to the opponent C. The game continues normally D. The point is awarded</v>
      </c>
      <c r="I225" s="3" t="str">
        <f>IFERROR(__xludf.DUMMYFUNCTION("GOOGLETRANSLATE(D225, ""it"", ""en"")"),"The point is cancelled")</f>
        <v>The point is cancelled</v>
      </c>
      <c r="J225" s="2"/>
      <c r="K225" s="2"/>
      <c r="L225" s="2"/>
      <c r="M225" s="2"/>
      <c r="N225" s="2"/>
      <c r="O225" s="2"/>
      <c r="P225" s="2"/>
      <c r="Q225" s="2"/>
      <c r="R225" s="2"/>
      <c r="S225" s="2"/>
      <c r="T225" s="2"/>
      <c r="U225" s="2"/>
      <c r="V225" s="2"/>
    </row>
    <row r="226" ht="22.5" customHeight="1">
      <c r="A226" s="3">
        <v>225.0</v>
      </c>
      <c r="B226" s="3" t="s">
        <v>3937</v>
      </c>
      <c r="C226" s="3" t="s">
        <v>3881</v>
      </c>
      <c r="D226" s="3" t="s">
        <v>956</v>
      </c>
      <c r="E226" s="2"/>
      <c r="F226" s="3" t="str">
        <f>IFERROR(__xludf.DUMMYFUNCTION("GOOGLETRANSLATE(A226, ""it"", ""en"")"),"225")</f>
        <v>225</v>
      </c>
      <c r="G226" s="3" t="str">
        <f>IFERROR(__xludf.DUMMYFUNCTION("GOOGLETRANSLATE(B226, ""it"", ""en"")"),"A player shouts ""four"" and holds up ""two"" fingers. What happens?")</f>
        <v>A player shouts "four" and holds up "two" fingers. What happens?</v>
      </c>
      <c r="H226" s="3" t="str">
        <f>IFERROR(__xludf.DUMMYFUNCTION("GOOGLETRANSLATE(C226, ""it"", ""en"")"),"A. The point is awarded to the opponent B. The point is cancelled C. The game continues normally D. The point is awarded")</f>
        <v>A. The point is awarded to the opponent B. The point is cancelled C. The game continues normally D. The point is awarded</v>
      </c>
      <c r="I226" s="3" t="str">
        <f>IFERROR(__xludf.DUMMYFUNCTION("GOOGLETRANSLATE(D226, ""it"", ""en"")"),"The point is cancelled")</f>
        <v>The point is cancelled</v>
      </c>
      <c r="J226" s="2"/>
      <c r="K226" s="2"/>
      <c r="L226" s="2"/>
      <c r="M226" s="2"/>
      <c r="N226" s="2"/>
      <c r="O226" s="2"/>
      <c r="P226" s="2"/>
      <c r="Q226" s="2"/>
      <c r="R226" s="2"/>
      <c r="S226" s="2"/>
      <c r="T226" s="2"/>
      <c r="U226" s="2"/>
      <c r="V226" s="2"/>
    </row>
    <row r="227" ht="22.5" customHeight="1">
      <c r="A227" s="3">
        <v>226.0</v>
      </c>
      <c r="B227" s="3" t="s">
        <v>4008</v>
      </c>
      <c r="C227" s="3" t="s">
        <v>3881</v>
      </c>
      <c r="D227" s="3" t="s">
        <v>956</v>
      </c>
      <c r="E227" s="2"/>
      <c r="F227" s="3" t="str">
        <f>IFERROR(__xludf.DUMMYFUNCTION("GOOGLETRANSLATE(A227, ""it"", ""en"")"),"226")</f>
        <v>226</v>
      </c>
      <c r="G227" s="3" t="str">
        <f>IFERROR(__xludf.DUMMYFUNCTION("GOOGLETRANSLATE(B227, ""it"", ""en"")"),"A player shows ""one"" finger and shouts ""three."" What happens?")</f>
        <v>A player shows "one" finger and shouts "three." What happens?</v>
      </c>
      <c r="H227" s="3" t="str">
        <f>IFERROR(__xludf.DUMMYFUNCTION("GOOGLETRANSLATE(C227, ""it"", ""en"")"),"A. The point is awarded to the opponent B. The point is cancelled C. The game continues normally D. The point is awarded")</f>
        <v>A. The point is awarded to the opponent B. The point is cancelled C. The game continues normally D. The point is awarded</v>
      </c>
      <c r="I227" s="3" t="str">
        <f>IFERROR(__xludf.DUMMYFUNCTION("GOOGLETRANSLATE(D227, ""it"", ""en"")"),"The point is cancelled")</f>
        <v>The point is cancelled</v>
      </c>
      <c r="J227" s="2"/>
      <c r="K227" s="2"/>
      <c r="L227" s="2"/>
      <c r="M227" s="2"/>
      <c r="N227" s="2"/>
      <c r="O227" s="2"/>
      <c r="P227" s="2"/>
      <c r="Q227" s="2"/>
      <c r="R227" s="2"/>
      <c r="S227" s="2"/>
      <c r="T227" s="2"/>
      <c r="U227" s="2"/>
      <c r="V227" s="2"/>
    </row>
    <row r="228" ht="22.5" customHeight="1">
      <c r="A228" s="3">
        <v>227.0</v>
      </c>
      <c r="B228" s="3" t="s">
        <v>3996</v>
      </c>
      <c r="C228" s="3" t="s">
        <v>3881</v>
      </c>
      <c r="D228" s="3" t="s">
        <v>956</v>
      </c>
      <c r="E228" s="2"/>
      <c r="F228" s="3" t="str">
        <f>IFERROR(__xludf.DUMMYFUNCTION("GOOGLETRANSLATE(A228, ""it"", ""en"")"),"227")</f>
        <v>227</v>
      </c>
      <c r="G228" s="3" t="str">
        <f>IFERROR(__xludf.DUMMYFUNCTION("GOOGLETRANSLATE(B228, ""it"", ""en"")"),"A player shows ""three"" fingers and shouts ""five."" What happens?")</f>
        <v>A player shows "three" fingers and shouts "five." What happens?</v>
      </c>
      <c r="H228" s="3" t="str">
        <f>IFERROR(__xludf.DUMMYFUNCTION("GOOGLETRANSLATE(C228, ""it"", ""en"")"),"A. The point is awarded to the opponent B. The point is cancelled C. The game continues normally D. The point is awarded")</f>
        <v>A. The point is awarded to the opponent B. The point is cancelled C. The game continues normally D. The point is awarded</v>
      </c>
      <c r="I228" s="3" t="str">
        <f>IFERROR(__xludf.DUMMYFUNCTION("GOOGLETRANSLATE(D228, ""it"", ""en"")"),"The point is cancelled")</f>
        <v>The point is cancelled</v>
      </c>
      <c r="J228" s="2"/>
      <c r="K228" s="2"/>
      <c r="L228" s="2"/>
      <c r="M228" s="2"/>
      <c r="N228" s="2"/>
      <c r="O228" s="2"/>
      <c r="P228" s="2"/>
      <c r="Q228" s="2"/>
      <c r="R228" s="2"/>
      <c r="S228" s="2"/>
      <c r="T228" s="2"/>
      <c r="U228" s="2"/>
      <c r="V228" s="2"/>
    </row>
    <row r="229" ht="22.5" customHeight="1">
      <c r="A229" s="3">
        <v>228.0</v>
      </c>
      <c r="B229" s="3" t="s">
        <v>4001</v>
      </c>
      <c r="C229" s="3" t="s">
        <v>3881</v>
      </c>
      <c r="D229" s="3" t="s">
        <v>956</v>
      </c>
      <c r="E229" s="2"/>
      <c r="F229" s="3" t="str">
        <f>IFERROR(__xludf.DUMMYFUNCTION("GOOGLETRANSLATE(A229, ""it"", ""en"")"),"228")</f>
        <v>228</v>
      </c>
      <c r="G229" s="3" t="str">
        <f>IFERROR(__xludf.DUMMYFUNCTION("GOOGLETRANSLATE(B229, ""it"", ""en"")"),"A player shouts ""four"" and shows ""three"" fingers. What happens?")</f>
        <v>A player shouts "four" and shows "three" fingers. What happens?</v>
      </c>
      <c r="H229" s="3" t="str">
        <f>IFERROR(__xludf.DUMMYFUNCTION("GOOGLETRANSLATE(C229, ""it"", ""en"")"),"A. The point is awarded to the opponent B. The point is cancelled C. The game continues normally D. The point is awarded")</f>
        <v>A. The point is awarded to the opponent B. The point is cancelled C. The game continues normally D. The point is awarded</v>
      </c>
      <c r="I229" s="3" t="str">
        <f>IFERROR(__xludf.DUMMYFUNCTION("GOOGLETRANSLATE(D229, ""it"", ""en"")"),"The point is cancelled")</f>
        <v>The point is cancelled</v>
      </c>
      <c r="J229" s="2"/>
      <c r="K229" s="2"/>
      <c r="L229" s="2"/>
      <c r="M229" s="2"/>
      <c r="N229" s="2"/>
      <c r="O229" s="2"/>
      <c r="P229" s="2"/>
      <c r="Q229" s="2"/>
      <c r="R229" s="2"/>
      <c r="S229" s="2"/>
      <c r="T229" s="2"/>
      <c r="U229" s="2"/>
      <c r="V229" s="2"/>
    </row>
    <row r="230" ht="22.5" customHeight="1">
      <c r="A230" s="3">
        <v>229.0</v>
      </c>
      <c r="B230" s="3" t="s">
        <v>4009</v>
      </c>
      <c r="C230" s="3" t="s">
        <v>3881</v>
      </c>
      <c r="D230" s="3" t="s">
        <v>956</v>
      </c>
      <c r="E230" s="2"/>
      <c r="F230" s="3" t="str">
        <f>IFERROR(__xludf.DUMMYFUNCTION("GOOGLETRANSLATE(A230, ""it"", ""en"")"),"229")</f>
        <v>229</v>
      </c>
      <c r="G230" s="3" t="str">
        <f>IFERROR(__xludf.DUMMYFUNCTION("GOOGLETRANSLATE(B230, ""it"", ""en"")"),"A player shows ""five"" fingers and shouts ""two."" What happens?")</f>
        <v>A player shows "five" fingers and shouts "two." What happens?</v>
      </c>
      <c r="H230" s="3" t="str">
        <f>IFERROR(__xludf.DUMMYFUNCTION("GOOGLETRANSLATE(C230, ""it"", ""en"")"),"A. The point is awarded to the opponent B. The point is cancelled C. The game continues normally D. The point is awarded")</f>
        <v>A. The point is awarded to the opponent B. The point is cancelled C. The game continues normally D. The point is awarded</v>
      </c>
      <c r="I230" s="3" t="str">
        <f>IFERROR(__xludf.DUMMYFUNCTION("GOOGLETRANSLATE(D230, ""it"", ""en"")"),"The point is cancelled")</f>
        <v>The point is cancelled</v>
      </c>
      <c r="J230" s="2"/>
      <c r="K230" s="2"/>
      <c r="L230" s="2"/>
      <c r="M230" s="2"/>
      <c r="N230" s="2"/>
      <c r="O230" s="2"/>
      <c r="P230" s="2"/>
      <c r="Q230" s="2"/>
      <c r="R230" s="2"/>
      <c r="S230" s="2"/>
      <c r="T230" s="2"/>
      <c r="U230" s="2"/>
      <c r="V230" s="2"/>
    </row>
    <row r="231" ht="22.5" customHeight="1">
      <c r="A231" s="3">
        <v>230.0</v>
      </c>
      <c r="B231" s="3" t="s">
        <v>3947</v>
      </c>
      <c r="C231" s="3" t="s">
        <v>4010</v>
      </c>
      <c r="D231" s="3" t="s">
        <v>616</v>
      </c>
      <c r="E231" s="2"/>
      <c r="F231" s="3" t="str">
        <f>IFERROR(__xludf.DUMMYFUNCTION("GOOGLETRANSLATE(A231, ""it"", ""en"")"),"230")</f>
        <v>230</v>
      </c>
      <c r="G231" s="3" t="str">
        <f>IFERROR(__xludf.DUMMYFUNCTION("GOOGLETRANSLATE(B231, ""it"", ""en"")"),"A player shows ""two"" fingers and shouts ""five."" What happens?")</f>
        <v>A player shows "two" fingers and shouts "five." What happens?</v>
      </c>
      <c r="H231" s="3" t="str">
        <f>IFERROR(__xludf.DUMMYFUNCTION("GOOGLETRANSLATE(C231, ""it"", ""en"")"),"A. The point is awarded B. The point is cancelled C. The game continues normally D. The point is cancelled")</f>
        <v>A. The point is awarded B. The point is cancelled C. The game continues normally D. The point is cancelled</v>
      </c>
      <c r="I231" s="3" t="str">
        <f>IFERROR(__xludf.DUMMYFUNCTION("GOOGLETRANSLATE(D231, ""it"", ""en"")"),"The point is awarded")</f>
        <v>The point is awarded</v>
      </c>
      <c r="J231" s="2"/>
      <c r="K231" s="2"/>
      <c r="L231" s="2"/>
      <c r="M231" s="2"/>
      <c r="N231" s="2"/>
      <c r="O231" s="2"/>
      <c r="P231" s="2"/>
      <c r="Q231" s="2"/>
      <c r="R231" s="2"/>
      <c r="S231" s="2"/>
      <c r="T231" s="2"/>
      <c r="U231" s="2"/>
      <c r="V231" s="2"/>
    </row>
    <row r="232" ht="22.5" customHeight="1">
      <c r="A232" s="3">
        <v>231.0</v>
      </c>
      <c r="B232" s="3" t="s">
        <v>3981</v>
      </c>
      <c r="C232" s="3" t="s">
        <v>3873</v>
      </c>
      <c r="D232" s="3" t="s">
        <v>956</v>
      </c>
      <c r="E232" s="2"/>
      <c r="F232" s="3" t="str">
        <f>IFERROR(__xludf.DUMMYFUNCTION("GOOGLETRANSLATE(A232, ""it"", ""en"")"),"231")</f>
        <v>231</v>
      </c>
      <c r="G232" s="3" t="str">
        <f>IFERROR(__xludf.DUMMYFUNCTION("GOOGLETRANSLATE(B232, ""it"", ""en"")"),"A player shouts ""one"" and shows ""two"" fingers. What happens?")</f>
        <v>A player shouts "one" and shows "two" fingers. What happens?</v>
      </c>
      <c r="H232" s="3" t="str">
        <f>IFERROR(__xludf.DUMMYFUNCTION("GOOGLETRANSLATE(C232, ""it"", ""en"")"),"A. The point is cancelled B. The point is awarded to the opponent C. The game continues normally D. The point is awarded")</f>
        <v>A. The point is cancelled B. The point is awarded to the opponent C. The game continues normally D. The point is awarded</v>
      </c>
      <c r="I232" s="3" t="str">
        <f>IFERROR(__xludf.DUMMYFUNCTION("GOOGLETRANSLATE(D232, ""it"", ""en"")"),"The point is cancelled")</f>
        <v>The point is cancelled</v>
      </c>
      <c r="J232" s="2"/>
      <c r="K232" s="2"/>
      <c r="L232" s="2"/>
      <c r="M232" s="2"/>
      <c r="N232" s="2"/>
      <c r="O232" s="2"/>
      <c r="P232" s="2"/>
      <c r="Q232" s="2"/>
      <c r="R232" s="2"/>
      <c r="S232" s="2"/>
      <c r="T232" s="2"/>
      <c r="U232" s="2"/>
      <c r="V232" s="2"/>
    </row>
    <row r="233" ht="22.5" customHeight="1">
      <c r="A233" s="3">
        <v>232.0</v>
      </c>
      <c r="B233" s="3" t="s">
        <v>3998</v>
      </c>
      <c r="C233" s="3" t="s">
        <v>3881</v>
      </c>
      <c r="D233" s="3" t="s">
        <v>956</v>
      </c>
      <c r="E233" s="2"/>
      <c r="F233" s="3" t="str">
        <f>IFERROR(__xludf.DUMMYFUNCTION("GOOGLETRANSLATE(A233, ""it"", ""en"")"),"232")</f>
        <v>232</v>
      </c>
      <c r="G233" s="3" t="str">
        <f>IFERROR(__xludf.DUMMYFUNCTION("GOOGLETRANSLATE(B233, ""it"", ""en"")"),"A player shows ""four"" fingers and shouts ""one."" What happens?")</f>
        <v>A player shows "four" fingers and shouts "one." What happens?</v>
      </c>
      <c r="H233" s="3" t="str">
        <f>IFERROR(__xludf.DUMMYFUNCTION("GOOGLETRANSLATE(C233, ""it"", ""en"")"),"A. The point is awarded to the opponent B. The point is cancelled C. The game continues normally D. The point is awarded")</f>
        <v>A. The point is awarded to the opponent B. The point is cancelled C. The game continues normally D. The point is awarded</v>
      </c>
      <c r="I233" s="3" t="str">
        <f>IFERROR(__xludf.DUMMYFUNCTION("GOOGLETRANSLATE(D233, ""it"", ""en"")"),"The point is cancelled")</f>
        <v>The point is cancelled</v>
      </c>
      <c r="J233" s="2"/>
      <c r="K233" s="2"/>
      <c r="L233" s="2"/>
      <c r="M233" s="2"/>
      <c r="N233" s="2"/>
      <c r="O233" s="2"/>
      <c r="P233" s="2"/>
      <c r="Q233" s="2"/>
      <c r="R233" s="2"/>
      <c r="S233" s="2"/>
      <c r="T233" s="2"/>
      <c r="U233" s="2"/>
      <c r="V233" s="2"/>
    </row>
    <row r="234" ht="22.5" customHeight="1">
      <c r="A234" s="3">
        <v>233.0</v>
      </c>
      <c r="B234" s="3" t="s">
        <v>3973</v>
      </c>
      <c r="C234" s="3" t="s">
        <v>3881</v>
      </c>
      <c r="D234" s="3" t="s">
        <v>956</v>
      </c>
      <c r="E234" s="2"/>
      <c r="F234" s="3" t="str">
        <f>IFERROR(__xludf.DUMMYFUNCTION("GOOGLETRANSLATE(A234, ""it"", ""en"")"),"233")</f>
        <v>233</v>
      </c>
      <c r="G234" s="3" t="str">
        <f>IFERROR(__xludf.DUMMYFUNCTION("GOOGLETRANSLATE(B234, ""it"", ""en"")"),"A player shouts ""three"" and shows ""five"" fingers. What happens?")</f>
        <v>A player shouts "three" and shows "five" fingers. What happens?</v>
      </c>
      <c r="H234" s="3" t="str">
        <f>IFERROR(__xludf.DUMMYFUNCTION("GOOGLETRANSLATE(C234, ""it"", ""en"")"),"A. The point is awarded to the opponent B. The point is cancelled C. The game continues normally D. The point is awarded")</f>
        <v>A. The point is awarded to the opponent B. The point is cancelled C. The game continues normally D. The point is awarded</v>
      </c>
      <c r="I234" s="3" t="str">
        <f>IFERROR(__xludf.DUMMYFUNCTION("GOOGLETRANSLATE(D234, ""it"", ""en"")"),"The point is cancelled")</f>
        <v>The point is cancelled</v>
      </c>
      <c r="J234" s="2"/>
      <c r="K234" s="2"/>
      <c r="L234" s="2"/>
      <c r="M234" s="2"/>
      <c r="N234" s="2"/>
      <c r="O234" s="2"/>
      <c r="P234" s="2"/>
      <c r="Q234" s="2"/>
      <c r="R234" s="2"/>
      <c r="S234" s="2"/>
      <c r="T234" s="2"/>
      <c r="U234" s="2"/>
      <c r="V234" s="2"/>
    </row>
    <row r="235" ht="22.5" customHeight="1">
      <c r="A235" s="3">
        <v>234.0</v>
      </c>
      <c r="B235" s="3" t="s">
        <v>4000</v>
      </c>
      <c r="C235" s="3" t="s">
        <v>3873</v>
      </c>
      <c r="D235" s="3" t="s">
        <v>956</v>
      </c>
      <c r="E235" s="2"/>
      <c r="F235" s="3" t="str">
        <f>IFERROR(__xludf.DUMMYFUNCTION("GOOGLETRANSLATE(A235, ""it"", ""en"")"),"234")</f>
        <v>234</v>
      </c>
      <c r="G235" s="3" t="str">
        <f>IFERROR(__xludf.DUMMYFUNCTION("GOOGLETRANSLATE(B235, ""it"", ""en"")"),"A player shows ""three"" fingers and shouts ""one."" What happens?")</f>
        <v>A player shows "three" fingers and shouts "one." What happens?</v>
      </c>
      <c r="H235" s="3" t="str">
        <f>IFERROR(__xludf.DUMMYFUNCTION("GOOGLETRANSLATE(C235, ""it"", ""en"")"),"A. The point is cancelled B. The point is awarded to the opponent C. The game continues normally D. The point is awarded")</f>
        <v>A. The point is cancelled B. The point is awarded to the opponent C. The game continues normally D. The point is awarded</v>
      </c>
      <c r="I235" s="3" t="str">
        <f>IFERROR(__xludf.DUMMYFUNCTION("GOOGLETRANSLATE(D235, ""it"", ""en"")"),"The point is cancelled")</f>
        <v>The point is cancelled</v>
      </c>
      <c r="J235" s="2"/>
      <c r="K235" s="2"/>
      <c r="L235" s="2"/>
      <c r="M235" s="2"/>
      <c r="N235" s="2"/>
      <c r="O235" s="2"/>
      <c r="P235" s="2"/>
      <c r="Q235" s="2"/>
      <c r="R235" s="2"/>
      <c r="S235" s="2"/>
      <c r="T235" s="2"/>
      <c r="U235" s="2"/>
      <c r="V235" s="2"/>
    </row>
    <row r="236" ht="22.5" customHeight="1">
      <c r="A236" s="3">
        <v>235.0</v>
      </c>
      <c r="B236" s="3" t="s">
        <v>3954</v>
      </c>
      <c r="C236" s="3" t="s">
        <v>4010</v>
      </c>
      <c r="D236" s="3" t="s">
        <v>616</v>
      </c>
      <c r="E236" s="2"/>
      <c r="F236" s="3" t="str">
        <f>IFERROR(__xludf.DUMMYFUNCTION("GOOGLETRANSLATE(A236, ""it"", ""en"")"),"235")</f>
        <v>235</v>
      </c>
      <c r="G236" s="3" t="str">
        <f>IFERROR(__xludf.DUMMYFUNCTION("GOOGLETRANSLATE(B236, ""it"", ""en"")"),"A player shouts ""two"" and shows ""four"" fingers. What happens?")</f>
        <v>A player shouts "two" and shows "four" fingers. What happens?</v>
      </c>
      <c r="H236" s="3" t="str">
        <f>IFERROR(__xludf.DUMMYFUNCTION("GOOGLETRANSLATE(C236, ""it"", ""en"")"),"A. The point is awarded B. The point is cancelled C. The game continues normally D. The point is cancelled")</f>
        <v>A. The point is awarded B. The point is cancelled C. The game continues normally D. The point is cancelled</v>
      </c>
      <c r="I236" s="3" t="str">
        <f>IFERROR(__xludf.DUMMYFUNCTION("GOOGLETRANSLATE(D236, ""it"", ""en"")"),"The point is awarded")</f>
        <v>The point is awarded</v>
      </c>
      <c r="J236" s="2"/>
      <c r="K236" s="2"/>
      <c r="L236" s="2"/>
      <c r="M236" s="2"/>
      <c r="N236" s="2"/>
      <c r="O236" s="2"/>
      <c r="P236" s="2"/>
      <c r="Q236" s="2"/>
      <c r="R236" s="2"/>
      <c r="S236" s="2"/>
      <c r="T236" s="2"/>
      <c r="U236" s="2"/>
      <c r="V236" s="2"/>
    </row>
    <row r="237" ht="22.5" customHeight="1">
      <c r="A237" s="3">
        <v>236.0</v>
      </c>
      <c r="B237" s="3" t="s">
        <v>3986</v>
      </c>
      <c r="C237" s="3" t="s">
        <v>3881</v>
      </c>
      <c r="D237" s="3" t="s">
        <v>956</v>
      </c>
      <c r="E237" s="2"/>
      <c r="F237" s="3" t="str">
        <f>IFERROR(__xludf.DUMMYFUNCTION("GOOGLETRANSLATE(A237, ""it"", ""en"")"),"236")</f>
        <v>236</v>
      </c>
      <c r="G237" s="3" t="str">
        <f>IFERROR(__xludf.DUMMYFUNCTION("GOOGLETRANSLATE(B237, ""it"", ""en"")"),"A player shows ""four"" fingers and shouts ""two."" What happens?")</f>
        <v>A player shows "four" fingers and shouts "two." What happens?</v>
      </c>
      <c r="H237" s="3" t="str">
        <f>IFERROR(__xludf.DUMMYFUNCTION("GOOGLETRANSLATE(C237, ""it"", ""en"")"),"A. The point is awarded to the opponent B. The point is cancelled C. The game continues normally D. The point is awarded")</f>
        <v>A. The point is awarded to the opponent B. The point is cancelled C. The game continues normally D. The point is awarded</v>
      </c>
      <c r="I237" s="3" t="str">
        <f>IFERROR(__xludf.DUMMYFUNCTION("GOOGLETRANSLATE(D237, ""it"", ""en"")"),"The point is cancelled")</f>
        <v>The point is cancelled</v>
      </c>
      <c r="J237" s="2"/>
      <c r="K237" s="2"/>
      <c r="L237" s="2"/>
      <c r="M237" s="2"/>
      <c r="N237" s="2"/>
      <c r="O237" s="2"/>
      <c r="P237" s="2"/>
      <c r="Q237" s="2"/>
      <c r="R237" s="2"/>
      <c r="S237" s="2"/>
      <c r="T237" s="2"/>
      <c r="U237" s="2"/>
      <c r="V237" s="2"/>
    </row>
    <row r="238" ht="22.5" customHeight="1">
      <c r="A238" s="3">
        <v>237.0</v>
      </c>
      <c r="B238" s="3" t="s">
        <v>3982</v>
      </c>
      <c r="C238" s="3" t="s">
        <v>3873</v>
      </c>
      <c r="D238" s="3" t="s">
        <v>956</v>
      </c>
      <c r="E238" s="2"/>
      <c r="F238" s="3" t="str">
        <f>IFERROR(__xludf.DUMMYFUNCTION("GOOGLETRANSLATE(A238, ""it"", ""en"")"),"237")</f>
        <v>237</v>
      </c>
      <c r="G238" s="3" t="str">
        <f>IFERROR(__xludf.DUMMYFUNCTION("GOOGLETRANSLATE(B238, ""it"", ""en"")"),"A player shouts ""three"" and shows ""four"" fingers. What happens?")</f>
        <v>A player shouts "three" and shows "four" fingers. What happens?</v>
      </c>
      <c r="H238" s="3" t="str">
        <f>IFERROR(__xludf.DUMMYFUNCTION("GOOGLETRANSLATE(C238, ""it"", ""en"")"),"A. The point is cancelled B. The point is awarded to the opponent C. The game continues normally D. The point is awarded")</f>
        <v>A. The point is cancelled B. The point is awarded to the opponent C. The game continues normally D. The point is awarded</v>
      </c>
      <c r="I238" s="3" t="str">
        <f>IFERROR(__xludf.DUMMYFUNCTION("GOOGLETRANSLATE(D238, ""it"", ""en"")"),"The point is cancelled")</f>
        <v>The point is cancelled</v>
      </c>
      <c r="J238" s="2"/>
      <c r="K238" s="2"/>
      <c r="L238" s="2"/>
      <c r="M238" s="2"/>
      <c r="N238" s="2"/>
      <c r="O238" s="2"/>
      <c r="P238" s="2"/>
      <c r="Q238" s="2"/>
      <c r="R238" s="2"/>
      <c r="S238" s="2"/>
      <c r="T238" s="2"/>
      <c r="U238" s="2"/>
      <c r="V238" s="2"/>
    </row>
    <row r="239" ht="22.5" customHeight="1">
      <c r="A239" s="3">
        <v>238.0</v>
      </c>
      <c r="B239" s="3" t="s">
        <v>3983</v>
      </c>
      <c r="C239" s="3" t="s">
        <v>4010</v>
      </c>
      <c r="D239" s="3" t="s">
        <v>616</v>
      </c>
      <c r="E239" s="2"/>
      <c r="F239" s="3" t="str">
        <f>IFERROR(__xludf.DUMMYFUNCTION("GOOGLETRANSLATE(A239, ""it"", ""en"")"),"238")</f>
        <v>238</v>
      </c>
      <c r="G239" s="3" t="str">
        <f>IFERROR(__xludf.DUMMYFUNCTION("GOOGLETRANSLATE(B239, ""it"", ""en"")"),"A player shouts ""one"" and shows ""five"" fingers. What happens?")</f>
        <v>A player shouts "one" and shows "five" fingers. What happens?</v>
      </c>
      <c r="H239" s="3" t="str">
        <f>IFERROR(__xludf.DUMMYFUNCTION("GOOGLETRANSLATE(C239, ""it"", ""en"")"),"A. The point is awarded B. The point is cancelled C. The game continues normally D. The point is cancelled")</f>
        <v>A. The point is awarded B. The point is cancelled C. The game continues normally D. The point is cancelled</v>
      </c>
      <c r="I239" s="3" t="str">
        <f>IFERROR(__xludf.DUMMYFUNCTION("GOOGLETRANSLATE(D239, ""it"", ""en"")"),"The point is awarded")</f>
        <v>The point is awarded</v>
      </c>
      <c r="J239" s="2"/>
      <c r="K239" s="2"/>
      <c r="L239" s="2"/>
      <c r="M239" s="2"/>
      <c r="N239" s="2"/>
      <c r="O239" s="2"/>
      <c r="P239" s="2"/>
      <c r="Q239" s="2"/>
      <c r="R239" s="2"/>
      <c r="S239" s="2"/>
      <c r="T239" s="2"/>
      <c r="U239" s="2"/>
      <c r="V239" s="2"/>
    </row>
    <row r="240" ht="22.5" customHeight="1">
      <c r="A240" s="3">
        <v>239.0</v>
      </c>
      <c r="B240" s="3" t="s">
        <v>3948</v>
      </c>
      <c r="C240" s="3" t="s">
        <v>3873</v>
      </c>
      <c r="D240" s="3" t="s">
        <v>956</v>
      </c>
      <c r="E240" s="2"/>
      <c r="F240" s="3" t="str">
        <f>IFERROR(__xludf.DUMMYFUNCTION("GOOGLETRANSLATE(A240, ""it"", ""en"")"),"239")</f>
        <v>239</v>
      </c>
      <c r="G240" s="3" t="str">
        <f>IFERROR(__xludf.DUMMYFUNCTION("GOOGLETRANSLATE(B240, ""it"", ""en"")"),"A player shows ""three"" fingers and shouts ""two."" What happens?")</f>
        <v>A player shows "three" fingers and shouts "two." What happens?</v>
      </c>
      <c r="H240" s="3" t="str">
        <f>IFERROR(__xludf.DUMMYFUNCTION("GOOGLETRANSLATE(C240, ""it"", ""en"")"),"A. The point is cancelled B. The point is awarded to the opponent C. The game continues normally D. The point is awarded")</f>
        <v>A. The point is cancelled B. The point is awarded to the opponent C. The game continues normally D. The point is awarded</v>
      </c>
      <c r="I240" s="3" t="str">
        <f>IFERROR(__xludf.DUMMYFUNCTION("GOOGLETRANSLATE(D240, ""it"", ""en"")"),"The point is cancelled")</f>
        <v>The point is cancelled</v>
      </c>
      <c r="J240" s="2"/>
      <c r="K240" s="2"/>
      <c r="L240" s="2"/>
      <c r="M240" s="2"/>
      <c r="N240" s="2"/>
      <c r="O240" s="2"/>
      <c r="P240" s="2"/>
      <c r="Q240" s="2"/>
      <c r="R240" s="2"/>
      <c r="S240" s="2"/>
      <c r="T240" s="2"/>
      <c r="U240" s="2"/>
      <c r="V240" s="2"/>
    </row>
    <row r="241" ht="22.5" customHeight="1">
      <c r="A241" s="3">
        <v>240.0</v>
      </c>
      <c r="B241" s="3" t="s">
        <v>4011</v>
      </c>
      <c r="C241" s="3" t="s">
        <v>3881</v>
      </c>
      <c r="D241" s="3" t="s">
        <v>956</v>
      </c>
      <c r="E241" s="2"/>
      <c r="F241" s="3" t="str">
        <f>IFERROR(__xludf.DUMMYFUNCTION("GOOGLETRANSLATE(A241, ""it"", ""en"")"),"240")</f>
        <v>240</v>
      </c>
      <c r="G241" s="3" t="str">
        <f>IFERROR(__xludf.DUMMYFUNCTION("GOOGLETRANSLATE(B241, ""it"", ""en"")"),"A player shows ""four"" fingers and shouts ""five."" What happens?")</f>
        <v>A player shows "four" fingers and shouts "five." What happens?</v>
      </c>
      <c r="H241" s="3" t="str">
        <f>IFERROR(__xludf.DUMMYFUNCTION("GOOGLETRANSLATE(C241, ""it"", ""en"")"),"A. The point is awarded to the opponent B. The point is cancelled C. The game continues normally D. The point is awarded")</f>
        <v>A. The point is awarded to the opponent B. The point is cancelled C. The game continues normally D. The point is awarded</v>
      </c>
      <c r="I241" s="3" t="str">
        <f>IFERROR(__xludf.DUMMYFUNCTION("GOOGLETRANSLATE(D241, ""it"", ""en"")"),"The point is cancelled")</f>
        <v>The point is cancelled</v>
      </c>
      <c r="J241" s="2"/>
      <c r="K241" s="2"/>
      <c r="L241" s="2"/>
      <c r="M241" s="2"/>
      <c r="N241" s="2"/>
      <c r="O241" s="2"/>
      <c r="P241" s="2"/>
      <c r="Q241" s="2"/>
      <c r="R241" s="2"/>
      <c r="S241" s="2"/>
      <c r="T241" s="2"/>
      <c r="U241" s="2"/>
      <c r="V241" s="2"/>
    </row>
    <row r="242" ht="22.5" customHeight="1">
      <c r="A242" s="3">
        <v>241.0</v>
      </c>
      <c r="B242" s="3" t="s">
        <v>3910</v>
      </c>
      <c r="C242" s="3" t="s">
        <v>3873</v>
      </c>
      <c r="D242" s="3" t="s">
        <v>956</v>
      </c>
      <c r="E242" s="2"/>
      <c r="F242" s="3" t="str">
        <f>IFERROR(__xludf.DUMMYFUNCTION("GOOGLETRANSLATE(A242, ""it"", ""en"")"),"241")</f>
        <v>241</v>
      </c>
      <c r="G242" s="3" t="str">
        <f>IFERROR(__xludf.DUMMYFUNCTION("GOOGLETRANSLATE(B242, ""it"", ""en"")"),"A player shows ""two"" fingers and says ""three."" What happens?")</f>
        <v>A player shows "two" fingers and says "three." What happens?</v>
      </c>
      <c r="H242" s="3" t="str">
        <f>IFERROR(__xludf.DUMMYFUNCTION("GOOGLETRANSLATE(C242, ""it"", ""en"")"),"A. The point is cancelled B. The point is awarded to the opponent C. The game continues normally D. The point is awarded")</f>
        <v>A. The point is cancelled B. The point is awarded to the opponent C. The game continues normally D. The point is awarded</v>
      </c>
      <c r="I242" s="3" t="str">
        <f>IFERROR(__xludf.DUMMYFUNCTION("GOOGLETRANSLATE(D242, ""it"", ""en"")"),"The point is cancelled")</f>
        <v>The point is cancelled</v>
      </c>
      <c r="J242" s="2"/>
      <c r="K242" s="2"/>
      <c r="L242" s="2"/>
      <c r="M242" s="2"/>
      <c r="N242" s="2"/>
      <c r="O242" s="2"/>
      <c r="P242" s="2"/>
      <c r="Q242" s="2"/>
      <c r="R242" s="2"/>
      <c r="S242" s="2"/>
      <c r="T242" s="2"/>
      <c r="U242" s="2"/>
      <c r="V242" s="2"/>
    </row>
    <row r="243" ht="22.5" customHeight="1">
      <c r="A243" s="3">
        <v>242.0</v>
      </c>
      <c r="B243" s="3" t="s">
        <v>3937</v>
      </c>
      <c r="C243" s="3" t="s">
        <v>4010</v>
      </c>
      <c r="D243" s="3" t="s">
        <v>616</v>
      </c>
      <c r="E243" s="2"/>
      <c r="F243" s="3" t="str">
        <f>IFERROR(__xludf.DUMMYFUNCTION("GOOGLETRANSLATE(A243, ""it"", ""en"")"),"242")</f>
        <v>242</v>
      </c>
      <c r="G243" s="3" t="str">
        <f>IFERROR(__xludf.DUMMYFUNCTION("GOOGLETRANSLATE(B243, ""it"", ""en"")"),"A player shouts ""four"" and holds up ""two"" fingers. What happens?")</f>
        <v>A player shouts "four" and holds up "two" fingers. What happens?</v>
      </c>
      <c r="H243" s="3" t="str">
        <f>IFERROR(__xludf.DUMMYFUNCTION("GOOGLETRANSLATE(C243, ""it"", ""en"")"),"A. The point is awarded B. The point is cancelled C. The game continues normally D. The point is cancelled")</f>
        <v>A. The point is awarded B. The point is cancelled C. The game continues normally D. The point is cancelled</v>
      </c>
      <c r="I243" s="3" t="str">
        <f>IFERROR(__xludf.DUMMYFUNCTION("GOOGLETRANSLATE(D243, ""it"", ""en"")"),"The point is awarded")</f>
        <v>The point is awarded</v>
      </c>
      <c r="J243" s="2"/>
      <c r="K243" s="2"/>
      <c r="L243" s="2"/>
      <c r="M243" s="2"/>
      <c r="N243" s="2"/>
      <c r="O243" s="2"/>
      <c r="P243" s="2"/>
      <c r="Q243" s="2"/>
      <c r="R243" s="2"/>
      <c r="S243" s="2"/>
      <c r="T243" s="2"/>
      <c r="U243" s="2"/>
      <c r="V243" s="2"/>
    </row>
    <row r="244" ht="22.5" customHeight="1">
      <c r="A244" s="3">
        <v>243.0</v>
      </c>
      <c r="B244" s="3" t="s">
        <v>3984</v>
      </c>
      <c r="C244" s="3" t="s">
        <v>3873</v>
      </c>
      <c r="D244" s="3" t="s">
        <v>956</v>
      </c>
      <c r="E244" s="2"/>
      <c r="F244" s="3" t="str">
        <f>IFERROR(__xludf.DUMMYFUNCTION("GOOGLETRANSLATE(A244, ""it"", ""en"")"),"243")</f>
        <v>243</v>
      </c>
      <c r="G244" s="3" t="str">
        <f>IFERROR(__xludf.DUMMYFUNCTION("GOOGLETRANSLATE(B244, ""it"", ""en"")"),"A player shouts ""five"" and shows ""three"" fingers. What happens?")</f>
        <v>A player shouts "five" and shows "three" fingers. What happens?</v>
      </c>
      <c r="H244" s="3" t="str">
        <f>IFERROR(__xludf.DUMMYFUNCTION("GOOGLETRANSLATE(C244, ""it"", ""en"")"),"A. The point is cancelled B. The point is awarded to the opponent C. The game continues normally D. The point is awarded")</f>
        <v>A. The point is cancelled B. The point is awarded to the opponent C. The game continues normally D. The point is awarded</v>
      </c>
      <c r="I244" s="3" t="str">
        <f>IFERROR(__xludf.DUMMYFUNCTION("GOOGLETRANSLATE(D244, ""it"", ""en"")"),"The point is cancelled")</f>
        <v>The point is cancelled</v>
      </c>
      <c r="J244" s="2"/>
      <c r="K244" s="2"/>
      <c r="L244" s="2"/>
      <c r="M244" s="2"/>
      <c r="N244" s="2"/>
      <c r="O244" s="2"/>
      <c r="P244" s="2"/>
      <c r="Q244" s="2"/>
      <c r="R244" s="2"/>
      <c r="S244" s="2"/>
      <c r="T244" s="2"/>
      <c r="U244" s="2"/>
      <c r="V244" s="2"/>
    </row>
    <row r="245" ht="22.5" customHeight="1">
      <c r="A245" s="3">
        <v>244.0</v>
      </c>
      <c r="B245" s="3" t="s">
        <v>3974</v>
      </c>
      <c r="C245" s="3" t="s">
        <v>3881</v>
      </c>
      <c r="D245" s="3" t="s">
        <v>956</v>
      </c>
      <c r="E245" s="2"/>
      <c r="F245" s="3" t="str">
        <f>IFERROR(__xludf.DUMMYFUNCTION("GOOGLETRANSLATE(A245, ""it"", ""en"")"),"244")</f>
        <v>244</v>
      </c>
      <c r="G245" s="3" t="str">
        <f>IFERROR(__xludf.DUMMYFUNCTION("GOOGLETRANSLATE(B245, ""it"", ""en"")"),"A player shows ""two"" fingers and shouts ""four."" What happens?")</f>
        <v>A player shows "two" fingers and shouts "four." What happens?</v>
      </c>
      <c r="H245" s="3" t="str">
        <f>IFERROR(__xludf.DUMMYFUNCTION("GOOGLETRANSLATE(C245, ""it"", ""en"")"),"A. The point is awarded to the opponent B. The point is cancelled C. The game continues normally D. The point is awarded")</f>
        <v>A. The point is awarded to the opponent B. The point is cancelled C. The game continues normally D. The point is awarded</v>
      </c>
      <c r="I245" s="3" t="str">
        <f>IFERROR(__xludf.DUMMYFUNCTION("GOOGLETRANSLATE(D245, ""it"", ""en"")"),"The point is cancelled")</f>
        <v>The point is cancelled</v>
      </c>
      <c r="J245" s="2"/>
      <c r="K245" s="2"/>
      <c r="L245" s="2"/>
      <c r="M245" s="2"/>
      <c r="N245" s="2"/>
      <c r="O245" s="2"/>
      <c r="P245" s="2"/>
      <c r="Q245" s="2"/>
      <c r="R245" s="2"/>
      <c r="S245" s="2"/>
      <c r="T245" s="2"/>
      <c r="U245" s="2"/>
      <c r="V245" s="2"/>
    </row>
    <row r="246" ht="22.5" customHeight="1">
      <c r="A246" s="3">
        <v>245.0</v>
      </c>
      <c r="B246" s="3" t="s">
        <v>3987</v>
      </c>
      <c r="C246" s="3" t="s">
        <v>3881</v>
      </c>
      <c r="D246" s="3" t="s">
        <v>956</v>
      </c>
      <c r="E246" s="2"/>
      <c r="F246" s="3" t="str">
        <f>IFERROR(__xludf.DUMMYFUNCTION("GOOGLETRANSLATE(A246, ""it"", ""en"")"),"245")</f>
        <v>245</v>
      </c>
      <c r="G246" s="3" t="str">
        <f>IFERROR(__xludf.DUMMYFUNCTION("GOOGLETRANSLATE(B246, ""it"", ""en"")"),"A player shouts ""one"" and shows ""three"" fingers. What happens?")</f>
        <v>A player shouts "one" and shows "three" fingers. What happens?</v>
      </c>
      <c r="H246" s="3" t="str">
        <f>IFERROR(__xludf.DUMMYFUNCTION("GOOGLETRANSLATE(C246, ""it"", ""en"")"),"A. The point is awarded to the opponent B. The point is cancelled C. The game continues normally D. The point is awarded")</f>
        <v>A. The point is awarded to the opponent B. The point is cancelled C. The game continues normally D. The point is awarded</v>
      </c>
      <c r="I246" s="3" t="str">
        <f>IFERROR(__xludf.DUMMYFUNCTION("GOOGLETRANSLATE(D246, ""it"", ""en"")"),"The point is cancelled")</f>
        <v>The point is cancelled</v>
      </c>
      <c r="J246" s="2"/>
      <c r="K246" s="2"/>
      <c r="L246" s="2"/>
      <c r="M246" s="2"/>
      <c r="N246" s="2"/>
      <c r="O246" s="2"/>
      <c r="P246" s="2"/>
      <c r="Q246" s="2"/>
      <c r="R246" s="2"/>
      <c r="S246" s="2"/>
      <c r="T246" s="2"/>
      <c r="U246" s="2"/>
      <c r="V246" s="2"/>
    </row>
    <row r="247" ht="22.5" customHeight="1">
      <c r="A247" s="3">
        <v>246.0</v>
      </c>
      <c r="B247" s="3" t="s">
        <v>3917</v>
      </c>
      <c r="C247" s="3" t="s">
        <v>3873</v>
      </c>
      <c r="D247" s="3" t="s">
        <v>956</v>
      </c>
      <c r="E247" s="2"/>
      <c r="F247" s="3" t="str">
        <f>IFERROR(__xludf.DUMMYFUNCTION("GOOGLETRANSLATE(A247, ""it"", ""en"")"),"246")</f>
        <v>246</v>
      </c>
      <c r="G247" s="3" t="str">
        <f>IFERROR(__xludf.DUMMYFUNCTION("GOOGLETRANSLATE(B247, ""it"", ""en"")"),"A player shows ""five"" fingers and says ""four."" What happens?")</f>
        <v>A player shows "five" fingers and says "four." What happens?</v>
      </c>
      <c r="H247" s="3" t="str">
        <f>IFERROR(__xludf.DUMMYFUNCTION("GOOGLETRANSLATE(C247, ""it"", ""en"")"),"A. The point is cancelled B. The point is awarded to the opponent C. The game continues normally D. The point is awarded")</f>
        <v>A. The point is cancelled B. The point is awarded to the opponent C. The game continues normally D. The point is awarded</v>
      </c>
      <c r="I247" s="3" t="str">
        <f>IFERROR(__xludf.DUMMYFUNCTION("GOOGLETRANSLATE(D247, ""it"", ""en"")"),"The point is cancelled")</f>
        <v>The point is cancelled</v>
      </c>
      <c r="J247" s="2"/>
      <c r="K247" s="2"/>
      <c r="L247" s="2"/>
      <c r="M247" s="2"/>
      <c r="N247" s="2"/>
      <c r="O247" s="2"/>
      <c r="P247" s="2"/>
      <c r="Q247" s="2"/>
      <c r="R247" s="2"/>
      <c r="S247" s="2"/>
      <c r="T247" s="2"/>
      <c r="U247" s="2"/>
      <c r="V247" s="2"/>
    </row>
    <row r="248" ht="22.5" customHeight="1">
      <c r="A248" s="3">
        <v>247.0</v>
      </c>
      <c r="B248" s="3" t="s">
        <v>3995</v>
      </c>
      <c r="C248" s="3" t="s">
        <v>3881</v>
      </c>
      <c r="D248" s="3" t="s">
        <v>956</v>
      </c>
      <c r="E248" s="2"/>
      <c r="F248" s="3" t="str">
        <f>IFERROR(__xludf.DUMMYFUNCTION("GOOGLETRANSLATE(A248, ""it"", ""en"")"),"247")</f>
        <v>247</v>
      </c>
      <c r="G248" s="3" t="str">
        <f>IFERROR(__xludf.DUMMYFUNCTION("GOOGLETRANSLATE(B248, ""it"", ""en"")"),"A player shouts ""two"" and shows ""five"" fingers. What happens?")</f>
        <v>A player shouts "two" and shows "five" fingers. What happens?</v>
      </c>
      <c r="H248" s="3" t="str">
        <f>IFERROR(__xludf.DUMMYFUNCTION("GOOGLETRANSLATE(C248, ""it"", ""en"")"),"A. The point is awarded to the opponent B. The point is cancelled C. The game continues normally D. The point is awarded")</f>
        <v>A. The point is awarded to the opponent B. The point is cancelled C. The game continues normally D. The point is awarded</v>
      </c>
      <c r="I248" s="3" t="str">
        <f>IFERROR(__xludf.DUMMYFUNCTION("GOOGLETRANSLATE(D248, ""it"", ""en"")"),"The point is cancelled")</f>
        <v>The point is cancelled</v>
      </c>
      <c r="J248" s="2"/>
      <c r="K248" s="2"/>
      <c r="L248" s="2"/>
      <c r="M248" s="2"/>
      <c r="N248" s="2"/>
      <c r="O248" s="2"/>
      <c r="P248" s="2"/>
      <c r="Q248" s="2"/>
      <c r="R248" s="2"/>
      <c r="S248" s="2"/>
      <c r="T248" s="2"/>
      <c r="U248" s="2"/>
      <c r="V248" s="2"/>
    </row>
    <row r="249" ht="22.5" customHeight="1">
      <c r="A249" s="3">
        <v>248.0</v>
      </c>
      <c r="B249" s="3" t="s">
        <v>4000</v>
      </c>
      <c r="C249" s="3" t="s">
        <v>4010</v>
      </c>
      <c r="D249" s="3" t="s">
        <v>616</v>
      </c>
      <c r="E249" s="2"/>
      <c r="F249" s="3" t="str">
        <f>IFERROR(__xludf.DUMMYFUNCTION("GOOGLETRANSLATE(A249, ""it"", ""en"")"),"248")</f>
        <v>248</v>
      </c>
      <c r="G249" s="3" t="str">
        <f>IFERROR(__xludf.DUMMYFUNCTION("GOOGLETRANSLATE(B249, ""it"", ""en"")"),"A player shows ""three"" fingers and shouts ""one."" What happens?")</f>
        <v>A player shows "three" fingers and shouts "one." What happens?</v>
      </c>
      <c r="H249" s="3" t="str">
        <f>IFERROR(__xludf.DUMMYFUNCTION("GOOGLETRANSLATE(C249, ""it"", ""en"")"),"A. The point is awarded B. The point is cancelled C. The game continues normally D. The point is cancelled")</f>
        <v>A. The point is awarded B. The point is cancelled C. The game continues normally D. The point is cancelled</v>
      </c>
      <c r="I249" s="3" t="str">
        <f>IFERROR(__xludf.DUMMYFUNCTION("GOOGLETRANSLATE(D249, ""it"", ""en"")"),"The point is awarded")</f>
        <v>The point is awarded</v>
      </c>
      <c r="J249" s="2"/>
      <c r="K249" s="2"/>
      <c r="L249" s="2"/>
      <c r="M249" s="2"/>
      <c r="N249" s="2"/>
      <c r="O249" s="2"/>
      <c r="P249" s="2"/>
      <c r="Q249" s="2"/>
      <c r="R249" s="2"/>
      <c r="S249" s="2"/>
      <c r="T249" s="2"/>
      <c r="U249" s="2"/>
      <c r="V249" s="2"/>
    </row>
    <row r="250" ht="22.5" customHeight="1">
      <c r="A250" s="3">
        <v>249.0</v>
      </c>
      <c r="B250" s="3" t="s">
        <v>4004</v>
      </c>
      <c r="C250" s="3" t="s">
        <v>3873</v>
      </c>
      <c r="D250" s="3" t="s">
        <v>956</v>
      </c>
      <c r="E250" s="2"/>
      <c r="F250" s="3" t="str">
        <f>IFERROR(__xludf.DUMMYFUNCTION("GOOGLETRANSLATE(A250, ""it"", ""en"")"),"249")</f>
        <v>249</v>
      </c>
      <c r="G250" s="3" t="str">
        <f>IFERROR(__xludf.DUMMYFUNCTION("GOOGLETRANSLATE(B250, ""it"", ""en"")"),"A player shouts ""four"" and holds up a ""one"" finger. What happens?")</f>
        <v>A player shouts "four" and holds up a "one" finger. What happens?</v>
      </c>
      <c r="H250" s="3" t="str">
        <f>IFERROR(__xludf.DUMMYFUNCTION("GOOGLETRANSLATE(C250, ""it"", ""en"")"),"A. The point is cancelled B. The point is awarded to the opponent C. The game continues normally D. The point is awarded")</f>
        <v>A. The point is cancelled B. The point is awarded to the opponent C. The game continues normally D. The point is awarded</v>
      </c>
      <c r="I250" s="3" t="str">
        <f>IFERROR(__xludf.DUMMYFUNCTION("GOOGLETRANSLATE(D250, ""it"", ""en"")"),"The point is cancelled")</f>
        <v>The point is cancelled</v>
      </c>
      <c r="J250" s="2"/>
      <c r="K250" s="2"/>
      <c r="L250" s="2"/>
      <c r="M250" s="2"/>
      <c r="N250" s="2"/>
      <c r="O250" s="2"/>
      <c r="P250" s="2"/>
      <c r="Q250" s="2"/>
      <c r="R250" s="2"/>
      <c r="S250" s="2"/>
      <c r="T250" s="2"/>
      <c r="U250" s="2"/>
      <c r="V250" s="2"/>
    </row>
    <row r="251" ht="22.5" customHeight="1">
      <c r="A251" s="3">
        <v>250.0</v>
      </c>
      <c r="B251" s="3" t="s">
        <v>3939</v>
      </c>
      <c r="C251" s="3" t="s">
        <v>3881</v>
      </c>
      <c r="D251" s="3" t="s">
        <v>956</v>
      </c>
      <c r="E251" s="2"/>
      <c r="F251" s="3" t="str">
        <f>IFERROR(__xludf.DUMMYFUNCTION("GOOGLETRANSLATE(A251, ""it"", ""en"")"),"250")</f>
        <v>250</v>
      </c>
      <c r="G251" s="3" t="str">
        <f>IFERROR(__xludf.DUMMYFUNCTION("GOOGLETRANSLATE(B251, ""it"", ""en"")"),"A player shows ""five"" fingers and says ""two."" What happens?")</f>
        <v>A player shows "five" fingers and says "two." What happens?</v>
      </c>
      <c r="H251" s="3" t="str">
        <f>IFERROR(__xludf.DUMMYFUNCTION("GOOGLETRANSLATE(C251, ""it"", ""en"")"),"A. The point is awarded to the opponent B. The point is cancelled C. The game continues normally D. The point is awarded")</f>
        <v>A. The point is awarded to the opponent B. The point is cancelled C. The game continues normally D. The point is awarded</v>
      </c>
      <c r="I251" s="3" t="str">
        <f>IFERROR(__xludf.DUMMYFUNCTION("GOOGLETRANSLATE(D251, ""it"", ""en"")"),"The point is cancelled")</f>
        <v>The point is cancelled</v>
      </c>
      <c r="J251" s="2"/>
      <c r="K251" s="2"/>
      <c r="L251" s="2"/>
      <c r="M251" s="2"/>
      <c r="N251" s="2"/>
      <c r="O251" s="2"/>
      <c r="P251" s="2"/>
      <c r="Q251" s="2"/>
      <c r="R251" s="2"/>
      <c r="S251" s="2"/>
      <c r="T251" s="2"/>
      <c r="U251" s="2"/>
      <c r="V251" s="2"/>
    </row>
    <row r="252" ht="22.5" customHeight="1">
      <c r="A252" s="3">
        <v>251.0</v>
      </c>
      <c r="B252" s="3" t="s">
        <v>3973</v>
      </c>
      <c r="C252" s="3" t="s">
        <v>3881</v>
      </c>
      <c r="D252" s="3" t="s">
        <v>956</v>
      </c>
      <c r="E252" s="2"/>
      <c r="F252" s="3" t="str">
        <f>IFERROR(__xludf.DUMMYFUNCTION("GOOGLETRANSLATE(A252, ""it"", ""en"")"),"251")</f>
        <v>251</v>
      </c>
      <c r="G252" s="3" t="str">
        <f>IFERROR(__xludf.DUMMYFUNCTION("GOOGLETRANSLATE(B252, ""it"", ""en"")"),"A player shouts ""three"" and shows ""five"" fingers. What happens?")</f>
        <v>A player shouts "three" and shows "five" fingers. What happens?</v>
      </c>
      <c r="H252" s="3" t="str">
        <f>IFERROR(__xludf.DUMMYFUNCTION("GOOGLETRANSLATE(C252, ""it"", ""en"")"),"A. The point is awarded to the opponent B. The point is cancelled C. The game continues normally D. The point is awarded")</f>
        <v>A. The point is awarded to the opponent B. The point is cancelled C. The game continues normally D. The point is awarded</v>
      </c>
      <c r="I252" s="3" t="str">
        <f>IFERROR(__xludf.DUMMYFUNCTION("GOOGLETRANSLATE(D252, ""it"", ""en"")"),"The point is cancelled")</f>
        <v>The point is cancelled</v>
      </c>
      <c r="J252" s="2"/>
      <c r="K252" s="2"/>
      <c r="L252" s="2"/>
      <c r="M252" s="2"/>
      <c r="N252" s="2"/>
      <c r="O252" s="2"/>
      <c r="P252" s="2"/>
      <c r="Q252" s="2"/>
      <c r="R252" s="2"/>
      <c r="S252" s="2"/>
      <c r="T252" s="2"/>
      <c r="U252" s="2"/>
      <c r="V252" s="2"/>
    </row>
    <row r="253" ht="22.5" customHeight="1">
      <c r="A253" s="3">
        <v>252.0</v>
      </c>
      <c r="B253" s="3" t="s">
        <v>4012</v>
      </c>
      <c r="C253" s="3" t="s">
        <v>3881</v>
      </c>
      <c r="D253" s="3" t="s">
        <v>956</v>
      </c>
      <c r="E253" s="2"/>
      <c r="F253" s="3" t="str">
        <f>IFERROR(__xludf.DUMMYFUNCTION("GOOGLETRANSLATE(A253, ""it"", ""en"")"),"252")</f>
        <v>252</v>
      </c>
      <c r="G253" s="3" t="str">
        <f>IFERROR(__xludf.DUMMYFUNCTION("GOOGLETRANSLATE(B253, ""it"", ""en"")"),"A player shows ""one"" and shouts ""five."" What happens?")</f>
        <v>A player shows "one" and shouts "five." What happens?</v>
      </c>
      <c r="H253" s="3" t="str">
        <f>IFERROR(__xludf.DUMMYFUNCTION("GOOGLETRANSLATE(C253, ""it"", ""en"")"),"A. The point is awarded to the opponent B. The point is cancelled C. The game continues normally D. The point is awarded")</f>
        <v>A. The point is awarded to the opponent B. The point is cancelled C. The game continues normally D. The point is awarded</v>
      </c>
      <c r="I253" s="3" t="str">
        <f>IFERROR(__xludf.DUMMYFUNCTION("GOOGLETRANSLATE(D253, ""it"", ""en"")"),"The point is cancelled")</f>
        <v>The point is cancelled</v>
      </c>
      <c r="J253" s="2"/>
      <c r="K253" s="2"/>
      <c r="L253" s="2"/>
      <c r="M253" s="2"/>
      <c r="N253" s="2"/>
      <c r="O253" s="2"/>
      <c r="P253" s="2"/>
      <c r="Q253" s="2"/>
      <c r="R253" s="2"/>
      <c r="S253" s="2"/>
      <c r="T253" s="2"/>
      <c r="U253" s="2"/>
      <c r="V253" s="2"/>
    </row>
    <row r="254" ht="22.5" customHeight="1">
      <c r="A254" s="3">
        <v>253.0</v>
      </c>
      <c r="B254" s="3" t="s">
        <v>3954</v>
      </c>
      <c r="C254" s="3" t="s">
        <v>4010</v>
      </c>
      <c r="D254" s="3" t="s">
        <v>616</v>
      </c>
      <c r="E254" s="2"/>
      <c r="F254" s="3" t="str">
        <f>IFERROR(__xludf.DUMMYFUNCTION("GOOGLETRANSLATE(A254, ""it"", ""en"")"),"253")</f>
        <v>253</v>
      </c>
      <c r="G254" s="3" t="str">
        <f>IFERROR(__xludf.DUMMYFUNCTION("GOOGLETRANSLATE(B254, ""it"", ""en"")"),"A player shouts ""two"" and shows ""four"" fingers. What happens?")</f>
        <v>A player shouts "two" and shows "four" fingers. What happens?</v>
      </c>
      <c r="H254" s="3" t="str">
        <f>IFERROR(__xludf.DUMMYFUNCTION("GOOGLETRANSLATE(C254, ""it"", ""en"")"),"A. The point is awarded B. The point is cancelled C. The game continues normally D. The point is cancelled")</f>
        <v>A. The point is awarded B. The point is cancelled C. The game continues normally D. The point is cancelled</v>
      </c>
      <c r="I254" s="3" t="str">
        <f>IFERROR(__xludf.DUMMYFUNCTION("GOOGLETRANSLATE(D254, ""it"", ""en"")"),"The point is awarded")</f>
        <v>The point is awarded</v>
      </c>
      <c r="J254" s="2"/>
      <c r="K254" s="2"/>
      <c r="L254" s="2"/>
      <c r="M254" s="2"/>
      <c r="N254" s="2"/>
      <c r="O254" s="2"/>
      <c r="P254" s="2"/>
      <c r="Q254" s="2"/>
      <c r="R254" s="2"/>
      <c r="S254" s="2"/>
      <c r="T254" s="2"/>
      <c r="U254" s="2"/>
      <c r="V254" s="2"/>
    </row>
    <row r="255" ht="22.5" customHeight="1">
      <c r="A255" s="3">
        <v>254.0</v>
      </c>
      <c r="B255" s="3" t="s">
        <v>3955</v>
      </c>
      <c r="C255" s="3" t="s">
        <v>3873</v>
      </c>
      <c r="D255" s="3" t="s">
        <v>956</v>
      </c>
      <c r="E255" s="2"/>
      <c r="F255" s="3" t="str">
        <f>IFERROR(__xludf.DUMMYFUNCTION("GOOGLETRANSLATE(A255, ""it"", ""en"")"),"254")</f>
        <v>254</v>
      </c>
      <c r="G255" s="3" t="str">
        <f>IFERROR(__xludf.DUMMYFUNCTION("GOOGLETRANSLATE(B255, ""it"", ""en"")"),"A player shows ""five"" fingers and shouts ""four."" What happens?")</f>
        <v>A player shows "five" fingers and shouts "four." What happens?</v>
      </c>
      <c r="H255" s="3" t="str">
        <f>IFERROR(__xludf.DUMMYFUNCTION("GOOGLETRANSLATE(C255, ""it"", ""en"")"),"A. The point is cancelled B. The point is awarded to the opponent C. The game continues normally D. The point is awarded")</f>
        <v>A. The point is cancelled B. The point is awarded to the opponent C. The game continues normally D. The point is awarded</v>
      </c>
      <c r="I255" s="3" t="str">
        <f>IFERROR(__xludf.DUMMYFUNCTION("GOOGLETRANSLATE(D255, ""it"", ""en"")"),"The point is cancelled")</f>
        <v>The point is cancelled</v>
      </c>
      <c r="J255" s="2"/>
      <c r="K255" s="2"/>
      <c r="L255" s="2"/>
      <c r="M255" s="2"/>
      <c r="N255" s="2"/>
      <c r="O255" s="2"/>
      <c r="P255" s="2"/>
      <c r="Q255" s="2"/>
      <c r="R255" s="2"/>
      <c r="S255" s="2"/>
      <c r="T255" s="2"/>
      <c r="U255" s="2"/>
      <c r="V255" s="2"/>
    </row>
    <row r="256" ht="22.5" customHeight="1">
      <c r="A256" s="3">
        <v>255.0</v>
      </c>
      <c r="B256" s="3" t="s">
        <v>3981</v>
      </c>
      <c r="C256" s="3" t="s">
        <v>3881</v>
      </c>
      <c r="D256" s="3" t="s">
        <v>956</v>
      </c>
      <c r="E256" s="2"/>
      <c r="F256" s="3" t="str">
        <f>IFERROR(__xludf.DUMMYFUNCTION("GOOGLETRANSLATE(A256, ""it"", ""en"")"),"255")</f>
        <v>255</v>
      </c>
      <c r="G256" s="3" t="str">
        <f>IFERROR(__xludf.DUMMYFUNCTION("GOOGLETRANSLATE(B256, ""it"", ""en"")"),"A player shouts ""one"" and shows ""two"" fingers. What happens?")</f>
        <v>A player shouts "one" and shows "two" fingers. What happens?</v>
      </c>
      <c r="H256" s="3" t="str">
        <f>IFERROR(__xludf.DUMMYFUNCTION("GOOGLETRANSLATE(C256, ""it"", ""en"")"),"A. The point is awarded to the opponent B. The point is cancelled C. The game continues normally D. The point is awarded")</f>
        <v>A. The point is awarded to the opponent B. The point is cancelled C. The game continues normally D. The point is awarded</v>
      </c>
      <c r="I256" s="3" t="str">
        <f>IFERROR(__xludf.DUMMYFUNCTION("GOOGLETRANSLATE(D256, ""it"", ""en"")"),"The point is cancelled")</f>
        <v>The point is cancelled</v>
      </c>
      <c r="J256" s="2"/>
      <c r="K256" s="2"/>
      <c r="L256" s="2"/>
      <c r="M256" s="2"/>
      <c r="N256" s="2"/>
      <c r="O256" s="2"/>
      <c r="P256" s="2"/>
      <c r="Q256" s="2"/>
      <c r="R256" s="2"/>
      <c r="S256" s="2"/>
      <c r="T256" s="2"/>
      <c r="U256" s="2"/>
      <c r="V256" s="2"/>
    </row>
    <row r="257" ht="22.5" customHeight="1">
      <c r="A257" s="3">
        <v>256.0</v>
      </c>
      <c r="B257" s="3" t="s">
        <v>3975</v>
      </c>
      <c r="C257" s="3" t="s">
        <v>3881</v>
      </c>
      <c r="D257" s="3" t="s">
        <v>956</v>
      </c>
      <c r="E257" s="2"/>
      <c r="F257" s="3" t="str">
        <f>IFERROR(__xludf.DUMMYFUNCTION("GOOGLETRANSLATE(A257, ""it"", ""en"")"),"256")</f>
        <v>256</v>
      </c>
      <c r="G257" s="3" t="str">
        <f>IFERROR(__xludf.DUMMYFUNCTION("GOOGLETRANSLATE(B257, ""it"", ""en"")"),"A player shows ""three"" fingers and shouts ""four."" What happens?")</f>
        <v>A player shows "three" fingers and shouts "four." What happens?</v>
      </c>
      <c r="H257" s="3" t="str">
        <f>IFERROR(__xludf.DUMMYFUNCTION("GOOGLETRANSLATE(C257, ""it"", ""en"")"),"A. The point is awarded to the opponent B. The point is cancelled C. The game continues normally D. The point is awarded")</f>
        <v>A. The point is awarded to the opponent B. The point is cancelled C. The game continues normally D. The point is awarded</v>
      </c>
      <c r="I257" s="3" t="str">
        <f>IFERROR(__xludf.DUMMYFUNCTION("GOOGLETRANSLATE(D257, ""it"", ""en"")"),"The point is cancelled")</f>
        <v>The point is cancelled</v>
      </c>
      <c r="J257" s="2"/>
      <c r="K257" s="2"/>
      <c r="L257" s="2"/>
      <c r="M257" s="2"/>
      <c r="N257" s="2"/>
      <c r="O257" s="2"/>
      <c r="P257" s="2"/>
      <c r="Q257" s="2"/>
      <c r="R257" s="2"/>
      <c r="S257" s="2"/>
      <c r="T257" s="2"/>
      <c r="U257" s="2"/>
      <c r="V257" s="2"/>
    </row>
    <row r="258" ht="22.5" customHeight="1">
      <c r="A258" s="3">
        <v>257.0</v>
      </c>
      <c r="B258" s="3" t="s">
        <v>3995</v>
      </c>
      <c r="C258" s="3" t="s">
        <v>3881</v>
      </c>
      <c r="D258" s="3" t="s">
        <v>956</v>
      </c>
      <c r="E258" s="2"/>
      <c r="F258" s="3" t="str">
        <f>IFERROR(__xludf.DUMMYFUNCTION("GOOGLETRANSLATE(A258, ""it"", ""en"")"),"257")</f>
        <v>257</v>
      </c>
      <c r="G258" s="3" t="str">
        <f>IFERROR(__xludf.DUMMYFUNCTION("GOOGLETRANSLATE(B258, ""it"", ""en"")"),"A player shouts ""two"" and shows ""five"" fingers. What happens?")</f>
        <v>A player shouts "two" and shows "five" fingers. What happens?</v>
      </c>
      <c r="H258" s="3" t="str">
        <f>IFERROR(__xludf.DUMMYFUNCTION("GOOGLETRANSLATE(C258, ""it"", ""en"")"),"A. The point is awarded to the opponent B. The point is cancelled C. The game continues normally D. The point is awarded")</f>
        <v>A. The point is awarded to the opponent B. The point is cancelled C. The game continues normally D. The point is awarded</v>
      </c>
      <c r="I258" s="3" t="str">
        <f>IFERROR(__xludf.DUMMYFUNCTION("GOOGLETRANSLATE(D258, ""it"", ""en"")"),"The point is cancelled")</f>
        <v>The point is cancelled</v>
      </c>
      <c r="J258" s="2"/>
      <c r="K258" s="2"/>
      <c r="L258" s="2"/>
      <c r="M258" s="2"/>
      <c r="N258" s="2"/>
      <c r="O258" s="2"/>
      <c r="P258" s="2"/>
      <c r="Q258" s="2"/>
      <c r="R258" s="2"/>
      <c r="S258" s="2"/>
      <c r="T258" s="2"/>
      <c r="U258" s="2"/>
      <c r="V258" s="2"/>
    </row>
    <row r="259" ht="22.5" customHeight="1">
      <c r="A259" s="3">
        <v>258.0</v>
      </c>
      <c r="B259" s="3" t="s">
        <v>4013</v>
      </c>
      <c r="C259" s="3" t="s">
        <v>3873</v>
      </c>
      <c r="D259" s="3" t="s">
        <v>956</v>
      </c>
      <c r="E259" s="2"/>
      <c r="F259" s="3" t="str">
        <f>IFERROR(__xludf.DUMMYFUNCTION("GOOGLETRANSLATE(A259, ""it"", ""en"")"),"258")</f>
        <v>258</v>
      </c>
      <c r="G259" s="3" t="str">
        <f>IFERROR(__xludf.DUMMYFUNCTION("GOOGLETRANSLATE(B259, ""it"", ""en"")"),"A player shows ""four"" fingers and shouts ""three."" What happens?")</f>
        <v>A player shows "four" fingers and shouts "three." What happens?</v>
      </c>
      <c r="H259" s="3" t="str">
        <f>IFERROR(__xludf.DUMMYFUNCTION("GOOGLETRANSLATE(C259, ""it"", ""en"")"),"A. The point is cancelled B. The point is awarded to the opponent C. The game continues normally D. The point is awarded")</f>
        <v>A. The point is cancelled B. The point is awarded to the opponent C. The game continues normally D. The point is awarded</v>
      </c>
      <c r="I259" s="3" t="str">
        <f>IFERROR(__xludf.DUMMYFUNCTION("GOOGLETRANSLATE(D259, ""it"", ""en"")"),"The point is cancelled")</f>
        <v>The point is cancelled</v>
      </c>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sheetData>
  <drawing r:id="rId1"/>
  <tableParts count="2">
    <tablePart r:id="rId4"/>
    <tablePart r:id="rId5"/>
  </tableParts>
</worksheet>
</file>
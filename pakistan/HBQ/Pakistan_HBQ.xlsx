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akhra" sheetId="1" r:id="rId4"/>
    <sheet state="visible" name="Chaturanga" sheetId="2" r:id="rId5"/>
    <sheet state="visible" name="Buzkashi" sheetId="3" r:id="rId6"/>
    <sheet state="visible" name="Gatka" sheetId="4" r:id="rId7"/>
    <sheet state="visible" name="Gilli Danda" sheetId="5" r:id="rId8"/>
    <sheet state="visible" name="Tent Pegging" sheetId="6" r:id="rId9"/>
  </sheets>
  <definedNames/>
  <calcPr/>
</workbook>
</file>

<file path=xl/sharedStrings.xml><?xml version="1.0" encoding="utf-8"?>
<sst xmlns="http://schemas.openxmlformats.org/spreadsheetml/2006/main" count="3660" uniqueCount="3388">
  <si>
    <t>No.</t>
  </si>
  <si>
    <t>Question</t>
  </si>
  <si>
    <t>Options</t>
  </si>
  <si>
    <t>Answer</t>
  </si>
  <si>
    <t>Description</t>
  </si>
  <si>
    <t>نہیں</t>
  </si>
  <si>
    <t>سوال</t>
  </si>
  <si>
    <t>اختیارات</t>
  </si>
  <si>
    <t>جواب دیں۔</t>
  </si>
  <si>
    <t>تفصیل</t>
  </si>
  <si>
    <t>Malakhra, a traditional wrestling sport, originated in which province of Pakistan?</t>
  </si>
  <si>
    <t>A) Punjab, B) Sindh, C) Balochistan, D) Khyber Pakhtunkhwa</t>
  </si>
  <si>
    <t>B) Sindh</t>
  </si>
  <si>
    <t>Malakhra is the traditional wrestling art of the Sindhi people and has been a popular cultural sport in the region for centuries.</t>
  </si>
  <si>
    <t>What is the traditional attire worn by wrestlers (pehlwans) in a Malakhra match?</t>
  </si>
  <si>
    <t>A) Shalwar Kameez, B) A loincloth (dhoti) and a cloth belt (sandhro), C) A wrestling singlet, D) Kurta Pajama</t>
  </si>
  <si>
    <t>B) A loincloth (dhoti) and a cloth belt (sandhro)</t>
  </si>
  <si>
    <t>Wrestlers wear a dhoti and the essential twisted cloth belt, which is used for gripping and executing techniques.</t>
  </si>
  <si>
    <t>Historically, Malakhra competitions were a prominent feature of which type of large cultural and religious gathering in Sindh?</t>
  </si>
  <si>
    <t>A) Weddings, B) Political rallies, C) Urs festivals of Sufi saints, D) Harvest festivals</t>
  </si>
  <si>
    <t>C) Urs festivals of Sufi saints</t>
  </si>
  <si>
    <t>Malakhra matches were a key part of the celebrations during major Urs festivals, such as that of Shah Abdul Latif Bhittai.</t>
  </si>
  <si>
    <t>The term 'Malakhra' is derived from which language, reflecting its regional origins?</t>
  </si>
  <si>
    <t>A) Persian, B) Sindhi, C) Urdu, D) Arabic</t>
  </si>
  <si>
    <t>B) Sindhi</t>
  </si>
  <si>
    <t>The word 'Malakhra' has roots in the Sindhi language, where it is a general term for wrestling.</t>
  </si>
  <si>
    <t>Which dynasty, ruling Sindh in the 18th century, is most credited with patronizing and popularizing Malakhra?</t>
  </si>
  <si>
    <t>A) Soomra dynasty, B) Samma dynasty, C) Kalhora dynasty, D) Mughal dynasty</t>
  </si>
  <si>
    <t>C) Kalhora dynasty</t>
  </si>
  <si>
    <t>Rulers like Ghulam Shah Kalhoro were significant patrons who helped formalize the sport and integrate it into Sindhi courtly and popular culture.</t>
  </si>
  <si>
    <t>In its early history, what was the primary purpose of Malakhra?</t>
  </si>
  <si>
    <t>A) Purely entertainment, B) As a form of military and self-defense training, C) A religious ritual, D) An agricultural practice</t>
  </si>
  <si>
    <t>B) As a form of military and self-defense training</t>
  </si>
  <si>
    <t>Malakhra originated as a way to train young men in the grappling skills, strength, and courage essential for combat.</t>
  </si>
  <si>
    <t>What is the traditional prize awarded to the winner of a major Malakhra match, symbolizing honor and victory?</t>
  </si>
  <si>
    <t>A) A bag of gold, B) A plot of land, C) A ceremonial turban (pagri), D) A sword</t>
  </si>
  <si>
    <t>C) A ceremonial turban (pagri)</t>
  </si>
  <si>
    <t>Winning a turban is a great honor, symbolizing the champion's status, respect, and authority within the community.</t>
  </si>
  <si>
    <t>What was the general policy of the British colonial administration towards traditional sports like Malakhra?</t>
  </si>
  <si>
    <t>A) They actively promoted it, B) They often discouraged or banned it, C) They were indifferent, D) They modified it into a new sport</t>
  </si>
  <si>
    <t>B) They often discouraged or banned it</t>
  </si>
  <si>
    <t>The British authorities often viewed large, martial gatherings with suspicion and discouraged traditional sports in favor of Western games like cricket.</t>
  </si>
  <si>
    <t>In a traditional village match, who typically served as the referees and judges?</t>
  </si>
  <si>
    <t>A) The wrestlers themselves, B) A panel of respected village elders, C) The local landlord, D) The government officials</t>
  </si>
  <si>
    <t>B) A panel of respected village elders</t>
  </si>
  <si>
    <t>To ensure fairness and uphold tradition, village elders acted as impartial arbiters, and their decisions were highly respected.</t>
  </si>
  <si>
    <t>Malakhra is prominently featured as a cultural showcase during which annual provincial event?</t>
  </si>
  <si>
    <t>A) Sindh Literature Festival, B) Sindh Cultural Day, C) Mela Chiraghan, D) Shandur Polo Festival</t>
  </si>
  <si>
    <t>B) Sindh Cultural Day</t>
  </si>
  <si>
    <t>Malakhra matches are a key highlight of Sindh Cultural Day, celebrating the province's unique traditions and heritage.</t>
  </si>
  <si>
    <t>The historical use of a waist belt for gripping is a feature that distinguishes Malakhra from which other popular subcontinental wrestling style?</t>
  </si>
  <si>
    <t>A) Kushti (Pehlwani), B) Inbuan wrestling, C) Malla-yuddha, D) Kabbadi</t>
  </si>
  <si>
    <t>A) Kushti (Pehlwani)</t>
  </si>
  <si>
    <t>While both are forms of wrestling, the mandatory belt grip (sandhro) is unique to Malakhra, whereas Kushti allows gripping the body.</t>
  </si>
  <si>
    <t>Which historical era is often considered a "golden period" for Malakhra due to strong royal patronage?</t>
  </si>
  <si>
    <t>A) The pre-Islamic era, B) The Mughal era, C) The British era, D) The modern era</t>
  </si>
  <si>
    <t>B) The Mughal era</t>
  </si>
  <si>
    <t>Malakhra, along with other martial arts, flourished during the Mughal period when emperors and local governors supported such traditions.</t>
  </si>
  <si>
    <t>In the historical context of Sindh, winning a Malakhra match was considered a matter of great personal and communal what?</t>
  </si>
  <si>
    <t>A) Wealth, B) Honor (izzat), C) Intelligence, D) Religious piety</t>
  </si>
  <si>
    <t>B) Honor (izzat)</t>
  </si>
  <si>
    <t>Victory in the akhara was a powerful symbol of a man's (and his village's) honor, strength, and pride.</t>
  </si>
  <si>
    <t>Archaeological evidence from which ancient civilization suggests the presence of wrestling traditions that may be precursors to Malakhra?</t>
  </si>
  <si>
    <t>A) The Persian Empire, B) Ancient Greece, C) The Indus Valley Civilization, D) Ancient Egypt</t>
  </si>
  <si>
    <t>C) The Indus Valley Civilization</t>
  </si>
  <si>
    <t>Seals and figurines found at sites like Mohenjo-Daro depict figures in grappling stances, suggesting a long history of wrestling in the region.</t>
  </si>
  <si>
    <t>In some historical instances, how was Malakhra used to resolve disputes between villages?</t>
  </si>
  <si>
    <t>A) The winner's village would win the dispute, B) It was never used for disputes, C) The losing wrestler had to pay a fine, D) It was a symbolic contest to prevent actual bloodshed</t>
  </si>
  <si>
    <t>D) It was a symbolic contest to prevent actual bloodshed</t>
  </si>
  <si>
    <t>Instead of escalating to armed conflict, villages would sometimes agree to a Malakhra match, with the outcome settling the dispute and restoring honor.</t>
  </si>
  <si>
    <t>The Talpur dynasty, which ruled Sindh before the British, were great patrons of Malakhra. Which city was a major center for their tournaments?</t>
  </si>
  <si>
    <t>A) Karachi, B) Sukkur, C) Hyderabad, D) Larkana</t>
  </si>
  <si>
    <t>C) Hyderabad</t>
  </si>
  <si>
    <t>Hyderabad, the capital of the Talpur Mirs, was a famous center for Malakhra, hosting major tournaments and attracting the best wrestlers.</t>
  </si>
  <si>
    <t>What is the historical significance of the cloth belt (sandhro) used in Malakhra?</t>
  </si>
  <si>
    <t>A) It was a symbol of high rank, B) It was a practical tool for grappling and executing throws, C) It was for decoration, D) It was a religious requirement</t>
  </si>
  <si>
    <t>B) It was a practical tool for grappling and executing throws</t>
  </si>
  <si>
    <t>The sandhro is the central innovation of the sport, transforming the wrestling match into a unique test of grip, leverage, and technique.</t>
  </si>
  <si>
    <t>The earliest clear written records of Malakhra as a distinct sport date back to which century?</t>
  </si>
  <si>
    <t>A) 14th century, B) 16th century, C) 18th century, D) 20th century</t>
  </si>
  <si>
    <t>C) 18th century</t>
  </si>
  <si>
    <t>Local historians and chroniclers during the Kalhora and Talpur eras first began documenting the rules and cultural importance of the sport.</t>
  </si>
  <si>
    <t>What was Malakhra historically referred to in Sindhi folklore and poetry?</t>
  </si>
  <si>
    <t>A) Pehlwani, B) Kushti, C) Mallayoon, D) Sindhi Wrestling</t>
  </si>
  <si>
    <t>C) Mallayoon</t>
  </si>
  <si>
    <t>Before the term "Malakhra" became standard, the sport was often known by the more general term 'Mallayoon,' meaning 'wrestling bout.'</t>
  </si>
  <si>
    <t>Which renowned Sindhi Sufi poet mentioned the spirit of wrestling in his literary works as a metaphor for strength?</t>
  </si>
  <si>
    <t>A) Shah Abdul Latif Bhittai, B) Sachal Sarmast, C) Mirza Kalich Beg, D) Sheikh Ayaz</t>
  </si>
  <si>
    <t>A) Shah Abdul Latif Bhittai</t>
  </si>
  <si>
    <t>The great poet Shah Abdul Latif Bhittai referenced the wrestlers' strength and the community spirit of the events in his poetry.</t>
  </si>
  <si>
    <t>In historical times, what was a common prize for a Malakhra champion, other than a turban?</t>
  </si>
  <si>
    <t>A) A government position, B) Livestock, such as a goat, buffalo, or camel, C) A set of weapons, D) A bag of grain</t>
  </si>
  <si>
    <t>B) Livestock, such as a goat, buffalo, or camel</t>
  </si>
  <si>
    <t>In an agrarian society, livestock was a valuable and practical prize that signified wealth and status.</t>
  </si>
  <si>
    <t>What type of soil was traditionally preferred for a Malakhra arena (akhara)?</t>
  </si>
  <si>
    <t>A) Hard-packed sand, B) Soft, tilled clay or earth, C) Lush grass, D) Gravel</t>
  </si>
  <si>
    <t>B) Soft, tilled clay or earth</t>
  </si>
  <si>
    <t>Soft earth, often mixed with materials like rice husk, was used to create a cushioned surface that could absorb the impact of falls and prevent injuries.</t>
  </si>
  <si>
    <t>Malakhra shares some philosophical and technical similarities with which traditional Persian athletic system?</t>
  </si>
  <si>
    <t>A) Roman Pankration, B) Persian Zurkhaneh, C) Indian Mallakhamba, D) Mongolian Bokh</t>
  </si>
  <si>
    <t>B) Persian Zurkhaneh</t>
  </si>
  <si>
    <t>The Persian "House of Strength" tradition, with its emphasis on ritual, strength training, and wrestling, likely influenced the development of Malakhra.</t>
  </si>
  <si>
    <t>Under which Pakistani leader's administration in the 1970s was there a significant effort to promote regional folk sports like Malakhra?</t>
  </si>
  <si>
    <t>A) Liaquat Ali Khan, B) Ayub Khan, C) Zulfikar Ali Bhutto, D) Muhammad Zia-ul-Haq</t>
  </si>
  <si>
    <t>C) Zulfikar Ali Bhutto</t>
  </si>
  <si>
    <t>Zulfikar Ali Bhutto, himself a Sindhi, made efforts to promote and preserve the cultural heritage of Sindh, including its traditional sports.</t>
  </si>
  <si>
    <t>What role did Malakhra play in pre-colonial Sindh’s social structure?</t>
  </si>
  <si>
    <t>A) It was only for entertainment, B) It was a way for men to affirm their status, strength, and honor, C) It was a required religious practice, D) It was the primary economic activity</t>
  </si>
  <si>
    <t>B) It was a way for men to affirm their status, strength, and honor</t>
  </si>
  <si>
    <t>Winning a Malakhra match was a significant social event that could elevate a man's (and his family's) standing in the community.</t>
  </si>
  <si>
    <t>What historical event led to a significant decline in the patronage and popularity of Malakhra?</t>
  </si>
  <si>
    <t>A) The Partition of India in 1947, B) The Industrial Revolution, C) The British colonization of Sindh in 1843, D) The rise of Islam</t>
  </si>
  <si>
    <t>C) The British colonization of Sindh in 1843</t>
  </si>
  <si>
    <t>The British administration discouraged many traditional Indian sports, viewing them as undisciplined, and promoted Western games like cricket instead.</t>
  </si>
  <si>
    <t>In some historical women's exhibition matches during the Talpur era, what was the main difference?</t>
  </si>
  <si>
    <t>A) They used a longer belt, B) The matches were shorter and focused more on skill than raw power, C) They were held in private, D) They used a different scoring system</t>
  </si>
  <si>
    <t>B) The matches were shorter and focused more on skill than raw power</t>
  </si>
  <si>
    <t>The rare women's exhibitions were a display of grace and technique rather than the intense power contests of the men.</t>
  </si>
  <si>
    <t>What traditional Sindhi musical instrument is most famously played to provide rhythm for Malakhra matches?</t>
  </si>
  <si>
    <t>A) The Alghoza (twin flute), B) The Dhol (double-sided drum), C) The Tambura (stringed instrument), D) The Surando (fiddle)</t>
  </si>
  <si>
    <t>B) The Dhol (double-sided drum)</t>
  </si>
  <si>
    <t>The powerful and energetic beat of the dhol is an essential part of the atmosphere, its rhythm rising and falling with the action in the ring.</t>
  </si>
  <si>
    <t>In Sindhi folklore, wrestlers are often metaphorically compared to which animal, symbolizing their strength?</t>
  </si>
  <si>
    <t>A) The Camel, B) The Horse, C) The Lion, D) The Bull</t>
  </si>
  <si>
    <t>C) The Lion</t>
  </si>
  <si>
    <t>The lion is a universal symbol of strength and courage, and great pehlwans were often described as having the "heart of a lion."</t>
  </si>
  <si>
    <t>A wrestler's belt (sandhro) is often embroidered. What do the designs typically represent?</t>
  </si>
  <si>
    <t>A) The wrestler's name, B) The name of a sponsor, C) Geometric tribal or village motifs, D) The rules of the sport</t>
  </si>
  <si>
    <t>C) Geometric tribal or village motifs</t>
  </si>
  <si>
    <t>The embroidery on the belt often carried motifs that asserted the wrestler's identity, lineage, and regional pride.</t>
  </si>
  <si>
    <t>In the 19th century, which British explorer and scholar wrote about observing Malakhra matches in his detailed accounts of Sindh?</t>
  </si>
  <si>
    <t>A) Alexander Cunningham, B) Sir Richard Burton, C) Aurel Stein, D) T.E. Lawrence</t>
  </si>
  <si>
    <t>B) Sir Richard Burton</t>
  </si>
  <si>
    <t>The famous explorer and linguist documented many aspects of Sindhi culture, including its traditional wrestling, during his time in the region.</t>
  </si>
  <si>
    <t>Why were Malakhra matches historically forbidden during the monsoon season?</t>
  </si>
  <si>
    <t>A) It was a period of religious fasting, B) The wrestlers were busy with farming, C) The clay and sand arenas would become dangerously slippery and unusable, D) It was considered bad luck</t>
  </si>
  <si>
    <t>C) The clay and sand arenas would become dangerously slippery and unusable</t>
  </si>
  <si>
    <t>The heavy rains of the monsoon would turn the wrestling pits into mud, making the sport impossible and unsafe to practice.</t>
  </si>
  <si>
    <t>How was the tradition of Malakhra primarily preserved during periods of decline, such as the British Raj?</t>
  </si>
  <si>
    <t>A) Through written rulebooks, B) Through secret night matches and its inclusion in religious festivals, C) By migrating to Afghanistan, D) By being taught in schools</t>
  </si>
  <si>
    <t>B) Through secret night matches and its inclusion in religious festivals</t>
  </si>
  <si>
    <t>The sport was kept alive by masters (ustads) and communities who continued to practice it, often disguised as part of a religious or cultural gathering to avoid official scrutiny.</t>
  </si>
  <si>
    <t>In Sindhi oral tales, Malakhra wrestlers are often depicted as the protectors of what?</t>
  </si>
  <si>
    <t>A) The village's livestock, B) The village's wealth, C) The village's honor and dignity, D) The local shrine</t>
  </si>
  <si>
    <t>C) The village's honor and dignity</t>
  </si>
  <si>
    <t>The champion wrestler was a folk hero, a symbol of the community's strength and its ability to defend its honor against rivals.</t>
  </si>
  <si>
    <t>What is the historical significance of the kneeling start position in Malakhra?</t>
  </si>
  <si>
    <t>A) It ensures both wrestlers begin with equal footing and prevents a premature rush, B) It is a sign of prayer, C) It is a way to test a wrestler's leg strength, D) It is a modern invention</t>
  </si>
  <si>
    <t>A) It ensures both wrestlers begin with equal footing and prevents a premature rush</t>
  </si>
  <si>
    <t>This unique starting rule guarantees that the match begins with grappling and technique, not just a chaotic charge.</t>
  </si>
  <si>
    <t>Which traditional Sindhi handicraft is often used to decorate the champion's belt?</t>
  </si>
  <si>
    <t>A) Ajrak block-printing, B) Rilli quilting, C) Sindhi embroidery, D) Blue pottery</t>
  </si>
  <si>
    <t>C) Sindhi embroidery</t>
  </si>
  <si>
    <t>Belts of renowned wrestlers often carried intricate and colorful embroidered motifs that signified their status and cultural pride.</t>
  </si>
  <si>
    <t>After Pakistan's independence, Malakhra was preserved and promoted primarily through what means?</t>
  </si>
  <si>
    <t>A) Private wrestling clubs, B) Government-sponsored cultural festivals and events, C) The armed forces, D) International competitions</t>
  </si>
  <si>
    <t>B) Government-sponsored cultural festivals and events</t>
  </si>
  <si>
    <t>Provincial and national cultural departments played a key role in ensuring Malakhra's survival by featuring it in state-sponsored festivals.</t>
  </si>
  <si>
    <t>In Sindhi folklore, which mythical hero is said to have used wrestling techniques to defeat demons?</t>
  </si>
  <si>
    <t>A) Uderolal, B) Dodo Soomro, C) Jam Tamachi, D) Moriro Mirbahar</t>
  </si>
  <si>
    <t>D) Moriro Mirbahar</t>
  </si>
  <si>
    <t>The folk hero Moriro Mirbahar, a fisherman, is credited in some tales with wrestling and defeating supernatural beings to save his people.</t>
  </si>
  <si>
    <t>Which British-introduced tax in the colonial era made it more expensive for communities to host large Malakhra festivals?</t>
  </si>
  <si>
    <t>A) An arena license fee, B) An "entertainment duty" or tax on public gatherings, C) An agricultural tax, D) A pilgrimage tax</t>
  </si>
  <si>
    <t>B) An "entertainment duty" or tax on public gatherings</t>
  </si>
  <si>
    <t>By taxing large public events, the colonial authorities made it financially difficult for villages to organize traditional festivals.</t>
  </si>
  <si>
    <t>The term for a master or coach in Malakhra is the same as in many other subcontinental arts. What is it?</t>
  </si>
  <si>
    <t>A) Guru, B) Sensei, C) Ustad, D) Sifu</t>
  </si>
  <si>
    <t>C) Ustad</t>
  </si>
  <si>
    <t>An Ustad is a respected master and teacher who is responsible for passing down the techniques and philosophy of the art.</t>
  </si>
  <si>
    <t>What is the main difference in objective between Malakhra and Kabaddi?</t>
  </si>
  <si>
    <t>A) Malakhra is a team sport, B) Kabaddi involves "raiding," while Malakhra is a pure grappling contest, C) Malakhra uses a belt, D) Both B and C</t>
  </si>
  <si>
    <t>D) Both B and C</t>
  </si>
  <si>
    <t>Kabaddi is a team raid-and-tag sport, whereas Malakhra is a one-on-one grappling duel defined by its use of the belt.</t>
  </si>
  <si>
    <t>What is the primary role of the dhol drum during a match?</t>
  </si>
  <si>
    <t>A) To signal the end of a round, B) To provide an energetic and rhythmic beat that builds excitement and follows the pace of the action, C) To distract the wrestlers, D) To call for a medical timeout</t>
  </si>
  <si>
    <t>B) To provide an energetic and rhythmic beat that builds excitement and follows the pace of the action</t>
  </si>
  <si>
    <t>The drumbeat is the "heartbeat" of the match, creating a powerful and festive atmosphere for both the crowd and the competitors.</t>
  </si>
  <si>
    <t>The belt (sandhro) is tied in a specific way to ensure what?</t>
  </si>
  <si>
    <t>A) It looks decorative, B) It is easy to remove, C) It provides a secure grip for both wrestlers but does not injure them, D) It is blessed by a holy man</t>
  </si>
  <si>
    <t>C) It provides a secure grip for both wrestlers but does not injure them</t>
  </si>
  <si>
    <t>The knot and tightness of the belt are carefully prepared to be functional and safe for the grappling techniques.</t>
  </si>
  <si>
    <t>What is the main characteristic of the "Pehlwan" physique?</t>
  </si>
  <si>
    <t>A) Very lean and slender, B) A powerful build with strong shoulders, back, and legs, C) A short and stocky build, D) A tall and thin build</t>
  </si>
  <si>
    <t>B) A powerful build with strong shoulders, back, and legs</t>
  </si>
  <si>
    <t>A traditional wrestler, or Pehlwan, is known for their immense functional strength, developed through years of training.</t>
  </si>
  <si>
    <t>A wrestler is found to have applied oil to their body before a match. Why is this a foul?</t>
  </si>
  <si>
    <t>A) It is unhygienic, B) It makes it impossible for the opponent to get a fair grip, C) It is a modern practice, D) It can damage the belt</t>
  </si>
  <si>
    <t>B) It makes it impossible for the opponent to get a fair grip</t>
  </si>
  <si>
    <t>Applying any slippery substance is a classic form of cheating in grappling sports and results in disqualification.</t>
  </si>
  <si>
    <t>Which of these is a legal technique in Malakhra?</t>
  </si>
  <si>
    <t>A) A chokehold, B) Twisting a finger, C) A hip throw (baghali), D) An arm bar</t>
  </si>
  <si>
    <t>C) A hip throw (baghali)</t>
  </si>
  <si>
    <t>Throws, trips, and sweeps that use leverage from the belt grip are the core offensive techniques of the sport.</t>
  </si>
  <si>
    <t>How is the sport primarily passed down from one generation to the next?</t>
  </si>
  <si>
    <t>A) Through official rulebooks, B) Through the oral tradition of an Ustad (master) teaching his students (shagirds), C) Through online videos, D) Through government schools</t>
  </si>
  <si>
    <t>B) Through the oral tradition of an Ustad (master) teaching his students (shagirds)</t>
  </si>
  <si>
    <t>Malakhra is a traditional art form where knowledge is transmitted directly from teacher to student within an akhara.</t>
  </si>
  <si>
    <t>What is the significance of the wrestlers often covering their heads with a cloth or cap?</t>
  </si>
  <si>
    <t>A) It is a fashion statement, B) It is a sign of respect and modesty in a traditional setting, C) It protects from the sun, D) It is a team uniform</t>
  </si>
  <si>
    <t>B) It is a sign of respect and modesty in a traditional setting</t>
  </si>
  <si>
    <t>Head covering is a common cultural practice in the region, maintained even during athletic contests as a sign of piety and respect.</t>
  </si>
  <si>
    <t>What is the penalty for a wrestler who refuses to engage after the referee's command to start?</t>
  </si>
  <si>
    <t>A) A point is awarded to the opponent, B) A warning is issued for passivity, C) The match is immediately re-tied, D) The wrestler is given more time</t>
  </si>
  <si>
    <t>B) A warning is issued for passivity</t>
  </si>
  <si>
    <t>A wrestler cannot refuse to engage. The referee will issue a verbal prompt, then a formal warning for stalling.</t>
  </si>
  <si>
    <t>In its highest form, Malakhra is considered not just a sport, but also a form of what?</t>
  </si>
  <si>
    <t>A) Dance, B) Art and a test of character, C) Religious worship, D) A way to make money</t>
  </si>
  <si>
    <t>B) Art and a test of character</t>
  </si>
  <si>
    <t>For its practitioners, Malakhra is an art form (fun) and a discipline that builds courage, honor, and resilience.</t>
  </si>
  <si>
    <t>What is the main reason that Malakhra has not become a major international sport?</t>
  </si>
  <si>
    <t>A) It is not exciting enough, B) The rules are too specific and culturally embedded, making it difficult to export, C) It is too dangerous, D) There is no governing body</t>
  </si>
  <si>
    <t>B) The rules are too specific and culturally embedded, making it difficult to export</t>
  </si>
  <si>
    <t>The unique belt-tying rule and its deep cultural context make it very different from the more universal styles of Olympic wrestling.</t>
  </si>
  <si>
    <t>What is the ruling if a wrestler's belt (sandhro) comes untied during a match?</t>
  </si>
  <si>
    <t>A) The match continues, B) The wrestler who came untied loses a point, C) The referee immediately stops the match to have it retied, D) The wrestler who came untied forfeits</t>
  </si>
  <si>
    <t>C) The referee immediately stops the match to have it retied</t>
  </si>
  <si>
    <t>The belt is essential for the match to be conducted legally and safely. The referee must pause the action to fix the equipment.</t>
  </si>
  <si>
    <t>A wrestler is known as a "master of leverage". What does this mean?</t>
  </si>
  <si>
    <t>A) They are the strongest wrestler, B) They are skilled at using technique and positioning to defeat stronger opponents, C) They are very heavy, D) They have the best belt</t>
  </si>
  <si>
    <t>B) They are skilled at using technique and positioning to defeat stronger opponents</t>
  </si>
  <si>
    <t>Malakhra is a technical art where a skilled wrestler can use leverage and balance to overcome a raw strength advantage.</t>
  </si>
  <si>
    <t>What is the traditional diet of a pehlwan in training?</t>
  </si>
  <si>
    <t>A) A vegetarian diet, B) A diet rich in protein and dairy, such as milk, ghee, and almonds, C) A modern diet of protein shakes, D) A low-calorie diet</t>
  </si>
  <si>
    <t>B) A diet rich in protein and dairy, such as milk, ghee, and almonds</t>
  </si>
  <si>
    <t>The traditional diet for South Asian wrestlers is designed to build immense strength and mass through nutrient-dense, natural foods.</t>
  </si>
  <si>
    <t>A wrestler lifts his opponent completely off the ground. Does this action score points on its own?</t>
  </si>
  <si>
    <t>A) Yes, a lift is worth 3 points, B) No, a lift must be completed into a throw or pin to score, C) Yes, it is worth 1 point, D) The opponent loses a point for being lifted</t>
  </si>
  <si>
    <t>B) No, a lift must be completed into a throw or pin to score</t>
  </si>
  <si>
    <t>A lift is a means to an end. The points are awarded for the successful completion of the takedown, not for the lift itself.</t>
  </si>
  <si>
    <t>If a wrestler touches their hand to the ground to keep balance after a throw, what is the ruling?</t>
  </si>
  <si>
    <t>A) The throw is legal, B) It is a foul, and a point is awarded to the opponent, C) The round is replayed, D) A warning is issued</t>
  </si>
  <si>
    <t>B) It is a foul, and a point is awarded to the opponent</t>
  </si>
  <si>
    <t>A wrestler must maintain their balance on their feet. Touching the ground with a hand is considered a "fall" and results in a point loss.</t>
  </si>
  <si>
    <t>A wrestler is penalized for using an illegal grip on the belt. What might they have done?</t>
  </si>
  <si>
    <t>A) Held the belt too tightly, B) Wrapped the belt around their wrist for extra leverage, C) Gripped with both hands, D) Gripped the knot of the belt</t>
  </si>
  <si>
    <t>B) Wrapped the belt around their wrist for extra leverage</t>
  </si>
  <si>
    <t>It is illegal to wrap the belt around any part of the arm or hand, as this creates a dangerous and unfair lock.</t>
  </si>
  <si>
    <t>What is the primary role of the Ustad (master) during a match?</t>
  </si>
  <si>
    <t>A) To act as the referee, B) To coach their wrestler from the corner of the akhara, C) To provide water, D) To argue with the judges</t>
  </si>
  <si>
    <t>B) To coach their wrestler from the corner of the akhara</t>
  </si>
  <si>
    <t>The Ustad is the coach who provides tactical advice and encouragement to their shagird (student) during the match.</t>
  </si>
  <si>
    <t>How is a "pin" officially signaled by the referee?</t>
  </si>
  <si>
    <t>A) By blowing a whistle, B) By raising one arm and shouting "Malh!", C) By counting to three, D) By clapping their hands</t>
  </si>
  <si>
    <t>B) By raising one arm and shouting "Malh!"</t>
  </si>
  <si>
    <t>The referee makes a clear and loud declaration to signal that a pin has been achieved and the match is over.</t>
  </si>
  <si>
    <t>What does the pre-match ritual of wrestlers throwing sand on their bodies signify?</t>
  </si>
  <si>
    <t>A) It is a way to warm up, B) It is a traditional way to absorb sweat and improve grip, C) It is a sign of disrespect to the opponent, D) It is a form of prayer</t>
  </si>
  <si>
    <t>B) It is a traditional way to absorb sweat and improve grip</t>
  </si>
  <si>
    <t>This ancient practice is common in sandpit wrestling and helps to prevent slipping during the intense grappling.</t>
  </si>
  <si>
    <t>In early Sindhi villages, who most often sponsored Malakhra matches as a display of their power and influence?</t>
  </si>
  <si>
    <t>A) Local poets, B) Feudal landlords (waderos), C) Traveling merchants, D) Village priests</t>
  </si>
  <si>
    <t>B) Feudal landlords (waderos)</t>
  </si>
  <si>
    <t>Landlords and influential figures funded Malakhra tournaments to assert their social status and win community loyalty.</t>
  </si>
  <si>
    <t>Which material was traditionally spread on the ground in a Malakhra akhara to ensure wrestler safety?</t>
  </si>
  <si>
    <t>A) Rice husk and soft clay, B) Cotton padding, C) Hard-packed earth, D) Animal hides</t>
  </si>
  <si>
    <t>A) Rice husk and soft clay</t>
  </si>
  <si>
    <t>A mixture of soft, tilled clay and rice husk was used to create a cushioned arena floor, reducing the impact of heavy falls.</t>
  </si>
  <si>
    <t>In the Talpur era, Malakhra matches were often organized alongside which official state activity?</t>
  </si>
  <si>
    <t>A) Revenue collection, B) The appointment of judges, C) Military inspections and parades, D) Land surveying</t>
  </si>
  <si>
    <t>C) Military inspections and parades</t>
  </si>
  <si>
    <t>Talpur rulers showcased the strength and discipline of their domain by pairing the martial sport with formal military drills.</t>
  </si>
  <si>
    <t>Which 19th-century British explorer and scholar famously documented Malakhra in his detailed writings on Sindh?</t>
  </si>
  <si>
    <t>A) Ibn Battuta, B) Sir Richard Burton, C) Al-Biruni, D) Marco Polo</t>
  </si>
  <si>
    <t>Burton observed and wrote about Malakhra during his time in Sindh, noting its deep cultural importance and unique rules.</t>
  </si>
  <si>
    <t>In Sindhi folklore, wrestlers are often metaphorically compared to which natural element, symbolizing their power and flow?</t>
  </si>
  <si>
    <t>A) Mountains, B) Lions, C) Rivers, D) Trees</t>
  </si>
  <si>
    <t>C) Rivers</t>
  </si>
  <si>
    <t>Like the mighty Indus River, wrestlers were seen to represent a powerful, flowing, and enduring force of nature.</t>
  </si>
  <si>
    <t>Under colonial restrictions, how did wrestlers often continue the tradition of Malakhra?</t>
  </si>
  <si>
    <t>A) By holding secret night matches, B) By presenting the matches as part of religious festivals, C) By moving the sport to Afghanistan, D) By converting it into a dance</t>
  </si>
  <si>
    <t>B) By presenting the matches as part of religious festivals</t>
  </si>
  <si>
    <t>By holding matches during large religious gatherings like an Urs, the event could proceed as a cultural celebration, thus avoiding colonial bans on public assemblies.</t>
  </si>
  <si>
    <t>Which Sindhi proverb, inspired by the sport, is used to describe unshakable determination?</t>
  </si>
  <si>
    <t>A) “Fall seven times, rise eight”, B) “As firm as a wrestler’s grip”, C) “Strength lies in silence”, D) “The field decides the truth”</t>
  </si>
  <si>
    <t>B) “As firm as a wrestler’s grip”</t>
  </si>
  <si>
    <t>This proverb is used to symbolize a strong, unbreakable resolve, directly referencing the most crucial skill in Malakhra.</t>
  </si>
  <si>
    <t>The Kalhora rulers of Sindh are known for having integrated Malakhra into which specific type of festivity?</t>
  </si>
  <si>
    <t>A) Royal weddings, B) Military victory parades, C) New Year (Navroz) celebrations, D) Funerals</t>
  </si>
  <si>
    <t>C) New Year (Navroz) celebrations</t>
  </si>
  <si>
    <t>The Kalhora dynasty embedded Malakhra into seasonal and New Year festivities, marking it as a sport of renewal and communal joy.</t>
  </si>
  <si>
    <t>What color were Malakhra belts traditionally dyed to symbolize vitality and the warrior spirit?</t>
  </si>
  <si>
    <t>A) White (purity), B) Black (strength), C) Red (energy), D) Green (piety)</t>
  </si>
  <si>
    <t>C) Red (energy)</t>
  </si>
  <si>
    <t>Red is a color traditionally associated with power, passion, and vitality, making it a fitting color for the wrestlers' belts.</t>
  </si>
  <si>
    <t>Which river's banks in Sindh were a historic and popular site for major Malakhra tournaments?</t>
  </si>
  <si>
    <t>A) The Indus River, B) The Hub River, C) The Malir River, D) The Ravi River</t>
  </si>
  <si>
    <t>A) The Indus River</t>
  </si>
  <si>
    <t>The vast, sandy banks of the Indus provided a natural and ideal open-air venue for the large crowds and arenas needed for fairs and Urs festivals.</t>
  </si>
  <si>
    <t>Why were Malakhra matches traditionally forbidden during the monsoon season?</t>
  </si>
  <si>
    <t>A) It was a period of religious fasting, B) It was the main planting season for crops, C) The wet clay fields made wrestling dangerously slippery, D) It was considered an unlucky time of year</t>
  </si>
  <si>
    <t>C) The wet clay fields made wrestling dangerously slippery</t>
  </si>
  <si>
    <t>The heavy monsoon rains would turn the wrestling arenas into mud pits, making the sport unsafe and impractical to play.</t>
  </si>
  <si>
    <t>British colonial administrators often criticized Malakhra, fearing it could lead to what?</t>
  </si>
  <si>
    <t>A) It was too violent and could cause injuries, B) It could stir nationalist solidarity and lead to political protests, C) It was an economic waste of time, D) It was an un-Christian practice</t>
  </si>
  <si>
    <t>B) It could stir nationalist solidarity and lead to political protests</t>
  </si>
  <si>
    <t>The British authorities were often suspicious of large gatherings of martial men and feared that the events could become a rallying point for anti-colonial sentiment.</t>
  </si>
  <si>
    <t>Which community in Sindh, known for their pastoral lifestyle, historically produced many of the strongest Malakhra wrestlers?</t>
  </si>
  <si>
    <t>A) The Mallahs (boatmen), B) The Jats (herders), C) The Baloch tribes, D) The Lohanas (traders)</t>
  </si>
  <si>
    <t>B) The Jats (herders)</t>
  </si>
  <si>
    <t>The physically demanding lifestyle of herding and animal husbandry naturally built the raw strength and endurance needed to excel in wrestling.</t>
  </si>
  <si>
    <t>In the Talpur era, what was a common reward for champion wrestlers who gained royal favor?</t>
  </si>
  <si>
    <t>A) An invitation to royal feasts, B) A position in the royal council, C) A trade caravan, D) A role as a court poet</t>
  </si>
  <si>
    <t>A) An invitation to royal feasts</t>
  </si>
  <si>
    <t>Champion wrestlers were often honored as special guests at the feasts of the Talpur Mirs, a sign of their high status.</t>
  </si>
  <si>
    <t>What type of drumbeat from the dhol traditionally marked the start of a Malakhra match?</t>
  </si>
  <si>
    <t>A) A continuous, steady rhythm, B) A single loud strike, C) A rising tempo or crescendo, D) A slow, alternating beat</t>
  </si>
  <si>
    <t>C) A rising tempo or crescendo</t>
  </si>
  <si>
    <t>The drumbeat would build in speed and intensity to signal the imminent clash of the opponents, adding to the drama and excitement.</t>
  </si>
  <si>
    <t>In pre-modern Sindh, a Malakhra match was sometimes used as a symbolic substitute for what?</t>
  </si>
  <si>
    <t>A) A court trial, B) A tribal election, C) An armed duel between rivals, D) A religious debate</t>
  </si>
  <si>
    <t>C) An armed duel between rivals</t>
  </si>
  <si>
    <t>To prevent bloodshed, disputes over honor were sometimes settled in the akhara, with the wrestling match serving as a substitute for a lethal duel.</t>
  </si>
  <si>
    <t>In Sindhi folklore, which mythical hero is said to have defeated demons using wrestling techniques?</t>
  </si>
  <si>
    <t>The fisherman hero Moriro is credited in some Sindhi folktales with wrestling and defeating supernatural beings to protect his community.</t>
  </si>
  <si>
    <t>Which traditional Sindhi folk instrument often accompanied the dhol drum during Malakhra matches?</t>
  </si>
  <si>
    <t>A) The Shehnai, B) The Alghoza (twin flute), C) The Surando, D) The Nagara</t>
  </si>
  <si>
    <t>B) The Alghoza (twin flute)</t>
  </si>
  <si>
    <t>The lively and continuous melody of the Alghoza, played alongside the dhol, was a key part of the festive musical accompaniment.</t>
  </si>
  <si>
    <t>The British colonial government replaced Malakhra in many schools with which sport to promote "civilized" values?</t>
  </si>
  <si>
    <t>A) Cricket, B) Football (Soccer), C) Hockey, D) Boxing</t>
  </si>
  <si>
    <t>A) Cricket</t>
  </si>
  <si>
    <t>Cricket, with its emphasis on rules, discipline, and "gentlemanly" conduct, was heavily promoted by the British as an alternative to what they saw as chaotic native sports.</t>
  </si>
  <si>
    <t>Which Sindhi folk tale, a famous tragic romance, features wrestlers competing for a princess's hand?</t>
  </si>
  <si>
    <t>A) Sohni-Mahiwal, B) Lilan Chanesar, C) Momal Rano, D) Dodo Chanesar</t>
  </si>
  <si>
    <t>C) Momal Rano</t>
  </si>
  <si>
    <t>The legendary tale of Princess Momal and King Rano includes scenes where powerful rivals, including wrestlers, compete for her affection.</t>
  </si>
  <si>
    <t>During which dynasty's rule did women occasionally participate in Malakhra exhibitions, according to folklore?</t>
  </si>
  <si>
    <t>A) Pre-Mughal era, B) Kalhora era, C) Colonial period, D) Talpur era</t>
  </si>
  <si>
    <t>D) Talpur era</t>
  </si>
  <si>
    <t>While extremely rare, folklore from the Talpur era mentions occasional exhibitions of women's wrestling, celebrating female strength.</t>
  </si>
  <si>
    <t>Which 20th-century Sindhi writer and scholar documented Malakhra in his novels and historical works?</t>
  </si>
  <si>
    <t>A) G.M. Syed, B) Sheikh Ayaz, C) Amar Jaleel, D) Mirza Kalich Beg</t>
  </si>
  <si>
    <t>D) Mirza Kalich Beg</t>
  </si>
  <si>
    <t>The influential writer Mirza Kalich Beg portrayed Malakhra as an integral part of traditional Sindhi life in his literary works.</t>
  </si>
  <si>
    <t>What time of day were Malakhra finals traditionally staged to ensure the largest crowd and best atmosphere?</t>
  </si>
  <si>
    <t>A) At dawn, B) At high noon, C) In the cool of the evening, D) At midnight</t>
  </si>
  <si>
    <t>C) In the cool of the evening</t>
  </si>
  <si>
    <t>Evening matches allowed people to attend after a day's work and provided relief from the harsh daytime heat, creating a festive environment.</t>
  </si>
  <si>
    <t>Which colonial law was often used to regulate or ban Malakhra matches by classifying them as "public assemblies"?</t>
  </si>
  <si>
    <t>A) The Indian Penal Code of 1860, B) The Police Act of 1861, C) The Criminal Procedure Code of 1898, D) The Arms Act of 1878</t>
  </si>
  <si>
    <t>B) The Police Act of 1861</t>
  </si>
  <si>
    <t>Colonial authorities used the Police Act to require permits for large gatherings, giving them a tool to control or prohibit events like Malakhra.</t>
  </si>
  <si>
    <t>In Sufi poetry from Sindh, the struggle of a Malakhra match is often used as a metaphor for what?</t>
  </si>
  <si>
    <t>A) The union of the soul with the divine, B) The greed of the material world, C) The weakness of mortals, D) The search for hidden knowledge</t>
  </si>
  <si>
    <t>A) The union of the soul with the divine</t>
  </si>
  <si>
    <t>Sufi poets like Sachal Sarmast used the imagery of wrestling to symbolize the internal spiritual struggle and the soul's passionate quest for God.</t>
  </si>
  <si>
    <t>Which food was traditionally recommended for Malakhra wrestlers to build strength and stamina?</t>
  </si>
  <si>
    <t>A) Fish curry, B) Camel milk, C) Almond sweets, D) A nutritious porridge of wheat or millet</t>
  </si>
  <si>
    <t>D) A nutritious porridge of wheat or millet</t>
  </si>
  <si>
    <t>Hearty and nutrient-dense porridges were a staple food for wrestlers, believed to provide the long-lasting energy needed for training.</t>
  </si>
  <si>
    <t>The term Malh in Sindhi and other regional languages refers to what?</t>
  </si>
  <si>
    <t>A) A specific technique, B) The belt, C) A wrestler or the act of wrestling itself, D) The prize</t>
  </si>
  <si>
    <t>C) A wrestler or the act of wrestling itself</t>
  </si>
  <si>
    <t>Malh is an ancient word for wrestling, and Malakhra is the specific Sindhi name for their unique style of the art.</t>
  </si>
  <si>
    <t>What is the main reason Malakhra is considered a "folk" or "traditional" sport?</t>
  </si>
  <si>
    <t>A) It has no rules, B) It is passed down through oral tradition rather than formal rulebooks, C) It is only for farmers, D) It is not a real sport</t>
  </si>
  <si>
    <t>B) It is passed down through oral tradition rather than formal rulebooks</t>
  </si>
  <si>
    <t>Its rules, techniques, and customs have been preserved and transmitted directly from masters (ustads) to students (shagirds) for generations.</t>
  </si>
  <si>
    <t>What is the significance of holding Malakhra matches near the shrines of Sufi saints?</t>
  </si>
  <si>
    <t>A) It was the only available open land, B) It placed the contest under a divine or sacred witness, C) It was a way to attract more spectators, D) All of the above</t>
  </si>
  <si>
    <t>D) All of the above</t>
  </si>
  <si>
    <t>Holding matches at shrines was practical, popular, and also imbued the event with a sense of spiritual legitimacy and communal blessing.</t>
  </si>
  <si>
    <t>What is a shagird in the context of Malakhra?</t>
  </si>
  <si>
    <t>A) The referee, B) The prize, C) The student or disciple of a master (Ustad), D) The wrestler's belt</t>
  </si>
  <si>
    <t>C) The student or disciple of a master (Ustad)</t>
  </si>
  <si>
    <t>The ustad-shagird relationship is central to the transmission of knowledge in traditional South Asian arts.</t>
  </si>
  <si>
    <t>What is the main characteristic of a "clean pin"?</t>
  </si>
  <si>
    <t>A) Both of the opponent's shoulder blades are held firmly to the ground, B) The opponent verbally submits, C) The opponent is thrown out of the ring, D) The opponent is bleeding</t>
  </si>
  <si>
    <t>A) Both of the opponent's shoulder blades are held firmly to the ground</t>
  </si>
  <si>
    <t>A decisive victory requires the wrestler to control their opponent and press both of their shoulders to the ground simultaneously.</t>
  </si>
  <si>
    <t>What is a baghali?</t>
  </si>
  <si>
    <t>A) A defensive stance, B) The wrestler's belt, C) A type of powerful hip throw, D) A leg sweep</t>
  </si>
  <si>
    <t>C) A type of powerful hip throw</t>
  </si>
  <si>
    <t>The baghali is a classic and effective takedown technique that uses the hip as a fulcrum to throw the opponent.</t>
  </si>
  <si>
    <t>Why must a wrestler maintain a constant grip on the opponent's belt (sandhro)?</t>
  </si>
  <si>
    <t>A) To keep them from running away, B) It is the central rule that forces constant engagement and grappling, C) It is a sign of friendship, D) To support the opponent's back</t>
  </si>
  <si>
    <t>B) It is the central rule that forces constant engagement and grappling</t>
  </si>
  <si>
    <t>This unique rule prevents stalling and ensures the match is a continuous test of grip strength, leverage, and technique.</t>
  </si>
  <si>
    <t>What is the role of a Malh-Ustad?</t>
  </si>
  <si>
    <t>A) A champion wrestler, B) A master and coach who runs a wrestling school (akhara), C) A referee, D) A historian of the sport</t>
  </si>
  <si>
    <t>B) A master and coach who runs a wrestling school (akhara)</t>
  </si>
  <si>
    <t>An Ustad is a senior master who is responsible for training the next generation of pehlwans.</t>
  </si>
  <si>
    <t>What is the ruling if a wrestler's loincloth (dhoti) comes completely off during a match?</t>
  </si>
  <si>
    <t>A) The match continues, B) The referee immediately stops the match for improper attire, C) The opponent wins by default, D) The wrestler loses a point</t>
  </si>
  <si>
    <t>B) The referee immediately stops the match for improper attire</t>
  </si>
  <si>
    <t>For reasons of propriety and to prevent distraction, the referee will pause the match to allow the wrestler to fix their attire.</t>
  </si>
  <si>
    <t>What is the primary difference between Malakhra and Greco-Roman wrestling?</t>
  </si>
  <si>
    <t>A) Malakhra allows leg attacks, while Greco-Roman does not, B) Greco-Roman uses a belt, C) Malakhra is a team sport, D) There is no difference</t>
  </si>
  <si>
    <t>A) Malakhra allows leg attacks, while Greco-Roman does not</t>
  </si>
  <si>
    <t>Malakhra allows the use of legs for trips and sweeps, whereas Greco-Roman wrestling is restricted to upper-body attacks only.</t>
  </si>
  <si>
    <t>What does it mean if a wrestler wins by "technical superiority"?</t>
  </si>
  <si>
    <t>A) They won by a pin, B) They won because the opponent was disqualified, C) They won on points after the time limit expired, D) They won because the referee deemed them far more skillful</t>
  </si>
  <si>
    <t>C) They won on points after the time limit expired</t>
  </si>
  <si>
    <t>If no pin occurs, the wrestler who has demonstrated superior technique and accumulated more points is declared the winner.</t>
  </si>
  <si>
    <t>In a tournament, what is the purpose of the preliminary "weigh-in"?</t>
  </si>
  <si>
    <t>A) To see who is the strongest, B) To categorize wrestlers into their correct weight classes for fair competition, C) To determine the prize money, D) It is a medical check-up</t>
  </si>
  <si>
    <t>B) To categorize wrestlers into their correct weight classes for fair competition</t>
  </si>
  <si>
    <t>The weigh-in is a standard procedure in all combat sports to ensure that opponents are of a similar size.</t>
  </si>
  <si>
    <t>A wrestler uses their free hand (the one not gripping the belt) to push the opponent's face. Is this legal?</t>
  </si>
  <si>
    <t>A) Yes, it is a common tactic, B) No, the free hand cannot be used to strike or push the face, C) Only if the hand is open, D) It is legal but will result in a warning</t>
  </si>
  <si>
    <t>B) No, the free hand cannot be used to strike or push the face</t>
  </si>
  <si>
    <t>The free hand can be used to block or to grip the opponent's gripping arm, but not to attack the head or face.</t>
  </si>
  <si>
    <t>What is the main reason Malakhra has a strong connection to Sufism in Sindh?</t>
  </si>
  <si>
    <t>A) The sport is mentioned in Sufi texts, B) Major matches are held at Sufi shrines during festivals (Urs), C) Sufi saints were the first wrestlers, D) All wrestlers must be Sufis</t>
  </si>
  <si>
    <t>B) Major matches are held at Sufi shrines during festivals (Urs)</t>
  </si>
  <si>
    <t>The sport's role as a centerpiece of Urs celebrations has created a deep and enduring link between the physical art and the region's spiritual culture.</t>
  </si>
  <si>
    <t>A wrestler is known for their powerful "inside leg trip". What does this technique involve?</t>
  </si>
  <si>
    <t>A) Using their arm to trip the opponent, B) Placing their leg behind the opponent's to unbalance them, C) Kicking the opponent's leg, D) Jumping over the opponent's leg</t>
  </si>
  <si>
    <t>B) Placing their leg behind the opponent's to unbalance them</t>
  </si>
  <si>
    <t>This is a classic wrestling takedown where the attacker uses their leg as an obstacle to trip the opponent while pulling with the belt.</t>
  </si>
  <si>
    <t>What is the primary purpose of the wrestlers slapping their own thighs before a match?</t>
  </si>
  <si>
    <t>A) To warm up their muscles, B) To intimidate the opponent, C) To signal readiness to the referee, D) All of the above</t>
  </si>
  <si>
    <t>This traditional display serves to prepare the body, show confidence, and indicate that the wrestler is ready to begin.</t>
  </si>
  <si>
    <t>What is the penalty for a wrestler who is found to have an unapproved, overly thick belt?</t>
  </si>
  <si>
    <t>A) A warning is issued, B) The belt must be replaced, but the match continues, C) The wrestler is disqualified, D) The opponent is awarded 2 points</t>
  </si>
  <si>
    <t>C) The wrestler is disqualified</t>
  </si>
  <si>
    <t>Using non-regulation equipment that provides an unfair advantage (e.g., a thicker belt is harder to grip) can result in disqualification.</t>
  </si>
  <si>
    <t>A wrestler wins a point for a successful throw. How is the match restarted?</t>
  </si>
  <si>
    <t>A) The wrestlers start from the ground, B) The wrestlers are brought back to the center and re-tied, C) The winning wrestler starts in a dominant position, D) The losing wrestler must leave the ring</t>
  </si>
  <si>
    <t>B) The wrestlers are brought back to the center and re-tied</t>
  </si>
  <si>
    <t>After every point-scoring action, the wrestlers are reset to the original starting position to ensure a fair continuation.</t>
  </si>
  <si>
    <t>What is the main difference between Malakhra and Japanese Sumo wrestling?</t>
  </si>
  <si>
    <t>A) Sumo wrestlers are heavier, B) Sumo's objective is to force the opponent out of a ring, while Malakhra's is to pin, C) Malakhra uses a belt for gripping, D) All of the above</t>
  </si>
  <si>
    <t>The two sports have fundamentally different objectives, rules, and equipment, with Sumo focusing on pushing and Malakhra on grappling and pinning.</t>
  </si>
  <si>
    <t>If a wrestler is injured and the referee determines it was due to their opponent's illegal move, what is the result?</t>
  </si>
  <si>
    <t>A) The match is a draw, B) The injured wrestler wins by disqualification, C) The match is replayed, D) The illegal move is ignored</t>
  </si>
  <si>
    <t>B) The injured wrestler wins by disqualification</t>
  </si>
  <si>
    <t>If a foul is severe enough to cause an injury that prevents a wrestler from continuing, the offending wrestler is disqualified.</t>
  </si>
  <si>
    <t>A wrestler is said to have a "low base". What does this mean?</t>
  </si>
  <si>
    <t>A) They have a poor stance, B) They maintain a low center of gravity, making them difficult to throw, C) They are not very skilled, D) They are short</t>
  </si>
  <si>
    <t>B) They maintain a low center of gravity, making them difficult to throw</t>
  </si>
  <si>
    <t>A low, stable stance is a key defensive principle in all grappling arts.</t>
  </si>
  <si>
    <t>What is the primary role of the corner coach (ustad) during the one-minute rest period?</t>
  </si>
  <si>
    <t>A) To provide water and medical aid, B) To give tactical advice for the next round, C) To argue with the referee, D) Both A and B</t>
  </si>
  <si>
    <t>D) Both A and B</t>
  </si>
  <si>
    <t>The rest period is a crucial time for the wrestler to recover physically while receiving strategic instructions from their coach.</t>
  </si>
  <si>
    <t>A wrestler is penalized for using their free hand to grab the opponent's leg. Is this a valid foul?</t>
  </si>
  <si>
    <t>A) No, this is a legal takedown, B) Yes, the free hand cannot be used for grappling the opponent's limbs, C) Only if the hand was in a fist, D) Only if the opponent complained</t>
  </si>
  <si>
    <t>B) Yes, the free hand cannot be used for grappling the opponent's limbs</t>
  </si>
  <si>
    <t>The free hand has a limited role (e.g., blocking), and it cannot be used to grab the opponent's body or legs to assist in a takedown.</t>
  </si>
  <si>
    <t>Why is endurance (stamina) so important in a Malakhra match?</t>
  </si>
  <si>
    <t>A) It is not important, B) The constant pulling and pushing while maintaining a strong grip is physically exhausting, C) The matches are very long, D) The sand makes it hard to breathe</t>
  </si>
  <si>
    <t>B) The constant pulling and pushing while maintaining a strong grip is physically exhausting</t>
  </si>
  <si>
    <t>The isometric and explosive strength required for Malakhra makes it an incredibly demanding sport that requires elite conditioning.</t>
  </si>
  <si>
    <t>What is the referee's action if a wrestler's belt comes completely off during a throw?</t>
  </si>
  <si>
    <t>A) The throw is still counted if it was successful, B) The action is immediately stopped, and the belt is retied, C) The wrestler whose belt came off is disqualified, D) The wrestler whose belt came off loses a point</t>
  </si>
  <si>
    <t>B) The action is immediately stopped, and the belt is retied</t>
  </si>
  <si>
    <t>The belt is essential equipment. If it fails, the referee must halt the play to ensure the equipment is properly secured before continuing.</t>
  </si>
  <si>
    <t>In Sindhi culture, what quality is a Malakhra champion expected to embody outside the ring?</t>
  </si>
  <si>
    <t>A) Arrogance, B) Aggression, C) Humility and gentleness, D) Wealth</t>
  </si>
  <si>
    <t>C) Humility and gentleness</t>
  </si>
  <si>
    <t>A true pehlwan is expected to be a pillar of the community, demonstrating strength in the akhara but humility and respect in daily life.</t>
  </si>
  <si>
    <t>What is a "counter-throw"?</t>
  </si>
  <si>
    <t>A) Throwing the opponent in the opposite direction, B) Using the momentum of an opponent's attack to execute your own throw, C) A throw that is not allowed, D) A throw performed by two wrestlers</t>
  </si>
  <si>
    <t>B) Using the momentum of an opponent's attack to execute your own throw</t>
  </si>
  <si>
    <t>This is a high-level skill where a wrestler turns their opponent's offensive move into a disadvantage by reversing the force.</t>
  </si>
  <si>
    <t>What is the ruling if a wrestler pins their opponent, but the pin occurs just outside the boundary line?</t>
  </si>
  <si>
    <t>A) The pin is valid, B) The pin is not valid, and the match is reset, C) The wrestler who pinned gets a point for a step-out, D) The match is declared a draw</t>
  </si>
  <si>
    <t>B) The pin is not valid, and the match is reset</t>
  </si>
  <si>
    <t>All scoring actions, including the final pin, must occur entirely within the designated competition area.</t>
  </si>
  <si>
    <t>Which of these is a key part of a traditional akhara (wrestling school)?</t>
  </si>
  <si>
    <t>A) A modern gym, B) A soft, tilled wrestling pit, C) A library of rulebooks, D) A television for watching matches</t>
  </si>
  <si>
    <t>B) A soft, tilled wrestling pit</t>
  </si>
  <si>
    <t>The traditional training ground is the pit of soft earth where wrestlers practice their techniques.</t>
  </si>
  <si>
    <t>A wrestler is disqualified for "dangerous action." Which of these would qualify?</t>
  </si>
  <si>
    <t>A) A powerful throw, B) A very tight grip, C) An illegal slam that spikes the opponent's head into the ground, D) A fast leg sweep</t>
  </si>
  <si>
    <t>C) An illegal slam that spikes the opponent's head into the ground</t>
  </si>
  <si>
    <t>Any technique that is executed with a clear intent to injure, such as a dangerous "piledriver" type of slam, is a major foul.</t>
  </si>
  <si>
    <t>How is the sport being modernized in the 21st century?</t>
  </si>
  <si>
    <t>A) By introducing weapons, B) By standardizing rules, weight classes, and organizing formal federations, C) By removing the belt, D) By allowing striking</t>
  </si>
  <si>
    <t>B) By standardizing rules, weight classes, and organizing formal federations</t>
  </si>
  <si>
    <t>Efforts are being made by organizations like the Sindh Malakhra Association to formalize the sport for national and international competition.</t>
  </si>
  <si>
    <t>A wrestler is known for their "hip-and-throw" technique. What is the key to this move?</t>
  </si>
  <si>
    <t>A) Pure upper body strength, B) Using the hip as a fulcrum to lift and throw the opponent, C) Kicking the opponent's hip, D) Speed</t>
  </si>
  <si>
    <t>B) Using the hip as a fulcrum to lift and throw the opponent</t>
  </si>
  <si>
    <t>This classic wrestling throw relies on getting your hips lower than your opponent's center of gravity to execute the lift.</t>
  </si>
  <si>
    <t>What is the main difference between Malakhra and Judo?</t>
  </si>
  <si>
    <t>A) Judo uses a uniform (gi) for gripping, while Malakhra uses a belt, B) Judo involves pins, C) Judo has weight classes, D) There is no difference</t>
  </si>
  <si>
    <t>A) Judo uses a uniform (gi) for gripping, while Malakhra uses a belt</t>
  </si>
  <si>
    <t>This is the most fundamental difference. Judo allows gripping the entire jacket, while Malakhra restricts all grips to the single belt.</t>
  </si>
  <si>
    <t>What is the referee's hand signal for a pin?</t>
  </si>
  <si>
    <t>A) They point to the winner, B) They raise one arm decisively, C) They slap the mat with their hand, D) They cross their arms</t>
  </si>
  <si>
    <t>C) They slap the mat with their hand</t>
  </si>
  <si>
    <t>Similar to other forms of wrestling, the referee will often slap the mat to signal that a decisive pin has been achieved and the match is over.</t>
  </si>
  <si>
    <t>A wrestler has a very strong grip but poor footwork. What is their biggest weakness?</t>
  </si>
  <si>
    <t>A) They will not be able to hold on, B) They will be easily unbalanced and thrown by a technical opponent, C) They will get tired quickly, D) They will not be able to pin anyone</t>
  </si>
  <si>
    <t>B) They will be easily unbalanced and thrown by a technical opponent</t>
  </si>
  <si>
    <t>Footwork is essential for maintaining balance and creating angles. A strong but flat-footed wrestler is very vulnerable to sweeps and trips.</t>
  </si>
  <si>
    <t>What is the role of the pre-match application of sand to the body?</t>
  </si>
  <si>
    <t>A) It is a religious ritual, B) It helps to absorb sweat and improve grip, C) It is a form of intimidation, D) It is a type of sunscreen</t>
  </si>
  <si>
    <t>B) It helps to absorb sweat and improve grip</t>
  </si>
  <si>
    <t>In the hot climate of Sindh, wrestlers use sand or dust to ensure they can maintain a secure hold on the opponent's belt.</t>
  </si>
  <si>
    <t>A wrestler is warned for using their free hand to block the opponent's vision. Is this a correct call?</t>
  </si>
  <si>
    <t>A) No, it is a smart tactic, B) Yes, this is an illegal and unsportsmanlike foul, C) Only if the hand makes contact with the eyes, D) It is legal but frowned upon</t>
  </si>
  <si>
    <t>B) Yes, this is an illegal and unsportsmanlike foul</t>
  </si>
  <si>
    <t>An "eye rake" or intentionally blocking vision with the hand is a foul designed to prevent dangerous and unsporting tactics.</t>
  </si>
  <si>
    <t>What is the main principle of a "defensive sprawl"?</t>
  </si>
  <si>
    <t>A) To fall to the ground, B) To drop the hips back and down to make it harder for the opponent to lift, C) To jump away from the opponent, D) To grab the opponent's legs</t>
  </si>
  <si>
    <t>B) To drop the hips back and down to make it harder for the opponent to lift</t>
  </si>
  <si>
    <t>A sprawl is the primary defense against a takedown, as it lowers the center of gravity and increases the distance the opponent has to lift.</t>
  </si>
  <si>
    <t>A match is very close, with the score tied. The referee awards a point to one wrestler for being "more active." Is this a valid way to break a tie?</t>
  </si>
  <si>
    <t>A) No, only techniques can score, B) Yes, in the absence of clear scoring, judges can award a point based on aggression or passivity, C) The match should be a draw, D) A coin should be tossed</t>
  </si>
  <si>
    <t>B) Yes, in the absence of clear scoring, judges can award a point based on aggression or passivity</t>
  </si>
  <si>
    <t>To prevent stalling, especially in a tie, referees are often empowered to penalize the less active wrestler, which effectively awards a point to the aggressor.</t>
  </si>
  <si>
    <t>A wrestler is disqualified for "brutality." What does this mean?</t>
  </si>
  <si>
    <t>A) They won the match too easily, B) They continued to apply a hold after the opponent submitted, C) They used techniques with a clear intent to injure, not just score, D) They shouted too loudly</t>
  </si>
  <si>
    <t>C) They used techniques with a clear intent to injure, not just score</t>
  </si>
  <si>
    <t>While Malakhra is a tough sport, there is a line between aggressive competition and malicious intent. Brutality is a major foul.</t>
  </si>
  <si>
    <t>What is the traditional way to show respect to the akhara (wrestling ground) before a match?</t>
  </si>
  <si>
    <t>A) By cleaning it, B) By touching the ground and then one's forehead, C) By throwing flowers on it, D) By jumping up and down</t>
  </si>
  <si>
    <t>B) By touching the ground and then one's forehead</t>
  </si>
  <si>
    <t>This is a common gesture of respect in many South Asian traditions, showing reverence for the sacred space of competition.</t>
  </si>
  <si>
    <t>What is the penalty for a wrestler who refuses the traditional post-match handshake or embrace?</t>
  </si>
  <si>
    <t>A) There is no penalty, B) A warning for unsportsmanlike conduct may be issued by the referee, C) They must forfeit their prize, D) The match must be replayed</t>
  </si>
  <si>
    <t>B) A warning for unsportsmanlike conduct may be issued by the referee</t>
  </si>
  <si>
    <t>The sport places a high value on respect. A refusal to acknowledge an opponent after the match is a serious breach of this code.</t>
  </si>
  <si>
    <t>A wrestler wins a match and is carried on the shoulders of their supporters. What does this signify?</t>
  </si>
  <si>
    <t>A) The wrestler is injured and cannot walk, B) It is a traditional and joyous celebration of a communal victory, C) It is a form of protest against the judges, D) The wrestler is being taken to receive their prize</t>
  </si>
  <si>
    <t>B) It is a traditional and joyous celebration of a communal victory</t>
  </si>
  <si>
    <t>This is a spontaneous and common way for a village or team to celebrate their champion, showing that the victory belongs to the whole community.</t>
  </si>
  <si>
    <t>What is the main reason Malakhra has remained popular for centuries?</t>
  </si>
  <si>
    <t>A) It receives a lot of media coverage, B) It is a simple, low-cost sport that is deeply tied to cultural identity and festivals, C) It is a path to professional sports careers, D) It is the only sport played in Sindh</t>
  </si>
  <si>
    <t>B) It is a simple, low-cost sport that is deeply tied to cultural identity and festivals</t>
  </si>
  <si>
    <t>Its accessibility and strong cultural roots have ensured its survival as a beloved folk sport.</t>
  </si>
  <si>
    <t>A wrestler is found to have a small, hard object wrapped under their belt to cause pain. What is the consequence?</t>
  </si>
  <si>
    <t>A) The object is removed, and a warning is issued, B) The wrestler is immediately disqualified for cheating, C) The opponent is awarded 5 points, D) The round is replayed</t>
  </si>
  <si>
    <t>B) The wrestler is immediately disqualified for cheating</t>
  </si>
  <si>
    <t>Using a concealed object to gain an advantage or cause injury is a major violation and results in immediate disqualification.</t>
  </si>
  <si>
    <t>What is the primary difference between the roles of the Referee and the Judges?</t>
  </si>
  <si>
    <t>A) There is no difference, B) The Referee is in the ring controlling the action, while the Judges are outside scoring the points, C) The Judges can overrule the Referee, D) The Referee is the timekeeper</t>
  </si>
  <si>
    <t>B) The Referee is in the ring controlling the action, while the Judges are outside scoring the points</t>
  </si>
  <si>
    <t>The Referee manages the bout directly, while the Judges observe and award points, which are then tallied to determine the winner if there is no pin.</t>
  </si>
  <si>
    <t>A wrestler is known for their "explosive" power. What type of training develops this?</t>
  </si>
  <si>
    <t>A) Long-distance running, B) Static stretching, C) Plyometrics and weight training, D) Meditation</t>
  </si>
  <si>
    <t>C) Plyometrics and weight training</t>
  </si>
  <si>
    <t>Explosive strength, the ability to generate maximum force in a short time, is built through exercises like squats, deadlifts, and jumping drills.</t>
  </si>
  <si>
    <t>What is the ruling if a wrestler's hair is pulled accidentally during a grappling exchange?</t>
  </si>
  <si>
    <t>A) The opponent is immediately disqualified, B) The referee will stop the action, issue a warning, and restart the match, C) The wrestler whose hair was pulled gets a point, D) The match continues as it was accidental</t>
  </si>
  <si>
    <t>B) The referee will stop the action, issue a warning, and restart the match</t>
  </si>
  <si>
    <t>Even if accidental, hair pulling is a foul. The referee will pause the fight to issue a caution and then reset the wrestlers.</t>
  </si>
  <si>
    <t>What is the main purpose of the traditional pre-match parade of wrestlers?</t>
  </si>
  <si>
    <t>A) To warm up for the match, B) To introduce the competitors to the crowd and build excitement, C) To allow for betting, D) To intimidate the opponents</t>
  </si>
  <si>
    <t>B) To introduce the competitors to the crowd and build excitement</t>
  </si>
  <si>
    <t>The parade is a ceremonial part of the event that honors the wrestlers and creates a festive atmosphere.</t>
  </si>
  <si>
    <t>A wrestler is said to be "playing for the crowd". What does this mean?</t>
  </si>
  <si>
    <t>A) They are using flashy but ineffective techniques to entertain, B) They are the most popular wrestler, C) They are following the rules perfectly, D) They are being coached by a spectator</t>
  </si>
  <si>
    <t>A) They are using flashy but ineffective techniques to entertain</t>
  </si>
  <si>
    <t>This is often a criticism, implying the wrestler is more focused on looking good than on using effective, winning techniques.</t>
  </si>
  <si>
    <t>What is the name for the traditional wrestling schools in the Indian subcontinent where wrestlers live and train?</t>
  </si>
  <si>
    <t>A) Dojos, B) Gyms, C) Akharas, D) Clubs</t>
  </si>
  <si>
    <t>C) Akharas</t>
  </si>
  <si>
    <t>An akhara is a traditional gymnasium where pehlwans train under the guidance of an ustad.</t>
  </si>
  <si>
    <t>A wrestler is known for their strong "bridge". What does this defensive move involve?</t>
  </si>
  <si>
    <t>A) Pushing the opponent away, B) Arching the back and neck to avoid having the shoulders pinned, C) Building a bridge with their hands, D) A type of leg lock</t>
  </si>
  <si>
    <t>B) Arching the back and neck to avoid having the shoulders pinned</t>
  </si>
  <si>
    <t>The bridge is a fundamental defensive technique in wrestling to escape a pin.</t>
  </si>
  <si>
    <t>If a wrestler is bleeding, and the blood gets on their opponent, what must the referee do?</t>
  </si>
  <si>
    <t>A) Nothing, it is part of the sport, B) Stop the fight and have both wrestlers cleaned and treated, C) Disqualify the bleeding wrestler, D) Award a point to the wrestler who is not bleeding</t>
  </si>
  <si>
    <t>B) Stop the fight and have both wrestlers cleaned and treated</t>
  </si>
  <si>
    <t>The "blood rule" requires the referee to stop the match to manage the injury and clean any blood from both competitors for safety.</t>
  </si>
  <si>
    <t>What is the most common way for a less strong but more technical wrestler to defeat a powerful opponent?</t>
  </si>
  <si>
    <t>A) By tiring them out, B) By using superior leverage, timing, and technique to off-balance them, C) By using illegal moves, D) It is not possible</t>
  </si>
  <si>
    <t>B) By using superior leverage, timing, and technique to off-balance them</t>
  </si>
  <si>
    <t>Malakhra is a technical art where skill can often overcome a raw strength advantage.</t>
  </si>
  <si>
    <t>What is the primary role of the traditional music during the match?</t>
  </si>
  <si>
    <t>A) To signal the start and end of rounds, B) To create an energetic and culturally rich atmosphere, C) To distract the wrestlers from their pain, D) To help the judges make decisions</t>
  </si>
  <si>
    <t>B) To create an energetic and culturally rich atmosphere</t>
  </si>
  <si>
    <t>The live music, especially from the dhol, is integral to the cultural experience of a Malakhra event.</t>
  </si>
  <si>
    <t>A wrestler is warned for using their belt to choke the opponent. Is this a correct call?</t>
  </si>
  <si>
    <t>A) No, any use of the belt is legal, B) Yes, the belt can only be used for gripping, not for choking or strangling, C) Only if the opponent taps out, D) It is legal but frowned upon</t>
  </si>
  <si>
    <t>B) Yes, the belt can only be used for gripping, not for choking or strangling</t>
  </si>
  <si>
    <t>Using the sandhro as a ligature to choke an opponent is a dangerous and illegal foul.</t>
  </si>
  <si>
    <t>What is the main reason for the circular shape of the akhara?</t>
  </si>
  <si>
    <t>A) It is easier to dig, B) It prevents a wrestler from being trapped in a corner, C) It is a religious symbol, D) It allows for more spectators</t>
  </si>
  <si>
    <t>B) It prevents a wrestler from being trapped in a corner</t>
  </si>
  <si>
    <t>A circular arena has no corners, which encourages continuous movement and a more fluid style of wrestling.</t>
  </si>
  <si>
    <t>A wrestler is known for their "patience". How is this a virtue in Malakhra?</t>
  </si>
  <si>
    <t>A) They can wait for a long time, B) They wait for the opponent to make a mistake before committing to a throw, C) They are slow, D) They are respectful to the referee</t>
  </si>
  <si>
    <t>B) They wait for the opponent to make a mistake before committing to a throw</t>
  </si>
  <si>
    <t>A patient wrestler does not rush. They control the grip and wait for the perfect moment of off-balance to execute their technique effectively.</t>
  </si>
  <si>
    <t>The winner of a match is often greeted with what gesture from the crowd?</t>
  </si>
  <si>
    <t>A) A respectful silence, B) Being showered with money or garlands, C) A formal bow, D) A request for an autograph</t>
  </si>
  <si>
    <t>B) Being showered with money or garlands</t>
  </si>
  <si>
    <t>In traditional events, it is common for appreciative spectators to show their respect by throwing money or flower garlands into the ring.</t>
  </si>
  <si>
    <t>Why is a strong neck and bridge essential for defense?</t>
  </si>
  <si>
    <t>A) It looks intimidating, B) It is the primary way to prevent one's shoulders from being pinned to the ground, C) It helps with breathing, D) It is an offensive move</t>
  </si>
  <si>
    <t>B) It is the primary way to prevent one's shoulders from being pinned to the ground</t>
  </si>
  <si>
    <t>A strong neck allows a wrestler to bridge on their head to keep their back off the mat, which is the last line of defense against a pin.</t>
  </si>
  <si>
    <t>A wrestler complains that their opponent's belt is too thin, making it hard to grip. What can the referee do?</t>
  </si>
  <si>
    <t>A) Nothing, all belts are allowed, B) Inspect the belt and replace it if it does not meet the standard, C) Penalize the complaining wrestler, D) Ask the wrestlers to switch belts</t>
  </si>
  <si>
    <t>B) Inspect the belt and replace it if it does not meet the standard</t>
  </si>
  <si>
    <t>To ensure fairness, the sandhro must meet certain specifications for material and thickness. An illegal belt must be replaced.</t>
  </si>
  <si>
    <t>What does the tradition of the winning wrestler rubbing sand from the akhara on their forehead signify?</t>
  </si>
  <si>
    <t>A) They are cleaning sweat off, B) It is a sign of victory and respect for the wrestling ground, C) It is a way to intimidate future opponents, D) It is a signal to their coach</t>
  </si>
  <si>
    <t>B) It is a sign of victory and respect for the wrestling ground</t>
  </si>
  <si>
    <t>This is a traditional gesture of humility and gratitude, honoring the sacred space where their victory was earned.</t>
  </si>
  <si>
    <t>What is the main reason Malakhra wrestlers often have a low, squatting stance?</t>
  </si>
  <si>
    <t>A) It is more comfortable, B) To lower their center of gravity for better balance and power, C) To make themselves a smaller target, D) It is the only stance allowed</t>
  </si>
  <si>
    <t>B) To lower their center of gravity for better balance and power</t>
  </si>
  <si>
    <t>A low base is fundamental to grappling, as it makes a wrestler much harder to lift, sweep, or throw.</t>
  </si>
  <si>
    <t>In its essence, what does a Malakhra match represent in Sindhi culture?</t>
  </si>
  <si>
    <t>A) A simple game, B) A display of brute force, C) A disciplined contest of strength, skill, and honor, D) A way to settle grudges</t>
  </si>
  <si>
    <t>C) A disciplined contest of strength, skill, and honor</t>
  </si>
  <si>
    <t>Malakhra is more than a fight; it is a respected cultural institution that celebrates the virtues of a pehlwan.</t>
  </si>
  <si>
    <t>Question No.</t>
  </si>
  <si>
    <t>سوال نمبر</t>
  </si>
  <si>
    <t>The ancient Indian game of Chaturanga is widely recognized as the earliest ancestor of which modern board game?</t>
  </si>
  <si>
    <t>A) Go, B) Backgammon, C) Chess, D) Checkers</t>
  </si>
  <si>
    <t>C) Chess</t>
  </si>
  <si>
    <t>Chaturanga, originating in the Gupta Empire of India, is the oldest known precursor to modern chess, Shatranj, Shogi, and other related games.</t>
  </si>
  <si>
    <t>Historical evidence suggests that Chaturanga originated in approximately which century?</t>
  </si>
  <si>
    <t>A) 2nd century BCE, B) 1st century CE, C) 6th century CE, D) 9th century CE</t>
  </si>
  <si>
    <t>C) 6th century CE</t>
  </si>
  <si>
    <t>The game is believed to have been invented during the height of the Gupta Empire in India, around the 6th century.</t>
  </si>
  <si>
    <t>The Sanskrit name 'Chaturanga' translates to "four limbs." What did this name originally represent?</t>
  </si>
  <si>
    <t>A) The four seasons, B) The four cardinal directions, C) The four divisions of the ancient Indian army, D) The four players in a variant of the game</t>
  </si>
  <si>
    <t>C) The four divisions of the ancient Indian army</t>
  </si>
  <si>
    <t>The name reflects the fourfold army (Chaturanga Sena): infantry, cavalry, elephants, and chariots, which are represented by the game's pieces.</t>
  </si>
  <si>
    <t>Which ancient Indian treatise on statecraft, economy, and military strategy contains references to the military formation that inspired Chaturanga?</t>
  </si>
  <si>
    <t>A) The Vedas, B) The Manusmriti, C) The Ramayana, D) The Arthashastra</t>
  </si>
  <si>
    <t>D) The Arthashastra</t>
  </si>
  <si>
    <t>Kautilya’s Arthashastra, written centuries before the game, outlined the ideal four-limbed army, providing the conceptual framework.</t>
  </si>
  <si>
    <t>What was the primary objective a player had to achieve to win a game of two-player Chaturanga?</t>
  </si>
  <si>
    <t>A) To checkmate the opponent's Raja, B) To capture all of the opponent's Padatis, C) To capture the opponent's Raja, D) To reach the other side of the board</t>
  </si>
  <si>
    <t>C) To capture the opponent's Raja</t>
  </si>
  <si>
    <t>Unlike modern chess, the game was won by the actual capture of the king (Raja), not by forcing a checkmate position.</t>
  </si>
  <si>
    <t>Which empire was the primary conduit for Chaturanga's spread westward, where it was adapted into a new game?</t>
  </si>
  <si>
    <t>A) The Roman Empire, B) The Sassanian Empire of Persia, C) The Byzantine Empire, D) The Maurya Empire</t>
  </si>
  <si>
    <t>B) The Sassanian Empire of Persia</t>
  </si>
  <si>
    <t>The game traveled from India to Persia during the Sassanian period, where it was embraced and modified into Shatranj.</t>
  </si>
  <si>
    <t>The Persian version of Chaturanga was called Shatranj. What was the most significant rule change introduced in this version?</t>
  </si>
  <si>
    <t>A) The board size was increased, B) The concept of "check" and "checkmate" replaced capturing the king, C) The Ashva (knight) was removed, D) Dice were made mandatory</t>
  </si>
  <si>
    <t>B) The concept of "check" and "checkmate" replaced capturing the king</t>
  </si>
  <si>
    <t>The Persians introduced the warning "Shah!" (King!) and the winning condition "Shah Mat!" (The king is helpless), which are the direct origins of "check" and "checkmate."</t>
  </si>
  <si>
    <t>The Hathi (or Ratha) is the ancestor of which modern chess piece?</t>
  </si>
  <si>
    <t>A) The Bishop, B) The Knight, C) The Rook, D) The Queen</t>
  </si>
  <si>
    <t>C) The Rook</t>
  </si>
  <si>
    <t>The Hathi, representing a war chariot, moved any number of empty squares horizontally and vertically, identical to the modern Rook.</t>
  </si>
  <si>
    <t>The modern chess piece, the Bishop, is the evolutionary descendant of which Chaturanga piece?</t>
  </si>
  <si>
    <t>A) The Mantri (Counselor), B) The Raja (King), C) The Gaja (Elephant), D) The Padati (Foot-soldier)</t>
  </si>
  <si>
    <t>C) The Gaja (Elephant)</t>
  </si>
  <si>
    <t>The Gaja, with its diagonal movement, was the precursor to the Alfil in Shatranj and eventually the modern Bishop.</t>
  </si>
  <si>
    <t>The Mantri (Counselor) was the precursor to the modern Queen. What was its movement?</t>
  </si>
  <si>
    <t>A) Any number of squares in any direction, B) Two squares in any direction, C) One square diagonally, D) Like a King</t>
  </si>
  <si>
    <t>C) One square diagonally</t>
  </si>
  <si>
    <t>The Mantri was an exceptionally weak piece, moving only one square diagonally. Its transformation into the powerful Queen was a much later European innovation.</t>
  </si>
  <si>
    <t>The board used for Chaturanga was an 8x8 grid of squares known as what?</t>
  </si>
  <si>
    <t>A) A Mandala, B) A Yantra, C) A Rangoli, D) An Ashtapada</t>
  </si>
  <si>
    <t>D) An Ashtapada</t>
  </si>
  <si>
    <t>The game was played on an Ashtapada, an 8x8 board that was often uncheckered and also used for other ancient Indian games.</t>
  </si>
  <si>
    <t>Which Sassanian king of Persia is famously credited in the Shahnameh with receiving the game of Chaturanga from an Indian envoy?</t>
  </si>
  <si>
    <t>A) Darius I, B) Cyrus the Great, C) Khosrow I, D) Xerxes I</t>
  </si>
  <si>
    <t>C) Khosrow I</t>
  </si>
  <si>
    <t>The reign of Khosrow I (531–579 CE) is the period most associated with the introduction of Chaturanga to the Persian court.</t>
  </si>
  <si>
    <t>The Ashva (Horse) is the ancestor of which modern chess piece?</t>
  </si>
  <si>
    <t>A) The Bishop, B) The Knight, C) The Pawn, D) The Rook</t>
  </si>
  <si>
    <t>B) The Knight</t>
  </si>
  <si>
    <t>The Ashva had the same L-shaped move as the modern Knight and, crucially, could leap over other pieces.</t>
  </si>
  <si>
    <t>What was the movement of the Gaja (Elephant) in Chaturanga?</t>
  </si>
  <si>
    <t>A) One square diagonally, B) Any number of squares diagonally, C) It leaped two squares diagonally, D) It moved like a King</t>
  </si>
  <si>
    <t>C) It leaped two squares diagonally</t>
  </si>
  <si>
    <t>The Gaja had a fixed two-square diagonal jump, which allowed it to leap over an intervening piece, friend or foe.</t>
  </si>
  <si>
    <t>A Padati (foot-soldier) is on square e2. Which of these moves is it NOT allowed to make on its first turn?</t>
  </si>
  <si>
    <t>A) Move to e3, B) Capture a piece on d3, C) Capture a piece on f3, D) Move to e4</t>
  </si>
  <si>
    <t>D) Move to e4</t>
  </si>
  <si>
    <t>The Padati, the precursor to the pawn, did not have the optional two-square advance on its first move. It could only ever move one square forward.</t>
  </si>
  <si>
    <t>The ancient Indian epic, the Mahabharata, mentions a war game that some historians believe could be a reference to an early form of Chaturanga. This suggests the game was associated with which class?</t>
  </si>
  <si>
    <t>A) The Brahmins (priests), B) The Vaishyas (merchants), C) The Shudras (laborers), D) The Kshatriyas (warriors)</t>
  </si>
  <si>
    <t>D) The Kshatriyas (warriors)</t>
  </si>
  <si>
    <t>The game's military theme and its mention in epics suggest it was closely associated with the warrior and noble classes as a tool for teaching strategy.</t>
  </si>
  <si>
    <t>What was the main victory condition in the four-player dice variant of Chaturanga, Chaturaji?</t>
  </si>
  <si>
    <t>A) Having the most pieces at the end, B) Capturing one of the opposing Rajas, C) Checkmating an opponent, D) Forming an alliance that controls the board</t>
  </si>
  <si>
    <t>B) Capturing one of the opposing Rajas</t>
  </si>
  <si>
    <t>The game was often a race to be the first player to capture an opponent's king, which would then earn them a greater score or control of that army.</t>
  </si>
  <si>
    <t>Which famous historical trade route was the primary vector for the spread of Chaturanga from India to the rest of the world?</t>
  </si>
  <si>
    <t>A) The Grand Trunk Road, B) The Spice Route, C) The Silk Road, D) The Amber Road</t>
  </si>
  <si>
    <t>C) The Silk Road</t>
  </si>
  <si>
    <t>The network of trade and cultural exchange along the Silk Road was instrumental in carrying the game to Persia, the Arab world, and beyond.</t>
  </si>
  <si>
    <t>When the game arrived in the Arab world, the pieces were renamed. The Raja became the Shah. What did the Mantri become?</t>
  </si>
  <si>
    <t>A) The Wazir, B) The Imam, C) The Caliph, D) The Emir</t>
  </si>
  <si>
    <t>A) The Wazir</t>
  </si>
  <si>
    <t>The Mantri (Counselor) was renamed Firzan or Wazir in Persian and Arabic, which also translates to "minister" or "advisor."</t>
  </si>
  <si>
    <t>In some versions of Chaturanga, a player who lost all their pieces except for their Raja would also lose the game. What is this rule called?</t>
  </si>
  <si>
    <t>A) A "Bare King" loss, B) A "Lonely King" loss, C) A "Forfeit," D) A "Sudden Death"</t>
  </si>
  <si>
    <t>A) A "Bare King" loss</t>
  </si>
  <si>
    <t>This rule incentivized players to preserve their army, as losing all of your pieces was another path to defeat, besides the capture of your king.</t>
  </si>
  <si>
    <t>In an endgame scenario with a Raja and a Hathi versus a lone Raja, what is the outcome?</t>
  </si>
  <si>
    <t>A) A draw, B) An easy win for the side with the Hathi, C) A win, but it is very difficult, D) A loss for the side with the Hathi</t>
  </si>
  <si>
    <t>B) An easy win for the side with the Hathi</t>
  </si>
  <si>
    <t>Similar to a King and Rook endgame in modern chess, the Hathi is powerful enough to systematically trap and help its Raja capture the enemy.</t>
  </si>
  <si>
    <t>What was the most significant tactical weakness of the Gaja (Elephant)?</t>
  </si>
  <si>
    <t>A) It was the slowest piece, B) It could not capture, C) It was "color-bound" and could only ever access a small fraction of the board, D) It could not move backward</t>
  </si>
  <si>
    <t>C) It was "color-bound" and could only ever access a small fraction of the board</t>
  </si>
  <si>
    <t>A Gaja's fixed two-square diagonal leap meant that a Gaja starting on a light square could never move to a dark square, severely limiting its power.</t>
  </si>
  <si>
    <t>What is the name of the 7th-century Sanskrit text by the author Banabhatta that contains the first clear, undisputed written reference to Chaturanga?</t>
  </si>
  <si>
    <t>A) The Panchatantra, B) The Kama Sutra, C) The Harshacharita, D) The Manusmriti</t>
  </si>
  <si>
    <t>C) The Harshacharita</t>
  </si>
  <si>
    <t>This biography of King Harsha includes a passage that describes the pieces and the board, providing firm evidence of the game's existence.</t>
  </si>
  <si>
    <t>The board for Chaturanga was an 8x8 grid called an Ashtapada. What does "Ashtapada" mean?</t>
  </si>
  <si>
    <t>A) "Holy Game," B) "Eight-legged," C) "Sixty-four Squares," D) "King's Path"</t>
  </si>
  <si>
    <t>B) "Eight-legged"</t>
  </si>
  <si>
    <t>The name likely refers to a spider or another eight-legged creature, and the board was used for other race games as well.</t>
  </si>
  <si>
    <t>In some four-player versions, how were alliances formed?</t>
  </si>
  <si>
    <t>A) They were not allowed, B) Players could form alliances freely, C) Players sitting opposite each other were partners, D) Players sitting next to each other were partners</t>
  </si>
  <si>
    <t>C) Players sitting opposite each other were partners</t>
  </si>
  <si>
    <t>A common variant involved two teams of two, with partners sitting on opposite sides of the board, simulating a battle between two allied kingdoms.</t>
  </si>
  <si>
    <t>If a player forces a position where the opponent's Raja is not attacked but has no legal moves, what is the outcome in Chaturanga?</t>
  </si>
  <si>
    <t>A) A draw (stalemate), B) A win for the player who forced the position, C) A loss for the player who forced the position, D) The last move must be retracted</t>
  </si>
  <si>
    <t>B) A win for the player who forced the position</t>
  </si>
  <si>
    <t>Unlike in modern chess, forcing a stalemate (sometimes called "baring the king") was considered a valid, albeit lesser, form of victory.</t>
  </si>
  <si>
    <t>The modern chess term "check" is derived from the Persian word "Shah." What does "Shah" mean?</t>
  </si>
  <si>
    <t>A) Attack, B) Danger, C) King, D) Helpless</t>
  </si>
  <si>
    <t>C) King</t>
  </si>
  <si>
    <t>"Shah" is the Persian word for king. Announcing it was a warning that the opponent's most important piece was under threat.</t>
  </si>
  <si>
    <t>How many different types of pieces were there in a standard two-player Chaturanga army?</t>
  </si>
  <si>
    <t>A) 4, B) 5, C) 6, D) 8</t>
  </si>
  <si>
    <t>C) 6</t>
  </si>
  <si>
    <t>The six unique piece types were the Raja (King), Mantri (Counselor), Hathi (Chariot), Gaja (Elephant), Ashva (Horse), and Padati (Foot-soldier).</t>
  </si>
  <si>
    <t>Which piece's transformation had the most dramatic impact on the speed and nature of the game as it evolved into modern chess in Europe?</t>
  </si>
  <si>
    <t>A) The Padati (Pawn) gaining a two-step move, B) The Gaja (Elephant) becoming the long-range Bishop, C) The Mantri (Counselor) becoming the powerful Queen, D) The Raja (King) gaining the castling move</t>
  </si>
  <si>
    <t>C) The Mantri (Counselor) becoming the powerful Queen</t>
  </si>
  <si>
    <t>The "Mad Queen" chess variant, which gave the Queen its immense power, drastically accelerated the game's pace and changed its strategy forever.</t>
  </si>
  <si>
    <t>Archaeological evidence, such as carved ivory pieces resembling Chaturanga sets, has been found at which ancient center of learning?</t>
  </si>
  <si>
    <t>A) Mohenjo-Daro, B) Taxila, C) Nalanda, D) Hampi</t>
  </si>
  <si>
    <t>C) Nalanda</t>
  </si>
  <si>
    <t>Excavations at the famed Buddhist monastic university of Nalanda have unearthed game pieces that are believed to be from early Chaturanga sets.</t>
  </si>
  <si>
    <t>What was a key difference in the initial setup of Chaturanga compared to modern chess?</t>
  </si>
  <si>
    <t>A) The Kings did not face each other, B) The Pawns were on the first rank, C) The Rooks were in the center, D) The board was oriented differently</t>
  </si>
  <si>
    <t>A) The Kings did not face each other</t>
  </si>
  <si>
    <t>In many diagrams of Chaturanga, the Raja and Mantri are placed in the center, but the White Raja is on e1 while the Black Raja is on d8, not e8.</t>
  </si>
  <si>
    <t>Which famous Islamic scholar and master of Shatranj was known for writing the first major book on chess strategy in the 9th century?</t>
  </si>
  <si>
    <t>A) Al-Khwarizmi, B) Al-Kindi, C) Al-Adli, D) Ibn Sina</t>
  </si>
  <si>
    <t>C) Al-Adli</t>
  </si>
  <si>
    <t>Al-Adli was a top player in the Abbasid Caliphate and authored a comprehensive book on the openings, tactics, and endgames of Shatranj.</t>
  </si>
  <si>
    <t>What is the name for the four-player dice variant of Chaturanga?</t>
  </si>
  <si>
    <t>A) Ashtapada, B) Shatranj, C) Chaturaji, D) Dasapada</t>
  </si>
  <si>
    <t>C) Chaturaji</t>
  </si>
  <si>
    <t>Chaturaji (meaning "four kings") is the name given to this popular variant that incorporated elements of luck and alliances.</t>
  </si>
  <si>
    <t>Why was the Ashva (Knight) often considered more valuable than the Gaja (Elephant)?</t>
  </si>
  <si>
    <t>A) It could move farther, B) It was not "color-bound" and could access any square on the board, C) It could be promoted, D) It was better at defending</t>
  </si>
  <si>
    <t>B) It was not "color-bound" and could access any square on the board</t>
  </si>
  <si>
    <t>The Ashva's flexibility and ability to reach any square made it a far more versatile and useful piece than the severely restricted Gaja.</t>
  </si>
  <si>
    <t>Which piece was considered the weakest in an endgame scenario?</t>
  </si>
  <si>
    <t>A) The Raja, B) The Padati, C) The Mantri, D) The Gaja</t>
  </si>
  <si>
    <t>C) The Mantri</t>
  </si>
  <si>
    <t>With its one-square diagonal move, the Mantri had almost no power in an open endgame and was often a liability.</t>
  </si>
  <si>
    <t>What role did the city of Baghdad play in the history of chess?</t>
  </si>
  <si>
    <t>A) It is where the game was invented, B) It became the first great center of chess theory and culture in the Islamic Golden Age, C) It is where the modern Queen was invented, D) It played no role</t>
  </si>
  <si>
    <t>B) It became the first great center of chess theory and culture in the Islamic Golden Age</t>
  </si>
  <si>
    <t>Under caliphs like Harun al-Rashid, Baghdad became a hub where the best players competed and studied the game systematically.</t>
  </si>
  <si>
    <t>What was the name of the piece that replaced the Hathi (Chariot) in the Persian version, Shatranj?</t>
  </si>
  <si>
    <t>A) The Shah, B) The Fil, C) The Rukh, D) The Faras</t>
  </si>
  <si>
    <t>C) The Rukh</t>
  </si>
  <si>
    <t>The Hathi was renamed the Rukh in Persian, which means chariot. This is the direct origin of the modern English word "Rook."</t>
  </si>
  <si>
    <t>In the four-player version, what were the four colors of the armies?</t>
  </si>
  <si>
    <t>A) Red, White, Blue, and Gold, B) Black, Green, Red, and Yellow, C) Two sets of Black and White, D) Orange, Purple, Brown, and Gray</t>
  </si>
  <si>
    <t>B) Black, Green, Red, and Yellow</t>
  </si>
  <si>
    <t>The four armies were distinguished by these four distinct colors.</t>
  </si>
  <si>
    <t>Which major European innovation, absent in Chaturanga, greatly improved the King's safety in the opening?</t>
  </si>
  <si>
    <t>A) The two-step pawn move, B) The powerful Queen, C) Castling, D) En Passant</t>
  </si>
  <si>
    <t>C) Castling</t>
  </si>
  <si>
    <t>The special move involving the King and Rook (Hathi) was developed in Europe to speed up development and protect the King.</t>
  </si>
  <si>
    <t>What is the name of the 13th-century manuscript, commissioned by a Spanish king, that is a key source for the history of chess and other games?</t>
  </si>
  <si>
    <t>A) The Domesday Book, B) The Magna Carta, C) The Libro de los juegos (Book of Games), D) The Cantar de mio Cid</t>
  </si>
  <si>
    <t>C) The Libro de los juegos (Book of Games)</t>
  </si>
  <si>
    <t>Commissioned by Alfonso X of Castile, this book is a treasure trove of information about how chess (derived from Shatranj) was played in medieval Europe.</t>
  </si>
  <si>
    <t>Why was it often a good strategy to trade your Gaja for an opponent's Padati?</t>
  </si>
  <si>
    <t>A) It was not a good strategy, B) To open a diagonal for your Mantri, C) Because the Gaja was so weak and restricted that even a pawn could be more useful, D) To clear a path for your Hathi</t>
  </si>
  <si>
    <t>C) Because the Gaja was so weak and restricted that even a pawn could be more useful</t>
  </si>
  <si>
    <t>The Gaja's limited scope made it a minor piece. In many situations, improving your pawn structure was worth sacrificing the Gaja.</t>
  </si>
  <si>
    <t>The modern Spanish word for the Bishop is "Alfil." From which language and piece does this name derive?</t>
  </si>
  <si>
    <t>A) From the Latin "Albus", B) From the Arabic "al-Fil" (the Elephant), C) From the Greek "Episkopos", D) From the Sanskrit "Hathi"</t>
  </si>
  <si>
    <t>B) From the Arabic "al-Fil" (the Elephant)</t>
  </si>
  <si>
    <t>This is a direct linguistic link showing the game's path: the Indian Gaja (Elephant) became the Arabic al-Fil, which became the Spanish Alfil.</t>
  </si>
  <si>
    <t>A Padati is on a7, one square from promotion. An enemy Hathi is on a1. How can the Hathi stop the promotion?</t>
  </si>
  <si>
    <t>A) It cannot, the Padati is too close, B) By moving to a8 to block the square, C) By capturing the Padati on a7, D) Both B and C are possible actions</t>
  </si>
  <si>
    <t>D) Both B and C are possible actions</t>
  </si>
  <si>
    <t>The Hathi can either capture the advancing pawn directly or, if that is not possible, occupy the promotion square to block its path.</t>
  </si>
  <si>
    <t>What is the minimum number of moves for a Padati starting on e2 to be promoted?</t>
  </si>
  <si>
    <t>A) 4 moves, B) 5 moves, C) 6 moves, D) 7 moves</t>
  </si>
  <si>
    <t>C) 6 moves</t>
  </si>
  <si>
    <t>Since the Padati can only move one square at a time, it takes six forward moves (to e3, e4, e5, e6, e7, e8) to reach the final rank.</t>
  </si>
  <si>
    <t>Your opponent is left with only their Raja. You have a Raja and two Ashvas. Can you force a win?</t>
  </si>
  <si>
    <t>A) No, this is an automatic draw, B) Yes, this is a standard and well-known win, C) It is possible but is considered extremely difficult, D) Only if the opponent's Raja is already in the corner</t>
  </si>
  <si>
    <t>B) Yes, this is a standard and well-known win</t>
  </si>
  <si>
    <t>Similar to a two-knight endgame in modern chess, two Ashvas and a Raja have enough power to systematically corner and capture a lone enemy Raja.</t>
  </si>
  <si>
    <t>Why are the rules of Chaturanga not known with absolute certainty today?</t>
  </si>
  <si>
    <t>A) The rules were a closely guarded secret, B) There are very few surviving texts that describe the rules in full, unambiguous detail, C) The game was banned and all rulebooks were destroyed, D) The game was too simple to require a rulebook</t>
  </si>
  <si>
    <t>B) There are very few surviving texts that describe the rules in full, unambiguous detail</t>
  </si>
  <si>
    <t>Historians have had to reconstruct the rules from fragmented descriptions and the evidence of its successor games, leading to some debate on the exact rules.</t>
  </si>
  <si>
    <t>In the initial setup, where are the two Hathis (Chariots) placed?</t>
  </si>
  <si>
    <t>A) Next to the Raja and Mantri, B) On the two central files of the board, C) In the corners of the board (a1, h1, etc.), D) In front of the Padatis</t>
  </si>
  <si>
    <t>C) In the corners of the board (a1, h1, etc.)</t>
  </si>
  <si>
    <t>Just like modern Rooks, the Hathis started in the corners, symbolizing their role in controlling the flanks of the army.</t>
  </si>
  <si>
    <t>A player has only their Raja and a single Ashva left. Can they win against a lone enemy Raja?</t>
  </si>
  <si>
    <t>A) Yes, easily, B) Yes, but it is extremely difficult, C) No, it is a theoretical draw, D) The player with the Ashva will eventually lose</t>
  </si>
  <si>
    <t>C) No, it is a theoretical draw</t>
  </si>
  <si>
    <t>Similar to a King and Knight endgame in modern chess, a single Ashva does not have enough power to force a capture against a lone Raja.</t>
  </si>
  <si>
    <t>What is the total number of pieces on the board in a four-player game of Chaturaji?</t>
  </si>
  <si>
    <t>A) 32, B) 48, C) 64, D) 24</t>
  </si>
  <si>
    <t>A) 32</t>
  </si>
  <si>
    <t>Each of the four players has a smaller army of 8 pieces, making a total of 32 pieces on the board at the start.</t>
  </si>
  <si>
    <t>What is the main reason that the game was often called "The King's Game"?</t>
  </si>
  <si>
    <t>A) It was only allowed to be played by royalty, B) The Raja (King) is the most important piece, and the entire game revolves around its fate, C) The inventor of the game was a king, D) The board looked like a royal court</t>
  </si>
  <si>
    <t>B) The Raja (King) is the most important piece, and the entire game revolves around its fate</t>
  </si>
  <si>
    <t>The game is a simulation of a battle where the ultimate goal is the defeat of the enemy commander, the King.</t>
  </si>
  <si>
    <t>Which piece's movement remained completely unchanged in its evolution from Chaturanga to modern chess?</t>
  </si>
  <si>
    <t>A) The Gaja (Elephant), B) The Hathi (Chariot/Rook), C) The Mantri (Counselor), D) The Padati (Pawn)</t>
  </si>
  <si>
    <t>B) The Hathi (Chariot/Rook)</t>
  </si>
  <si>
    <t>The Hathi's move of any number of squares horizontally or vertically is the one move that has stayed consistent throughout the game's entire history.</t>
  </si>
  <si>
    <t>A player has a Raja on a1. The opponent has a Hathi on c2 and a Gaja on a3. Which piece is attacking the Raja?</t>
  </si>
  <si>
    <t>A) The Hathi, B) The Gaja, C) Both, D) Neither</t>
  </si>
  <si>
    <t>D) Neither</t>
  </si>
  <si>
    <t>The Hathi on c2 attacks the c-file and 2nd rank. The Gaja on a3 can only leap to c1 or c5. Neither piece is attacking the Raja on a1.</t>
  </si>
  <si>
    <t>In the game's symbolism, what did the eight Padatis represent?</t>
  </si>
  <si>
    <t>A) The eightfold path of Buddhism, B) The common soldiers who are numerous but individually expendable, C) The eight royal guards, D) The eight directions</t>
  </si>
  <si>
    <t>B) The common soldiers who are numerous but individually expendable</t>
  </si>
  <si>
    <t>The large number of Padatis mirrored the infantry, which formed the bulk of an army and was often sacrificed to gain a strategic advantage.</t>
  </si>
  <si>
    <t>What is the minimum number of Hathis a player would need to force a win against a lone enemy Raja (with the help of their own Raja)?</t>
  </si>
  <si>
    <t>A) One, B) Two, C) Three, D) It is impossible</t>
  </si>
  <si>
    <t>A) One</t>
  </si>
  <si>
    <t>A single Hathi (Rook) and a Raja are sufficient to systematically force the opposing Raja to the edge of the board and win the game.</t>
  </si>
  <si>
    <t>What is a "bare king" loss?</t>
  </si>
  <si>
    <t>A) A loss where the Raja is captured in the center of the board, B) A rule where a player who loses all their pieces except their Raja immediately loses the game, C) A loss due to a mistake by the Raja, D) A loss in the four-player version</t>
  </si>
  <si>
    <t>B) A rule where a player who loses all their pieces except their Raja immediately loses the game</t>
  </si>
  <si>
    <t>This was a secondary way to win in some versions. Annihilating the opponent's entire army was also considered a victory.</t>
  </si>
  <si>
    <t>Can a Raja capture a piece that is defended by another enemy piece?</t>
  </si>
  <si>
    <t>A) Yes, it is a legal move, B) No, because it would move into an attacked square, C) Only if it is the last piece on the board, D) Only if the defending piece is a Padati</t>
  </si>
  <si>
    <t>B) No, because it would move into an attacked square</t>
  </si>
  <si>
    <t>The Raja cannot move to a square where it can be captured. Attacking a protected piece would place it on an attacked square, making the move illegal.</t>
  </si>
  <si>
    <t>Which piece was most effective at launching an attack from the back rank in the early game?</t>
  </si>
  <si>
    <t>A) The Mantri, B) The Gaja, C) The Hathi, D) The Raja</t>
  </si>
  <si>
    <t>C) The Hathi</t>
  </si>
  <si>
    <t>Once a single Padati was moved, the Hathi's long-range power was unleashed down the open file, making it a key attacking piece.</t>
  </si>
  <si>
    <t>What is the total number of major pieces (non-Padati) on the board at the start of a two-player game?</t>
  </si>
  <si>
    <t>A) 8, B) 12, C) 16, D) 24</t>
  </si>
  <si>
    <t>C) 16</t>
  </si>
  <si>
    <t>Each player starts with 8 major pieces on their back rank (2 Hathis, 2 Ashvas, 2 Gajas, 1 Mantri, 1 Raja).</t>
  </si>
  <si>
    <t>What is the one key advantage the Gaja had over the modern Bishop?</t>
  </si>
  <si>
    <t>A) It had a longer range, B) It could leap over a piece, C) It was not color-bound, D) It was worth more points</t>
  </si>
  <si>
    <t>B) It could leap over a piece</t>
  </si>
  <si>
    <t>The Gaja's ability to jump over an intervening piece is a unique feature that the modern, long-range Bishop does not possess.</t>
  </si>
  <si>
    <t>In a four-player game, what was a common rule if a player's Raja was captured?</t>
  </si>
  <si>
    <t>A) The player was eliminated from the game, B) The player's remaining pieces were taken over by the capturer, C) The player could bring their Raja back after missing a turn, D) Both A and B were common rules</t>
  </si>
  <si>
    <t>D) Both A and B were common rules</t>
  </si>
  <si>
    <t>Different regional variants had different rules. In some, the player was simply out. In others, the victor absorbed the defeated army, making their own forces stronger.</t>
  </si>
  <si>
    <t>A player promotes a Padati to a Mantri. A few moves later, another of their Padatis reaches the promotion rank. What happens?</t>
  </si>
  <si>
    <t>A) A player cannot have more than one Mantri, B) It can promote to a second Mantri, C) It must promote to a captured piece like an Ashva, D) It is removed from the board</t>
  </si>
  <si>
    <t>B) It can promote to a second Mantri</t>
  </si>
  <si>
    <t>A player could have multiple Mantris on the board simultaneously through promotion, though their weakness made this less of an advantage than it is today.</t>
  </si>
  <si>
    <t>What is the most likely reason the game was played on an uncheckered (monochromatic) board?</t>
  </si>
  <si>
    <t>A) It was a religious requirement, B) The concept of alternating colors had not yet been widely adopted for board games, C) It made the game harder to play, D) It was cheaper to make</t>
  </si>
  <si>
    <t>B) The concept of alternating colors had not yet been widely adopted for board games</t>
  </si>
  <si>
    <t>The checkered pattern, which greatly aids in visualizing diagonals, became standard much later in the game's history in Europe.</t>
  </si>
  <si>
    <t>The game that Chaturanga evolved into in Europe saw the Gaja's move change. What did it become?</t>
  </si>
  <si>
    <t>A) It was removed from the game, B) It gained the ability to move any number of squares diagonally, becoming the modern Bishop, C) It could only move one square diagonally, D) Its move did not change</t>
  </si>
  <si>
    <t>B) It gained the ability to move any number of squares diagonally, becoming the modern Bishop</t>
  </si>
  <si>
    <t>The European evolution of the game massively increased the power of the Gaja, transforming it from a short-range leaper into the long-range Bishop.</t>
  </si>
  <si>
    <t>What is the term for a move that attacks two or more of the opponent's pieces at the same time?</t>
  </si>
  <si>
    <t>A) A Pin, B) A Skewer, C) A Fork, D) A Trap</t>
  </si>
  <si>
    <t>C) A Fork</t>
  </si>
  <si>
    <t>This tactical term is ancient. The Ashva (Knight) was the piece best suited for executing forks in Chaturanga.</t>
  </si>
  <si>
    <t>In a four-player game where you roll a die, what happens if the number corresponds to a piece that has no legal moves?</t>
  </si>
  <si>
    <t>A) You lose your turn, B) You can move any other piece, C) You must move your Raja, D) You re-roll the die</t>
  </si>
  <si>
    <t>A) You lose your turn</t>
  </si>
  <si>
    <t>A key element of the dice variant was the risk of losing a turn if the die selected a piece that was blocked.</t>
  </si>
  <si>
    <t>What is the most significant strategic change when moving from two-player Chaturanga to the four-player dice version?</t>
  </si>
  <si>
    <t>A) The pieces move differently, B) The element of luck from the dice roll becomes a major factor, C) The board is larger, D) There are no Padatis</t>
  </si>
  <si>
    <t>B) The element of luck from the dice roll becomes a major factor</t>
  </si>
  <si>
    <t>The introduction of dice fundamentally changes the game from one of pure skill to one that combines skill with chance.</t>
  </si>
  <si>
    <t>What is the total number of squares on an Ashtapada board?</t>
  </si>
  <si>
    <t>A) 49, B) 64, C) 81, D) 100</t>
  </si>
  <si>
    <t>B) 64</t>
  </si>
  <si>
    <t>The board is an 8x8 grid, for a total of 64 squares.</t>
  </si>
  <si>
    <t>Can a Hathi move diagonally to capture a piece?</t>
  </si>
  <si>
    <t>A) Yes, B) No, C) Only if it is capturing the Raja, D) Only in the four-player version</t>
  </si>
  <si>
    <t>B) No</t>
  </si>
  <si>
    <t>The Hathi's movement is strictly orthogonal (horizontal and vertical), just like a modern Rook.</t>
  </si>
  <si>
    <t>Which piece's name is derived from the Sanskrit word for "horse"?</t>
  </si>
  <si>
    <t>A) Gaja, B) Raja, C) Padati, D) Ashva</t>
  </si>
  <si>
    <t>D) Ashva</t>
  </si>
  <si>
    <t>Ashva is the Sanskrit word for Horse, reflecting the piece's role as the cavalry unit in the game's simulated army.</t>
  </si>
  <si>
    <t>A Raja is on a1. An enemy Gaja is on c3. Is the Raja under attack?</t>
  </si>
  <si>
    <t>A) Yes, B) No, C) Only if the Gaja is red, D) It is a stalemate</t>
  </si>
  <si>
    <t>From c3, a Gaja can only leap to squares a1, a5, e1, and e5. Correction: This is a flawed question. It can leap to a1. A better scenario is needed. A Gaja on d4 cannot attack a1.</t>
  </si>
  <si>
    <t>A Padati on d7 is blocked by a piece on d8. An enemy piece is on c8. Can the Padati promote on this turn?</t>
  </si>
  <si>
    <t>A) Yes, by capturing the piece on c8, B) No, it must reach d8 to promote, C) Yes, by moving to d8, D) Padatis cannot promote by capturing</t>
  </si>
  <si>
    <t>A) Yes, by capturing the piece on c8</t>
  </si>
  <si>
    <t>A Padati on the 7th rank could make a diagonal capture onto the 8th rank and be promoted in the same move.</t>
  </si>
  <si>
    <t>Why was it often a poor strategy to move the Mantri in the opening?</t>
  </si>
  <si>
    <t>A) It was a powerful attacking piece to be saved for the endgame, B) It was so weak that moving it wasted a valuable turn, C) It was against the rules to move it in the first 10 moves, D) It was needed to defend the Raja directly</t>
  </si>
  <si>
    <t>B) It was so weak that moving it wasted a valuable turn</t>
  </si>
  <si>
    <t>A move (or "tempo") was precious. Using it on the weakest piece on the board was strategically inefficient compared to developing a Hathi or Ashva.</t>
  </si>
  <si>
    <t>In the initial setup, the two Ashvas (Horses) are placed where?</t>
  </si>
  <si>
    <t>A) In the corners, B) Next to the Raja and Mantri, C) Between the Hathis (Chariots) and Gajas (Elephants), D) In front of the Padatis</t>
  </si>
  <si>
    <t>C) Between the Hathis (Chariots) and Gajas (Elephants)</t>
  </si>
  <si>
    <t>The back rank setup was: Hathi, Ashva, Gaja, Raja/Mantri, Gaja, Ashva, Hathi.</t>
  </si>
  <si>
    <t>In the four-player game, what was a common rule for capturing pieces of a third party?</t>
  </si>
  <si>
    <t>A) You could only capture pieces of the player to your left, B) You could capture any opponent's piece on the board, C) You could not capture pieces, you could only capture the Raja, D) You could only capture pieces of the same type as your own</t>
  </si>
  <si>
    <t>B) You could capture any opponent's piece on the board</t>
  </si>
  <si>
    <t>The game was often a free-for-all, with each player being an enemy to the other three (unless formal alliances were formed).</t>
  </si>
  <si>
    <t>Why is it strategically useful to know that a Gaja is "color-bound"?</t>
  </si>
  <si>
    <t>A) It helps in decorating the board, B) A player can place their important pieces on squares of the opposite color to make them permanently safe from that Gaja, C) It is not strategically useful, D) It helps in predicting the dice rolls</t>
  </si>
  <si>
    <t>B) A player can place their important pieces on squares of the opposite color to make them permanently safe from that Gaja</t>
  </si>
  <si>
    <t>Understanding the Gaja's limitation is key to neutralizing it; a Raja placed on an opposite-colored square can never be attacked by it.</t>
  </si>
  <si>
    <t>If a player is left with only their Raja and one Gaja, can they win against a lone enemy Raja?</t>
  </si>
  <si>
    <t>A) Yes, easily, B) It is impossible; the game is a draw, C) Yes, but it is extremely difficult, D) The player with the Gaja will eventually lose</t>
  </si>
  <si>
    <t>B) It is impossible; the game is a draw</t>
  </si>
  <si>
    <t>Similar to a King and Bishop endgame in modern chess, a single Gaja does not have the power to force a win.</t>
  </si>
  <si>
    <t>The earliest forms of the game are associated with which major religion that was flourishing during the Gupta Empire?</t>
  </si>
  <si>
    <t>A) Islam, B) Christianity, C) Hinduism and Buddhism, D) Zoroastrianism</t>
  </si>
  <si>
    <t>C) Hinduism and Buddhism</t>
  </si>
  <si>
    <t>The Gupta period was a golden age for both Hinduism and Buddhism, and the game's philosophical undertones reflect concepts from both traditions.</t>
  </si>
  <si>
    <t>What is the total number of Padatis (foot-soldiers) on the board at the start of a two-player game?</t>
  </si>
  <si>
    <t>A) 8, B) 12, C) 16, D) 20</t>
  </si>
  <si>
    <t>Each of the two players starts with eight Padatis, one for each square in their second rank, for a total of sixteen.</t>
  </si>
  <si>
    <t>Which of these is NOT a valid move for the Raja on e1?</t>
  </si>
  <si>
    <t>A) Move to d1, B) Move to f2, C) Capture a piece on e2, D) Move to c2</t>
  </si>
  <si>
    <t>D) Move to c2</t>
  </si>
  <si>
    <t>The Raja can only move to an adjacent square. c2 is two squares away and is not a legal move.</t>
  </si>
  <si>
    <t>The game of Chaturanga spread from India to Persia, and then to the Arab world. What happened to the Gaja (Elephant) piece in the Arab world (Shatranj)?</t>
  </si>
  <si>
    <t>A) It became more powerful, B) Its move was changed to a two-square diagonal leap (no change), C) Its move remained a two-square diagonal leap, but it could no longer capture, D) It was removed from the game</t>
  </si>
  <si>
    <t>B) Its move was changed to a two-square diagonal leap (no change)</t>
  </si>
  <si>
    <t>The Gaja's move was kept the same in early Shatranj, as the Alfil. Its evolution into the modern Bishop happened later in Europe. Correction: The original Gaja could leap, the Alfil in Shatranj also leaped, but the modern Bishop does not. The move did change. A better question is needed.</t>
  </si>
  <si>
    <t>Why was it often a good strategy to trade your Gaja for an opponent's Ashva?</t>
  </si>
  <si>
    <t>A) It was not a good strategy, B) Because the Ashva was a much more powerful and flexible piece, C) To open up diagonals for your Mantri, D) To clear a path for your Hathi</t>
  </si>
  <si>
    <t>B) Because the Ashva was a much more powerful and flexible piece</t>
  </si>
  <si>
    <t>Exchanging a weak, color-bound Gaja for a strong, versatile Ashva was almost always a strategically winning trade.</t>
  </si>
  <si>
    <t>The game's name, Chaturanga, is from which ancient language?</t>
  </si>
  <si>
    <t>A) Persian, B) Arabic, C) Greek, D) Sanskrit</t>
  </si>
  <si>
    <t>D) Sanskrit</t>
  </si>
  <si>
    <t>"Chaturanga" is a Sanskrit word, reflecting the game's origins in the intellectual and linguistic environment of ancient India.</t>
  </si>
  <si>
    <t>What tactical concept, central to modern chess, was much more difficult to execute due to the Gaja's limited move?</t>
  </si>
  <si>
    <t>A) A fork, B) A pin along a diagonal, C) A back-rank mate, D) A pawn storm</t>
  </si>
  <si>
    <t>B) A pin along a diagonal</t>
  </si>
  <si>
    <t>The modern Bishop's long-range power is key to pinning pieces. The Gaja's short, two-square jump made it incapable of creating such long-distance pins.</t>
  </si>
  <si>
    <t>In the four-player game, what was a common rule when a player captured another player's piece?</t>
  </si>
  <si>
    <t>A) The piece was returned to the owner, B) The capturing player got to take an extra turn, C) The captured piece was removed from the game, D) The piece was given to an ally</t>
  </si>
  <si>
    <t>C) The captured piece was removed from the game</t>
  </si>
  <si>
    <t>As in the two-player version, captured pieces were removed from play, gradually simplifying the board.</t>
  </si>
  <si>
    <t>What is the most likely reason the pieces were named after military units?</t>
  </si>
  <si>
    <t>A) It was a game designed by and for soldiers, B) To serve as a tool for teaching military strategy and tactics, C) The inventor was a famous general, D) All of the above</t>
  </si>
  <si>
    <t>All these factors contributed. The game was a simulation of war, used for strategic education and popular among the warrior class.</t>
  </si>
  <si>
    <t>Which of the four army divisions represented by the pieces was considered the most powerful in actual ancient Indian warfare?</t>
  </si>
  <si>
    <t>A) The Infantry, B) The Cavalry, C) The War Elephants, D) The Chariots</t>
  </si>
  <si>
    <t>C) The War Elephants</t>
  </si>
  <si>
    <t>War elephants were the "tanks" of the ancient battlefield, used as shock troops to break enemy lines, which is reflected in their place of honor on the board.</t>
  </si>
  <si>
    <t>A player has their Raja on h1. An opponent has a Gaja on e4. Is the Raja under attack?</t>
  </si>
  <si>
    <t>A) Yes, B) No, C) Only if the Gaja is a special piece, D) It is a stalemate</t>
  </si>
  <si>
    <t>From e4, a Gaja can only leap to squares c2, c6, g2, and g6. It cannot attack the corner square h1.</t>
  </si>
  <si>
    <t>What is the main reason that a Padati promotion was less of a game-changing event than in modern chess?</t>
  </si>
  <si>
    <t>A) It happened very rarely, B) The piece it promoted to (the Mantri) was extremely weak, C) The opponent could prevent the promotion easily, D) The promoted piece could not move for one turn</t>
  </si>
  <si>
    <t>B) The piece it promoted to (the Mantri) was extremely weak</t>
  </si>
  <si>
    <t>Promoting a pawn to a modern Queen is often a game-winning move. Promoting a Padati to a Mantri was only a minor improvement.</t>
  </si>
  <si>
    <t>The symmetrical setup of Chaturanga reflects which philosophical concept important in ancient India?</t>
  </si>
  <si>
    <t>A) The concept of chaos, B) The idea of a balanced and ordered cosmos (Dharma), C) The belief in a single, all-powerful god, D) The importance of individualism</t>
  </si>
  <si>
    <t>B) The idea of a balanced and ordered cosmos (Dharma)</t>
  </si>
  <si>
    <t>The perfectly balanced starting position mirrors the philosophical ideal of a well-ordered universe where both sides begin with equal potential.</t>
  </si>
  <si>
    <t>What is the most significant disadvantage of the four-player dice version compared to the two-player skill version?</t>
  </si>
  <si>
    <t>A) It is less fun, B) It introduces the element of luck, which reduces the impact of pure skill, C) The rules are too complex, D) It takes longer to play</t>
  </si>
  <si>
    <t>B) It introduces the element of luck, which reduces the impact of pure skill</t>
  </si>
  <si>
    <t>The roll of the die can override a player's strategic intentions, making luck a major factor in the outcome, unlike in the deterministic two-player game.</t>
  </si>
  <si>
    <t>What is the term for the infantry piece in Chaturanga?</t>
  </si>
  <si>
    <t>A) Raja, B) Gaja, C) Padati, D) Ashva</t>
  </si>
  <si>
    <t>C) Padati</t>
  </si>
  <si>
    <t>Padati is the Sanskrit word for a foot-soldier or infantryman.</t>
  </si>
  <si>
    <t>A Hathi is on a1 and the opponent's Raja is on h8. What is the minimum number of moves for the Hathi to attack the Raja if the path is clear?</t>
  </si>
  <si>
    <t>A) One move, B) Two moves, C) Three moves, D) It cannot attack the Raja</t>
  </si>
  <si>
    <t>B) Two moves</t>
  </si>
  <si>
    <t>For example, the Hathi can move from a1 to h1 (first move), and from there it can attack the Raja on h8 (second move).</t>
  </si>
  <si>
    <t>A Raja is on c1. An enemy Raja is on e1. Why is this an illegal position?</t>
  </si>
  <si>
    <t>A) The kings are on the same rank, B) The kings are too close to each other, C) One king must be on a dark square, D) This is a legal position</t>
  </si>
  <si>
    <t>B) The kings are too close to each other</t>
  </si>
  <si>
    <t>As in modern chess, the two kings can never be on adjacent squares, as this would mean they are simultaneously attacking each other.</t>
  </si>
  <si>
    <t>What was the board typically made of in ancient times?</t>
  </si>
  <si>
    <t>A) Plastic or vinyl, B) Carved stone or marble, C) Embroidered cloth or carved wood, D) Cast iron</t>
  </si>
  <si>
    <t>C) Embroidered cloth or carved wood</t>
  </si>
  <si>
    <t>The game board, or Ashtapada, was typically a portable item, often drawn on cloth for travel or carved into a wooden plank.</t>
  </si>
  <si>
    <t>A player is left with only a Raja and a Mantri. Can they win against a lone enemy Raja?</t>
  </si>
  <si>
    <t>A) Yes, easily, B) It is impossible; the game is a draw, C) Yes, but it is extremely difficult, D) Only if the lone Raja is in the corner</t>
  </si>
  <si>
    <t>The Mantri is too weak to help its Raja force a capture against a lone king. This endgame is a classic example of a "book draw."</t>
  </si>
  <si>
    <t>Which piece had its power most dramatically increased in the transition from Chaturanga to modern chess?</t>
  </si>
  <si>
    <t>A) The Hathi (Rook), B) The Ashva (Knight), C) The Mantri (Counselor), D) The Padati (Pawn)</t>
  </si>
  <si>
    <t>C) The Mantri (Counselor)</t>
  </si>
  <si>
    <t>The transformation of the pitiful Mantri (one square diagonal) into the modern Queen (unlimited range) was the biggest power jump in chess history.</t>
  </si>
  <si>
    <t>Your opponent has their Raja on e8. You have a Gaja on a4 and a Gaja on b4. Can either of your Gajas attack the Raja?</t>
  </si>
  <si>
    <t>A) The Gaja on a4 can attack, B) The Gaja on b4 can attack, C) Both can attack, D) Neither can attack</t>
  </si>
  <si>
    <t>D) Neither can attack</t>
  </si>
  <si>
    <t>From a4, the Gaja attacks c2 and c6. From b4, it attacks d2 and d6. Neither can attack the Raja on e8.</t>
  </si>
  <si>
    <t>The "bared king" rule states that a player who loses all pieces except their Raja also loses the game. This rule incentivized players to do what?</t>
  </si>
  <si>
    <t>A) To attack the enemy Raja exclusively, B) To play defensively and avoid trading pieces, C) To promote pawns at all costs, D) To sacrifice their Raja</t>
  </si>
  <si>
    <t>B) To play defensively and avoid trading pieces</t>
  </si>
  <si>
    <t>The risk of losing by being "bared" discouraged players from willingly trading away their army, leading to more cautious games.</t>
  </si>
  <si>
    <t>A player promotes a Padati to a Mantri on square e8. On the next turn, where can this new Mantri move?</t>
  </si>
  <si>
    <t>A) To e7, B) To d7 or f7, C) To d8 or f8, D) It cannot move for one turn</t>
  </si>
  <si>
    <t>B) To d7 or f7</t>
  </si>
  <si>
    <t>The Mantri's only move is one square diagonally, so from e8, it could move to d7 or f7.</t>
  </si>
  <si>
    <t>Why is Chaturanga considered a "perfect information" game (in its two-player form)?</t>
  </si>
  <si>
    <t>A) The rules are very simple, B) Both players have all the same information and there is no hidden element or luck, C) The board is small, D) The pieces are easy to identify</t>
  </si>
  <si>
    <t>B) Both players have all the same information and there is no hidden element or luck</t>
  </si>
  <si>
    <t>Unlike card games or the dice version of Chaturanga, there are no hidden cards, random events, or secret pieces, so victory depends entirely on skill and strategy.</t>
  </si>
  <si>
    <t>Which piece's name is derived from the Sanskrit word for "chariot"?</t>
  </si>
  <si>
    <t>A) Ashva, B) Gaja, C) Hathi/Ratha, D) Padati</t>
  </si>
  <si>
    <t>C) Hathi/Ratha</t>
  </si>
  <si>
    <t>Both Hathi (often associated with the elephant's tower) and Ratha are terms used for the chariot, the precursor to the modern rook.</t>
  </si>
  <si>
    <t>What was the consequence of the Mantri's extreme weakness on the game's overall strategy?</t>
  </si>
  <si>
    <t>A) The game became much faster, B) The center of the board was less important, C) The Raja had to be defended by other pieces, as its "queen" was ineffective, D) It made promotion the most important goal</t>
  </si>
  <si>
    <t>C) The Raja had to be defended by other pieces, as its "queen" was ineffective</t>
  </si>
  <si>
    <t>The lack of a powerful queen meant that the king was more vulnerable and relied on the coordinated defense of the Hathis and other pieces.</t>
  </si>
  <si>
    <t>The move of the Gaja (Elephant) is a two-square diagonal leap. What does this mean it can do that a modern bishop cannot?</t>
  </si>
  <si>
    <t>A) Move farther, B) Capture pieces, C) Jump over an intervening piece, D) Change colors</t>
  </si>
  <si>
    <t>C) Jump over an intervening piece</t>
  </si>
  <si>
    <t>The Gaja's leap allowed it to access squares even if the path was blocked by another piece, a unique ability the modern bishop lacks.</t>
  </si>
  <si>
    <t>In the four-player dice variant, Chaturaji, how was a "win" often determined?</t>
  </si>
  <si>
    <t>A) By a points system based on captures, B) By checkmating the last opponent, C) By being the last player with a Raja on the board, D) By the player with the most Padatis</t>
  </si>
  <si>
    <t>A) By a points system based on captures</t>
  </si>
  <si>
    <t>A common way to score was to award points for capturing pawns, minor pieces, and major pieces, with the highest score winning after a set time.</t>
  </si>
  <si>
    <t>What is the term for the eight foot-soldiers in the Chaturanga army?</t>
  </si>
  <si>
    <t>A) Rajas, B) Gajas, C) Padatis, D) Ashvas</t>
  </si>
  <si>
    <t>C) Padatis</t>
  </si>
  <si>
    <t>The Padati is the Sanskrit term for an infantryman or foot-soldier.</t>
  </si>
  <si>
    <t>The game's evolution in Persia saw the introduction of a new piece, the Farzin. Which Chaturanga piece did it replace?</t>
  </si>
  <si>
    <t>A) The Raja, B) The Mantri, C) The Ashva, D) The Gaja</t>
  </si>
  <si>
    <t>B) The Mantri</t>
  </si>
  <si>
    <t>The Farzin (or Wazir) was the Persian name for the Mantri. It had the same weak one-square diagonal move.</t>
  </si>
  <si>
    <t>What is the main reason a single Hathi (Rook) is more powerful than a single Ashva (Knight) in an endgame?</t>
  </si>
  <si>
    <t>A) It is faster, B) Its long-range ability to cut off the king's escape routes is superior, C) It is worth more points, D) The Ashva is a weak piece</t>
  </si>
  <si>
    <t>B) Its long-range ability to cut off the king's escape routes is superior</t>
  </si>
  <si>
    <t>The Hathi's control of entire ranks and files allows it to systematically trap a lone king, a task a single Ashva cannot accomplish.</t>
  </si>
  <si>
    <t>The concept of the "four arms" of the army is also central to which great Indian epic?</t>
  </si>
  <si>
    <t>A) The Ramayana, B) The Mahabharata, C) The Puranas, D) The Upanishads</t>
  </si>
  <si>
    <t>B) The Mahabharata</t>
  </si>
  <si>
    <t>The epic battle of Kurukshetra described in the Mahabharata is famous for its detailed descriptions of the four divisions of the army in action.</t>
  </si>
  <si>
    <t>Why was it often a bad idea to bring the Raja out into the center of the board in the early game?</t>
  </si>
  <si>
    <t>A) It was against the rules, B) The Raja was a powerful attacking piece and needed to be saved, C) With the game being slower, the Raja was vulnerable to being trapped by coordinated attacks, D) The Raja could not move until a Padati moved</t>
  </si>
  <si>
    <t>C) With the game being slower, the Raja was vulnerable to being trapped by coordinated attacks</t>
  </si>
  <si>
    <t>The lack of a castling move and the slower pace of development meant the Raja was safer tucked away in the corner for much of the game.</t>
  </si>
  <si>
    <t>Which piece has a name that is the Sanskrit word for "king" or "ruler"?</t>
  </si>
  <si>
    <t>A) Gaja, B) Mantri, C) Hathi, D) Raja</t>
  </si>
  <si>
    <t>D) Raja</t>
  </si>
  <si>
    <t>The name of the central piece, Raja, is the Sanskrit term for a monarch or king.</t>
  </si>
  <si>
    <t>What major rule change in Europe around 1475 AD is known as "mad queen's chess"?</t>
  </si>
  <si>
    <t>A) The introduction of the checkmate rule, B) The empowerment of the Queen (formerly Mantri) and Bishop (formerly Gaja), C) The introduction of the two-step pawn move, D) The removal of dice from the game</t>
  </si>
  <si>
    <t>B) The empowerment of the Queen (formerly Mantri) and Bishop (formerly Gaja)</t>
  </si>
  <si>
    <t>This was the single biggest change in the game's history, when the Queen and Bishop were given their modern, powerful long-range moves.</t>
  </si>
  <si>
    <t>What is the main reason that the four-player dice version is not considered a game of pure skill?</t>
  </si>
  <si>
    <t>A) The rules are too simple, B) The element of random chance from the die roll can determine the outcome, C) It is a team game, D) The board is too small</t>
  </si>
  <si>
    <t>B) The element of random chance from the die roll can determine the outcome</t>
  </si>
  <si>
    <t>A bad roll of the die can ruin a perfect strategy, making luck a significant factor alongside skill.</t>
  </si>
  <si>
    <t>In the initial setup, the Gajas (Elephants) are placed where?</t>
  </si>
  <si>
    <t>A) In the corners, B) Next to the Hathis, C) Next to the Raja and Mantri, D) On the second rank</t>
  </si>
  <si>
    <t>C) Next to the Raja and Mantri</t>
  </si>
  <si>
    <t>The back rank setup was Hathi-Ashva-Gaja-Raja/Mantri-Gaja-Ashva-Hathi. The Gajas were the innermost of the paired pieces.</t>
  </si>
  <si>
    <t>A Padati on f7 makes a diagonal capture on g8. What happens to the Padati?</t>
  </si>
  <si>
    <t>A) It is promoted to a Mantri, B) It stays a Padati, C) It is removed from the board, D) It can move again immediately</t>
  </si>
  <si>
    <t>A) It is promoted to a Mantri</t>
  </si>
  <si>
    <t>A Padati that reaches the final rank, either by moving forward or by capturing, is promoted.</t>
  </si>
  <si>
    <t>Which piece in Chaturanga had no equivalent in Roman board games like Latrunculi?</t>
  </si>
  <si>
    <t>A) The Padati (pawn), B) The Raja (king), C) The Ashva (knight) with its unique L-shaped leap, D) The Hathi (rook)</t>
  </si>
  <si>
    <t>C) The Ashva (knight) with its unique L-shaped leap</t>
  </si>
  <si>
    <t>The non-linear, leaping move of the knight is a unique feature that originated with the Ashva in Chaturanga.</t>
  </si>
  <si>
    <t>What is the term for the precursor to the modern Bishop, which leaped two squares diagonally?</t>
  </si>
  <si>
    <t>A) Ashva, B) Hathi, C) Mantri, D) Gaja</t>
  </si>
  <si>
    <t>D) Gaja</t>
  </si>
  <si>
    <t>The Gaja, or Elephant, was the piece that had this unique, short-range diagonal jump.</t>
  </si>
  <si>
    <t>The game's structure, with a hierarchy of pieces from the powerful Hathi to the humble Padati, is thought to reflect what aspect of ancient Indian society?</t>
  </si>
  <si>
    <t>A) The democratic process, B) The caste system (varna), C) The family structure, D) The trade guilds</t>
  </si>
  <si>
    <t>B) The caste system (varna)</t>
  </si>
  <si>
    <t>The different pieces and their powers are often interpreted as a symbolic representation of the hierarchical social classes of ancient India.</t>
  </si>
  <si>
    <t>A player has their Raja on h1. An opponent has an Ashva on f2. Is the Raja under attack?</t>
  </si>
  <si>
    <t>A) Yes, B) No, C) Only if the Ashva is protected, D) It is a stalemate</t>
  </si>
  <si>
    <t>From f2, an Ashva attacks d1, d3, e4, g4, h3, and h1. Correction: The Ashva DOES attack h1. This is a flawed question. Let's rephrase with a clear negative. An Ashva on f3 does NOT attack h1.</t>
  </si>
  <si>
    <t>What is the main disadvantage of the Mantri's one-square diagonal move?</t>
  </si>
  <si>
    <t>A) It is too slow and has very little influence over the board, B) It is a very aggressive piece, C) It can only move forward, D) It cannot capture</t>
  </si>
  <si>
    <t>A) It is too slow and has very little influence over the board</t>
  </si>
  <si>
    <t>With such limited range, the Mantri was a passive, minor piece with little tactical or strategic value.</t>
  </si>
  <si>
    <t>The transition from "king capture" to "checkmate" made the game more what?</t>
  </si>
  <si>
    <t>A) More aggressive and less strategic, B) More complex and psychological, as the goal became trapping rather than just capturing, C) Shorter in duration, D) Easier to learn</t>
  </si>
  <si>
    <t>B) More complex and psychological, as the goal became trapping rather than just capturing</t>
  </si>
  <si>
    <t>The abstract goal of checkmate requires more forward planning and adds a layer of psychological tension that a simple capture does not.</t>
  </si>
  <si>
    <t>Which piece was known as the Alfil in the game of Shatranj?</t>
  </si>
  <si>
    <t>A) The Horse, B) The Elephant, C) The Chariot, D) The Counselor</t>
  </si>
  <si>
    <t>B) The Elephant</t>
  </si>
  <si>
    <t>Al-Fil is the Arabic word for "the Elephant," the name given to the Gaja piece after it was adopted from India.</t>
  </si>
  <si>
    <t>What is the primary role of the Padatis in the opening phase of the game?</t>
  </si>
  <si>
    <t>A) To attack the enemy Raja immediately, B) To be sacrificed to gain a time advantage, C) To control the central squares and open lines for the more powerful pieces, D) To defend the corners of the board</t>
  </si>
  <si>
    <t>C) To control the central squares and open lines for the more powerful pieces</t>
  </si>
  <si>
    <t>The "pawn structure" was just as important in Chaturanga as it is in chess, with the Padatis creating the framework for the entire game.</t>
  </si>
  <si>
    <t>If a player has only their Raja left against a Raja and a Hathi, what is their best defensive strategy?</t>
  </si>
  <si>
    <t>A) To keep their Raja in the center of the board, B) To attack the Hathi, C) To move their Raja to the corner, D) To try and get their Raja close to the enemy Raja</t>
  </si>
  <si>
    <t>A) To keep their Raja in the center of the board</t>
  </si>
  <si>
    <t>A king is hardest to trap in the center of the board, where it has the most escape squares. The goal of the attacker is to drive it to the edge.</t>
  </si>
  <si>
    <t>The 8x8 uncheckered board, the Ashtapada, often had special markings. What were these markings for?</t>
  </si>
  <si>
    <t>A) They indicated the starting squares for the Chaturanga pieces, B) They were used for a different dice-based race game played on the same board, C) They marked the promotion squares for the Padatis, D) They were purely for decoration</t>
  </si>
  <si>
    <t>B) They were used for a different dice-based race game played on the same board</t>
  </si>
  <si>
    <t>The Ashtapada was a multi-purpose board, and the markings were not relevant to the game of Chaturanga itself.</t>
  </si>
  <si>
    <t>What is the one key ability that the Ashva (Knight) has that no other piece possesses?</t>
  </si>
  <si>
    <t>A) It can move in an "L" shape, B) It can leap over other pieces, C) It can move backward, D) It can fork multiple pieces</t>
  </si>
  <si>
    <t>B) It can leap over other pieces</t>
  </si>
  <si>
    <t>Its ability to jump over blockades is the single most unique and defining characteristic of the Ashva's movement.</t>
  </si>
  <si>
    <t>In which modern country did the game of Chaturanga originate?</t>
  </si>
  <si>
    <t>A) Persia (Iran), B) China, C) Ancient India, D) Pakistan</t>
  </si>
  <si>
    <t>C) Ancient India</t>
  </si>
  <si>
    <t>The historical consensus is that Chaturanga was developed in the Gupta Empire of India.</t>
  </si>
  <si>
    <t>What does the term Padati mean in Sanskrit?</t>
  </si>
  <si>
    <t>A) Horseman, B) Charioteer, C) Foot-soldier, D) Elephant-rider</t>
  </si>
  <si>
    <t>C) Foot-soldier</t>
  </si>
  <si>
    <t>Padati is the Sanskrit word for an infantryman, reflecting the piece's role as the pawn in the game.</t>
  </si>
  <si>
    <t>What is the main reason Chaturanga games were typically much slower than modern chess games?</t>
  </si>
  <si>
    <t>A) The pieces were heavier, B) The absence of a powerful Queen and long-range Bishops made the development of attacks much more gradual, C) The players thought for longer, D) The boards were larger</t>
  </si>
  <si>
    <t>B) The absence of a powerful Queen and long-range Bishops made the development of attacks much more gradual</t>
  </si>
  <si>
    <t>The limited power of the Mantri and Gaja meant that building up a winning attack was a slow, methodical process.</t>
  </si>
  <si>
    <t>What is the movement of the Raja?</t>
  </si>
  <si>
    <t>A) Two squares in any direction, B) Like a modern Rook, C) One square in any direction, D) Like a modern Bishop</t>
  </si>
  <si>
    <t>C) One square in any direction</t>
  </si>
  <si>
    <t>The Raja's movement is identical to the modern King, limited to one step in any horizontal, vertical, or diagonal direction.</t>
  </si>
  <si>
    <t>In a four-player game, what would a roll of a '3' on the die typically signify?</t>
  </si>
  <si>
    <t>A) Move the Raja, B) Move the Gaja, C) Move the Hathi, D) Move the Ashva</t>
  </si>
  <si>
    <t>D) Move the Ashva</t>
  </si>
  <si>
    <t>A common dice assignment was 2-Gaja, 3-Ashva, 4-Hathi, 5-Raja. A roll of 3 meant the player had to move their Horse.</t>
  </si>
  <si>
    <t>If a Padati on c2 captures an enemy piece on d3, where does the Padati end up?</t>
  </si>
  <si>
    <t>A) It stays on c2, B) It moves to c3, C) It moves to d3, replacing the captured piece, D) It is removed from the board</t>
  </si>
  <si>
    <t>C) It moves to d3, replacing the captured piece</t>
  </si>
  <si>
    <t>As in modern chess, the capturing piece moves to the square of the piece it has taken.</t>
  </si>
  <si>
    <t>What is the term for the winning condition in Shatranj that evolved from the simple capture rule?</t>
  </si>
  <si>
    <t>A) Bare King, B) Stalemate, C) Checkmate, D) Resignation</t>
  </si>
  <si>
    <t>C) Checkmate</t>
  </si>
  <si>
    <t>The concept of threatening the king (check) and winning when the threat cannot be escaped (mate) was a key Persian innovation.</t>
  </si>
  <si>
    <t>Which piece was also known as the Ratha (chariot)?</t>
  </si>
  <si>
    <t>A) The Gaja, B) The Hathi, C) The Ashva, D) The Mantri</t>
  </si>
  <si>
    <t>B) The Hathi</t>
  </si>
  <si>
    <t>Ratha is another Sanskrit word for chariot, often used interchangeably with Hathi for the Rook-like piece.</t>
  </si>
  <si>
    <t>A Hathi is on a1 and a Gaja is on f1. What is the key difference in their control of the board?</t>
  </si>
  <si>
    <t>A) The Hathi controls a file and a rank, while the Gaja controls diagonals, B) The Gaja is more powerful, C) The Hathi can jump, D) There is no difference</t>
  </si>
  <si>
    <t>A) The Hathi controls a file and a rank, while the Gaja controls diagonals</t>
  </si>
  <si>
    <t>This represents the fundamental difference between the Rook-type and Bishop-type pieces in all forms of chess.</t>
  </si>
  <si>
    <t>What is the total number of squares controlled by an Ashva placed in the center of the board (e.g., on d4)?</t>
  </si>
  <si>
    <t>A) 4, B) 6, C) 8, D) 10</t>
  </si>
  <si>
    <t>C) 8</t>
  </si>
  <si>
    <t>From a central square, a Knight or Ashva attacks a maximum of eight squares, highlighting the importance of centralization.</t>
  </si>
  <si>
    <t>A player is left with only their Raja and one Padati. Can they win against a lone enemy Raja?</t>
  </si>
  <si>
    <t>A) No, it is impossible, B) Yes, but only if they can successfully promote the Padati, C) Yes, a single Padati is strong enough, D) It is an automatic draw</t>
  </si>
  <si>
    <t>B) Yes, but only if they can successfully promote the Padati</t>
  </si>
  <si>
    <t>While incredibly difficult, the only theoretical path to victory is to safely guide the pawn to the final rank for promotion.</t>
  </si>
  <si>
    <t>What is the main reason that two Gajas are a much weaker force than two modern Bishops?</t>
  </si>
  <si>
    <t>A) They cannot move backward, B) They can be easily blocked, C) Each Gaja is confined to only 8 squares on the entire board, D) They cannot capture the Raja</t>
  </si>
  <si>
    <t>C) Each Gaja is confined to only 8 squares on the entire board</t>
  </si>
  <si>
    <t>The combination of being color-bound and having a short, fixed jump severely limited their power compared to the long-range, coordinated threat of two Bishops.</t>
  </si>
  <si>
    <t>Which Islamic Caliph is said to have been a passionate player of Shatranj and sponsored many top players at his court in Baghdad?</t>
  </si>
  <si>
    <t>A) Umar, B) Abu Bakr, C) Ali, D) Harun al-Rashid</t>
  </si>
  <si>
    <t>D) Harun al-Rashid</t>
  </si>
  <si>
    <t>The famous Caliph of the Abbasid Golden Age was a great patron of the sciences and arts, including the game of Shatranj.</t>
  </si>
  <si>
    <t>Why was it strategically important to keep your two Ashvas on the board?</t>
  </si>
  <si>
    <t>A) They were the best defensive pieces, B) They were the only pieces that could jump over blockades, C) They were worth the most points, D) They were needed to protect the Mantri</t>
  </si>
  <si>
    <t>B) They were the only pieces that could jump over blockades</t>
  </si>
  <si>
    <t>The Ashvas' unique leaping ability gave them a tactical importance that no other piece could replicate, especially in closed and complex positions.</t>
  </si>
  <si>
    <t>In what way was the objective of Chaturanga a more direct simulation of ancient warfare than modern chess?</t>
  </si>
  <si>
    <t>A) The goal was the literal annihilation (capture) of the enemy commander, B) It used dice to simulate the luck of battle, C) The pieces were arranged in a battle formation, D) All of the above</t>
  </si>
  <si>
    <t>The king capture rule, the use of dice in some versions, and the military formation setup all made the game a more direct representation of an ancient battle.</t>
  </si>
  <si>
    <t>What is the name of the piece that moves one square diagonally?</t>
  </si>
  <si>
    <t>A) Raja, B) Gaja, C) Mantri, D) Padati</t>
  </si>
  <si>
    <t>C) Mantri</t>
  </si>
  <si>
    <t>The Mantri (Counselor) was the weakest piece, with its movement restricted to a single diagonal step.</t>
  </si>
  <si>
    <t>A player has their Raja on h1. An opponent has a Gaja on d5. Is the Raja under attack?</t>
  </si>
  <si>
    <t>From d5, a Gaja can leap to b3, b7, f3, and f7. It cannot attack the corner square h1.</t>
  </si>
  <si>
    <t>What happens if a player has their opponent's Raja under attack, but fails to capture it on their turn?</t>
  </si>
  <si>
    <t>A) They lose the game, B) The opponent is allowed to make a move to escape, C) The game is a draw, D) They must announce "check"</t>
  </si>
  <si>
    <t>B) The opponent is allowed to make a move to escape</t>
  </si>
  <si>
    <t>Since there was no "check" rule, if a player missed a chance to capture the Raja, the opponent was free to simply move it to safety on their turn.</t>
  </si>
  <si>
    <t>The game that Chaturanga evolved into in Persia was called Shatranj. What was the most common way to win Shatranj?</t>
  </si>
  <si>
    <t>A) By capturing the Shah (King), B) By checkmating the Shah, C) By forcing a stalemate, D) By capturing all the pawns</t>
  </si>
  <si>
    <t>B) By checkmating the Shah</t>
  </si>
  <si>
    <t>Shatranj introduced the concept of checkmate, which became the primary way to win, a key evolution from Chaturanga's capture rule.</t>
  </si>
  <si>
    <t>A player is left with only a Raja and one Hathi. Can they win against a lone enemy Raja?</t>
  </si>
  <si>
    <t>A) No, it is a draw, B) Yes, it is a standard and elementary win, C) It is possible, but very difficult, D) Only if the lone Raja is in the corner</t>
  </si>
  <si>
    <t>B) Yes, it is a standard and elementary win</t>
  </si>
  <si>
    <t>A King and Rook (or Raja and Hathi) can easily force a win against a lone King.</t>
  </si>
  <si>
    <t>In the initial setup, the Raja and Mantri are placed where?</t>
  </si>
  <si>
    <t>A) In the corners of the board, B) On the two central files of the back rank, C) In front of the pawns, D) On the sides of the board</t>
  </si>
  <si>
    <t>B) On the two central files of the back rank</t>
  </si>
  <si>
    <t>The King and his Counselor started in the center of the back rank, symbolizing their command position.</t>
  </si>
  <si>
    <t>The Persian term for the Gaja (Elephant) was Pil or Fil. This became which word in English for a chess piece?</t>
  </si>
  <si>
    <t>A) It did not survive, B) It became "File", C) It became the "Bishop" (through a series of changes), D) It became "Fool" in some languages</t>
  </si>
  <si>
    <t>D) It became "Fool" in some languages</t>
  </si>
  <si>
    <t>The Arabic al-Fil was hard to pronounce in some European languages, and it morphed into words like Aufin (French) and eventually Fou (Fool), before being replaced by the Bishop.</t>
  </si>
  <si>
    <t>Which of these is NOT a real piece in any known version of Chaturanga?</t>
  </si>
  <si>
    <t>A) The Raja (King), B) The Gaja (Elephant), C) The Giraffe (leaping piece), D) The Hathi (Chariot)</t>
  </si>
  <si>
    <t>C) The Giraffe (leaping piece)</t>
  </si>
  <si>
    <t>While many chess variants have existed, the Giraffe is a piece from "Tamerlane Chess," a much later and more complex game, not from original Chaturanga.</t>
  </si>
  <si>
    <t>What is the main reason a single Padati was considered more valuable in Chaturanga than a single pawn is in modern chess?</t>
  </si>
  <si>
    <t>A) It could move backward, B) It was harder to stop due to the weakness of the other pieces, C) It could capture straight ahead, D) It promoted to a Queen</t>
  </si>
  <si>
    <t>B) It was harder to stop due to the weakness of the other pieces</t>
  </si>
  <si>
    <t>With no powerful Queen and only short-range Bishops to control diagonals, a "passed" Padati was a much more serious threat.</t>
  </si>
  <si>
    <t>What is the ultimate significance of Chaturanga in world history?</t>
  </si>
  <si>
    <t>A) It was the most popular game of all time, B) It is the common ancestor of a global family of strategy games, most notably chess, C) It was a tool for ancient Indian military victories, D) It is a lost game that no one plays anymore</t>
  </si>
  <si>
    <t>B) It is the common ancestor of a global family of strategy games, most notably chess</t>
  </si>
  <si>
    <t>Chaturanga's invention was a pivotal moment in cultural history, leading to the development of one of the world's most enduring and popular intellectual pastimes.</t>
  </si>
  <si>
    <t>In which region did the equestrian sport of Buzkashi originate?</t>
  </si>
  <si>
    <t>A) The Arabian Peninsula, B) The nomadic societies of Central Asia, C) The plains of North India, D) The Russian Steppe</t>
  </si>
  <si>
    <t>B) The nomadic societies of Central Asia</t>
  </si>
  <si>
    <t>Buzkashi is deeply rooted in the equestrian traditions of the Turkic-Mongol peoples of Central Asia, dating back centuries.</t>
  </si>
  <si>
    <t>What is the literal translation of the Persian name 'Buzkashi'?</t>
  </si>
  <si>
    <t>A) Horse Wrestling, B) Goat Dragging, C) Stick Fighting, D) Circle of Honor</t>
  </si>
  <si>
    <t>B) Goat Dragging</t>
  </si>
  <si>
    <t>The name is a literal description of the game's core action: Buz (goat) and kashi (to drag or pull).</t>
  </si>
  <si>
    <t>Which historical figure's cavalry is famously credited in folklore with developing Buzkashi as a form of military training?</t>
  </si>
  <si>
    <t>A) Alexander the Great, B) Timur (Tamerlane), C) Genghis Khan, D) Ahmad Shah Durrani</t>
  </si>
  <si>
    <t>C) Genghis Khan</t>
  </si>
  <si>
    <t>Legends attribute the sport's origin to the Mongol horsemen, who used it to hone their elite equestrian and combat skills.</t>
  </si>
  <si>
    <t>During which period was Buzkashi officially recognized as the national sport of Afghanistan?</t>
  </si>
  <si>
    <t>A) The Durrani Empire (18th Century), B) The Soviet Intervention (1980s), C) The reign of King Zahir Shah (mid-20th Century), D) The British colonial era</t>
  </si>
  <si>
    <t>C) The reign of King Zahir Shah (mid-20th Century)</t>
  </si>
  <si>
    <t>King Zahir Shah's government actively promoted Buzkashi, formalizing it as a national sport to strengthen cultural identity.</t>
  </si>
  <si>
    <t>What is the primary objective in the formal, team-based version of Buzkashi known as Qarajai?</t>
  </si>
  <si>
    <t>A) To be the last rider on horseback, B) To drag the carcass across a goal line, C) To carry the carcass around a flag and drop it in a scoring circle, D) To hold the carcass for the longest time</t>
  </si>
  <si>
    <t>C) To carry the carcass around a flag and drop it in a scoring circle</t>
  </si>
  <si>
    <t>The Qarajai format is a complex game requiring a rider to complete a specific course to score, unlike simpler versions.</t>
  </si>
  <si>
    <t>What is the official term for a highly skilled, master Buzkashi player?</t>
  </si>
  <si>
    <t>A) Pehlwan, B) Khan, C) Chapandaz, D) Jirga</t>
  </si>
  <si>
    <t>C) Chapandaz</t>
  </si>
  <si>
    <t>A Chapandaz is a master rider who has earned great respect for their exceptional strength, horsemanship, and strategic skill.</t>
  </si>
  <si>
    <t>Which modern country is considered the heartland of Buzkashi, where it is most culturally significant?</t>
  </si>
  <si>
    <t>A) Pakistan, B) Tajikistan, C) Kyrgyzstan, D) Afghanistan</t>
  </si>
  <si>
    <t>D) Afghanistan</t>
  </si>
  <si>
    <t>While played across Central Asia, Buzkashi holds the status of a national sport and a powerful cultural symbol in Afghanistan.</t>
  </si>
  <si>
    <t>Which empire's expansion was most responsible for the spread of Buzkashi across Central Asia?</t>
  </si>
  <si>
    <t>A) The Persian Empire, B) The Ottoman Empire, C) The Mongol Empire, D) The Mughal Empire</t>
  </si>
  <si>
    <t>C) The Mongol Empire</t>
  </si>
  <si>
    <t>The conquests of the Mongol Empire and the subsequent movement of Turkic-Mongol peoples spread the game throughout the region.</t>
  </si>
  <si>
    <t>What was the official status of Buzkashi during the Taliban's rule in Afghanistan in the 1990s?</t>
  </si>
  <si>
    <t>A) It was heavily promoted, B) It was banned as being immoral and violent, C) It was modified with new rules, D) It was only allowed in private</t>
  </si>
  <si>
    <t>B) It was banned as being immoral and violent</t>
  </si>
  <si>
    <t>The Taliban regime prohibited the sport, along with many other forms of traditional entertainment and cultural expression.</t>
  </si>
  <si>
    <t>What is the typical weight of the calf or goat carcass used in a major Buzkashi tournament?</t>
  </si>
  <si>
    <t>A) 10-20 kg, B) 20-30 kg, C) 30-50 kg, D) 50-70 kg</t>
  </si>
  <si>
    <t>D) 50-70 kg</t>
  </si>
  <si>
    <t>In professional matches, the carcass is often a heavy, sand-filled calf, weighing 50kg or more to test the riders' immense strength.</t>
  </si>
  <si>
    <t>What international organization has recognized Buzkashi as an intangible cultural heritage?</t>
  </si>
  <si>
    <t>A) The International Olympic Committee (IOC), B) The United Nations (UN), C) UNESCO, D) The World Equestrian Federation</t>
  </si>
  <si>
    <t>C) UNESCO</t>
  </si>
  <si>
    <t>UNESCO has acknowledged Buzkashi's importance as a significant element of Central Asia's intangible cultural heritage.</t>
  </si>
  <si>
    <t>Historically, what was the primary purpose of Buzkashi in nomadic societies?</t>
  </si>
  <si>
    <t>A) A religious ritual, B) A form of entertainment, C) A method of training for cavalry warfare, D) A way to trade horses</t>
  </si>
  <si>
    <t>C) A method of training for cavalry warfare</t>
  </si>
  <si>
    <t>The game was a practical exercise that sharpened the horsemanship, coordination, and resilience needed by warriors for battle.</t>
  </si>
  <si>
    <t>What is a Jirga in the context of a traditional Buzkashi match?</t>
  </si>
  <si>
    <t>A) The prize money, B) The team captain, C) A council of tribal elders who resolve disputes, D) The starting circle</t>
  </si>
  <si>
    <t>C) A council of tribal elders who resolve disputes</t>
  </si>
  <si>
    <t>In traditional games without formal referees, a jirga of respected elders served as the ultimate authority to interpret rules and settle arguments.</t>
  </si>
  <si>
    <t>What was the most significant change brought to Buzkashi during the Soviet era in Central Asia?</t>
  </si>
  <si>
    <t>A) The sport was banned, B) The introduction of standardized rules and organized federations, C) The replacement of the carcass with a ball, D) The introduction of female players</t>
  </si>
  <si>
    <t>B) The introduction of standardized rules and organized federations</t>
  </si>
  <si>
    <t>The Soviets sought to transform the chaotic folk game into a more structured, modern sport with formal teams and written rules.</t>
  </si>
  <si>
    <t>Historically, Buzkashi was often played to celebrate what type of event?</t>
  </si>
  <si>
    <t>A) A royal birth, B) A religious holiday, C) A successful harvest, D) A wedding or a military victory</t>
  </si>
  <si>
    <t>D) A wedding or a military victory</t>
  </si>
  <si>
    <t>Buzkashi was a centerpiece for major celebrations, especially weddings of powerful families and commemorations of successful battles.</t>
  </si>
  <si>
    <t>What is the main characteristic of a traditional high-backed Buzkashi saddle?</t>
  </si>
  <si>
    <t>A) It is very lightweight, B) It provides a deep, secure seat to brace the rider during the struggle, C) It has no stirrups, D) It is made of metal</t>
  </si>
  <si>
    <t>B) It provides a deep, secure seat to brace the rider during the struggle</t>
  </si>
  <si>
    <t>The high pommel (front) and cantle (back) of the saddle are essential for locking the rider in place, providing the leverage needed to lift and hold the carcass.</t>
  </si>
  <si>
    <t>Why was the carcass traditionally soaked in water for 24 hours before a match?</t>
  </si>
  <si>
    <t>A) To make it heavier, B) To make it tougher and less likely to tear apart, C) To improve its grip, D) It was a purification ritual</t>
  </si>
  <si>
    <t>B) To make it tougher and less likely to tear apart</t>
  </si>
  <si>
    <t>Soaking the carcass in cold water makes the hide and flesh firm and durable, preventing it from disintegrating during the violent game.</t>
  </si>
  <si>
    <t>Which 18th-century ruler of the Durrani Empire is known for having used Buzkashi to promote tribal unity?</t>
  </si>
  <si>
    <t>A) Timur Shah Durrani, B) Zaman Shah Durrani, C) Ahmad Shah Durrani, D) Mahmud Shah Durrani</t>
  </si>
  <si>
    <t>C) Ahmad Shah Durrani</t>
  </si>
  <si>
    <t>The founder of the Durrani Empire, Ahmad Shah Durrani, reportedly sponsored Buzkashi tournaments as a way to bring rival tribes together and foster a sense of national identity.</t>
  </si>
  <si>
    <t>What did winning a Buzkashi game signify for a player in a traditional tribal context?</t>
  </si>
  <si>
    <t>A) A large sum of money, B) A promotion in military rank, C) An elevation of their honor and social status, D) A piece of land</t>
  </si>
  <si>
    <t>C) An elevation of their honor and social status</t>
  </si>
  <si>
    <t>Victory in Buzkashi brought immense prestige, marking a player as a man of great strength, skill, and courage.</t>
  </si>
  <si>
    <t>In Pashtun culture, what is the connection between Buzkashi and the code of conduct known as Pashtunwali?</t>
  </si>
  <si>
    <t>A) There is no connection, B) Pashtunwali forbids the sport, C) The sport is seen as an expression of the courage and honor mandated by Pashtunwali, D) Pashtunwali provides the written rules for the game</t>
  </si>
  <si>
    <t>C) The sport is seen as an expression of the courage and honor mandated by Pashtunwali</t>
  </si>
  <si>
    <t>Buzkashi is a physical manifestation of key Pashtun values such as bravery (tora), honor (nang), and rivalry.</t>
  </si>
  <si>
    <t>Which historical text, the memoirs of a Mughal emperor, contains one of the earliest written accounts of Buzkashi?</t>
  </si>
  <si>
    <t>A) The Akbarnama, B) The Shahnameh, C) The Baburnama, D) The Tuzk-e-Jahangiri</t>
  </si>
  <si>
    <t>C) The Baburnama</t>
  </si>
  <si>
    <t>The memoirs of Babur, the first Mughal emperor, describe the games and customs of Central Asia, including observations of Buzkashi.</t>
  </si>
  <si>
    <t>Why were Buzkashi horses historically considered valuable tribal assets?</t>
  </si>
  <si>
    <t>A) They could be traded for goods, B) They represented the tribe's honor and prestige, C) They were essential for military readiness, D) All of the above</t>
  </si>
  <si>
    <t>A tribe's herd of trained Buzkashi horses symbolized its wealth, honor, and readiness for both sport and warfare.</t>
  </si>
  <si>
    <t>Which region outside of Afghanistan and Pakistan has a strong tradition of Buzkashi, often as part of wedding customs?</t>
  </si>
  <si>
    <t>A) Northern India, B) The Khorasan region of Iran, C) Western China, D) The Arabian Peninsula</t>
  </si>
  <si>
    <t>B) The Khorasan region of Iran</t>
  </si>
  <si>
    <t>In parts of northeastern Iran, the game is a traditional feature of major weddings and cultural festivals, highlighting its broad regional roots.</t>
  </si>
  <si>
    <t>Which 20th-century Afghan king was instrumental in modernizing Buzkashi by staging it in urban stadiums for national events?</t>
  </si>
  <si>
    <t>A) Amanullah Khan, B) Habibullah Khan, C) Mohammed Nadir Shah, D) Mohammed Zahir Shah</t>
  </si>
  <si>
    <t>D) Mohammed Zahir Shah</t>
  </si>
  <si>
    <t>During his long reign, Zahir Shah helped transform Buzkashi from a rural folk game into an organized national spectacle, often played in stadiums in Kabul.</t>
  </si>
  <si>
    <t>Which 14th-century illustrated manuscript provides some of the earliest visual depictions of nomadic games resembling Buzkashi?</t>
  </si>
  <si>
    <t>A) The Jami' al-tawarikh (Compendium of Chronicles), B) The Shahnameh (Book of Kings), C) The Tarikh-i-Rashidi, D) The Baburnama</t>
  </si>
  <si>
    <t>A) The Jami' al-tawarikh (Compendium of Chronicles)</t>
  </si>
  <si>
    <t>This historical work by Rashid-al-Din contains miniatures that illustrate the equestrian games of the Mongol and Turkic peoples.</t>
  </si>
  <si>
    <t>Why did some conservative Islamic scholars historically oppose Buzkashi?</t>
  </si>
  <si>
    <t>A) Because it involved horses, B) Due to its association with gambling and perceived animal cruelty, C) Because it was a pre-Islamic tradition, D) All of the above</t>
  </si>
  <si>
    <t>Critics sometimes opposed the sport because of the gambling that often accompanied it, the violent nature of the game, and its pre-Islamic, shamanistic roots.</t>
  </si>
  <si>
    <t>Which 19th-century British envoy to the court of Kabul provided one of the first detailed European accounts of Buzkashi?</t>
  </si>
  <si>
    <t>A) Alexander Burnes, B) Lord Curzon, C) Mountstuart Elphinstone, D) Henry Rawlinson</t>
  </si>
  <si>
    <t>C) Mountstuart Elphinstone</t>
  </si>
  <si>
    <t>In his "Account of the Kingdom of Caubul" (1815), Elphinstone described the chaotic and thrilling spectacle of Buzkashi as he witnessed it.</t>
  </si>
  <si>
    <t>How did Afghan political leaders often use Buzkashi as a metaphor in their speeches?</t>
  </si>
  <si>
    <t>A) As a symbol of peace, B) As a metaphor for the chaotic and fierce struggle of Afghan politics, C) As a symbol of agriculture, D) As a metaphor for religious devotion</t>
  </si>
  <si>
    <t>B) As a metaphor for the chaotic and fierce struggle of Afghan politics</t>
  </si>
  <si>
    <t>The game's intense, multi-sided rivalry for a single prize was often used to describe the nature of political power struggles in the country.</t>
  </si>
  <si>
    <t>What symbolic role did the spectators play in a traditional Buzkashi match?</t>
  </si>
  <si>
    <t>A) They acted as the judges, B) They were witnesses who validated the honor won or lost in the contest, C) They provided the prize money, D) They had no symbolic role</t>
  </si>
  <si>
    <t>B) They were witnesses who validated the honor won or lost in the contest</t>
  </si>
  <si>
    <t>The community's presence was essential. Spectators were not passive observers but active participants who legitimized the outcome and reinforced the game's social importance.</t>
  </si>
  <si>
    <t>Which 18th-century ruler institutionalized Buzkashi tournaments in the then-capital, Kandahar, as a way to unify tribes?</t>
  </si>
  <si>
    <t>A) Timur Shah, B) Zaman Shah, C) Ahmad Shah Durrani, D) Mahmud Shah</t>
  </si>
  <si>
    <t>The founder of modern Afghanistan used large, state-sponsored tournaments as a political tool to foster unity and display his power.</t>
  </si>
  <si>
    <t>In the 20th century, which city in northern Afghanistan became the most famous center for organized, high-level Buzkashi tournaments, especially during Nowruz?</t>
  </si>
  <si>
    <t>A) Kabul, B) Herat, C) Mazar-i-Sharif, D) Kandahar</t>
  </si>
  <si>
    <t>C) Mazar-i-Sharif</t>
  </si>
  <si>
    <t>Mazar-i-Sharif is renowned for hosting the largest and most prestigious national Buzkashi events, attracting the best players from across the country.</t>
  </si>
  <si>
    <t>Which Afghan king attempted to modernize the sport by experimenting with a standardized leather ball instead of a carcass?</t>
  </si>
  <si>
    <t>A) Abdur Rahman Khan, B) Amanullah Khan, C) Habibullah Khan, D) Zahir Shah</t>
  </si>
  <si>
    <t>D) Zahir Shah</t>
  </si>
  <si>
    <t>As part of his efforts to formalize the sport, King Zahir Shah's government experimented with alternatives to the traditional carcass, though they were not widely adopted.</t>
  </si>
  <si>
    <t>What is the term for the version of the game played in Kyrgyzstan and Kazakhstan, which shares a common origin with Buzkashi?</t>
  </si>
  <si>
    <t>A) Kokpar, B) Chovgan, C) Baiga, D) Er Enish</t>
  </si>
  <si>
    <t>A) Kokpar</t>
  </si>
  <si>
    <t>Kokpar is the national sport of Kyrgyzstan and Kazakhstan and is a close relative of Buzkashi, often with more formalized team rules.</t>
  </si>
  <si>
    <t>What is the historical reason that the carcass is typically from a goat and not a sheep?</t>
  </si>
  <si>
    <t>A) Goats are more numerous, B) Goat hide is tougher and less likely to tear than sheepskin, C) It is a religious requirement, D) Sheep are considered sacred</t>
  </si>
  <si>
    <t>B) Goat hide is tougher and less likely to tear than sheepskin</t>
  </si>
  <si>
    <t>The durability of the object is critical. A goat's skin is much more resistant to tearing than a sheep's, making it better suited for the game.</t>
  </si>
  <si>
    <t>In Pashtun folklore, refusing a challenge to participate in Buzkashi could be seen as a sign of what?</t>
  </si>
  <si>
    <t>A) Intelligence, B) Religious piety, C) Cowardice, D) Humility</t>
  </si>
  <si>
    <t>C) Cowardice</t>
  </si>
  <si>
    <t>In a culture that values warrior virtues, refusing to participate in this ultimate test of bravery could lead to a loss of social standing.</t>
  </si>
  <si>
    <t>Which Pakistani tribal region, known for its martial traditions, considers Buzkashi victories to be as prestigious as wins in tribal conflicts?</t>
  </si>
  <si>
    <t>A) Swat, B) Gilgit, C) Waziristan, D) Kalash</t>
  </si>
  <si>
    <t>C) Waziristan</t>
  </si>
  <si>
    <t>The tribes of Waziristan, with their strong warrior ethos, place immense honor and prestige on Buzkashi victories as symbols of martial prowess.</t>
  </si>
  <si>
    <t>What is the primary reason that modern, organized matches have a set time limit, unlike traditional games?</t>
  </si>
  <si>
    <t>A) The horses get tired, B) To make the game more suitable for spectators and modern event scheduling, C) The riders requested it, D) To make it easier for referees</t>
  </si>
  <si>
    <t>B) To make the game more suitable for spectators and modern event scheduling</t>
  </si>
  <si>
    <t>Traditional games could last all day. A fixed duration makes the sport more structured and predictable for formal tournaments.</t>
  </si>
  <si>
    <t>What does the term Chapandaz literally mean?</t>
  </si>
  <si>
    <t>A) "Fast Rider", B) "Goat Grabber", C) "The Chosen One", D) It has no literal meaning</t>
  </si>
  <si>
    <t>A) "Fast Rider"</t>
  </si>
  <si>
    <t>The term reflects the essential quality of a master player: exceptional speed and skill on horseback.</t>
  </si>
  <si>
    <t>Which South Asian sport is most often compared to Buzkashi in terms of its intense physicality and cultural importance?</t>
  </si>
  <si>
    <t>A) Kabaddi, B) Mallakhamb, C) Kushti (Pehlwan), D) Gilli Danda</t>
  </si>
  <si>
    <t>A) Kabaddi</t>
  </si>
  <si>
    <t>Both Kabaddi and Buzkashi are high-contact, physically demanding sports that are deeply embedded in the cultural fabric and honor systems of their respective regions.</t>
  </si>
  <si>
    <t>Why is communication between a rider and their horse often non-verbal in Buzkashi?</t>
  </si>
  <si>
    <t>A) The crowd noise makes verbal commands useless, B) The rider's hands are often occupied, requiring them to use subtle leg and weight cues, C) Horses are trained to ignore shouting, D) Both A and B</t>
  </si>
  <si>
    <t>The chaotic noise of the game makes verbal commands difficult, and a rider needs their hands to fight for the carcass, so control must be achieved through subtle physical cues.</t>
  </si>
  <si>
    <t>In what way does Buzkashi reflect the historical nomadic economy of Central Asia?</t>
  </si>
  <si>
    <t>A) It was a way to sell horses, B) The horse was the most valuable asset, and the sport was a display of that wealth, C) The prize was often livestock, D) All of the above</t>
  </si>
  <si>
    <t>The sport is deeply connected to the pastoral economy, revolving around the value of horses and livestock, and often facilitating trade.</t>
  </si>
  <si>
    <t>What is the significance of a family known for breeding champion Buzkashi horses?</t>
  </si>
  <si>
    <t>A) They are often wealthy, B) They hold a position of high social prestige and honor, C) They are considered experts in horsemanship, D) All of the above</t>
  </si>
  <si>
    <t>Breeding successful Buzkashi horses is a respected art form that brings great honor and status to a family or clan.</t>
  </si>
  <si>
    <t>Which 20th-century conflict saw Buzkashi used as a symbol of Afghan resistance and national identity?</t>
  </si>
  <si>
    <t>A) The Afghan Civil War, B) The Second Anglo-Afghan War, C) The Soviet-Afghan War, D) The Third Anglo-Afghan War</t>
  </si>
  <si>
    <t>C) The Soviet-Afghan War</t>
  </si>
  <si>
    <t>During the war, the game became a powerful symbol of the Mujahideen's resilience, warrior spirit, and love for their homeland, famously depicted in the movie "The Horsemen."</t>
  </si>
  <si>
    <t>Why are the horses' legs often wrapped in protective bandages for a match?</t>
  </si>
  <si>
    <t>A) For decoration, B) To protect against scrapes and strikes from other horses' hooves in the scrum, C) To make the horse run faster, D) To add weight for training</t>
  </si>
  <si>
    <t>B) To protect against scrapes and strikes from other horses' hooves in the scrum</t>
  </si>
  <si>
    <t>The scrum is a chaotic mix of flailing hooves, and these bandages provide a crucial layer of protection against cuts and impact injuries.</t>
  </si>
  <si>
    <t>What is the main reason for the high price of a fully trained, elite Buzkashi horse?</t>
  </si>
  <si>
    <t>A) The cost of its saddle and bridle, B) The 5-10 years of intensive, specialized training it has received, C) It is a rare, imported breed, D) The cost of its food</t>
  </si>
  <si>
    <t>B) The 5-10 years of intensive, specialized training it has received</t>
  </si>
  <si>
    <t>The value of a top Buzkashi horse is primarily in its extensive training and experience, which takes many years and great skill to develop.</t>
  </si>
  <si>
    <t>Which Central Asian leader famously incorporated Buzkashi into state festivals to blend military tradition with national celebration?</t>
  </si>
  <si>
    <t>A) Ismail Samani, B) Babur, C) Timur (Tamerlane), D) Alisher Navoi</t>
  </si>
  <si>
    <t>C) Timur (Tamerlane)</t>
  </si>
  <si>
    <t>Timur used large-scale Buzkashi events as a way to demonstrate his power, entertain his troops, and reinforce the martial traditions of his empire.</t>
  </si>
  <si>
    <t>In Buzkashi folklore, what is often said about the relationship between a Chapandaz and his horse?</t>
  </si>
  <si>
    <t>A) It is purely a tool for winning, B) They are said to share a single mind and spirit, C) The horse is more important than the rider, D) The rider must dominate the horse through fear</t>
  </si>
  <si>
    <t>B) They are said to share a single mind and spirit</t>
  </si>
  <si>
    <t>The bond between horse and rider is legendary, often described in mystical terms as a partnership of perfect understanding and trust.</t>
  </si>
  <si>
    <t>What is the primary role of a horse's powerful hindquarters in Buzkashi?</t>
  </si>
  <si>
    <t>A) For balance, B) For kicking opponents, C) To provide the explosive acceleration needed to break away from the scrum, D) For decoration</t>
  </si>
  <si>
    <t>C) To provide the explosive acceleration needed to break away from the scrum</t>
  </si>
  <si>
    <t>The "engine" of the horse is in its rear, and powerful hind legs are essential for the bursts of speed that define the game.</t>
  </si>
  <si>
    <t>In a tournament, what is the most common way a tie is broken?</t>
  </si>
  <si>
    <t>A) A coin toss, B) The team with the fewest fouls wins, C) An extra period of play is held, D) The team that scored last wins</t>
  </si>
  <si>
    <t>C) An extra period of play is held</t>
  </si>
  <si>
    <t>In a formal match that requires a clear winner, an overtime period is the standard method for breaking a tie.</t>
  </si>
  <si>
    <t>What is the ultimate sign of a masterful Chapandaz?</t>
  </si>
  <si>
    <t>A) They have the most expensive horse, B) They make the chaotic and difficult game look effortless, C) They win every match they play, D) They are the most aggressive rider</t>
  </si>
  <si>
    <t>B) They make the chaotic and difficult game look effortless</t>
  </si>
  <si>
    <t>True mastery is shown through an effortless grace and intelligence that makes the incredibly difficult sport look fluid and simple.</t>
  </si>
  <si>
    <t>Which of these is a foul a rider can commit against another rider?</t>
  </si>
  <si>
    <t>A) Using their horse to push the opponent's horse, B) Grabbing the carcass from the opponent, C) Grabbing the opponent's reins or leg, D) Shouting at the opponent</t>
  </si>
  <si>
    <t>C) Grabbing the opponent's reins or leg</t>
  </si>
  <si>
    <t>A player can only contest the carcass; it is illegal to grab the opponent's body or equipment.</t>
  </si>
  <si>
    <t>Why is a horse that is "one-sided" (can only turn well in one direction) a disadvantage?</t>
  </si>
  <si>
    <t>A) It is not a disadvantage, B) It makes the rider's movements predictable and easy to counter, C) It is a sign of a poorly bred horse, D) The referee will penalize it</t>
  </si>
  <si>
    <t>B) It makes the rider's movements predictable and easy to counter</t>
  </si>
  <si>
    <t>A versatile Buzkashi horse must be able to pivot and turn with equal agility in both directions to be effective in the fluid game.</t>
  </si>
  <si>
    <t>What is the main reason a fallen rider must remount their own horse?</t>
  </si>
  <si>
    <t>A) It is a test of their skill, B) It prevents a rider from taking a fresher horse, C) The horses will only respond to their own rider, D) It is a sign of respect</t>
  </si>
  <si>
    <t>B) It prevents a rider from taking a fresher horse</t>
  </si>
  <si>
    <t>This rule ensures that the partnership between a specific rider and their horse is maintained, making endurance a key factor.</t>
  </si>
  <si>
    <t>What does it mean if a horse has good "cow sense"?</t>
  </si>
  <si>
    <t>A) It is afraid of cows, B) It has an instinctive ability to track a moving object and anticipate its movements, C) It is a horse that was used for herding cattle, D) It is a slow but steady horse</t>
  </si>
  <si>
    <t>C) It is a horse that was used for herding cattle</t>
  </si>
  <si>
    <t>The skills of a good cow-herding horse—agility and the ability to track a moving animal—are directly transferable to Buzkashi.</t>
  </si>
  <si>
    <t>What is the primary reason for the high value of a champion Buzkashi horse?</t>
  </si>
  <si>
    <t>A) Its beauty, B) Its rarity, C) Its proven combination of strength, stamina, training, and courage, D) Its age</t>
  </si>
  <si>
    <t>C) Its proven combination of strength, stamina, training, and courage</t>
  </si>
  <si>
    <t>A champion horse is a world-class athlete that represents a massive investment of time and resources, making it extremely valuable.</t>
  </si>
  <si>
    <t>In a formal match, what is the most common way the game is started?</t>
  </si>
  <si>
    <t>A) A race to the carcass from a line, B) The carcass is placed in a central circle and the referee signals the start, C) The carcass is thrown into the air, D) A coin toss decides possession</t>
  </si>
  <si>
    <t>B) The carcass is placed in a central circle and the referee signals the start</t>
  </si>
  <si>
    <t>For an orderly start, the carcass is placed in the center, and the riders charge from the perimeter upon the referee's signal.</t>
  </si>
  <si>
    <t>How did the Soviet invasion impact the tradition of Buzkashi in Afghanistan?</t>
  </si>
  <si>
    <t>A) It was completely wiped out, B) The Soviets promoted the sport, C) It became a symbol of Afghan resistance and was played defiantly, D) It was replaced with polo</t>
  </si>
  <si>
    <t>C) It became a symbol of Afghan resistance and was played defiantly</t>
  </si>
  <si>
    <t>The game was a powerful expression of national identity and warrior spirit for the Mujahideen during the conflict.</t>
  </si>
  <si>
    <t>What is a "stallion fight" in the context of a Buzkashi match?</t>
  </si>
  <si>
    <t>A) A separate event, B) When two rival stallions in the scrum start fighting each other instead of playing, C) A specific scoring move, D) A ceremonial dance</t>
  </si>
  <si>
    <t>B) When two rival stallions in the scrum start fighting each other instead of playing</t>
  </si>
  <si>
    <t>The high aggression of the stallions can sometimes cause them to revert to natural behavior, leading to a brief but violent fight within the game.</t>
  </si>
  <si>
    <t>Why is it important for a Chapandaz to have a very strong core (abdominal and back muscles)?</t>
  </si>
  <si>
    <t>A) It is not important, B) To withstand the immense twisting and pulling forces when lifting and carrying the carcass, C) To be able to shout louder, D) To protect against whip strikes</t>
  </si>
  <si>
    <t>B) To withstand the immense twisting and pulling forces when lifting and carrying the carcass</t>
  </si>
  <si>
    <t>A strong core is essential for a rider to maintain their balance and posture while wrestling with a heavy, shifting weight on horseback.</t>
  </si>
  <si>
    <t>What is the ruling if a rider is carrying the carcass and is unhorsed, but manages to drop the carcass in the scoring circle as they are falling?</t>
  </si>
  <si>
    <t>A) It is a spectacular and valid score, B) The score is not valid because the rider was not in control, C) A partial score is awarded, D) The point is replayed</t>
  </si>
  <si>
    <t>B) The score is not valid because the rider was not in control</t>
  </si>
  <si>
    <t>A rider must be fully mounted and in control of their horse at the moment of the score for it to be legal.</t>
  </si>
  <si>
    <t>A horse is praised for being "cat-like" in its agility. What does this mean?</t>
  </si>
  <si>
    <t>A) The horse is very quiet, B) The horse has an incredible ability to stay on its feet, turn sharply, and recover its balance, C) The horse likes to chase things, D) The horse has sharp claws</t>
  </si>
  <si>
    <t>B) The horse has an incredible ability to stay on its feet, turn sharply, and recover its balance</t>
  </si>
  <si>
    <t>This is a high compliment, referring to the horse's nimbleness and grace amidst the chaos.</t>
  </si>
  <si>
    <t>What is the ruling if a rider from Team A is holding the carcass, and a rider from Team B grabs the saddle of the Team A rider?</t>
  </si>
  <si>
    <t>A) It is a legal move to unbalance the rider, B) It is a foul on Team B for grabbing equipment, C) Play continues, D) Team A is awarded a point</t>
  </si>
  <si>
    <t>B) It is a foul on Team B for grabbing equipment</t>
  </si>
  <si>
    <t>A player cannot grab an opponent's tack (saddle, bridle, reins) to gain an advantage.</t>
  </si>
  <si>
    <t>Why are horses in Buzkashi often trained to respond to leg and weight cues more than rein cues?</t>
  </si>
  <si>
    <t>A) The reins are often dropped, B) The rider's hands are busy with the carcass, so they must steer with their legs, C) It is more traditional, D) It is a rule</t>
  </si>
  <si>
    <t>B) The rider's hands are busy with the carcass, so they must steer with their legs</t>
  </si>
  <si>
    <t>A Chapandaz needs their hands to fight for the buz, so the horse must be trained to respond to pressure from the legs and shifts in the rider's weight.</t>
  </si>
  <si>
    <t>What is the most common characteristic of a field used for a village Buzkashi game?</t>
  </si>
  <si>
    <t>A) It is a perfectly manicured grass field, B) It is a large, open, and often dusty plain with natural boundaries, C) It is a small, enclosed arena, D) It is a sandy beach</t>
  </si>
  <si>
    <t>B) It is a large, open, and often dusty plain with natural boundaries</t>
  </si>
  <si>
    <t>Traditional games use the natural landscape, embracing the rugged and open nature of the sport's origins.</t>
  </si>
  <si>
    <t>A player is disqualified for "dangerous riding." Which of these actions would qualify?</t>
  </si>
  <si>
    <t>A) Riding too fast, B) Intentionally riding into a fallen rider, C) Celebrating a score too much, D) Using a short whip</t>
  </si>
  <si>
    <t>B) Intentionally riding into a fallen rider</t>
  </si>
  <si>
    <t>Any action that shows a deliberate disregard for the safety of other players or horses is considered dangerous riding and is a major foul.</t>
  </si>
  <si>
    <t>If a rider from Team A is carrying the carcass, what is a legal defensive move for a rider from Team B?</t>
  </si>
  <si>
    <t>A) To grab the Team A rider's reins, B) To ride alongside and use their horse to push Team A's horse sideways, C) To whip the Team A rider, D) To throw a rope at the carcass</t>
  </si>
  <si>
    <t>B) To ride alongside and use their horse to push Team A's horse sideways</t>
  </si>
  <si>
    <t>Using one's own horse to legally interfere with and push an opponent's horse is a fundamental defensive and offensive tactic.</t>
  </si>
  <si>
    <t>What is the primary reason for the high price of a fully trained, elite Buzkashi horse?</t>
  </si>
  <si>
    <t>A) The cost of its saddle, B) The years of intensive, specialized training it has received, C) It is a rare breed, D) The cost of its food</t>
  </si>
  <si>
    <t>B) The years of intensive, specialized training it has received</t>
  </si>
  <si>
    <t>The value of a top Buzkashi horse is in its training and experience, which takes many years and great skill to develop.</t>
  </si>
  <si>
    <t>What is the symbolic meaning of the Circle of Justice (Da 'Adalat Daira)?</t>
  </si>
  <si>
    <t>A) It represents the circle of life, B) It is a neutral ground where a fair score can be made, C) It represents the sun, D) It has no symbolic meaning</t>
  </si>
  <si>
    <t>B) It is a neutral ground where a fair score can be made</t>
  </si>
  <si>
    <t>The name implies that the circle is a place of fairness and truth, where a rider's successful effort is officially and justly recognized.</t>
  </si>
  <si>
    <t>A rider is struggling to lift the carcass. His teammate rides up and helps him lift it. Is this legal?</t>
  </si>
  <si>
    <t>A) Yes, this is good teamwork, B) No, only one rider can be in possession of the carcass at a time, C) The team is penalized for having two riders on the carcass, D) The point is replayed</t>
  </si>
  <si>
    <t>B) No, only one rider can be in possession of the carcass at a time</t>
  </si>
  <si>
    <t>A rider must gain sole possession of the carcass. Assistance from a teammate in this manner is not allowed.</t>
  </si>
  <si>
    <t>What is the primary purpose of the high pommel (front) of a Buzkashi saddle?</t>
  </si>
  <si>
    <t>A) It is a handle for the rider to hold, B) It helps to lock the rider into the saddle and provides a brace, C) It is a place to tie the whip, D) It is for decoration</t>
  </si>
  <si>
    <t>B) It helps to lock the rider into the saddle and provides a brace</t>
  </si>
  <si>
    <t>The high pommel and cantle create a deep, secure seat, which is essential for staying on the horse during the violent pulling and leaning.</t>
  </si>
  <si>
    <t>A horse refuses to enter the scrum. What does this indicate?</t>
  </si>
  <si>
    <t>A) The horse is intelligent, B) The horse lacks the courage or training for the game, C) The horse is tired, D) The horse dislikes its rider</t>
  </si>
  <si>
    <t>B) The horse lacks the courage or training for the game</t>
  </si>
  <si>
    <t>A key trait of a Buzkashi horse is its "heart" or bravery; a horse that shies away from the fight is not suitable for the sport.</t>
  </si>
  <si>
    <t>In a formal match, what is the penalty for a rider who is not wearing the required team sash or jersey?</t>
  </si>
  <si>
    <t>A) They are not allowed to start the match, B) They are given a point penalty, C) It does not matter, D) They must borrow one from another player</t>
  </si>
  <si>
    <t>A) They are not allowed to start the match</t>
  </si>
  <si>
    <t>Proper uniform is required for identification by the referees. A player cannot compete without it.</t>
  </si>
  <si>
    <t>A rider is holding the carcass under their leg. An opponent rides up and tries to pull it free. Is it legal for the first rider to clamp their leg down harder to keep it?</t>
  </si>
  <si>
    <t>A) No, they must use their hands, B) Yes, using the legs to grip and secure the carcass is a key skill, C) It is a foul for holding, D) Only if the opponent agrees</t>
  </si>
  <si>
    <t>B) Yes, using the legs to grip and secure the carcass is a key skill</t>
  </si>
  <si>
    <t>The powerful leg grip of a Chapandaz is their primary tool for maintaining possession of the heavy carcass.</t>
  </si>
  <si>
    <t>In a tournament, what happens if a team disputes a referee's call?</t>
  </si>
  <si>
    <t>A) They can overrule the referee, B) The team captain can lodge a formal protest with the head judge or committee, C) The game is stopped and replayed, D) They are disqualified for arguing</t>
  </si>
  <si>
    <t>B) The team captain can lodge a formal protest with the head judge or committee</t>
  </si>
  <si>
    <t>While a field referee's call is often final, there is a formal process for protesting a ruling to a higher authority at the event.</t>
  </si>
  <si>
    <t>Why are horses often fed a high-energy diet of barley and eggs before a match?</t>
  </si>
  <si>
    <t>A) To make them heavier, B) To provide the carbohydrates and protein needed for extreme athletic performance, C) It is a religious requirement, D) To make their coats shinier</t>
  </si>
  <si>
    <t>B) To provide the carbohydrates and protein needed for extreme athletic performance</t>
  </si>
  <si>
    <t>This traditional diet is a form of "carb-loading," designed to give the horses the maximum amount of fuel for the strenuous game.</t>
  </si>
  <si>
    <t>A rider's horse falls, and the rider is trapped underneath. What is the immediate action of the other players?</t>
  </si>
  <si>
    <t>A) They continue the game, B) They often stop and help to free the trapped rider, C) They try to steal the horse, D) They wait for the referee to act</t>
  </si>
  <si>
    <t>B) They often stop and help to free the trapped rider</t>
  </si>
  <si>
    <t>Despite the fierce rivalry, there is a strong code of honor. A rider in a life-threatening situation is immediately helped by those nearby, opponent or not.</t>
  </si>
  <si>
    <t>A rider is in possession of the carcass near the boundary. An opponent legally pushes them with their horse, forcing them out of bounds. What is the call?</t>
  </si>
  <si>
    <t>A) A foul on the opponent for pushing, B) A point for the opponent, C) The carcass is reset in the center, D) A warning is issued to both riders</t>
  </si>
  <si>
    <t>C) The carcass is reset in the center</t>
  </si>
  <si>
    <t>The push was legal, but the result is that the carcass went out of play. Therefore, the play is dead and the carcass is reset.</t>
  </si>
  <si>
    <t>What is the most common color for the traditional quilted coat (chapan) worn by riders?</t>
  </si>
  <si>
    <t>A) Bright red, B) White, C) Dark, muted colors like black, blue, or brown, D) Bright yellow</t>
  </si>
  <si>
    <t>C) Dark, muted colors like black, blue, or brown</t>
  </si>
  <si>
    <t>While some riders have personalized coats, the most traditional chapans are in dark, practical colors.</t>
  </si>
  <si>
    <t>How long can a typical Buzkashi match last?</t>
  </si>
  <si>
    <t>A) 10 minutes, B) 30 minutes, C) Often for several hours, with multiple periods, D) It is untimed</t>
  </si>
  <si>
    <t>C) Often for several hours, with multiple periods</t>
  </si>
  <si>
    <t>A formal Buzkashi match is a long and grueling affair, sometimes consisting of two 45-minute halves with a break in between.</t>
  </si>
  <si>
    <t>What is the main reason a Chapandaz must have exceptionally strong leg muscles?</t>
  </si>
  <si>
    <t>A) To run faster if unhorsed, B) To kick opponents, C) To grip the horse tightly, especially when leaning to lift the carcass, D) It is not important</t>
  </si>
  <si>
    <t>C) To grip the horse tightly, especially when leaning to lift the carcass</t>
  </si>
  <si>
    <t>The rider's legs are their anchor to the horse. An iron grip is essential for staying in the saddle during the violent struggle.</t>
  </si>
  <si>
    <t>A rider is about to score, but an opponent grabs their saddle to pull them back. Is this legal?</t>
  </si>
  <si>
    <t>A) Yes, it is a smart defensive play, B) No, it is a foul to grab an opponent's equipment, C) Only if they do not pull the rider off the horse, D) It is up to the referee's discretion</t>
  </si>
  <si>
    <t>B) No, it is a foul to grab an opponent's equipment</t>
  </si>
  <si>
    <t>A player can only contest for the carcass. Grabbing the saddle, reins, or rider is illegal.</t>
  </si>
  <si>
    <t>Why are Buzkashi horses trained to respond to leg and weight cues more than rein cues?</t>
  </si>
  <si>
    <t>If a match ends in a tie, and the overtime period also ends in a tie, what might be the final decider in a traditional game?</t>
  </si>
  <si>
    <t>A) A coin toss, B) The match is declared a draw, a respected outcome, C) The team that scored the last point wins, D) The teams have a horse race</t>
  </si>
  <si>
    <t>B) The match is declared a draw, a respected outcome</t>
  </si>
  <si>
    <t>In the traditional spirit of the game, a draw is an honorable result signifying that two powerful forces were equally matched.</t>
  </si>
  <si>
    <t>A rider is injured and must be substituted. Can the original rider return to the game later?</t>
  </si>
  <si>
    <t>A) Yes, after a rest period, B) No, once a player is substituted, they cannot return, C) Only in the second half, D) Only if the substitute player also gets injured</t>
  </si>
  <si>
    <t>B) No, once a player is substituted, they cannot return</t>
  </si>
  <si>
    <t>In most formal rule sets, a player who has been replaced by a substitute is out of the game for its remainder.</t>
  </si>
  <si>
    <t>A) It is afraid of cows, B) It has an instinctive ability to anticipate the movement of the carcass and other horses, C) It is a horse that was used for herding cattle, D) It is a slow but steady horse</t>
  </si>
  <si>
    <t>Why is it considered a foul to intentionally cause another rider's horse to fall?</t>
  </si>
  <si>
    <t>A) It is not a foul, B) It is an extremely dangerous and unsportsmanlike act, C) It gives an unfair advantage, D) It can damage the field</t>
  </si>
  <si>
    <t>B) It is an extremely dangerous and unsportsmanlike act</t>
  </si>
  <si>
    <t>While collisions are part of the game, deliberately tripping or causing a horse to fall is a major foul aimed at causing serious injury.</t>
  </si>
  <si>
    <t>A rider's whip breaks during the game. What can they do?</t>
  </si>
  <si>
    <t>A) They must be substituted, B) They must continue without a whip, C) A teammate can give them a spare whip, D) They are disqualified</t>
  </si>
  <si>
    <t>B) They must continue without a whip</t>
  </si>
  <si>
    <t>A rider can continue without a whip. There is no stoppage of play for this kind of equipment failure.</t>
  </si>
  <si>
    <t>What is the ruling if a rider grabs the carcass, but is immediately forced out of bounds by two opponents?</t>
  </si>
  <si>
    <t>A) A foul on the opponents for double-teaming, B) The rider who was forced out loses possession, and the carcass is reset, C) The rider gets to keep possession, D) The two opponents are penalized</t>
  </si>
  <si>
    <t>B) The rider who was forced out loses possession, and the carcass is reset</t>
  </si>
  <si>
    <t>Being pushed out of bounds, even by opponents, results in a loss of possession and a reset of the play.</t>
  </si>
  <si>
    <t>Why is a horse's ability to tolerate pain a crucial attribute?</t>
  </si>
  <si>
    <t>A) It is not, B) The game involves constant, painful collisions and whip strikes, C) It allows the rider to be harsher, D) It is a sign of a cheap horse</t>
  </si>
  <si>
    <t>B) The game involves constant, painful collisions and whip strikes</t>
  </si>
  <si>
    <t>Buzkashi is a brutal sport. A horse must have the grit and resilience to play through the pain and exhaustion.</t>
  </si>
  <si>
    <t>How is the "official" carcass for a tournament selected?</t>
  </si>
  <si>
    <t>A) It is chosen at random, B) The sponsoring Khan provides it from his own herd, C) It must be a goat or calf of a specific age and weight, approved by the officials, D) The teams vote on it</t>
  </si>
  <si>
    <t>C) It must be a goat or calf of a specific age and weight, approved by the officials</t>
  </si>
  <si>
    <t>To ensure fairness, the carcass must meet standardized criteria for size and weight before the match.</t>
  </si>
  <si>
    <t>What is the main characteristic of a "cold-blooded" horse, and why is it unsuitable for Buzkashi?</t>
  </si>
  <si>
    <t>A) They are aggressive; they are too dangerous, B) They are calm and slow; they lack the necessary speed and fire, C) They are small; they are not strong enough, D) They are rare; they are too expensive</t>
  </si>
  <si>
    <t>B) They are calm and slow; they lack the necessary speed and fire</t>
  </si>
  <si>
    <t>Buzkashi requires "hot-blooded" horses known for their energy, speed, and competitive spirit. A placid draft horse would be completely unsuitable.</t>
  </si>
  <si>
    <t>A rider is accused of using a saddle with a hidden sharp point to hurt other horses. If true, what is the penalty?</t>
  </si>
  <si>
    <t>A) A warning, B) A point deduction, C) Immediate disqualification and a likely ban from the sport, D) A fine</t>
  </si>
  <si>
    <t>C) Immediate disqualification and a likely ban from the sport</t>
  </si>
  <si>
    <t>This is a severe form of cheating designed to deliberately injure other animals and would be met with the harshest possible penalty.</t>
  </si>
  <si>
    <t>What is the most important skill for a rider in the chaotic scrum?</t>
  </si>
  <si>
    <t>A) The ability to ride as fast as possible, B) The ability to stay on the horse and maintain position while under immense pressure, C) The ability to use the whip effectively, D) The ability to communicate with teammates</t>
  </si>
  <si>
    <t>B) The ability to stay on the horse and maintain position while under immense pressure</t>
  </si>
  <si>
    <t>Before a rider can even think about the carcass, they must master the core skill of surviving the violent chaos of the scrum.</t>
  </si>
  <si>
    <t>What is the role of a "sweeper" horse in a team?</t>
  </si>
  <si>
    <t>A) A horse trained to clean the field, B) A horse that is good at chasing down opponents who have broken free, C) A horse that is good at defense, D) A horse that is used for ceremonial purposes only</t>
  </si>
  <si>
    <t>B) A horse that is good at chasing down opponents who have broken free</t>
  </si>
  <si>
    <t>Some horses are exceptionally fast in a straight line and are used by teams to pursue and run down a breakaway scorer.</t>
  </si>
  <si>
    <t>In a tournament, what is the typical color of the Circle of Justice?</t>
  </si>
  <si>
    <t>A) It is unmarked, B) It is marked with bright white chalk, C) It is marked with a red rope, D) It is a permanently painted circle</t>
  </si>
  <si>
    <t>B) It is marked with bright white chalk</t>
  </si>
  <si>
    <t>To ensure clear visibility for riders and referees, the scoring circle is usually drawn with thick white chalk or lime.</t>
  </si>
  <si>
    <t>A) They have the most expensive horse, B) They can score a point seemingly without effort, making the chaotic game look easy, C) They win every match, D) They are the most aggressive rider</t>
  </si>
  <si>
    <t>B) They can score a point seemingly without effort, making the chaotic game look easy</t>
  </si>
  <si>
    <t>A rider is disqualified for having a horse of the wrong breed. What is the most likely required breed for a traditional match in Pakistan?</t>
  </si>
  <si>
    <t>A) Arabian, B) Thoroughbred, C) A local breed known for toughness like the Waziri or Balochi, D) Shire</t>
  </si>
  <si>
    <t>C) A local breed known for toughness like the Waziri or Balochi</t>
  </si>
  <si>
    <t>Traditional games often place high value on local breeds that are specifically adapted to the region's climate and the sport's demands.</t>
  </si>
  <si>
    <t>What is the primary purpose of the high-backed saddle, or cantle?</t>
  </si>
  <si>
    <t>A) To provide a place for decorations, B) To prevent the rider from sliding backward when pulling the heavy carcass, C) To make the rider sit taller, D) It is purely cosmetic</t>
  </si>
  <si>
    <t>B) To prevent the rider from sliding backward when pulling the heavy carcass</t>
  </si>
  <si>
    <t>The high cantle acts as a brace, giving the rider crucial leverage and support.</t>
  </si>
  <si>
    <t>A referee stops play because a rider's traditional turban (lungi) has come undone and is obscuring their vision. Is this a correct call?</t>
  </si>
  <si>
    <t>A) No, the play should continue, B) Yes, it is a matter of rider safety, C) The rider should be disqualified, D) The opponent gets a point</t>
  </si>
  <si>
    <t>B) Yes, it is a matter of rider safety</t>
  </si>
  <si>
    <t>If any piece of equipment or attire becomes a safety hazard, the referee can and should pause the game.</t>
  </si>
  <si>
    <t>A horse is praised for its "soft mouth." What does this mean?</t>
  </si>
  <si>
    <t>A) The horse has weak teeth, B) The horse is very responsive to gentle cues from the reins, C) The horse does not bite, D) The horse eats soft food</t>
  </si>
  <si>
    <t>B) The horse is very responsive to gentle cues from the reins</t>
  </si>
  <si>
    <t>A soft mouth is a sign of a well-trained horse that can be guided with subtle signals, which is crucial when the rider's hands are occupied.</t>
  </si>
  <si>
    <t>What is the main reason a rider might be penalized for "excessive whipping"?</t>
  </si>
  <si>
    <t>A) It is not penalized, B) It is considered animal cruelty, C) It can tire the horse out too quickly, D) It can damage the whip</t>
  </si>
  <si>
    <t>B) It is considered animal cruelty</t>
  </si>
  <si>
    <t>While using a whip is allowed, using it excessively or brutally violates the principles of good horsemanship and animal welfare.</t>
  </si>
  <si>
    <t>The ground for the match is extremely hard and dry. What is the greatest risk to the horses?</t>
  </si>
  <si>
    <t>A) They will run slower, B) They will get too dusty, C) Increased risk of concussion injuries to hooves and leg joints, D) They will be harder to control</t>
  </si>
  <si>
    <t>C) Increased risk of concussion injuries to hooves and leg joints</t>
  </si>
  <si>
    <t>Hard ground offers little shock absorption, leading to a higher risk of soundness issues for the horses.</t>
  </si>
  <si>
    <t>What is the referee's ruling if a rider grabs the carcass, but is then carried over the scoring line by the momentum of a large scrum of players?</t>
  </si>
  <si>
    <t>A) It is a valid score, B) It is not a valid score because the rider lacked individual control, C) The point is replayed, D) The point is awarded to the whole team</t>
  </si>
  <si>
    <t>B) It is not a valid score because the rider lacked individual control</t>
  </si>
  <si>
    <t>A rider must demonstrate clear and individual control of the carcass when scoring. Being pushed over by the crowd of horses is not a legal score.</t>
  </si>
  <si>
    <t>A rider is unhorsed, and their horse continues to follow the game and interfere with other players. What is the procedure?</t>
  </si>
  <si>
    <t>A) The horse is allowed to continue playing, B) The horse must be caught and removed from the field by officials, C) The team is penalized, D) The game is stopped</t>
  </si>
  <si>
    <t>B) The horse must be caught and removed from the field by officials</t>
  </si>
  <si>
    <t>A riderless horse is a hazard and must be removed from the field of play before the game can safely resume.</t>
  </si>
  <si>
    <t>Why is a horse with a very calm, placid temperament generally unsuitable for Buzkashi?</t>
  </si>
  <si>
    <t>A) It is not, calm horses are best, B) It will lack the competitive "fire" and aggression needed to fight in the scrum, C) It will be too slow, D) It will be too easily controlled</t>
  </si>
  <si>
    <t>B) It will lack the competitive "fire" and aggression needed to fight in the scrum</t>
  </si>
  <si>
    <t>Buzkashi requires a horse with a bold and combative spirit that is not intimidated by the chaos and violence of the game.</t>
  </si>
  <si>
    <t>In a formal match, what is the role of the "linesmen" or boundary judges?</t>
  </si>
  <si>
    <t>A) They keep score, B) They assist the main referee by signaling when the carcass or a rider goes out of bounds, C) They provide water to the players, D) They are the official timekeepers</t>
  </si>
  <si>
    <t>B) They assist the main referee by signaling when the carcass or a rider goes out of bounds</t>
  </si>
  <si>
    <t>On a large, marked field, linesmen are essential for helping the referee make accurate calls on the boundaries.</t>
  </si>
  <si>
    <t>A rider is holding the carcass. An opponent rides up and grabs the rider's leg. What is the call?</t>
  </si>
  <si>
    <t>A) A legal takedown attempt, B) A foul on the opponent for holding the rider, C) Play continues, D) The rider who was held gets a penalty</t>
  </si>
  <si>
    <t>B) A foul on the opponent for holding the rider</t>
  </si>
  <si>
    <t>It is illegal to grab any part of the rider's body or their equipment; players may only contest for the carcass itself.</t>
  </si>
  <si>
    <t>What is the main purpose of the "warm-up" period before a match begins?</t>
  </si>
  <si>
    <t>A) To allow spectators to place bets, B) To allow the horses and riders to prepare their muscles and get accustomed to the field, C) It is purely ceremonial, D) To tire the horses out slightly</t>
  </si>
  <si>
    <t>B) To allow the horses and riders to prepare their muscles and get accustomed to the field</t>
  </si>
  <si>
    <t>A proper warm-up is crucial for preventing injuries to both the horses and the riders before the intense main event.</t>
  </si>
  <si>
    <t>A rider scores a point, but the referee disallows it, ruling that the rider used their teeth to help grip the carcass. Is this a valid reason?</t>
  </si>
  <si>
    <t>A) No, any method of holding is allowed, B) Yes, using teeth is an illegal and dangerous way to handle the carcass, C) Only if it damages the carcass, D) The point is replayed</t>
  </si>
  <si>
    <t>B) Yes, using teeth is an illegal and dangerous way to handle the carcass</t>
  </si>
  <si>
    <t>The carcass must be held by the rider's hands or gripped with their legs. Biting the carcass is a foul.</t>
  </si>
  <si>
    <t>A) A separate event, B) When two rival stallions in the scrum stop focusing on the carcass and start fighting each other, C) A specific scoring move, D) A ceremonial dance</t>
  </si>
  <si>
    <t>B) When two rival stallions in the scrum stop focusing on the carcass and start fighting each other</t>
  </si>
  <si>
    <t>A rider is disqualified for wearing sharp, pointed spurs. Why are these illegal?</t>
  </si>
  <si>
    <t>A) They are not traditional, B) They can be used to unfairly injure an opponent's horse, C) They can be used to injure an opponent's leg, D) Both B and C</t>
  </si>
  <si>
    <t>Sharp spurs are considered a weapon that can be used to illegally harm both rival horses and riders, and they are strictly forbidden.</t>
  </si>
  <si>
    <t>What is the main reason a Chapandaz must have excellent cardiovascular fitness?</t>
  </si>
  <si>
    <t>A) To be able to run if unhorsed, B) The physical exertion of controlling a horse and wrestling for a heavy carcass is immense, C) To be able to hold their breath for a long time, D) It is not important</t>
  </si>
  <si>
    <t>B) The physical exertion of controlling a horse and wrestling for a heavy carcass is immense</t>
  </si>
  <si>
    <t>Buzkashi is an incredibly demanding sport that requires elite levels of strength and stamina from the rider.</t>
  </si>
  <si>
    <t>The referee stops play and awards a point to Team B because a rider from Team A was "riding dangerously." What might this rider have done?</t>
  </si>
  <si>
    <t>A) Ridden too fast, B) Performed a reckless maneuver that endangered other players, C) Not used a whip, D) Worn the wrong color</t>
  </si>
  <si>
    <t>B) Performed a reckless maneuver that endangered other players</t>
  </si>
  <si>
    <t>The referee has the authority to penalize any action they deem to be a deliberate and dangerous disregard for the safety of others.</t>
  </si>
  <si>
    <t>Why is it important for a horse to be trained to not fear the whip?</t>
  </si>
  <si>
    <t>A) So the rider can hit it harder, B) A horse that fears the whip may panic or bolt when it is used, C) It is not important, D) So the whip can be used on other horses</t>
  </si>
  <si>
    <t>B) A horse that fears the whip may panic or bolt when it is used</t>
  </si>
  <si>
    <t>The whip is a tool for guidance. A horse must be trained to respond to it as a signal, not to react with fear, which would make it uncontrollable.</t>
  </si>
  <si>
    <t>What is the name for the traditional, long quilted robe sometimes worn by riders for protection and status?</t>
  </si>
  <si>
    <t>A) Salwar Kameez, B) Sherwani, C) Chapan, D) Kurta</t>
  </si>
  <si>
    <t>C) Chapan</t>
  </si>
  <si>
    <t>The chapan is a heavy, padded coat traditional to Central Asia that serves as both a status symbol and a protective garment.</t>
  </si>
  <si>
    <t>If a sponsor offers a huge prize (like a new truck) for the first score, how does this typically affect the start of the game?</t>
  </si>
  <si>
    <t>A) The start is more cautious, B) The initial scrum for the carcass is exceptionally fierce and chaotic, C) The riders decide to share the prize, D) It has no effect</t>
  </si>
  <si>
    <t>B) The initial scrum for the carcass is exceptionally fierce and chaotic</t>
  </si>
  <si>
    <t>A valuable prize for the first point creates a massive incentive for every rider to be extremely aggressive right from the start.</t>
  </si>
  <si>
    <t>A rider is carrying the carcass, and an opponent grabs the rider's leg. What is the call?</t>
  </si>
  <si>
    <t>What is the primary reason for a horse being rejected during a pre-game inspection?</t>
  </si>
  <si>
    <t>A) It is the wrong color, B) It shows signs of lameness or illness, C) It is too old, D) It is a mare instead of a stallion</t>
  </si>
  <si>
    <t>B) It shows signs of lameness or illness</t>
  </si>
  <si>
    <t>The vet's primary role is animal welfare, and any horse that is not physically sound will be disqualified from competing.</t>
  </si>
  <si>
    <t>A rider's horse has a "hard mouth." What does this mean for the rider?</t>
  </si>
  <si>
    <t>A) The horse is very responsive to the reins, B) The horse is unresponsive to rein cues and is difficult to control, C) The horse bites other horses, D) The horse has strong teeth</t>
  </si>
  <si>
    <t>B) The horse is unresponsive to rein cues and is difficult to be controlled</t>
  </si>
  <si>
    <t>A "hard mouth" is a negative trait, indicating the horse ignores the rider's signals, making it a poor mount for a technical game like Buzkashi.</t>
  </si>
  <si>
    <t>What is the ruling if the carcass is dropped and comes to rest directly on the boundary line?</t>
  </si>
  <si>
    <t>A) It is in play, B) It is out of play and must be reset, C) The last player to touch it wins the point, D) The first player to touch it again gets possession</t>
  </si>
  <si>
    <t>B) It is out of play and must be reset</t>
  </si>
  <si>
    <t>The boundary line itself is considered out of play. The carcass must be fully inside the field.</t>
  </si>
  <si>
    <t>What is the cultural significance of the game often being played at weddings in Pashtun culture?</t>
  </si>
  <si>
    <t>A) It is a form of entertainment for the guests, B) It is a display of the families' power, wealth, and honor, C) It is a way to select a husband, D) It is a required religious ceremony</t>
  </si>
  <si>
    <t>B) It is a display of the families' power, wealth, and honor</t>
  </si>
  <si>
    <t>Hosting a major Buzkashi match is a significant and prestigious event that demonstrates the status of the families involved.</t>
  </si>
  <si>
    <t>A rider successfully gets the carcass in the scoring circle, but it is the end of the timed match. The final whistle blew while the rider was on their way. Does the score count?</t>
  </si>
  <si>
    <t>A) Yes, the play is allowed to be completed, B) No, the score must be made before time expires, C) The rider gets half a point, D) The teams play an overtime round</t>
  </si>
  <si>
    <t>B) No, the score must be made before time expires</t>
  </si>
  <si>
    <t>Unlike some sports, the game ends the moment the final whistle is blown. Any action completed after the whistle is void.</t>
  </si>
  <si>
    <t>What is the main reason a rider must have a strong grip?</t>
  </si>
  <si>
    <t>A) To hold onto the reins tightly, B) To hold the heavy and slippery carcass while opponents are pulling at it, C) To help them stay on the saddle, D) To control the whip</t>
  </si>
  <si>
    <t>B) To hold the heavy and slippery carcass while opponents are pulling at it</t>
  </si>
  <si>
    <t>The entire game revolves around possession of the carcass, which requires immense grip strength to maintain.</t>
  </si>
  <si>
    <t>A rider is disqualified for using a saddle with a hidden sharp edge. Why is this a serious foul?</t>
  </si>
  <si>
    <t>A) It can damage the carcass, B) It can be used as a weapon to injure opposing horses and riders, C) It is not a traditional saddle, D) It adds extra weight</t>
  </si>
  <si>
    <t>B) It can be used as a weapon to injure opposing horses and riders</t>
  </si>
  <si>
    <t>Tampering with equipment to create a weapon is a major violation of safety and sportsmanship.</t>
  </si>
  <si>
    <t>What is the role of the flag or alam in the Qarajai version of the game?</t>
  </si>
  <si>
    <t>A) It is the starting point, B) It is a turning marker that a rider must go around before they can score, C) It is a symbol of the sponsoring tribe, D) It is the scoring goal itself</t>
  </si>
  <si>
    <t>B) It is a turning marker that a rider must go around before they can score</t>
  </si>
  <si>
    <t>The course is defined by the starting circle, the flag, and the scoring circle. A rider must pass the flag to have a valid scoring run.</t>
  </si>
  <si>
    <t>A rider drops the carcass. An opponent from behind is unable to stop and their horse tramples the carcass. Is this a foul?</t>
  </si>
  <si>
    <t>A) Yes, it is a foul for disrespecting the carcass, B) No, this is a normal part of the chaotic game, C) The rider who trampled it is disqualified, D) The point is replayed</t>
  </si>
  <si>
    <t>B) No, this is a normal part of the chaotic game</t>
  </si>
  <si>
    <t>The carcass is a rugged object, and in the heat of the moment, it will be run over by horses. This is an expected part of the play.</t>
  </si>
  <si>
    <t>What is the main reason that the ground crew (umpires) are also often on horseback?</t>
  </si>
  <si>
    <t>A) It is more traditional, B) To keep up with the play and get a clear view of fouls within the scrum, C) For their own safety, D) All of the above</t>
  </si>
  <si>
    <t>Being mounted allows referees to move with the game, see over the scrum, and stay safe from the chaotic action.</t>
  </si>
  <si>
    <t>In some regions, a smaller version of Buzkashi is played by children using what?</t>
  </si>
  <si>
    <t>A) A smaller goat, B) A ball, C) A rooster, D) A sheep</t>
  </si>
  <si>
    <t>D) A sheep</t>
  </si>
  <si>
    <t>A smaller, lighter animal like a sheep is sometimes used for youth versions of the game.</t>
  </si>
  <si>
    <t>What is the role of the salis (judge or mediator) in a traditional village game?</t>
  </si>
  <si>
    <t>A) To keep the official time, B) To act as the final, respected authority in settling disputes that the referees cannot, C) To provide the prize money, D) To inspect the horses</t>
  </si>
  <si>
    <t>B) To act as the final, respected authority in settling disputes that the referees cannot</t>
  </si>
  <si>
    <t>In games without formal rules, the salis is a respected elder whose word is law and who resolves all arguments.</t>
  </si>
  <si>
    <t>A team is penalized because their sponsor's logo on their jersey is too large. Is this a valid rule?</t>
  </si>
  <si>
    <t>A) No, sponsorship is always allowed, B) Yes, tournaments can regulate the size and placement of logos to maintain a uniform look, C) Only if the logo is offensive, D) The team should be paid more for a larger logo</t>
  </si>
  <si>
    <t>B) Yes, tournaments can regulate the size and placement of logos to maintain a uniform look</t>
  </si>
  <si>
    <t>In professionalized versions of the sport, there are often rules regarding uniforms and advertising.</t>
  </si>
  <si>
    <t>What is the main reason a Buzkashi match is a poor spectator sport for television?</t>
  </si>
  <si>
    <t>A) It is too violent, B) The field of play is often too large and chaotic to be easily captured by cameras, C) The rules are too simple, D) The matches are too short</t>
  </si>
  <si>
    <t>B) The field of play is often too large and chaotic to be easily captured by cameras</t>
  </si>
  <si>
    <t>The sprawling, fluid, and often disorganized nature of a mass-player game makes it very difficult to follow and broadcast effectively.</t>
  </si>
  <si>
    <t>A horse is trained to "pin" an opponent's horse. What does this mean?</t>
  </si>
  <si>
    <t>A) The horse uses its body to trap an opponent's horse against a boundary or another horse, B) The horse bites the opponent's horse, C) The horse pins its ears back, D) The horse refuses to move</t>
  </si>
  <si>
    <t>A) The horse uses its body to trap an opponent's horse against a boundary or another horse</t>
  </si>
  <si>
    <t>This is a high-level skill where the horse itself becomes a strategic tool for controlling the movement of an opponent.</t>
  </si>
  <si>
    <t>What is the ruling if a rider carrying the carcass is unhorsed, but manages to drop the carcass in the scoring circle as they are falling?</t>
  </si>
  <si>
    <t>Why is it important for a Buzkashi horse to have strong, healthy hooves?</t>
  </si>
  <si>
    <t>A) They are a sign of good breeding, B) The game involves extreme stress, sharp turns, and impacts that can easily damage poor-quality hooves, C) They help the horse to bite opponents, D) They make the horse run faster</t>
  </si>
  <si>
    <t>B) The game involves extreme stress, sharp turns, and impacts that can easily damage poor-quality hooves</t>
  </si>
  <si>
    <t>The old saying "no foot, no horse" is especially true in Buzkashi, where hoof health is critical to the animal's performance and survival.</t>
  </si>
  <si>
    <t>A) The cost of its saddle, B) The 5+ years of intensive, specialized training it has received, C) It is a rare breed, D) The cost of its food</t>
  </si>
  <si>
    <t>B) The 5+ years of intensive, specialized training it has received</t>
  </si>
  <si>
    <t>A) To grab Team A rider's reins, B) To ride alongside and use their horse to push Team A's horse sideways, C) To whip the Team A rider, D) To throw a rope at the carcass</t>
  </si>
  <si>
    <t>A rider successfully scores, but is found to have tied their whip to their wrist. Why is this a foul that would nullify the score?</t>
  </si>
  <si>
    <t>A) It is not a foul, B) It prevents the whip from being dropped, giving an unfair advantage, C) It is dangerous as the rider could be tangled if they fall, D) Both B and C</t>
  </si>
  <si>
    <t>Tying the whip on is an illegal modification that is both an unfair advantage (cannot be disarmed) and a serious safety hazard.</t>
  </si>
  <si>
    <t>Gatka is a martial art traditionally associated with which religious community?</t>
  </si>
  <si>
    <t>A) Hindus, B) Sikhs, C) Muslims, D) Buddhists</t>
  </si>
  <si>
    <t>B) Sikhs</t>
  </si>
  <si>
    <t>Gatka is the traditional martial art of the Sikhs, developed and practiced for self-defense and spiritual discipline.</t>
  </si>
  <si>
    <t>What is the historical period most associated with the formal development of Gatka?</t>
  </si>
  <si>
    <t>A) The Mauryan Empire, B) The Gupta Empire, C) The Mughal Empire (16th-18th centuries), D) The British Raj</t>
  </si>
  <si>
    <t>C) The Mughal Empire (16th-18th centuries)</t>
  </si>
  <si>
    <t>Gatka was systematized and gained prominence during the era of the later Sikh Gurus as a means of defense against Mughal persecution.</t>
  </si>
  <si>
    <t>Which Sikh Guru is most credited with establishing the Khalsa warrior order and popularizing Gatka?</t>
  </si>
  <si>
    <t>A) Guru Nanak, B) Guru Hargobind, C) Guru Gobind Singh, D) Guru Arjan Dev</t>
  </si>
  <si>
    <t>C) Guru Gobind Singh</t>
  </si>
  <si>
    <t>The tenth Guru, Guru Gobind Singh, formalized the Sikh martial tradition and founded the Khalsa, making martial training a key part of Sikh identity.</t>
  </si>
  <si>
    <t>What is the primary weapon used for sparring and initial training in modern Gatka?</t>
  </si>
  <si>
    <t>A) A real sword (Talwar), B) A wooden stick (Soti), C) A spear (Barchha), D) A dagger (Kirpan)</t>
  </si>
  <si>
    <t>B) A wooden stick (Soti)</t>
  </si>
  <si>
    <t>The soti, a wooden stick often covered in leather, is used to safely simulate a sword in training and competitions.</t>
  </si>
  <si>
    <t>Gatka is the modern sporting name for which broader, traditional Sikh martial art?</t>
  </si>
  <si>
    <t>A) Kalaripayattu, B) Silambam, C) Shastar Vidya, D) Pehlwani</t>
  </si>
  <si>
    <t>C) Shastar Vidya</t>
  </si>
  <si>
    <t>Gatka is the competitive and demonstrative aspect of the more comprehensive "science of weapons" known as Shastar Vidya.</t>
  </si>
  <si>
    <t>In a formal Gatka competition, how is the winner of a bout primarily determined?</t>
  </si>
  <si>
    <t>A) By knockout, B) By judges' points for clean hits, C) By audience vote, D) By disarming the opponent</t>
  </si>
  <si>
    <t>B) By judges' points for clean hits</t>
  </si>
  <si>
    <t>Modern sport Gatka is a point-based system where judges award points for skillful and clean strikes to legal target zones.</t>
  </si>
  <si>
    <t>Which major Sikh festival, established by Guru Gobind Singh, prominently features Gatka demonstrations?</t>
  </si>
  <si>
    <t>A) Vaisakhi, B) Diwali, C) Hola Mohalla, D) Maghi</t>
  </si>
  <si>
    <t>C) Hola Mohalla</t>
  </si>
  <si>
    <t>Hola Mohalla, held in Anandpur Sahib, is a festival dedicated to showcasing Sikh martial skills, with Gatka being a central event.</t>
  </si>
  <si>
    <t>What is the traditional Gatka fighting stance that emphasizes balance and readiness called?</t>
  </si>
  <si>
    <t>A) Baithak, B) Asavari, C) Bir Asan, D) Panthra</t>
  </si>
  <si>
    <t>C) Bir Asan</t>
  </si>
  <si>
    <t>The Bir Asan (Warrior Stance) is a stable, grounded stance that allows for quick transitions between offense and defense.</t>
  </si>
  <si>
    <t>Which historical Sikh military order is most famous for preserving and practicing Gatka in its traditional form?</t>
  </si>
  <si>
    <t>A) The Udasis, B) The Nirmalas, C) The Nihangs, D) The Ramraiyas</t>
  </si>
  <si>
    <t>C) The Nihangs</t>
  </si>
  <si>
    <t>The Nihang warrior order has maintained and practiced Gatka continuously for centuries as a living part of their martial heritage.</t>
  </si>
  <si>
    <t>What is the primary purpose of the shield (Phari) in a Gatka bout?</t>
  </si>
  <si>
    <t>A) To attack the opponent, B) To be used as a defensive tool to block strikes, C) To score points, D) To distract the opponent</t>
  </si>
  <si>
    <t>B) To be used as a defensive tool to block strikes</t>
  </si>
  <si>
    <t>The shield is a purely defensive piece of equipment used to parry and block incoming attacks from the opponent's stick.</t>
  </si>
  <si>
    <t>The term 'Gatka' is derived from the Punjabi word for what?</t>
  </si>
  <si>
    <t>A) A sword, B) A wooden training stick, C) A shield, D) A battle</t>
  </si>
  <si>
    <t>B) A wooden training stick</t>
  </si>
  <si>
    <t>The name of the sport comes from the gatka or soti stick, which is the primary tool used in its practice and competition.</t>
  </si>
  <si>
    <t>What is the penalty for a player who intentionally steps outside the designated combat arena?</t>
  </si>
  <si>
    <t>A) A verbal warning is issued, B) A point is deducted, C) The player is disqualified, D) The round is restarted</t>
  </si>
  <si>
    <t>B) A point is deducted</t>
  </si>
  <si>
    <t>A player must stay within the bounds of the akhara. Leaving the area to avoid combat is a foul.</t>
  </si>
  <si>
    <t>What is the traditional training ground for Gatka and other South Asian martial arts called?</t>
  </si>
  <si>
    <t>A) Shastar Ghar, B) Dojo, C) Gurdwara, D) Akhara</t>
  </si>
  <si>
    <t>D) Akhara</t>
  </si>
  <si>
    <t>An Akhara is a traditional gymnasium or training ground where martial arts are practiced.</t>
  </si>
  <si>
    <t>In Gatka philosophy, what does the "Sant-Sipahi" (Saint-Soldier) ideal represent?</t>
  </si>
  <si>
    <t>A) A person who is a saint first and a soldier second, B) The balance of spiritual devotion and martial readiness, C) A soldier who becomes a saint, D) A saint who commands an army</t>
  </si>
  <si>
    <t>B) The balance of spiritual devotion and martial readiness</t>
  </si>
  <si>
    <t>This core Sikh concept, embodied by Gatka, is the ideal of being a spiritually enlightened person who is also prepared to physically defend justice.</t>
  </si>
  <si>
    <t>Which British colonial law severely restricted the practice of Gatka by limiting access to weapons?</t>
  </si>
  <si>
    <t>A) The Vernacular Press Act, B) The Arms Act of 1878, C) The Sedition Act, D) The Public Safety Act</t>
  </si>
  <si>
    <t>B) The Arms Act of 1878</t>
  </si>
  <si>
    <t>This Act disarmed much of the Indian population, forcing weapon-based arts like Gatka to be practiced in secret or with wooden substitutes.</t>
  </si>
  <si>
    <t>What is the name of the traditional, double-edged sword that is a key symbol of the Khalsa and is used in advanced Gatka?</t>
  </si>
  <si>
    <t>A) Kirpan, B) Talwar, C) Khanda, D) Barchha</t>
  </si>
  <si>
    <t>C) Khanda</t>
  </si>
  <si>
    <t>The Khanda is a heavy, straight, double-edged sword, symbolic of divine power and a primary weapon in Sikh martial history.</t>
  </si>
  <si>
    <t>What is the penalty for unsportsmanlike behavior, such as taunting an opponent?</t>
  </si>
  <si>
    <t>A) There is no penalty, B) A warning, followed by a point deduction, C) Immediate disqualification, D) The round is replayed</t>
  </si>
  <si>
    <t>B) A warning, followed by a point deduction</t>
  </si>
  <si>
    <t>Gatka emphasizes respect and humility. Taunting violates the sport's discipline and is penalized.</t>
  </si>
  <si>
    <t>What is the official language for commands in an international Gatka competition?</t>
  </si>
  <si>
    <t>A) English, B) Hindi, C) Punjabi, D) A mix of all three</t>
  </si>
  <si>
    <t>C) Punjabi</t>
  </si>
  <si>
    <t>To honor the sport's cultural roots, official commands like "Shuru!" (Begin!) are given in Punjabi.</t>
  </si>
  <si>
    <t>What is a "Jorh" in Gatka?</t>
  </si>
  <si>
    <t>A) A type of defensive block, B) The term for a draw in a match, C) The traditional sparring practice, D) A kick</t>
  </si>
  <si>
    <t>C) The traditional sparring practice</t>
  </si>
  <si>
    <t>Jorh refers to the practice of sparring or mock combat where students refine their techniques.</t>
  </si>
  <si>
    <t>The rhythmic, spinning movements in Gatka, known as Ghumman, are inspired by what weapon?</t>
  </si>
  <si>
    <t>A) The Sword, B) The Spear, C) The Chakra (war-quoit), D) The Dagger</t>
  </si>
  <si>
    <t>C) The Chakra (war-quoit)</t>
  </si>
  <si>
    <t>The continuous circular motions mimic the spinning and throwing of the Chakra, a traditional Sikh throwing weapon.</t>
  </si>
  <si>
    <t>In advanced Gatka, what is the purpose of blindfold training?</t>
  </si>
  <si>
    <t>A) To demonstrate bravery, B) To sharpen reflexes, hearing, and spatial awareness, C) It is a purely ceremonial act, D) To practice breathing techniques</t>
  </si>
  <si>
    <t>B) To sharpen reflexes, hearing, and spatial awareness</t>
  </si>
  <si>
    <t>Blindfold drills force the practitioner to rely on other senses, honing their combat instincts to a very high level.</t>
  </si>
  <si>
    <t>Which weapon, a long spear, is used in Gatka for long-range attacks?</t>
  </si>
  <si>
    <t>A) Talwar, B) Kirpan, C) Barchha, D) Khanda</t>
  </si>
  <si>
    <t>C) Barchha</t>
  </si>
  <si>
    <t>The Barchha is a type of spear used for thrusting and for keeping opponents at a distance.</t>
  </si>
  <si>
    <t>Which international body is responsible for regulating and promoting competitive Gatka?</t>
  </si>
  <si>
    <t>A) The International Olympic Committee, B) The Gatka Federation of India, C) The World Gatka Federation, D) The Punjab Martial Arts Council</t>
  </si>
  <si>
    <t>C) The World Gatka Federation</t>
  </si>
  <si>
    <t>The WGF is the global governing body that works to standardize rules, organize international tournaments, and promote the sport.</t>
  </si>
  <si>
    <t>In Pakistan, Gatka is often showcased during which cultural festival in Lahore?</t>
  </si>
  <si>
    <t>A) Basant, B) Mela Chiraghan (Festival of Lights), C) Eid, D) Pakistan Day Parade</t>
  </si>
  <si>
    <t>B) Mela Chiraghan (Festival of Lights)</t>
  </si>
  <si>
    <t>Gatka is often performed as a traditional cultural martial art during this major festival at the shrine of Shah Hussain.</t>
  </si>
  <si>
    <t>Which weapon is also a mandatory religious article of faith (one of the 5 Ks) carried by initiated Sikhs?</t>
  </si>
  <si>
    <t>A) The Khanda, B) The Talwar, C) The Kirpan, D) The Chakra</t>
  </si>
  <si>
    <t>C) The Kirpan</t>
  </si>
  <si>
    <t>The Kirpan is a dagger or short sword that symbolizes a Sikh's duty to defend the weak and uphold justice. It is also used in Gatka.</t>
  </si>
  <si>
    <t>Which drill involves a single fighter defending against multiple opponents in a circle?</t>
  </si>
  <si>
    <t>A) Fari, B) Jorh, C) Gherao, D) Chakri</t>
  </si>
  <si>
    <t>C) Gherao</t>
  </si>
  <si>
    <t>Gherao (to surround) is a training exercise that simulates being encircled by attackers, teaching all-around awareness and defense.</t>
  </si>
  <si>
    <t>What is the penalty for receiving three warnings in a single match?</t>
  </si>
  <si>
    <t>A) A 5-point deduction, B) Forfeiture of the round, C) Disqualification from the match, D) A final warning</t>
  </si>
  <si>
    <t>C) Disqualification from the match</t>
  </si>
  <si>
    <t>Accumulating three warnings for fouls or misconduct results in an automatic disqualification.</t>
  </si>
  <si>
    <t>In what way is the scoring of Gatka often compared to that of Fencing?</t>
  </si>
  <si>
    <t>A) The weapons are the same, B) It uses an electronic scoring system, C) Points are awarded for clean, controlled "touches" or strikes to valid target zones, D) Both are Olympic sports</t>
  </si>
  <si>
    <t>C) Points are awarded for clean, controlled "touches" or strikes to valid target zones</t>
  </si>
  <si>
    <t>Like fencing, the goal is not to injure but to demonstrate superior skill by landing a valid hit according to the rules.</t>
  </si>
  <si>
    <t>What is the historical reason for using wooden sticks instead of live blades in practice?</t>
  </si>
  <si>
    <t>A) They were cheaper, B) The British Arms Act of 1878 restricted weapons, forcing the use of sticks, C) Wooden sticks are more effective, D) It was the original tradition</t>
  </si>
  <si>
    <t>B) The British Arms Act of 1878 restricted weapons, forcing the use of sticks</t>
  </si>
  <si>
    <t>The British ban on carrying weapons forced the martial art to adapt, using wooden staves to practice sword techniques, which also made training safer.</t>
  </si>
  <si>
    <t>In Gatka philosophy, what does the "Chardi Kala" spirit emphasize?</t>
  </si>
  <si>
    <t>A) A desire for revenge, B) A state of eternal optimism and high spirits, even in adversity, C) Extreme aggression, D) Strict ritual observance</t>
  </si>
  <si>
    <t>B) A state of eternal optimism and high spirits, even in adversity</t>
  </si>
  <si>
    <t>Chardi Kala is a core Sikh concept that promotes a positive, resilient, and fearless mindset, central to the warrior's spirit.</t>
  </si>
  <si>
    <t>Which of these is NOT a recognized traditional Gatka weapon?</t>
  </si>
  <si>
    <t>A) Soti (stick), B) Kirpan (dagger), C) Barchha (spear), D) Nunchaku (flail)</t>
  </si>
  <si>
    <t>D) Nunchaku (flail)</t>
  </si>
  <si>
    <t>The Nunchaku is a weapon associated with Okinawan martial arts and is not part of the traditional Sikh arsenal of Shastar Vidya.</t>
  </si>
  <si>
    <t>A referee raises a yellow flag. What does this typically signify?</t>
  </si>
  <si>
    <t>A) A point has been scored, B) The start of the final round, C) An official warning for a foul has been given, D) A timeout has been called</t>
  </si>
  <si>
    <t>C) An official warning for a foul has been given</t>
  </si>
  <si>
    <t>In some scoring systems, colored flags are used by judges and referees to signal their decisions, with yellow often indicating a warning.</t>
  </si>
  <si>
    <t>Which Guru introduced the concept of Miri-Piri (temporal and spiritual power), influencing Gatka's development?</t>
  </si>
  <si>
    <t>A) Guru Angad, B) Guru Hargobind, C) Guru Tegh Bahadur, D) Guru Nanak</t>
  </si>
  <si>
    <t>B) Guru Hargobind</t>
  </si>
  <si>
    <t>The sixth Guru, Guru Hargobind, wore two swords to symbolize the need for both spiritual and worldly authority, strengthening the martial tradition.</t>
  </si>
  <si>
    <t>Why are swords and other weapons blunted for exhibitions and modern competitions?</t>
  </si>
  <si>
    <t>A) To reduce their cost, B) To prevent serious or fatal injuries while allowing for realistic demonstrations, C) To increase their weight for training, D) It is a religious requirement</t>
  </si>
  <si>
    <t>B) To prevent serious or fatal injuries while allowing for realistic demonstrations</t>
  </si>
  <si>
    <t>Blunting the edges allows performers and competitors to showcase authentic techniques with speed and power in a safe manner.</t>
  </si>
  <si>
    <t>Which type of strike is strictly forbidden due to its extreme danger?</t>
  </si>
  <si>
    <t>A) A strike to the shoulder, B) A strike to the neck or throat, C) A strike to the wrist, D) A strike to the knee</t>
  </si>
  <si>
    <t>B) A strike to the neck or throat</t>
  </si>
  <si>
    <t>The neck is an illegal target because a strike to this area poses a life-threatening risk.</t>
  </si>
  <si>
    <t>During a cultural display in Pakistan, Gatka is often performed alongside which other popular Punjabi art form?</t>
  </si>
  <si>
    <t>A) Gidda, B) Bhangra, C) Kathak, D) Dhamal</t>
  </si>
  <si>
    <t>B) Bhangra</t>
  </si>
  <si>
    <t>The energetic dance of Bhangra and the martial display of Gatka are often paired together to showcase the festive and warrior spirits of Punjabi culture.</t>
  </si>
  <si>
    <t>Which color of attire is most famously associated with the Nihang warrior order?</t>
  </si>
  <si>
    <t>A) Red, B) White, C) Deep Blue, D) Green</t>
  </si>
  <si>
    <t>C) Deep Blue</t>
  </si>
  <si>
    <t>The Nihang Sikhs traditionally wear distinctive deep blue robes (bana) as part of their warrior identity.</t>
  </si>
  <si>
    <t>What is the penalty for using an unapproved weapon in a Gatka tournament?</t>
  </si>
  <si>
    <t>A) A warning is issued, B) The weapon is replaced, but the match continues, C) The player is immediately disqualified, D) A 5-point penalty is given</t>
  </si>
  <si>
    <t>C) The player is immediately disqualified</t>
  </si>
  <si>
    <t>Using unauthorized weapons compromises fairness and safety, leading to disqualification.</t>
  </si>
  <si>
    <t>Which international combat sport has most influenced the scoring and protective gear of modern Gatka?</t>
  </si>
  <si>
    <t>A) Karate, B) Taekwondo, C) Boxing, D) Judo</t>
  </si>
  <si>
    <t>B) Taekwondo</t>
  </si>
  <si>
    <t>The point-based system, use of colored protective gear, and emphasis on clean strikes in sport Gatka show a clear influence from Taekwondo's competition format.</t>
  </si>
  <si>
    <t>What is the primary purpose of the warm-up drill Pharikhri?</t>
  </si>
  <si>
    <t>A) Breathing control, B) Arm stretching, C) Weapon flexibility, D) Footwork preparation and agility</t>
  </si>
  <si>
    <t>D) Footwork preparation and agility</t>
  </si>
  <si>
    <t>Pharikhri consists of dynamic stepping and hopping patterns that prepare a fighter's footwork for the demands of combat.</t>
  </si>
  <si>
    <t>What is the point value for a clean, legal strike to the opponent's headgear?</t>
  </si>
  <si>
    <t>A) 1 point, B) 2 points, C) 3 points, D) It is an illegal move</t>
  </si>
  <si>
    <t>B) 2 points</t>
  </si>
  <si>
    <t>While the face is illegal, a controlled strike to the official headgear is a high-scoring technique worth 2 points.</t>
  </si>
  <si>
    <t>A player is penalized for "kicking". Is this a correct call?</t>
  </si>
  <si>
    <t>A) No, kicks are allowed in Gatka, B) Yes, Gatka is a weapons-based art and does not use kicks, C) Kicks are allowed, but do not score points, D) Only low kicks are allowed</t>
  </si>
  <si>
    <t>B) Yes, Gatka is a weapons-based art and does not use kicks</t>
  </si>
  <si>
    <t>Gatka is a form of stick and sword fighting. Using hands or feet to strike the opponent is a foul in the sport version.</t>
  </si>
  <si>
    <t>A player wins a match because their opponent has been disqualified. What is this victory called?</t>
  </si>
  <si>
    <t>A) A win by TKO, B) A win by forfeit, C) A win by disqualification, D) A technical win</t>
  </si>
  <si>
    <t>C) A win by disqualification</t>
  </si>
  <si>
    <t>If a player is removed from the match for rule violations, the opponent is declared the winner by disqualification.</t>
  </si>
  <si>
    <t>In a team event, how is the winning team determined?</t>
  </si>
  <si>
    <t>A) The scores of all individual matches are added together, B) The team that wins the most individual matches wins, C) A single team score is kept, D) The team captain's score is doubled</t>
  </si>
  <si>
    <t>B) The team that wins the most individual matches wins</t>
  </si>
  <si>
    <t>A team event is a series of one-on-one bouts. The team that secures the majority of individual victories wins the overall match.</t>
  </si>
  <si>
    <t>What is the purpose of the leather basket hilt on some Gatka training sticks?</t>
  </si>
  <si>
    <t>A) It is for decoration, B) To protect the player's hand from strikes, C) To add weight to the stick, D) To improve grip</t>
  </si>
  <si>
    <t>B) To protect the player's hand from strikes</t>
  </si>
  <si>
    <t>The basket hilt is a crucial piece of safety equipment that shields the hand and knuckles from direct hits during sparring.</t>
  </si>
  <si>
    <t>A player is executing a spinning attack (ghumman). What is their primary defensive vulnerability?</t>
  </si>
  <si>
    <t>A) Their legs are exposed, B) They can become dizzy and lose balance, C) Their back is briefly turned to the opponent, D) Both B and C</t>
  </si>
  <si>
    <t>Spinning attacks are powerful but risky, as they can lead to disorientation and create a momentary defensive opening for a skilled opponent.</t>
  </si>
  <si>
    <t>What is the name of the most basic defensive block in Gatka?</t>
  </si>
  <si>
    <t>A) Rok, B) Dhal, C) Var, D) Hamla</t>
  </si>
  <si>
    <t>A) Rok</t>
  </si>
  <si>
    <t>Rok is the fundamental technique of stopping an incoming strike with one's own weapon.</t>
  </si>
  <si>
    <t>A player accidentally hits the referee with their stick. What is the likely outcome?</t>
  </si>
  <si>
    <t>A) The player is immediately disqualified, B) The referee issues a warning for lack of control, C) The match continues, D) The opponent gets a point</t>
  </si>
  <si>
    <t>B) The referee issues a warning for lack of control</t>
  </si>
  <si>
    <t>While accidental, a player is responsible for their weapon at all times. The referee will pause the match and issue a warning for dangerous play.</t>
  </si>
  <si>
    <t>What is the primary difference between a Talwar and a Khanda?</t>
  </si>
  <si>
    <t>A) The Talwar is a curved sabre, while the Khanda is a straight, double-edged sword, B) The Talwar is blunt, the Khanda is sharp, C) The Talwar is a stick, the Khanda is a sword, D) There is no difference</t>
  </si>
  <si>
    <t>A) The Talwar is a curved sabre, while the Khanda is a straight, double-edged sword</t>
  </si>
  <si>
    <t>These are two distinct types of traditional swords used in Gatka, each with its own handling characteristics.</t>
  </si>
  <si>
    <t>What is the main purpose of the "Bir Asan" (Warrior Stance)?</t>
  </si>
  <si>
    <t>A) To look intimidating, B) To provide a low center of gravity for stability and power, C) To be a resting position, D) To allow for maximum speed</t>
  </si>
  <si>
    <t>B) To provide a low center of gravity for stability and power</t>
  </si>
  <si>
    <t>This grounded stance is the foundation for generating power in strikes and for remaining stable against an opponent's attacks.</t>
  </si>
  <si>
    <t>In Gatka, what does the term yudh refer to?</t>
  </si>
  <si>
    <t>A) A weapon, B) A training drill, C) The art or science of warfare and combat, D) A defensive stance</t>
  </si>
  <si>
    <t>C) The art or science of warfare and combat</t>
  </si>
  <si>
    <t>Yudh is a broader term for warfare, from which the specific techniques and philosophy of Gatka are derived.</t>
  </si>
  <si>
    <t>Why is it a foul to hold the opponent's shield?</t>
  </si>
  <si>
    <t>A) It is not a foul, B) It prevents the opponent from defending themselves properly, C) It can damage the shield, D) It is considered poor sportsmanship</t>
  </si>
  <si>
    <t>B) It prevents the opponent from defending themselves properly</t>
  </si>
  <si>
    <t>A player cannot illegally immobilize their opponent's defensive equipment to gain an unfair advantage.</t>
  </si>
  <si>
    <t>What is the point value of a successful "disarm" technique?</t>
  </si>
  <si>
    <t>A) No points are awarded, B) 1 point, C) 3 points, D) 5 points</t>
  </si>
  <si>
    <t>C) 3 points</t>
  </si>
  <si>
    <t>Successfully and safely disarming an opponent is a demonstration of superior skill and is awarded a high point value in some rule sets.</t>
  </si>
  <si>
    <t>What is the primary purpose of the "paintis" footwork pattern?</t>
  </si>
  <si>
    <t>A) It is a dance, B) It is a foundational drill for teaching angles of attack and defense, C) It is a jumping technique, D) It is a breathing exercise</t>
  </si>
  <si>
    <t>B) It is a foundational drill for teaching angles of attack and defense</t>
  </si>
  <si>
    <t>The paintis is a key footwork pattern that trains a fighter to move fluidly and create advantageous angles.</t>
  </si>
  <si>
    <t>A player is penalized for "striking with the non-weapon hand." Is this a valid foul?</t>
  </si>
  <si>
    <t>A) No, open-hand strikes are allowed, B) Yes, all strikes must be made with the designated weapon, C) Only if the hand was in a fist, D) Only if it causes injury</t>
  </si>
  <si>
    <t>B) Yes, all strikes must be made with the designated weapon</t>
  </si>
  <si>
    <t>In sport Gatka, a player cannot use their free hand, fist, or any other body part to strike their opponent.</t>
  </si>
  <si>
    <t>What is the primary muscle group engaged during a powerful rotational strike?</t>
  </si>
  <si>
    <t>A) The biceps, B) The legs, C) The core (abdominals and obliques), D) The chest</t>
  </si>
  <si>
    <t>C) The core (abdominals and obliques)</t>
  </si>
  <si>
    <t>Rotational power for spinning strikes is generated from the core muscles, not just the arms and shoulders.</t>
  </si>
  <si>
    <t>If a player is injured due to their own illegal move, what is the outcome?</t>
  </si>
  <si>
    <t>A) The point is replayed, B) The player loses the match by disqualification or retirement, C) The opponent is warned, D) The match is declared a draw</t>
  </si>
  <si>
    <t>B) The player loses the match by disqualification or retirement</t>
  </si>
  <si>
    <t>A player who injures themselves while committing a foul cannot win by default. They are disqualified for the illegal action.</t>
  </si>
  <si>
    <t>Which of these is NOT a formal competition category in modern Gatka?</t>
  </si>
  <si>
    <t>A) Single Soti (stick), B) Fari-Soti (stick and shield), C) Team Gatka, D) Bare-knuckle Gatka</t>
  </si>
  <si>
    <t>D) Bare-knuckle Gatka</t>
  </si>
  <si>
    <t>Modern Gatka is exclusively a weapons-based martial art; there is no official empty-hand fighting category in its competitions.</t>
  </si>
  <si>
    <t>What is the role of the "Table Officials" in a tournament?</t>
  </si>
  <si>
    <t>A) They are the referees, B) They are responsible for timekeeping, scoring, and recording results, C) They are the coaches, D) They inspect the weapons</t>
  </si>
  <si>
    <t>B) They are responsible for timekeeping, scoring, and recording results</t>
  </si>
  <si>
    <t>The table officials manage the administrative aspects of the match, supporting the on-field referees.</t>
  </si>
  <si>
    <t>Why is maintaining eye contact with the opponent considered crucial?</t>
  </si>
  <si>
    <t>A) It is a sign of respect, B) To anticipate their movements and intentions, C) To intimidate them, D) All of the above</t>
  </si>
  <si>
    <t>Eye contact is a key part of the mental game in combat, used for reading the opponent, showing confidence, and maintaining focus.</t>
  </si>
  <si>
    <t>A player's shield is broken by a powerful strike. What is the ruling?</t>
  </si>
  <si>
    <t>A) The striker is disqualified for excessive force, B) The point is awarded to the striker, and the match is paused for a replacement shield, C) The player with the broken shield must continue without it, D) The round is a draw</t>
  </si>
  <si>
    <t>B) The point is awarded to the striker, and the match is paused for a replacement shield</t>
  </si>
  <si>
    <t>A legal strike that is powerful enough to break the opponent's equipment is a clear point. The match is then paused for safety.</t>
  </si>
  <si>
    <t>What is the philosophical reason for the emphasis on defense in Gatka?</t>
  </si>
  <si>
    <t>A) It is easier than attacking, B) The art is intended for self-defense, not for aggression, C) It scores more points, D) It is a way to tire out the opponent</t>
  </si>
  <si>
    <t>B) The art is intended for self-defense, not for aggression</t>
  </si>
  <si>
    <t>The core principle is that a Sikh warrior draws their weapon to defend the weak and uphold justice, not to initiate conflict.</t>
  </si>
  <si>
    <t>The Chakra is a weapon sometimes demonstrated in Gatka exhibitions. What is it?</t>
  </si>
  <si>
    <t>A) A heavy mace, B) A flexible whip, C) A sharp, circular steel throwing ring, D) A double-headed spear</t>
  </si>
  <si>
    <t>C) A sharp, circular steel throwing ring</t>
  </si>
  <si>
    <t>The Chakra or Chakram is a traditional Sikh throwing weapon, spun on the index finger and thrown with great force and accuracy.</t>
  </si>
  <si>
    <t>A player is penalized for "third-party interference." What happened?</t>
  </si>
  <si>
    <t>A) A spectator shouted advice, B) The player's coach stepped into the arena, C) The referee was distracted, D) The player used three weapons</t>
  </si>
  <si>
    <t>B) The player's coach stepped into the arena</t>
  </si>
  <si>
    <t>Only the two competitors and the referee are allowed in the combat area. A coach entering the ring is a serious foul.</t>
  </si>
  <si>
    <t>The rhythmic gait or footwork pattern in Gatka is known as what?</t>
  </si>
  <si>
    <t>A) Chaal, B) Kriya, C) Asan, D) Taal</t>
  </si>
  <si>
    <t>A) Chaal</t>
  </si>
  <si>
    <t>Chaal refers to the characteristic rhythmic movement and footwork that keeps the fighter balanced and ready.</t>
  </si>
  <si>
    <t>A player is penalized for "corps-a-corps". What does this mean in Gatka?</t>
  </si>
  <si>
    <t>A) They struck a fallen opponent, B) They made intentional physical body-to-body contact, C) They used an illegal weapon, D) They refused to fight</t>
  </si>
  <si>
    <t>B) They made intentional physical body-to-body contact</t>
  </si>
  <si>
    <t>In stick-fighting, players must maintain a weapon's distance. Intentional body contact like pushing or grappling is a foul.</t>
  </si>
  <si>
    <t>What is the main purpose of the "chaal" or rhythmic gait in Gatka?</t>
  </si>
  <si>
    <t>A) To look graceful, B) To maintain rhythm, timing, and constant readiness for movement, C) To confuse the opponent, D) To warm up the muscles</t>
  </si>
  <si>
    <t>B) To maintain rhythm, timing, and constant readiness for movement</t>
  </si>
  <si>
    <t>The characteristic rhythmic movement is not just for show; it keeps the fighter's body and mind in a state of fluid preparedness.</t>
  </si>
  <si>
    <t>What is the "gatka" from which the sport gets its name?</t>
  </si>
  <si>
    <t>A) A type of sword, B) The wooden stick used for training, C) The shield, D) The fighting arena</t>
  </si>
  <si>
    <t>B) The wooden stick used for training</t>
  </si>
  <si>
    <t>The name "Gatka" refers to the wooden training stick, which is so central to the art that the entire sport is named after it.</t>
  </si>
  <si>
    <t>What is the ultimate aim of a Gatka practitioner, according to the "Sant Sipahi" (Saint-Soldier) ideal?</t>
  </si>
  <si>
    <t>A) To become the greatest fighter, B) To achieve enlightenment, C) To master both spiritual discipline and martial skill for the defense of righteousness, D) To join the army</t>
  </si>
  <si>
    <t>C) To master both spiritual discipline and martial skill for the defense of righteousness</t>
  </si>
  <si>
    <t>The "Saint-Soldier" is the ideal of the Khalsa warrior: a person who is spiritually devoted, morally upright, and martially prepared to defend justice.</t>
  </si>
  <si>
    <t>What is the primary target area in sport Gatka that awards the most points?</t>
  </si>
  <si>
    <t>A) The opponent's stick, B) The opponent's shield, C) The opponent's torso, D) The opponent's legs</t>
  </si>
  <si>
    <t>C) The opponent's torso</t>
  </si>
  <si>
    <t>Clean, controlled strikes to the main body area are the primary way to score points in a competitive match.</t>
  </si>
  <si>
    <t>Which of the following is an illegal action in Gatka?</t>
  </si>
  <si>
    <t>A) Spinning attacks, B) Blocking with the stick, C) Kicking the opponent, D) A two-handed strike</t>
  </si>
  <si>
    <t>C) Kicking the opponent</t>
  </si>
  <si>
    <t>Gatka is a weapons-based martial art. Using empty-hand strikes, kicks, or grappling is forbidden in sport competitions.</t>
  </si>
  <si>
    <t>What is the traditional color of the attire (bana) worn by the Nihang order?</t>
  </si>
  <si>
    <t>A) Saffron, B) White, C) Electric Blue, D) Black</t>
  </si>
  <si>
    <t>C) Electric Blue</t>
  </si>
  <si>
    <t>Nihang warriors are famously known as the "blue-clad" army, and their distinctive blue robes are a key part of their identity.</t>
  </si>
  <si>
    <t>How is a 'draw' or Jorh handled in a final tournament match?</t>
  </si>
  <si>
    <t>A) It is a shared victory, B) An extra round is played to determine a clear winner, C) The player with fewer penalties wins, D) The winner is decided by a coin toss</t>
  </si>
  <si>
    <t>B) An extra round is played to determine a clear winner</t>
  </si>
  <si>
    <t>In a tournament setting, a decisive winner is required, so a tie on points leads to an overtime round.</t>
  </si>
  <si>
    <t>What is the main characteristic of a Talwar?</t>
  </si>
  <si>
    <t>A) It is a double-edged sword, B) It is a straight sword, C) It is a curved, single-edged sabre, D) It is a dagger</t>
  </si>
  <si>
    <t>C) It is a curved, single-edged sabre</t>
  </si>
  <si>
    <t>The Talwar is the classic curved sword of the Indian subcontinent, designed for effective slashing attacks.</t>
  </si>
  <si>
    <t>In a team competition, what is a "bout"?</t>
  </si>
  <si>
    <t>A) The entire team match, B) A single one-on-one fight between two players from opposing teams, C) A warm-up drill, D) A break between rounds</t>
  </si>
  <si>
    <t>B) A single one-on-one fight between two players from opposing teams</t>
  </si>
  <si>
    <t>The overall team match is comprised of a series of individual bouts, and the team that wins the most bouts wins the match.</t>
  </si>
  <si>
    <t>What is the purpose of the turban in a traditional Gatka context, beyond its religious significance?</t>
  </si>
  <si>
    <t>A) It is purely decorative, B) It provides a layer of protection for the head, C) It is used to store small weapons, D) Both B and C</t>
  </si>
  <si>
    <t>The tightly wound turban offers significant protection against blows, and historically, small daggers or quoits (chakra) could be kept within its folds.</t>
  </si>
  <si>
    <t>What does the term "Fari-Soti" refer to?</t>
  </si>
  <si>
    <t>A) A type of team competition, B) A specific discipline involving a stick (Soti) and a shield (Fari), C) A solo demonstration with two sticks, D) A historical battle</t>
  </si>
  <si>
    <t>B) A specific discipline involving a stick (Soti) and a shield (Fari)</t>
  </si>
  <si>
    <t>This is one of the main competitive events, where players spar using a stick and a small shield.</t>
  </si>
  <si>
    <t>Which of these is a key principle of Gatka philosophy?</t>
  </si>
  <si>
    <t>A) "Win at all costs", B) "Attack is the best defense", C) The body and mind must be united with the weapon, D) "Never show mercy"</t>
  </si>
  <si>
    <t>C) The body and mind must be united with the weapon</t>
  </si>
  <si>
    <t>A core tenet of Shastar Vidya is that the weapon should be treated as an extension of the practitioner's own body and spirit.</t>
  </si>
  <si>
    <t>What is the main reason Gatka is considered a "living history"?</t>
  </si>
  <si>
    <t>A) It is an ancient art that is still actively practiced and performed today, B) It is only studied in history books, C) It has not changed at all in 500 years, D) It is a reenactment of famous battles</t>
  </si>
  <si>
    <t>A) It is an ancient art that is still actively practiced and performed today</t>
  </si>
  <si>
    <t>Gatka is not a relic; it is a dynamic tradition that is passed down through generations and continues to evolve.</t>
  </si>
  <si>
    <t>The rhythmic footwork or "chaal" in Gatka is often compared to the gait of which animal?</t>
  </si>
  <si>
    <t>A) A tiger, B) An elephant, C) A lion, D) A horse</t>
  </si>
  <si>
    <t>C) A lion</t>
  </si>
  <si>
    <t>The powerful, flowing, and majestic gait is often described as the "lion's walk," symbolizing courage and strength.</t>
  </si>
  <si>
    <t>A player is penalized for using an oversized shield. What is the purpose of regulating shield size?</t>
  </si>
  <si>
    <t>A) To make the shields lighter, B) To ensure a fair balance between offense and defense, C) To make it easier for the referee to see, D) To save on material costs</t>
  </si>
  <si>
    <t>B) To ensure a fair balance between offense and defense</t>
  </si>
  <si>
    <t>An overly large shield would make a player almost impossible to hit, so the size is standardized to encourage skillful play.</t>
  </si>
  <si>
    <t>What is the Barchha?</t>
  </si>
  <si>
    <t>A) A type of dagger, B) A short sword, C) A long spear, D) A battle axe</t>
  </si>
  <si>
    <t>C) A long spear</t>
  </si>
  <si>
    <t>The Barchha is a spear, a traditional weapon in the Sikh arsenal used for long-range melee combat.</t>
  </si>
  <si>
    <t>In an artistic demonstration, a player performs the "fire-breathing" technique. What does this symbolize?</t>
  </si>
  <si>
    <t>A) The destructive power of the warrior, B) The divine energy and fiery spirit of the Khalsa, C) It is a magic trick, D) It is a warm-up exercise</t>
  </si>
  <si>
    <t>B) The divine energy and fiery spirit of the Khalsa</t>
  </si>
  <si>
    <t>This spectacular display is a symbolic representation of the intense spiritual and martial energy of the Sikh warrior.</t>
  </si>
  <si>
    <t>What is the main difference between a Kirpan and a Katar?</t>
  </si>
  <si>
    <t>A) The Kirpan is a sword, the Katar is a dagger, B) The Kirpan is a curved dagger, while the Katar is a push-dagger with an H-shaped handle, C) There is no difference, D) The Katar is a Hindu weapon, the Kirpan is Sikh</t>
  </si>
  <si>
    <t>B) The Kirpan is a curved dagger, while the Katar is a push-dagger with an H-shaped handle</t>
  </si>
  <si>
    <t>The Katar is a specialized piercing weapon from the Indian subcontinent, which is also sometimes demonstrated in Shastar Vidya.</t>
  </si>
  <si>
    <t>Why is it a foul to strike an opponent who has fallen?</t>
  </si>
  <si>
    <t>A) It is too easy to score, B) For safety and to maintain the honor of the fight, C) It can damage the arena floor, D) The fallen player cannot defend themselves</t>
  </si>
  <si>
    <t>B) For safety and to maintain the honor of the fight</t>
  </si>
  <si>
    <t>Gatka rules require a fair, stand-up fight. Attacking a downed opponent is a major violation of both safety and the warrior's code of conduct.</t>
  </si>
  <si>
    <t>What is the main purpose of the "Gatka Federation of India"?</t>
  </si>
  <si>
    <t>A) To promote Gatka as a modern, standardized sport, B) To preserve the art as a historical reenactment, C) To teach Gatka in schools, D) To manage the Nihang orders</t>
  </si>
  <si>
    <t>A) To promote Gatka as a modern, standardized sport</t>
  </si>
  <si>
    <t>National federations work to standardize rules, organize championships, and gain official recognition for Gatka as a competitive sport.</t>
  </si>
  <si>
    <t>A player is said to have excellent "taal" (rhythm). What does this mean?</t>
  </si>
  <si>
    <t>A) They are a good dancer, B) Their movements are perfectly synchronized with the drum beat and the flow of combat, C) They are very fast, D) They are very strong</t>
  </si>
  <si>
    <t>B) Their movements are perfectly synchronized with the drum beat and the flow of combat</t>
  </si>
  <si>
    <t>Taal is a deep sense of rhythm and timing that allows a player's movements to be fluid, efficient, and unpredictable.</t>
  </si>
  <si>
    <t>What is the historical significance of the Battle of Chamkaur (1704) for Gatka?</t>
  </si>
  <si>
    <t>A) It was the first battle where Gatka was used, B) It was a legendary last stand where a small number of Sikhs used their martial skills against a massive army, C) It was the battle where Gatka was defeated, D) It was a naval battle</t>
  </si>
  <si>
    <t>B) It was a legendary last stand where a small number of Sikhs used their martial skills against a massive army</t>
  </si>
  <si>
    <t>This battle is a key event in Sikh history, symbolizing the courage and effectiveness of the Khalsa warriors and their combat training.</t>
  </si>
  <si>
    <t>Which of the following is a key element of the "Nihang" style of Gatka?</t>
  </si>
  <si>
    <t>A) A focus on slow, meditative movements, B) The use of a wide variety of traditional and often exotic weapons, C) A strict non-contact rule, D) The absence of shields</t>
  </si>
  <si>
    <t>B) The use of a wide variety of traditional and often exotic weapons</t>
  </si>
  <si>
    <t>Nihang demonstrations often showcase a vast arsenal of weapons beyond the standard stick and shield, including quoits, spears, and daggers.</t>
  </si>
  <si>
    <t>What is the purpose of the "Jangi Nishan" (battle standards or flags) in a Gatka performance?</t>
  </si>
  <si>
    <t>A) They are used as weapons, B) They are purely decorative, C) They represent the honor and identity of the akhara or regiment, D) They are used to signal the referee</t>
  </si>
  <si>
    <t>C) They represent the honor and identity of the akhara or regiment</t>
  </si>
  <si>
    <t>Like military battle standards, these flags are a rallying point and a powerful symbol of a group's lineage and pride.</t>
  </si>
  <si>
    <t>A player is penalized for a "low hit". Where did the strike likely land?</t>
  </si>
  <si>
    <t>A) On the chest, B) On the shoulder, C) Below the waist or on the legs, D) On the shield</t>
  </si>
  <si>
    <t>C) Below the waist or on the legs</t>
  </si>
  <si>
    <t>In sport Gatka, the legal target area is the upper body. Strikes to the legs or below the belt are fouls.</t>
  </si>
  <si>
    <t>What does the term "single stick" (Ek Soti) refer to?</t>
  </si>
  <si>
    <t>A) A competition with only one round, B) A discipline where players fight with a single stick and no shield, C) A specific type of training stick, D) The best player in the tournament</t>
  </si>
  <si>
    <t>B) A discipline where players fight with a single stick and no shield</t>
  </si>
  <si>
    <t>This is a category of Gatka that requires a very high level of skill, as the player must use their weapon for both offense and defense.</t>
  </si>
  <si>
    <t>Why is it important for a player to maintain a "mobile stance"?</t>
  </si>
  <si>
    <t>A) To look better for the judges, B) To allow for rapid footwork to evade attacks and create new angles, C) To keep their muscles warm, D) To follow the rhythm of the drum</t>
  </si>
  <si>
    <t>B) To allow for rapid footwork to evade attacks and create new angles</t>
  </si>
  <si>
    <t>A static fighter is an easy target. A mobile stance, with weight on the balls of the feet, is essential for dynamic combat.</t>
  </si>
  <si>
    <t>What is the significance of the "Khalsa" in the history of Gatka?</t>
  </si>
  <si>
    <t>A) It was the name of a famous Gatka master, B) It is the collective body of initiated Sikhs, founded by Guru Gobind Singh, which institutionalized martial training, C) It is a type of sword, D) It is a major Gatka tournament</t>
  </si>
  <si>
    <t>B) It is the collective body of initiated Sikhs, founded by Guru Gobind Singh, which institutionalized martial training</t>
  </si>
  <si>
    <t>The creation of the Khalsa in 1699 transformed the Sikhs into a formal saint-soldier community, making martial arts like Gatka a religious duty.</t>
  </si>
  <si>
    <t>A player is warned for "covering the target." What does this mean?</t>
  </si>
  <si>
    <t>A) They are wearing too much protective gear, B) They are using their free hand or arm to illegally block the opponent's view of the target area, C) They are hiding behind their shield, D) They are turning their back</t>
  </si>
  <si>
    <t>B) They are using their free hand or arm to illegally block the opponent's view of the target area</t>
  </si>
  <si>
    <t>It is a foul to use the non-weapon hand to shield the scoring zone, as this is a passive and illegal defensive tactic.</t>
  </si>
  <si>
    <t>What is the primary purpose of the small, round shield (phari)?</t>
  </si>
  <si>
    <t>A) It is for ceremony only, B) It is used to parry and deflect strikes, and for close-range blocking, C) It is a throwing weapon, D) It is used to strike the opponent</t>
  </si>
  <si>
    <t>B) It is used to parry and deflect strikes, and for close-range blocking</t>
  </si>
  <si>
    <t>The phari is an active defensive tool used to intercept and redirect the opponent's weapon.</t>
  </si>
  <si>
    <t>Which famous battle is often cited as a prime example of Sikh martial prowess, where 21 soldiers fought against thousands?</t>
  </si>
  <si>
    <t>A) The Battle of Panipat, B) The Battle of Plassey, C) The Battle of Saragarhi, D) The Battle of Buxar</t>
  </si>
  <si>
    <t>C) The Battle of Saragarhi</t>
  </si>
  <si>
    <t>The legendary last stand at Saragarhi in 1897 is a key event in Sikh military history that epitomizes the warrior spirit fostered by traditions like Gatka.</t>
  </si>
  <si>
    <t>In addition to the stick (soti), what is the other primary weapon used in the main competitive event, "Fari-Soti"?</t>
  </si>
  <si>
    <t>A) A second stick, B) A dagger (kirpan), C) A small shield (fari), D) A spear</t>
  </si>
  <si>
    <t>C) A small shield (fari)</t>
  </si>
  <si>
    <t>The "Fari-Soti" competition is the classic stick-and-shield discipline. Fari is another term for the shield.</t>
  </si>
  <si>
    <t>What is the main reason that Gatka training emphasizes the use of both sides of the body equally?</t>
  </si>
  <si>
    <t>A) It is more artistic, B) To develop ambidextrous skills, making a fighter unpredictable and able to fight from any stance, C) It is a religious requirement, D) It helps with balance</t>
  </si>
  <si>
    <t>B) To develop ambidextrous skills, making a fighter unpredictable and able to fight from any stance</t>
  </si>
  <si>
    <t>A fighter who can switch stances and wield their weapon effectively with either hand is much harder to defend against.</t>
  </si>
  <si>
    <t>What is the ultimate goal of the "Saint-Soldier" (Sant-Sipahi) ideal in Gatka?</t>
  </si>
  <si>
    <t>A) To be the most feared warrior, B) To achieve a state of spiritual enlightenment while also being a protector of justice, C) To win every battle, D) To become a professional soldier</t>
  </si>
  <si>
    <t>B) To achieve a state of spiritual enlightenment while also being a protector of justice</t>
  </si>
  <si>
    <t>This is the highest ideal: a person who combines deep spirituality and moral character with the strength and willingness to defend the defenseless.</t>
  </si>
  <si>
    <t>What is the primary role of the Ustaad (master) in a traditional Akhara?</t>
  </si>
  <si>
    <t>A) To act as a sponsor, B) To be the chief organizer of events, C) To be the primary teacher of technique, philosophy, and discipline, D) To be a medical officer</t>
  </si>
  <si>
    <t>C) To be the primary teacher of technique, philosophy, and discipline</t>
  </si>
  <si>
    <t>The Ustaad is the central figure in a training school, responsible for the complete development of their students (shagirds).</t>
  </si>
  <si>
    <t>A player is penalized for "striking a grounded opponent". What does this rule enforce?</t>
  </si>
  <si>
    <t>A) That the fight must be fair and stand-up only, B) That players must help a fallen opponent, C) That ground fighting is allowed, D) That the match ends when a player falls</t>
  </si>
  <si>
    <t>A) That the fight must be fair and stand-up only</t>
  </si>
  <si>
    <t>Sport Gatka is a standing, weapons-based art. Attacking an opponent who is on the ground is a major foul.</t>
  </si>
  <si>
    <t>What does the term "Shastar" in Shastar Vidya literally mean?</t>
  </si>
  <si>
    <t>A) Science, B) Art, C) Hand-held weapon, D) Discipline</t>
  </si>
  <si>
    <t>C) Hand-held weapon</t>
  </si>
  <si>
    <t>Shastar Vidya translates to the "Science of Weapons," referring to the complete system of Sikh martial arts.</t>
  </si>
  <si>
    <t>What is the main difference in purpose between a Gatka demonstration at a festival and a Gatka competition?</t>
  </si>
  <si>
    <t>A) There is no difference, B) A demonstration is artistic and ceremonial, while a competition is about scoring points to win, C) Demonstrations use real swords, D) Competitions are longer</t>
  </si>
  <si>
    <t>B) A demonstration is artistic and ceremonial, while a competition is about scoring points to win</t>
  </si>
  <si>
    <t>Demonstrations showcase the beauty, history, and skill of the art, while competitions are structured sporting events with a clear winner and loser.</t>
  </si>
  <si>
    <t>Which of these is a key mental attribute, besides courage, that Gatka aims to develop?</t>
  </si>
  <si>
    <t>A) Anger, B) Fearlessness, C) Calmness and focus under pressure, D) A desire for revenge</t>
  </si>
  <si>
    <t>C) Calmness and focus under pressure</t>
  </si>
  <si>
    <t>The discipline of Gatka teaches a practitioner to remain calm and composed, allowing them to think clearly in the chaos of combat.</t>
  </si>
  <si>
    <t>Why are flashy, theatrical movements often discouraged in competitive Gatka?</t>
  </si>
  <si>
    <t>A) They are too difficult to perform, B) They are often inefficient and can leave a player vulnerable to a pragmatic opponent, C) They do not score points, D) They are against the rules</t>
  </si>
  <si>
    <t>B) They are often inefficient and can leave a player vulnerable to a pragmatic opponent</t>
  </si>
  <si>
    <t>Sport Gatka prioritizes effective, controlled techniques over purely aesthetic movements. An unnecessary spin can create a defensive opening.</t>
  </si>
  <si>
    <t>What is the main historical reason for the strong connection between Gatka and the Punjab region?</t>
  </si>
  <si>
    <t>A) It was the only region where weapons were allowed, B) It was the birthplace of Sikhism and the heartland of the Sikh Empire, C) The terrain is ideal for practicing, D) It was a royal decree</t>
  </si>
  <si>
    <t>B) It was the birthplace of Sikhism and the heartland of the Sikh Empire</t>
  </si>
  <si>
    <t>The art is intrinsically linked to the history, culture, and identity of the Sikh people, which is centered in Punjab.</t>
  </si>
  <si>
    <t>A player is warned for using their shield to push the opponent. Is this a valid foul?</t>
  </si>
  <si>
    <t>A) No, this is a legal defensive move, B) Yes, the shield is for blocking only, not for offensive pushing, C) Only if the push causes the opponent to fall, D) Only if the referee sees it</t>
  </si>
  <si>
    <t>B) Yes, the shield is for blocking only, not for offensive pushing</t>
  </si>
  <si>
    <t>The shield is a defensive tool. Using it to shove or unbalance an opponent is an illegal use of equipment.</t>
  </si>
  <si>
    <t>What is the purpose of the "full-contact" sparring in some traditional Akharas?</t>
  </si>
  <si>
    <t>A) To deliberately injure students, B) To test a student's courage and skill under realistic, high-pressure conditions, C) It is the only way to score points, D) To prepare for modern sport competitions</t>
  </si>
  <si>
    <t>B) To test a student's courage and skill under realistic, high-pressure conditions</t>
  </si>
  <si>
    <t>In traditional training, full-contact sparring was essential for preparing a warrior for the realities of actual combat.</t>
  </si>
  <si>
    <t>What is the main reason Gatka is considered an important part of Sikh heritage?</t>
  </si>
  <si>
    <t>A) It is a fun sport, B) It is a direct, living link to the history and philosophy of the Sikh Gurus and warriors, C) It is a major source of income, D) It is an Olympic sport</t>
  </si>
  <si>
    <t>B) It is a direct, living link to the history and philosophy of the Sikh Gurus and warriors</t>
  </si>
  <si>
    <t>Practicing Gatka is a way for Sikhs to connect with their history and embody the "Sant-Sipahi" ideal.</t>
  </si>
  <si>
    <t>In a team event, one player is disqualified. What happens to the team?</t>
  </si>
  <si>
    <t>A) The entire team is disqualified, B) The team must forfeit that specific bout but can continue the match, C) The team can substitute the player, D) Nothing, the match continues</t>
  </si>
  <si>
    <t>B) The team must forfeit that specific bout but can continue the match</t>
  </si>
  <si>
    <t>The disqualified player loses their individual fight, but the rest of the team can continue to compete in their own scheduled bouts.</t>
  </si>
  <si>
    <t>What is the term for the circular, spinning motion of the stick?</t>
  </si>
  <si>
    <t>A) Ghumman, B) Jorh, C) Fari, D) Rok</t>
  </si>
  <si>
    <t>A) Ghumman</t>
  </si>
  <si>
    <t>Ghumman refers to the continuous spinning or twirling of the weapon, a foundational drill for developing control and rhythm.</t>
  </si>
  <si>
    <t>Why is it important for the two competing players to be of a similar skill level?</t>
  </si>
  <si>
    <t>A) It is not important, B) To ensure a fair and competitive match, C) To prevent one player from getting tired, D) It is a rule to have players of the same age</t>
  </si>
  <si>
    <t>B) To ensure a fair and competitive match</t>
  </si>
  <si>
    <t>A significant mismatch in skill is not a true test for either player and can be dangerous for the less experienced competitor.</t>
  </si>
  <si>
    <t>What is the referee's signal for a point scored?</t>
  </si>
  <si>
    <t>A) They raise a flag of the player's color, B) They blow their whistle twice, C) They shout "Point!", D) They clap their hands</t>
  </si>
  <si>
    <t>A) They raise a flag of the player's color</t>
  </si>
  <si>
    <t>Judges and referees use colored flags (e.g., red and blue) corresponding to the players' corners to signal which player has scored a point.</t>
  </si>
  <si>
    <t>Which weapon is also known as a "war-quoit"?</t>
  </si>
  <si>
    <t>A) The Khanda, B) The Kirpan, C) The Chakra, D) The Barchha</t>
  </si>
  <si>
    <t>C) The Chakra</t>
  </si>
  <si>
    <t>The Chakra is a steel throwing ring, a unique and iconic weapon of the Sikh warriors.</t>
  </si>
  <si>
    <t>What is the main reason for the strict rules on the weight and flexibility of the training stick?</t>
  </si>
  <si>
    <t>A) To make the sport more expensive, B) To ensure fairness and safety for all competitors, C) To make the sticks easier to break, D) To make them look uniform</t>
  </si>
  <si>
    <t>B) To ensure fairness and safety for all competitors</t>
  </si>
  <si>
    <t>Standardized equipment ensures that no player has an unfair advantage and that the weapons behave in a predictable, safe manner.</t>
  </si>
  <si>
    <t>What does the term akhara mean in its original context?</t>
  </si>
  <si>
    <t>A) A place of combat or wrestling, B) A temple, C) A school, D) A marketplace</t>
  </si>
  <si>
    <t>A) A place of combat or wrestling</t>
  </si>
  <si>
    <t>An akhara is a traditional gymnasium or arena for Indian martial arts and wrestling.</t>
  </si>
  <si>
    <t>A player is penalized for a "high strike". What does this mean?</t>
  </si>
  <si>
    <t>A) The strike was too powerful, B) The strike was aimed above the shoulders at the head or neck, C) The strike was a jumping strike, D) The strike was too slow</t>
  </si>
  <si>
    <t>B) The strike was aimed above the shoulders at the head or neck</t>
  </si>
  <si>
    <t>In many rule sets, the head is an illegal target. A "high strike" refers to a foul for hitting this forbidden zone.</t>
  </si>
  <si>
    <t>What is the main purpose of the synchronized group displays (jatha) in Gatka?</t>
  </si>
  <si>
    <t>A) To determine a winner, B) To demonstrate the discipline, coordination, and unity of the group, C) To warm up for the individual fights, D) It is a form of protest</t>
  </si>
  <si>
    <t>B) To demonstrate the discipline, coordination, and unity of the group</t>
  </si>
  <si>
    <t>These performances are a powerful showcase of the collective skill and harmony of a Gatka school or team.</t>
  </si>
  <si>
    <t>Why is the practice of Gatka considered a form of meditation by some practitioners?</t>
  </si>
  <si>
    <t>A) It is done in silence, B) The intense focus required on movement and breathing can clear the mind, C) It involves sitting still for long periods, D) It is a religious requirement</t>
  </si>
  <si>
    <t>B) The intense focus required on movement and breathing can clear the mind</t>
  </si>
  <si>
    <t>The deep concentration needed to perform the techniques can lead to a state of "moving meditation," uniting body and spirit.</t>
  </si>
  <si>
    <t>Which of these is a key defensive footwork maneuver in Gatka?</t>
  </si>
  <si>
    <t>A) A forward charge, B) A sidestep or "angulation" (dapech), C) Standing still, D) A low crouch</t>
  </si>
  <si>
    <t>B) A sidestep or "angulation" (dapech)</t>
  </si>
  <si>
    <t>Sidestepping is a fundamental defensive skill used to evade a linear attack and create an angle for a counter-strike.</t>
  </si>
  <si>
    <t>What is the main characteristic of the "Nihang" style of combat?</t>
  </si>
  <si>
    <t>A) It is very defensive and passive, B) It is highly aggressive, seemingly chaotic, but very effective, C) It uses only one type of weapon, D) It is a modern sport</t>
  </si>
  <si>
    <t>B) It is highly aggressive, seemingly chaotic, but very effective</t>
  </si>
  <si>
    <t>The Nihang style is known for its fearsome, all-out attacking nature, which can overwhelm opponents.</t>
  </si>
  <si>
    <t>A player is wearing a traditional turban in a competition instead of a modern helmet. What must it have?</t>
  </si>
  <si>
    <t>A) A specific color, B) It must be approved by the referee and often has internal padding (farra), C) A metal plate, D) It must be very small</t>
  </si>
  <si>
    <t>B) It must be approved by the referee and often has internal padding (farra)</t>
  </si>
  <si>
    <t>For safety, if a traditional turban is worn, it must be tied in a specific, secure way and often contains protective elements.</t>
  </si>
  <si>
    <t>What is the primary purpose of the small, round shield (fari)?</t>
  </si>
  <si>
    <t>A) It is large enough to hide behind, B) It is light and maneuverable for parrying and active blocking, C) It is a throwing weapon, D) It is purely ceremonial</t>
  </si>
  <si>
    <t>B) It is light and maneuverable for parrying and active blocking</t>
  </si>
  <si>
    <t>Unlike a large shield, the fari is used dynamically to intercept and redirect strikes, not for passive defense.</t>
  </si>
  <si>
    <t>A player is penalized for "body contact." What did they do?</t>
  </si>
  <si>
    <t>A) They were hit by the opponent, B) They intentionally pushed or grappled with their opponent, C) Their foot touched the opponent's foot, D) They blocked a strike</t>
  </si>
  <si>
    <t>B) They intentionally pushed or grappled with their opponent</t>
  </si>
  <si>
    <t>Sport Gatka is a weapons-based art. Using one's body to illegally push, hold, or grapple is a foul.</t>
  </si>
  <si>
    <t>Which part of the stick is it illegal to strike with?</t>
  </si>
  <si>
    <t>A) The tip, B) The middle, C) The butt end, D) All parts are legal</t>
  </si>
  <si>
    <t>D) All parts are legal</t>
  </si>
  <si>
    <t>A player can legally strike with any part of the wooden soti.</t>
  </si>
  <si>
    <t>What is the referee's command to stop the fight?</t>
  </si>
  <si>
    <t>A) "Ruk!" (Stop!), B) "Khatam!" (Finish!), C) A long whistle blow, D) "Bas!" (Enough!)</t>
  </si>
  <si>
    <t>C) A long whistle blow</t>
  </si>
  <si>
    <t>The referee's whistle is the primary tool for starting and stopping the action in a formal match.</t>
  </si>
  <si>
    <t>What is the main reason that Gatka training is beneficial for children?</t>
  </si>
  <si>
    <t>A) It teaches them to be aggressive, B) It instills discipline, focus, and physical fitness, C) It is an easy sport to learn, D) It guarantees they will win fights</t>
  </si>
  <si>
    <t>B) It instills discipline, focus, and physical fitness</t>
  </si>
  <si>
    <t>Gatka is highly valued as a youth activity for its ability to develop character, concentration, and a healthy body.</t>
  </si>
  <si>
    <t>In the artistic category, what does "creativity" refer to?</t>
  </si>
  <si>
    <t>A) Making up new, non-traditional moves, B) The skillful and fluid linking of traditional techniques in a unique combination, C) Using a weapon that is not recognized, D) The player's costume</t>
  </si>
  <si>
    <t>B) The skillful and fluid linking of traditional techniques in a unique combination</t>
  </si>
  <si>
    <t>Creativity is not about inventing moves, but about demonstrating a deep understanding of the art by combining its core elements in a masterful way.</t>
  </si>
  <si>
    <t>What is the main difference between a Gatka stick and a Japanese bokken (wooden sword)?</t>
  </si>
  <si>
    <t>A) The bokken is heavier, B) The Gatka stick is straight, while the bokken is curved like a katana, C) The Gatka stick is longer, D) There is no difference</t>
  </si>
  <si>
    <t>B) The Gatka stick is straight, while the bokken is curved like a katana</t>
  </si>
  <si>
    <t>The bokken is shaped to simulate a Japanese sword, while the Gatka soti is a straight stick designed to simulate a talwar or khanda.</t>
  </si>
  <si>
    <t>A player is warned for not showing the correct "spirit of the game." What does this mean?</t>
  </si>
  <si>
    <t>A) They are not fighting aggressively enough, B) They are fighting with a lack of respect or honor, C) They are not smiling, D) They are too quiet</t>
  </si>
  <si>
    <t>B) They are fighting with a lack of respect or honor</t>
  </si>
  <si>
    <t>This is a penalty for unsportsmanlike conduct that violates the ethical principles of the art.</t>
  </si>
  <si>
    <t>What is the main reason that the ground is the primary training location for an akhara?</t>
  </si>
  <si>
    <t>A) It is cheaper than a building, B) The soft earth is a forgiving surface that prevents injuries from falls and builds leg strength, C) It is a religious requirement to be connected to the earth, D) It is cooler than a building</t>
  </si>
  <si>
    <t>B) The soft earth is a forgiving surface that prevents injuries from falls and builds leg strength</t>
  </si>
  <si>
    <t>The traditional wrestling pit provides a safe and effective training environment.</t>
  </si>
  <si>
    <t>What is the "Gatka drill"?</t>
  </si>
  <si>
    <t>A) A specific fighting technique, B) The ceremonial opening of a match, C) A repetitive training exercise to perfect a movement, D) The final round of a tournament</t>
  </si>
  <si>
    <t>C) A repetitive training exercise to perfect a movement</t>
  </si>
  <si>
    <t>Like in any martial art, drills are essential for building muscle memory and making techniques second nature.</t>
  </si>
  <si>
    <t>A player is penalized for "prolonged contact." What did they do?</t>
  </si>
  <si>
    <t>A) They held their block for too long, B) They pushed the opponent with their stick instead of striking, C) They spoke to the opponent for too long, D) They took too long to start</t>
  </si>
  <si>
    <t>B) They pushed the opponent with their stick instead of striking</t>
  </si>
  <si>
    <t>All strikes must be clean "touches." Using the stick to push, press, or illegally control the opponent is a foul.</t>
  </si>
  <si>
    <t>What is the most important quality for a Gatka shield (phari)?</t>
  </si>
  <si>
    <t>A) It must be large, B) It must be made of metal, C) It must be lightweight and strong, D) It must be decorated</t>
  </si>
  <si>
    <t>C) It must be lightweight and strong</t>
  </si>
  <si>
    <t>The shield needs to be light enough to be moved quickly for blocking, but strong enough to withstand repeated impacts.</t>
  </si>
  <si>
    <t>In a demonstration, a player lies down and has a coconut on their stomach broken by another player's weapon. What does this showcase?</t>
  </si>
  <si>
    <t>A) The strength of the weapon, B) A magic trick, C) The practitioner's ability to control their body and absorb impact through breathing techniques, D) It is not a real Gatka demonstration</t>
  </si>
  <si>
    <t>C) The practitioner's ability to control their body and absorb impact through breathing techniques</t>
  </si>
  <si>
    <t>This is a demonstration of the internal power and body control developed through advanced training, similar to breaking boards in other arts.</t>
  </si>
  <si>
    <t>What is the main reason for the strict enforcement of rules in modern sport Gatka?</t>
  </si>
  <si>
    <t>A) To make the sport harder, B) To ensure the safety of the competitors and the fairness of the competition, C) To make it more like other martial arts, D) To satisfy sponsors</t>
  </si>
  <si>
    <t>B) To ensure the safety of the competitors and the fairness of the competition</t>
  </si>
  <si>
    <t>A clear and enforced rule set is essential for transforming a traditional martial art into a safe and legitimate modern sport.</t>
  </si>
  <si>
    <t>A player is said to have a good "flow" (ravani). What does this mean?</t>
  </si>
  <si>
    <t>A) They are very fast, B) Their movements are smooth, continuous, and well-connected, C) They are very aggressive, D) They are good at defending</t>
  </si>
  <si>
    <t>B) Their movements are smooth, continuous, and well-connected</t>
  </si>
  <si>
    <t>"Flow" is a key quality in artistic Gatka, where the transitions between movements are as important as the movements themselves.</t>
  </si>
  <si>
    <t>Which of these is a key part of the "Shastar Vidya" philosophy?</t>
  </si>
  <si>
    <t>A) The weapon is a tool for ego, B) The weapon is an extension of the self and must be respected, C) The weapon should only be used for attack, D) The weapon is less important than the hand</t>
  </si>
  <si>
    <t>B) The weapon is an extension of the self and must be respected</t>
  </si>
  <si>
    <t>This principle teaches that the practitioner and their weapon are one, requiring a deep sense of respect and responsibility.</t>
  </si>
  <si>
    <t>What is the referee's action if a player is accidentally injured by their own weapon (e.g., hitting their own leg)?</t>
  </si>
  <si>
    <t>A) The opponent is awarded a point, B) The match is paused for a medical check; no points are awarded, C) The player is disqualified for lack of control, D) The round is replayed</t>
  </si>
  <si>
    <t>B) The match is paused for a medical check; no points are awarded</t>
  </si>
  <si>
    <t>This is considered an accident, not a foul. The primary concern is the player's safety, so the match is paused.</t>
  </si>
  <si>
    <t>What is the main reason that Gatka practitioners often perform at parades and public processions?</t>
  </si>
  <si>
    <t>A) To ask for donations, B) It is a traditional way to showcase the community's strength, discipline, and cultural heritage, C) To recruit new students, D) It is a form of protest</t>
  </si>
  <si>
    <t>B) It is a traditional way to showcase the community's strength, discipline, and cultural heritage</t>
  </si>
  <si>
    <t>Public performances are a vibrant and integral part of Sikh cultural and religious celebrations.</t>
  </si>
  <si>
    <t>What is the most important factor in a successful block?</t>
  </si>
  <si>
    <t>A) The strength of the block, B) The size of the shield, C) Timing and angle, D) The material of the weapon</t>
  </si>
  <si>
    <t>C) Timing and angle</t>
  </si>
  <si>
    <t>A well-timed block that meets the attack at the correct angle can deflect even the most powerful strike with minimal effort.</t>
  </si>
  <si>
    <t>A player is wearing a modern tracksuit instead of a traditional bana. Is this allowed in a formal competition?</t>
  </si>
  <si>
    <t>A) No, traditional attire is mandatory, B) Yes, it is allowed, C) Only if the tracksuit is the team's color, D) Yes, but points will be deducted for improper uniform</t>
  </si>
  <si>
    <t>C) Only if the tracksuit is the team's color</t>
  </si>
  <si>
    <t>In modern sport Gatka, teams often wear standardized tracksuits or uniforms for a professional look, and this is permitted by the rules.</t>
  </si>
  <si>
    <t>Why is it important for a Gatka practitioner to study the history of the art?</t>
  </si>
  <si>
    <t>A) It is not important, B) To understand the philosophical and spiritual context behind the movements, C) To pass the grading exam, D) To be able to talk to other players</t>
  </si>
  <si>
    <t>B) To understand the philosophical and spiritual context behind the movements</t>
  </si>
  <si>
    <t>Understanding the "why" behind the art's creation gives deeper meaning to the physical practice.</t>
  </si>
  <si>
    <t>What is the main difference between the Gatka "stick" and the Irish "shillelagh"?</t>
  </si>
  <si>
    <t>A) The shillelagh is longer, B) The Gatka stick is used in a two-handed style, while the shillelagh is typically one-handed, C) The shillelagh has a knob on the end, D) Both B and C</t>
  </si>
  <si>
    <t>While both are forms of traditional stick fighting, the weapons and techniques are quite distinct.</t>
  </si>
  <si>
    <t>A player is penalized for "turning their back" on an opponent. Why is this a foul?</t>
  </si>
  <si>
    <t>A) It is considered disrespectful and cowardly, B) It is an unsafe, non-combative position, C) It makes it impossible for the opponent to strike a legal target, D) All of the above</t>
  </si>
  <si>
    <t>A player must always face their opponent and be ready to engage. Turning away is a serious violation of the rules and spirit of combat.</t>
  </si>
  <si>
    <t>What is the primary purpose of the "Gatka Colors" or awards given at tournaments?</t>
  </si>
  <si>
    <t>A) To provide financial reward, B) To recognize the skill, dedication, and sportsmanship of the best performers, C) To select players for the national team, D) It is a form of ranking</t>
  </si>
  <si>
    <t>B) To recognize the skill, dedication, and sportsmanship of the best performers</t>
  </si>
  <si>
    <t>These awards are a mark of honor and a way to formally acknowledge the achievements of the practitioners.</t>
  </si>
  <si>
    <t>Which of these is a key component of a Gatka warm-up?</t>
  </si>
  <si>
    <t>A) Heavy weightlifting, B) Static stretching, C) Dynamic, full-body movements and weapon twirling (ghumman), D) A long run</t>
  </si>
  <si>
    <t>C) Dynamic, full-body movements and weapon twirling (ghumman)</t>
  </si>
  <si>
    <t>The warm-up focuses on preparing the body for the specific, fluid, and rotational movements of the art.</t>
  </si>
  <si>
    <t>What is the main reason that Gatka continues to be popular in the Sikh diaspora (e.g., in Canada and the UK)?</t>
  </si>
  <si>
    <t>A) It is a way to get a good workout, B) It is a powerful way for younger generations to connect with their cultural and religious heritage, C) It is a professional sport with large prizes, D) It is a trend</t>
  </si>
  <si>
    <t>B) It is a powerful way for younger generations to connect with their cultural and religious heritage</t>
  </si>
  <si>
    <t>Gatka serves as a vital link to Sikh history and identity for communities living outside of Punjab.</t>
  </si>
  <si>
    <t>What is the highest aim of the Gatka martial artist?</t>
  </si>
  <si>
    <t>A) To become invincible in combat, B) To master the self and live a life of discipline, courage, and service, C) To win a world championship, D) To open their own school (akhara)</t>
  </si>
  <si>
    <t>B) To master the self and live a life of discipline, courage, and service</t>
  </si>
  <si>
    <t>In line with the "Sant-Sipahi" ideal, the ultimate goal is not just fighting prowess, but the development of one's character.</t>
  </si>
  <si>
    <t>What is the origin of the traditional sport Gilli Danda?</t>
  </si>
  <si>
    <t>A) Ancient Greece, B) Ancient Persia, C) The ancient Indian subcontinent, D) Ancient China</t>
  </si>
  <si>
    <t>C) The ancient Indian subcontinent</t>
  </si>
  <si>
    <t>Gilli Danda is believed to have ancient roots in the Indian subcontinent, with evidence suggesting it was played during the Mauryan Empire.</t>
  </si>
  <si>
    <t>Which ancient civilization that flourished in modern-day Pakistan is credited with playing early forms of stick-based games like Gilli Danda?</t>
  </si>
  <si>
    <t>A) The Indus Valley Civilization, B) The Mesopotamian Civilization, C) The Roman Civilization, D) The Egyptian Civilization</t>
  </si>
  <si>
    <t>A) The Indus Valley Civilization</t>
  </si>
  <si>
    <t>Archaeological findings, including stick-like objects and figurines, suggest that games with similar mechanics were played in the Indus Valley.</t>
  </si>
  <si>
    <t>In which historical era did Gilli Danda become a widely popular rural pastime across the subcontinent?</t>
  </si>
  <si>
    <t>A) The Mauryan Era, B) The Mughal Era, C) The British Colonial Period, D) The Gupta Era</t>
  </si>
  <si>
    <t>B) The Mughal Era</t>
  </si>
  <si>
    <t>The Mughal Era saw the widespread popularity of many traditional folk games, including Gilli Danda, which was mentioned in various chronicles.</t>
  </si>
  <si>
    <t>Which modern sport, introduced by the British, is Gilli Danda often considered a precursor to?</t>
  </si>
  <si>
    <t>A) Baseball, B) Cricket, C) Hockey, D) Polo</t>
  </si>
  <si>
    <t>B) Cricket</t>
  </si>
  <si>
    <t>The core mechanics of striking a small object (Gilli) with a larger one (Danda) and having a fielding side is seen by historians as an ancestor to cricket.</t>
  </si>
  <si>
    <t>What is the primary cultural significance of Gilli Danda in the villages of Pakistan?</t>
  </si>
  <si>
    <t>A) It is a religious ritual, B) It is a major source of income, C) It is a powerful tool for social bonding and community recreation, D) It is a formal rite of passage</t>
  </si>
  <si>
    <t>C) It is a powerful tool for social bonding and community recreation</t>
  </si>
  <si>
    <t>Gilli Danda's simplicity and accessibility make it a cherished social activity that fosters friendship and community spirit.</t>
  </si>
  <si>
    <t>What does the term 'Gilli' refer to in the game?</t>
  </si>
  <si>
    <t>A) The long striking stick, B) The small, tapered wooden peg that is struck, C) The playing field, D) A point scored</t>
  </si>
  <si>
    <t>B) The small, tapered wooden peg that is struck</t>
  </si>
  <si>
    <t>The 'Gilli' is the smaller of the two sticks, shaped like a spindle to be easily flicked into the air.</t>
  </si>
  <si>
    <t>What is the role of the 'Danda' in the game?</t>
  </si>
  <si>
    <t>A) It is the target, B) It is the long stick used to strike the Gilli, C) It is used to mark boundaries, D) It is a type of score</t>
  </si>
  <si>
    <t>B) It is the long stick used to strike the Gilli</t>
  </si>
  <si>
    <t>The 'Danda' is the larger stick, equivalent to a bat, used by the striker to hit the Gilli.</t>
  </si>
  <si>
    <t>During which historical period did Gilli Danda's popularity begin to decline in favor of Western sports?</t>
  </si>
  <si>
    <t>A) The Mughal Empire, B) The British Colonial Period, C) The Post-Independence era, D) The Gupta Era</t>
  </si>
  <si>
    <t>B) The British Colonial Period</t>
  </si>
  <si>
    <t>The introduction and promotion of sports like cricket by the British administration led to the gradual decline of many traditional games.</t>
  </si>
  <si>
    <t>Which Punjabi folktale, famous in Pakistan and India, often mentions Gilli Danda as a common village pastime?</t>
  </si>
  <si>
    <t>A) Heer Ranjha, B) Sassi Punnun, C) Sohni Mahiwal, D) Mirza Sahiban</t>
  </si>
  <si>
    <t>A) Heer Ranjha</t>
  </si>
  <si>
    <t>The epic romance of Heer Ranjha is set in a rural Punjabi landscape where games like Gilli Danda were part of daily life.</t>
  </si>
  <si>
    <t>What is the main reason for the Gilli being tapered at both ends?</t>
  </si>
  <si>
    <t>A) It is a decorative feature, B) It allows the striker to easily flick it into the air by striking a tapered end, C) It makes the Gilli harder to balance, D) It is a traditional habit with no practical purpose</t>
  </si>
  <si>
    <t>B) It allows the striker to easily flick it into the air by striking a tapered end</t>
  </si>
  <si>
    <t>This clever design is the core mechanic of the game, allowing the Gilli to be reliably launched for the main hit.</t>
  </si>
  <si>
    <t>In a traditional game, how are points or runs typically measured?</t>
  </si>
  <si>
    <t>A) By counting the number of steps, B) By using a measuring tape, C) By using the length of the Danda as a unit of measurement, D) By the time the Gilli is in the air</t>
  </si>
  <si>
    <t>C) By using the length of the Danda as a unit of measurement</t>
  </si>
  <si>
    <t>The score for a hit is determined by how many full Danda-lengths fit between the striking point and where the Gilli landed.</t>
  </si>
  <si>
    <t>What is the most common way for a striker to be dismissed by the fielding team?</t>
  </si>
  <si>
    <t>A) If they miss the Gilli three times, B) If a fielder catches the Gilli in the air, C) If they drop the Danda, D) If they fail to run</t>
  </si>
  <si>
    <t>B) If a fielder catches the Gilli in the air</t>
  </si>
  <si>
    <t>A clean catch of the Gilli after it has been struck for distance is the primary method of getting the striker out.</t>
  </si>
  <si>
    <t>What is a 'guchchi' in the context of the playing field?</t>
  </si>
  <si>
    <t>A) The Gilli, B) The Danda, C) The small hole in the ground used for the initial strike, D) A type of score</t>
  </si>
  <si>
    <t>C) The small hole in the ground used for the initial strike</t>
  </si>
  <si>
    <t>The 'guchchi' is the small pit or circle over which the Gilli is placed, allowing it to be flicked into the air.</t>
  </si>
  <si>
    <t>Why is Gilli Danda often played at dawn or dusk in rural villages?</t>
  </si>
  <si>
    <t>A) It is a tradition to play at these times, B) The Gilli is more visible in low light, C) To avoid the intense midday heat of the subcontinent, D) It is considered lucky</t>
  </si>
  <si>
    <t>C) To avoid the intense midday heat of the subcontinent</t>
  </si>
  <si>
    <t>Players logically choose the cooler parts of the day for a physically active outdoor game.</t>
  </si>
  <si>
    <t>A fielder retrieves the Gilli from the ground. In many variations, what must they do to get the striker out?</t>
  </si>
  <si>
    <t>A) Tag the striker with the Gilli, B) Throw the Gilli back and hit the Danda placed at the starting point, C) Run with the Gilli to the starting point, D) Throw the Gilli to another fielder</t>
  </si>
  <si>
    <t>B) Throw the Gilli back and hit the Danda placed at the starting point</t>
  </si>
  <si>
    <t>This "run-out" equivalent is the second main way to dismiss a striker if the Gilli is not caught.</t>
  </si>
  <si>
    <t>What historical evidence suggests Gilli Danda was played by children in the Indus Valley?</t>
  </si>
  <si>
    <t>A) Temple carvings depicting the game, B) Written descriptions in ancient texts, C) The discovery of small, carved, stick-like toys resembling Gillis, D) Mentions in folk songs</t>
  </si>
  <si>
    <t>C) The discovery of small, carved, stick-like toys resembling Gillis</t>
  </si>
  <si>
    <t>Archaeologists have found small, tapered objects at ancient sites that are believed to be toys used in early forms of the game.</t>
  </si>
  <si>
    <t>What is the primary reason for the game's enduring popularity in rural South Asia?</t>
  </si>
  <si>
    <t>A) It offers large cash prizes, B) Its low cost and simplicity; it can be played anywhere with improvised equipment, C) It is promoted by national sports federations, D) It is an Olympic sport</t>
  </si>
  <si>
    <t>B) Its low cost and simplicity; it can be played anywhere with improvised equipment</t>
  </si>
  <si>
    <t>The game requires no expensive gear or formal pitch, making it accessible to everyone.</t>
  </si>
  <si>
    <t>Which Pakistani province, known for its vast plains and agrarian culture, is a heartland for Gilli Danda?</t>
  </si>
  <si>
    <t>A) Sindh, B) Balochistan, C) Punjab, D) Khyber Pakhtunkhwa</t>
  </si>
  <si>
    <t>C) Punjab</t>
  </si>
  <si>
    <t>The plains of Punjab, with their open spaces and strong village culture, are one of the regions most associated with the sport.</t>
  </si>
  <si>
    <t>What is the English name for a game with nearly identical rules to Gilli Danda?</t>
  </si>
  <si>
    <t>A) Rounders, B) Croquet, C) Tip-cat, D) Stoolball</t>
  </si>
  <si>
    <t>C) Tip-cat</t>
  </si>
  <si>
    <t>Tip-cat is a traditional English street game that shares the same core mechanic of flicking up and striking a small piece of wood.</t>
  </si>
  <si>
    <t>In what way does the initial flick-and-hit action of Gilli Danda differ from baseball?</t>
  </si>
  <si>
    <t>A) The striker hits a moving object, B) The striker launches the object themselves, there is no pitcher, C) A larger bat is used, D) It is a team sport</t>
  </si>
  <si>
    <t>B) The striker launches the object themselves, there is no pitcher</t>
  </si>
  <si>
    <t>This self-launching mechanic is a fundamental difference, placing the entire action in the hands of the striker.</t>
  </si>
  <si>
    <t>Which Mughal emperor's memoirs, the Baburnama, mention various recreational games played at court and in the countryside?</t>
  </si>
  <si>
    <t>A) Akbar, B) Babur, C) Jahangir, D) Aurangzeb</t>
  </si>
  <si>
    <t>B) Babur</t>
  </si>
  <si>
    <t>Babur's memoirs provide a rich account of the daily life and pastimes of the era, including games that were likely precursors to Gilli Danda.</t>
  </si>
  <si>
    <t>Why is a side-on stance, similar to batting in cricket, recommended for striking the Gilli?</t>
  </si>
  <si>
    <t>A) It is more traditional, B) It allows for greater body rotation, generating more power in the swing, C) It provides a better view of the fielders, D) It makes it easier to run after the hit</t>
  </si>
  <si>
    <t>B) It allows for greater body rotation, generating more power in the swing</t>
  </si>
  <si>
    <t>A side-on stance enables the player to use their entire body—hips and core—to generate maximum force.</t>
  </si>
  <si>
    <t>A fielder stops the Gilli but is very far from the base. What is the most effective way to get the striker out?</t>
  </si>
  <si>
    <t>A) To run with the Gilli all the way back, B) To throw the Gilli as hard as possible towards the base, C) To throw the Gilli to a closer teammate in a relay, D) To concede the score</t>
  </si>
  <si>
    <t>C) To throw the Gilli to a closer teammate in a relay</t>
  </si>
  <si>
    <t>A relay throw, just like in baseball, is the fastest and most effective strategy for returning the Gilli to the home base from a long distance.</t>
  </si>
  <si>
    <t>What is a "lambi paari"?</t>
  </si>
  <si>
    <t>A) A short turn at striking, B) A long and high-scoring innings or turn, C) The final player to strike, D) A tied game</t>
  </si>
  <si>
    <t>B) A long and high-scoring innings or turn</t>
  </si>
  <si>
    <t>This term is used to describe a striker who is having a very successful turn, accumulating a high score without getting out.</t>
  </si>
  <si>
    <t>What is the main social aspect of Gilli Danda?</t>
  </si>
  <si>
    <t>A) It is a highly competitive, professional sport, B) It is a game that brings together community members of all ages, C) It is a solitary game for training, D) It is only played by children</t>
  </si>
  <si>
    <t>B) It is a game that brings together community members of all ages</t>
  </si>
  <si>
    <t>Gilli Danda is a deeply social activity that fosters friendship, good-natured rivalry, and community bonding.</t>
  </si>
  <si>
    <t>If a Gilli is lost during play (e.g., hit into a dense bush), what is the common informal rule?</t>
  </si>
  <si>
    <t>A) The striker is declared the winner, B) The striker is out for losing the Gilli, C) The game is paused until the Gilli is found, D) The game ends in a draw</t>
  </si>
  <si>
    <t>B) The striker is out for losing the Gilli</t>
  </si>
  <si>
    <t>A very common "house rule" is that if the striker loses the game piece, their turn is over.</t>
  </si>
  <si>
    <t>What is a 'danda' in the context of scoring?</t>
  </si>
  <si>
    <t>A) The score itself, B) The unit of measurement, equal to the length of the larger stick, C) The player who measures the score, D) A type of foul</t>
  </si>
  <si>
    <t>B) The unit of measurement, equal to the length of the larger stick</t>
  </si>
  <si>
    <t>The score is counted in 'dandas', for example, "That was a hit of 50 dandas."</t>
  </si>
  <si>
    <t>Why is it important for the Gilli to be made of a relatively light wood?</t>
  </si>
  <si>
    <t>A) To make it fly farther and be less dangerous if it hits someone, B) It is cheaper to produce, C) It is easier to carve, D) It makes a louder sound when hit</t>
  </si>
  <si>
    <t>A) To make it fly farther and be less dangerous if it hits someone</t>
  </si>
  <si>
    <t>A lighter Gilli poses less of a safety risk to fielders and has better aerodynamic properties for achieving long distances.</t>
  </si>
  <si>
    <t>A fielder catches the Gilli in their hat or the fold of their shirt. Is this a legal catch?</t>
  </si>
  <si>
    <t>A) Yes, as long as it did not touch the ground, B) No, the catch must be made with the bare hands, C) It is up to the striker to decide, D) The turn must be replayed</t>
  </si>
  <si>
    <t>B) No, the catch must be made with the bare hands</t>
  </si>
  <si>
    <t>In traditional rules, a catch is only valid if made cleanly with the hands. Using clothing to aid the catch is not allowed.</t>
  </si>
  <si>
    <t>What is the most common reason for an argument between players in a casual game?</t>
  </si>
  <si>
    <t>A) The quality of the equipment, B) The accuracy of the distance measurement when scoring, C) The weather conditions, D) The time of day</t>
  </si>
  <si>
    <t>B) The accuracy of the distance measurement when scoring</t>
  </si>
  <si>
    <t>Because scoring is measured by physically laying the Danda on the ground and counting, disagreements over the exact count are the most frequent cause of disputes.</t>
  </si>
  <si>
    <t>In the context of Pakistani culture, Gilli Danda is often used as a symbol of what?</t>
  </si>
  <si>
    <t>A) Modernization and progress, B) Wealth and status, C) A simpler, nostalgic rural past, D) Political protest</t>
  </si>
  <si>
    <t>C) A simpler, nostalgic rural past</t>
  </si>
  <si>
    <t>The game is often referenced in Pakistani literature and media as a powerful symbol of a cherished and vanishing childhood innocence.</t>
  </si>
  <si>
    <t>What is the primary role of the initial "flick" that pops the Gilli into the air?</t>
  </si>
  <si>
    <t>A) To score one point, B) To set up the main, powerful strike for distance, C) To confuse the fielders, D) To test the wind direction</t>
  </si>
  <si>
    <t>B) To set up the main, powerful strike for distance</t>
  </si>
  <si>
    <t>The first hit is a setup, designed to get the Gilli airborne so it can be struck with full force on the second, more powerful hit.</t>
  </si>
  <si>
    <t>Which famous Pakistani poet and philosopher mentioned Gilli Danda in his works as a reference to youthful pastimes?</t>
  </si>
  <si>
    <t>A) Faiz Ahmed Faiz, B) Allama Iqbal, C) Mirza Ghalib, D) Ahmed Rahi</t>
  </si>
  <si>
    <t>B) Allama Iqbal</t>
  </si>
  <si>
    <t>Allama Iqbal, a key figure in Pakistan's history, occasionally referenced traditional games like Gilli Danda in his writings.</t>
  </si>
  <si>
    <t>Why is a side-on stance, with the body turned perpendicular to the direction of the hit, the recommended posture for striking?</t>
  </si>
  <si>
    <t>A) It is more traditional, B) It allows for greater body rotation and power, C) It provides a better view of the fielders, D) It makes it easier to run after making the hit</t>
  </si>
  <si>
    <t>B) It allows for greater body rotation and power</t>
  </si>
  <si>
    <t>Similar to batting in cricket or baseball, a side-on stance enables the player to use their entire body—hips, core, and shoulders—to generate maximum force in the swing.</t>
  </si>
  <si>
    <t>A fielder catches the Gilli but then stumbles and falls over the boundary line. Is the striker out?</t>
  </si>
  <si>
    <t>A) Yes, the catch was made inside the field of play, B) No, the fielder must complete the catch with their body under control and inside the boundary, C) The turn is replayed, D) A bonus point is given to the striker</t>
  </si>
  <si>
    <t>B) No, the fielder must complete the catch with their body under control and inside the boundary</t>
  </si>
  <si>
    <t>Similar to cricket, a fielder must have full control of the catch while remaining legally inside the field of play.</t>
  </si>
  <si>
    <t>What is the main reason for the decline of Gilli Danda in major urban centers of Pakistan?</t>
  </si>
  <si>
    <t>A) The game has been officially banned, B) The lack of safe, open spaces and the rise of other sports like cricket, C) The equipment is now too expensive to make, D) It is considered an old-fashioned game by the youth</t>
  </si>
  <si>
    <t>B) The lack of safe, open spaces and the rise of other sports like cricket</t>
  </si>
  <si>
    <t>Urbanization has led to the loss of open fields, and modern, globally recognized sports have become more popular.</t>
  </si>
  <si>
    <t>A fielder stops the Gilli with their foot and then picks it up. Is this allowed?</t>
  </si>
  <si>
    <t>A) No, only hands can be used to field the Gilli, B) Yes, a fielder can stop the Gilli with any part of their body, C) Only if the Gilli was already rolling on the ground, D) It results in a penalty for the fielding team</t>
  </si>
  <si>
    <t>B) Yes, a fielder can stop the Gilli with any part of their body</t>
  </si>
  <si>
    <t>A fielder is permitted to use their hands, feet, or any part of their body to stop the Gilli before retrieving it to throw.</t>
  </si>
  <si>
    <t>What does the term "juggling" refer to in Gilli Danda?</t>
  </si>
  <si>
    <t>A) A fielder bobbling a catch, B) The striker hitting the Gilli multiple times in the air before the main strike, C) Throwing the Gilli between fielders, D) A way of deciding who starts</t>
  </si>
  <si>
    <t>B) The striker hitting the Gilli multiple times in the air before the main strike</t>
  </si>
  <si>
    <t>In some variations, a skilled player can "juggle" the Gilli with the Danda to get it into the perfect position for a powerful hit.</t>
  </si>
  <si>
    <t>Which Pakistani national institution is involved in preserving traditional folk games like Gilli Danda?</t>
  </si>
  <si>
    <t>A) The Pakistan Cricket Board, B) The Ministry of Education, C) Lok Virsa (The National Institute of Folk &amp; Traditional Heritage), D) The Pakistan Sports Board</t>
  </si>
  <si>
    <t>C) Lok Virsa (The National Institute of Folk &amp; Traditional Heritage)</t>
  </si>
  <si>
    <t>Lok Virsa in Islamabad works to document, preserve, and promote the rich cultural heritage of Pakistan, including its traditional sports.</t>
  </si>
  <si>
    <t>Why is it strategically risky for all fielders to stand very far back from the striker?</t>
  </si>
  <si>
    <t>A) It is not risky; it is the best defensive strategy, B) It makes it easy for the striker to score on short, tactical hits, C) It is against the unwritten rules of the game, D) It tires the fielders out from running</t>
  </si>
  <si>
    <t>B) It makes it easy for the striker to score on short, tactical hits</t>
  </si>
  <si>
    <t>A smart striker can exploit a deep field by simply dropping the Gilli a short distance away, making it impossible to be caught.</t>
  </si>
  <si>
    <t>A striker's hit lodges high in a tree. How is this typically scored in a casual game?</t>
  </si>
  <si>
    <t>A) The striker is out for losing the Gilli, B) The turn is replayed, C) The score is measured to the point on the ground directly below the Gilli, D) The striker gets a bonus point for a powerful hit</t>
  </si>
  <si>
    <t>C) The score is measured to the point on the ground directly below the Gilli</t>
  </si>
  <si>
    <t>This is a common and fair way to handle a Gilli getting stuck. The score is taken from the point on the ground directly beneath its final resting place.</t>
  </si>
  <si>
    <t>What is the most important quality for a fielder standing in the high-risk position close to the striker?</t>
  </si>
  <si>
    <t>A) A strong throwing arm, B) Fast running speed, C) Excellent reflexes and courage, D) Good communication skills with teammates</t>
  </si>
  <si>
    <t>C) Excellent reflexes and courage</t>
  </si>
  <si>
    <t>The fielder in the "silly point" position needs bravery to stand close and lightning-fast reflexes to catch a Gilli hit at high speed from short range.</t>
  </si>
  <si>
    <t>A fielder catches the Gilli but it was touched by a tree branch during its flight. Is the striker out?</t>
  </si>
  <si>
    <t>A) Yes, the catch is valid, B) No, the catch is void due to external interference, C) The turn is replayed, D) The fielder gets a bonus point for a difficult catch</t>
  </si>
  <si>
    <t>B) No, the catch is void due to external interference</t>
  </si>
  <si>
    <t>If the Gilli's natural flight path is altered by an external object like a tree branch, a subsequent catch is usually considered not out.</t>
  </si>
  <si>
    <t>Why is a slight crosswind often considered the most challenging weather condition to play in?</t>
  </si>
  <si>
    <t>A) It makes the Gilli travel much farther, B) It can cause the Gilli to swerve unpredictably, making it hard to strike and catch, C) It makes it too cold to play comfortably, D) It blows dust into the players' eyes</t>
  </si>
  <si>
    <t>B) It can cause the Gilli to swerve unpredictably, making it hard to strike and catch</t>
  </si>
  <si>
    <t>A crosswind can create a difficult "curve" or "drift" on the Gilli's flight, deceiving both the striker and the fielders.</t>
  </si>
  <si>
    <t>A player is known as a "Danda specialist." What does this imply?</t>
  </si>
  <si>
    <t>A) They are very good at making the equipment, B) They are an exceptionally powerful and accurate striker, C) They are very good at measuring the distance, D) They only play as a striker and do not field</t>
  </si>
  <si>
    <t>B) They are an exceptionally powerful and accurate striker</t>
  </si>
  <si>
    <t>This is a term of respect for a player who has mastered the art of striking the Gilli for maximum distance and score.</t>
  </si>
  <si>
    <t>If a game is tied, how is a winner typically decided in a more organized match?</t>
  </si>
  <si>
    <t>A) By a coin toss, B) The team with the longest single hit wins, C) A "super round" or extra innings is played, D) The match is declared a draw</t>
  </si>
  <si>
    <t>C) A "super round" or extra innings is played</t>
  </si>
  <si>
    <t>To break a tie, a final round is often played where each team gets a set number of strikes to determine a clear winner.</t>
  </si>
  <si>
    <t>In its essence, what is the spirit of Gilli Danda?</t>
  </si>
  <si>
    <t>A) A highly competitive and professional sport, B) A simple, joyful, and informal game that fosters community and skill, C) A dangerous and aggressive activity, D) A game of pure luck</t>
  </si>
  <si>
    <t>B) A simple, joyful, and informal game that fosters community and skill</t>
  </si>
  <si>
    <t>Gilli Danda is cherished for its simplicity, its accessibility, and the social connections it builds among players.</t>
  </si>
  <si>
    <t>What is the main reason a player might carve grooves into their Danda?</t>
  </si>
  <si>
    <t>A) For decoration, B) To improve their grip, C) To reduce the weight, D) It is a traditional requirement</t>
  </si>
  <si>
    <t>B) To improve their grip</t>
  </si>
  <si>
    <t>Grooves or notches can prevent the Danda from slipping, especially during a powerful swing in hot and sweaty conditions.</t>
  </si>
  <si>
    <t>Which historical evidence points to the game's origin in the Indian subcontinent?</t>
  </si>
  <si>
    <t>A) Mentions in early European travelogues, B) Mentions in ancient Sanskrit and regional texts, C) Its presence in modern-day India and Pakistan, D) All of the above</t>
  </si>
  <si>
    <t>Historical evidence includes mentions in ancient texts, observations by foreign visitors, and the game's continued, widespread popularity in the region.</t>
  </si>
  <si>
    <t>A player is called out for 'hit Danda'. What is the most likely scenario?</t>
  </si>
  <si>
    <t>A) The fielder hit the Danda with the Gilli, B) The striker's Danda accidentally hit the home marker, C) The Gilli broke in two, D) The fielder hit the Danda with their hand</t>
  </si>
  <si>
    <t>A) The fielder hit the Danda with the Gilli</t>
  </si>
  <si>
    <t>This is the "run out" dismissal. The fielder throws the Gilli from where it landed and if it hits the Danda placed at the base, the striker is out.</t>
  </si>
  <si>
    <t>Which famous Pakistani cricketer credited his batting reflexes to playing Gilli Danda in his youth?</t>
  </si>
  <si>
    <t>A) Imran Khan, B) Wasim Akram, C) Javed Miandad, D) Inzamam-ul-Haq</t>
  </si>
  <si>
    <t>C) Javed Miandad</t>
  </si>
  <si>
    <t>The legendary batsman has often stated that his exceptional hand-eye coordination was developed by playing Gilli Danda in the streets of Karachi.</t>
  </si>
  <si>
    <t>What is the main disadvantage of using a Gilli made from a very heavy wood?</t>
  </si>
  <si>
    <t>A) It will not flip into the air easily and will not travel as far, B) It is more dangerous if it hits someone, C) It is more likely to break the Danda, D) Both A and B</t>
  </si>
  <si>
    <t>A heavy Gilli is difficult to launch, is less aerodynamic, and poses a greater safety risk to players and bystanders.</t>
  </si>
  <si>
    <t>A fielder catches the Gilli one-handed while running. What is the significance of this?</t>
  </si>
  <si>
    <t>A) It is a standard catch, B) It is a highly skillful and respected form of dismissal, C) It is worth bonus points, D) It is an illegal catch</t>
  </si>
  <si>
    <t>B) It is a highly skillful and respected form of dismissal</t>
  </si>
  <si>
    <t>A running, one-handed catch is a mark of an excellent fielder and is often celebrated by all players for its difficulty and athleticism.</t>
  </si>
  <si>
    <t>Why is a flat, open ground considered ideal for a fair game?</t>
  </si>
  <si>
    <t>A) It offers better visibility for spectators, B) It ensures the Gilli has a true bounce and gives all fielders an equal chance, C) It looks more professional, D) It is easier to run on</t>
  </si>
  <si>
    <t>B) It ensures the Gilli has a true bounce and gives all fielders an equal chance</t>
  </si>
  <si>
    <t>An even surface prevents unpredictable bounces for the striker and ensures fielders have stable footing for catching.</t>
  </si>
  <si>
    <t>What is the typical shape of the Danda?</t>
  </si>
  <si>
    <t>A) Perfectly cylindrical, B) A simple, straight stick, sometimes slightly thicker at the striking end, C) Curved like a hockey stick, D) Tapered at both ends</t>
  </si>
  <si>
    <t>B) A simple, straight stick, sometimes slightly thicker at the striking end</t>
  </si>
  <si>
    <t>The Danda is typically a straight staff, sometimes modified by the player for better grip or balance.</t>
  </si>
  <si>
    <t>If a game ends due to darkness, how is the winner usually decided?</t>
  </si>
  <si>
    <t>A) The team currently batting wins, B) The team with the higher score at that point wins, C) The game is declared a draw, D) The game is replayed the next day</t>
  </si>
  <si>
    <t>B) The team with the higher score at that point wins</t>
  </si>
  <si>
    <t>In informal games, if the play cannot continue, the winner is typically the player or team that is ahead on points when the game is called.</t>
  </si>
  <si>
    <t>What is the most common method of scoring in Gilli Danda?</t>
  </si>
  <si>
    <t>A) Hitting designated targets, B) The number of times the Gilli is juggled, C) Measuring the distance of the hit in Danda-lengths, D) Running between two points</t>
  </si>
  <si>
    <t>C) Measuring the distance of the hit in Danda-lengths</t>
  </si>
  <si>
    <t>This is the standard and most widespread method of scoring the game.</t>
  </si>
  <si>
    <t>A striker hits the Gilli, which lands on a steeply sloped roof and rolls down, adding distance. How is this usually scored?</t>
  </si>
  <si>
    <t>A) The score is measured from where it first hit the roof, B) The score is measured from where it finally comes to rest, C) The turn is replayed, D) The striker is out</t>
  </si>
  <si>
    <t>B) The score is measured from where it finally comes to rest</t>
  </si>
  <si>
    <t>In most informal games, the final resting place of the Gilli is what counts, even if it rolled after landing.</t>
  </si>
  <si>
    <t>A fielder stops the Gilli but is 100 Danda-lengths away. What is an 'unwritten rule' they might follow?</t>
  </si>
  <si>
    <t>A) Concede the score without throwing, B) Throw the Gilli as hard as possible, C) Ask a spectator to throw it back, D) Throw it to a closer teammate</t>
  </si>
  <si>
    <t>A) Concede the score without throwing</t>
  </si>
  <si>
    <t>From a very long distance, the chance of hitting the Danda at home is almost zero, so fielders will often just concede the measurement to save time.</t>
  </si>
  <si>
    <t>What is the primary purpose of the small pit or 'guchchi' in the ground?</t>
  </si>
  <si>
    <t>A) To store the Gilli, B) To act as a fulcrum to allow the Gilli to be flicked into the air, C) It is the main scoring target, D) To mark the center of the field</t>
  </si>
  <si>
    <t>B) To act as a fulcrum to allow the Gilli to be flicked into the air</t>
  </si>
  <si>
    <t>Placing the Gilli over this small hole allows the striker to get the Danda underneath it for the crucial initial flick.</t>
  </si>
  <si>
    <t>Which Mughal-era text, besides the Baburnama, includes illustrations of rural life that depict stick-based games like Gilli Danda?</t>
  </si>
  <si>
    <t>A) The Akbarnama, B) The Padshahnama, C) The Tuzk-e-Jahangiri, D) The Hamzanama</t>
  </si>
  <si>
    <t>D) The Hamzanama</t>
  </si>
  <si>
    <t>The Hamzanama manuscripts, commissioned by Akbar, include vibrant depictions of rural and courtly life, including games.</t>
  </si>
  <si>
    <t>In British colonial records, Gilli Danda was often misclassified or described as what?</t>
  </si>
  <si>
    <t>A) "A form of street brawling", B) "A primitive version of cricket", C) "A religious ritual", D) "A type of folk dance"</t>
  </si>
  <si>
    <t>B) "A primitive version of cricket"</t>
  </si>
  <si>
    <t>British ethnographers and officials frequently compared the game to cricket due to its bat-and-ball mechanics, often framing it as a less "civilized" precursor.</t>
  </si>
  <si>
    <t>Which famous Pakistani poet used Gilli Danda as a powerful metaphor for lost childhood and nostalgia?</t>
  </si>
  <si>
    <t>A) Faiz Ahmed Faiz, B) Ahmed Faraz, C) Habib Jalib, D) Munir Niazi</t>
  </si>
  <si>
    <t>D) Munir Niazi</t>
  </si>
  <si>
    <t>Munir Niazi's poetry often referenced Gilli Danda as a poignant and nostalgic image of a simpler, rural childhood that was being lost to modernization.</t>
  </si>
  <si>
    <t>Which Sindhi proverb uses Gilli Danda to describe a total failure?</t>
  </si>
  <si>
    <t>A) “Na Gilli chhayi, na Danda lagyo”, B) “Gilli giryi, izzat mari”, C) “Danda haath mein, khel door”, D) “Gilli uddi, naseeb rudhi”</t>
  </si>
  <si>
    <t>A) “Na Gilli chhayi, na Danda lagyo”</t>
  </si>
  <si>
    <t>The saying, meaning "Neither the Gilli rose, nor the Danda struck," is used to describe a situation where someone fails at every aspect of a task.</t>
  </si>
  <si>
    <t>In which decade did urban Pakistani schools begin to formally phase out traditional games like Gilli Danda in favor of cricket and hockey?</t>
  </si>
  <si>
    <t>A) The 1920s, B) The 1930s, C) The 1940s, D) The 1960s</t>
  </si>
  <si>
    <t>C) The 1940s</t>
  </si>
  <si>
    <t>With the rise of organized sports and the influence of the British system, schools began to discourage informal folk games in the mid-20th century.</t>
  </si>
  <si>
    <t>Which comparative anthropologist linked Gilli Danda to the origins of baseball?</t>
  </si>
  <si>
    <t>A) Margaret Mead, B) Alfred Radcliffe-Brown, C) R. G. Collingwood, D) G. B. Milne</t>
  </si>
  <si>
    <t>D) G. B. Milne</t>
  </si>
  <si>
    <t>In the early 20th century, some sports historians like G. B. Milne drew parallels between the stick-and-peg games of Asia and the evolution of bat-and-ball games in Europe.</t>
  </si>
  <si>
    <t>The Lok Virsa Museum in Islamabad has a mandate to preserve what aspect of Gilli Danda?</t>
  </si>
  <si>
    <t>A) The official rules, B) The equipment used by famous players, C) Its status as an intangible cultural heritage of Pakistan, D) The world records for the longest hit</t>
  </si>
  <si>
    <t>C) Its status as an intangible cultural heritage of Pakistan</t>
  </si>
  <si>
    <t>Organizations like Lok Virsa work to document and promote traditional games as part of the nation's living cultural heritage.</t>
  </si>
  <si>
    <t>Which Pakistani artist is known for including nostalgic depictions of Gilli Danda in their truck art?</t>
  </si>
  <si>
    <t>A) Sadequain, B) Shahnawaz, C) Gulzar Hussain, D) Allah Bakhsh</t>
  </si>
  <si>
    <t>C) Gulzar Hussain</t>
  </si>
  <si>
    <t>Pakistani truck art is famous for its vibrant imagery, which often includes scenes from rural life and nostalgic pastimes like Gilli Danda.</t>
  </si>
  <si>
    <t>A player is known for their "helicopter shot," a full-body spinning strike. This technique is an example of what?</t>
  </si>
  <si>
    <t>A) A modern adaptation influenced by cricket, B) An illegal move, C) A traditional but rare skill, D) The only way to score</t>
  </si>
  <si>
    <t>A) A modern adaptation influenced by cricket</t>
  </si>
  <si>
    <t>The 360-degree spinning shot, made famous in cricket, has been informally adapted by some Gilli Danda players to generate more power.</t>
  </si>
  <si>
    <t>Which diaspora community has been noted for informally playing Gilli Danda in parks in the UK and Canada?</t>
  </si>
  <si>
    <t>A) Pakistani Kashmiris, B) Punjabi migrants, C) Bangladeshi Sylhetis, D) Gujarati Muslims</t>
  </si>
  <si>
    <t>B) Punjabi migrants</t>
  </si>
  <si>
    <t>Migrants from the Punjab region of both India and Pakistan have carried the tradition with them, playing the game at community picnics and gatherings.</t>
  </si>
  <si>
    <t>Which Pakistani sports policy document first suggested the revival of traditional folk games like Gilli Danda?</t>
  </si>
  <si>
    <t>A) The National Sports Policy of 1972, B) The National Games Charter of 1986, C) The Youth Policy of 2009, D) The Vision 2025 Sports Chapter</t>
  </si>
  <si>
    <t>D) The Vision 2025 Sports Chapter</t>
  </si>
  <si>
    <t>More recent policy documents have emphasized the need to preserve and promote indigenous folk heritage, including traditional sports.</t>
  </si>
  <si>
    <t>A player is out because the fielder's throw hit the Danda at the base. What is this form of dismissal called?</t>
  </si>
  <si>
    <t>A) A catch, B) A run-out, C) A stumping, D) A hit-wicket</t>
  </si>
  <si>
    <t>B) A run-out</t>
  </si>
  <si>
    <t>This dismissal is functionally identical to a "run-out" in cricket, where the wicket is broken while the batsman is out of their crease.</t>
  </si>
  <si>
    <t>Which Pakistani filmmaker has used Gilli Danda in their work as a visual motif for nostalgia and childhood?</t>
  </si>
  <si>
    <t>A) Shoaib Mansoor, B) Sarmad Khoosat, C) Sharmeen Obaid-Chinoy, D) Mehreen Jabbar</t>
  </si>
  <si>
    <t>B) Sarmad Khoosat</t>
  </si>
  <si>
    <t>The works of filmmakers like Sarmad Khoosat often reference traditional Punjabi culture, including Gilli Danda, to evoke a sense of memory and place.</t>
  </si>
  <si>
    <t>Which annual festival in Islamabad, organized by Lok Virsa, often features Gilli Danda for children?</t>
  </si>
  <si>
    <t>A) The Lok Mela, B) The Youth Expo, C) The Sports Mela, D) The National Heritage Fest</t>
  </si>
  <si>
    <t>A) The Lok Mela</t>
  </si>
  <si>
    <t>The Lok Mela is a major national festival that actively works to revive and showcase traditional folk games for a new generation.</t>
  </si>
  <si>
    <t>In some variations, the score is called a 'ghutti'. What does a score of one 'ghutti' equal?</t>
  </si>
  <si>
    <t>A) One Danda length, B) One hundred Danda lengths, C) One footstep, D) The Gilli's length</t>
  </si>
  <si>
    <t>B) One hundred Danda lengths</t>
  </si>
  <si>
    <t>In this variation, a 'ghutti' is a large unit of scoring, similar to a "century" in cricket.</t>
  </si>
  <si>
    <t>A player is known for their 'chappe'. What is this skill?</t>
  </si>
  <si>
    <t>A) Their ability to hit the Gilli very high, B) Their ability to hit the Gilli with a low, fast trajectory, C) Their skill in juggling the Gilli, D) Their defensive fielding</t>
  </si>
  <si>
    <t>B) Their ability to hit the Gilli with a low, fast trajectory</t>
  </si>
  <si>
    <t>A 'chappe' is a flat, powerful hit that is very difficult for fielders to catch.</t>
  </si>
  <si>
    <t>In the history of the game, what was one major reason for its popularity over sports like polo?</t>
  </si>
  <si>
    <t>A) It was safer, B) It required no expensive animals or equipment, C) It had clearer rules, D) It was an indoor game</t>
  </si>
  <si>
    <t>B) It required no expensive animals or equipment</t>
  </si>
  <si>
    <t>Gilli Danda was a "subaltern" or people's sport, accessible to all, unlike the aristocratic and expensive sport of polo.</t>
  </si>
  <si>
    <t>What is the main reason that no single, universal set of rules for Gilli Danda exists?</t>
  </si>
  <si>
    <t>A) The game is too new, B) It was passed down through oral tradition and varied from village to village, C) All rulebooks were lost, D) The rules are a guarded secret</t>
  </si>
  <si>
    <t>B) It was passed down through oral tradition and varied from village to village</t>
  </si>
  <si>
    <t>As a folk game without a central governing body, the rules were fluid and adapted by each community that played it.</t>
  </si>
  <si>
    <t>What is the term for the fielding position directly in front of the striker, similar to "silly point" in cricket?</t>
  </si>
  <si>
    <t>A) The guard, B) The catcher, C) The thippi, D) The forward</t>
  </si>
  <si>
    <t>C) The thippi</t>
  </si>
  <si>
    <t>The thippi is the brave fielder who stands close to the striker to catch short, mishit flicks.</t>
  </si>
  <si>
    <t>Which modern, informal version of cricket played in Pakistan shares a similar spirit of improvisation with Gilli Danda?</t>
  </si>
  <si>
    <t>A) Night cricket, B) Tape-ball cricket, C) Beach cricket, D) Rooftop cricket</t>
  </si>
  <si>
    <t>B) Tape-ball cricket</t>
  </si>
  <si>
    <t>Tape-ball cricket, with its self-made equipment (a taped tennis ball) and use of any available space, mirrors the accessible and inventive nature of Gilli Danda.</t>
  </si>
  <si>
    <t>What is the historical significance of Gilli Danda being played by both Hindu and Muslim communities in Punjab?</t>
  </si>
  <si>
    <t>A) It shows the game was a state-sponsored sport, B) It highlights the shared, syncretic folk culture of the region before Partition, C) It was a religious requirement for both, D) It has no historical significance</t>
  </si>
  <si>
    <t>B) It highlights the shared, syncretic folk culture of the region before Partition</t>
  </si>
  <si>
    <t>The game was a common cultural touchstone that transcended religious divides, showcasing a shared heritage.</t>
  </si>
  <si>
    <t>A player is out by being 'danda-out'. What does this mean?</t>
  </si>
  <si>
    <t>A) Their Danda broke, B) The fielder's throw hit the Danda at the base, C) They dropped their Danda, D) They used an illegal Danda</t>
  </si>
  <si>
    <t>B) The fielder's throw hit the Danda at the base</t>
  </si>
  <si>
    <t>This is the term for being "run out" when the fielder's throw successfully hits the target.</t>
  </si>
  <si>
    <t>What is a 'nar gilli'?</t>
  </si>
  <si>
    <t>A) A miss, B) A type of Gilli, C) A variation where the striker must call out their predicted score before hitting, D) The final round</t>
  </si>
  <si>
    <t>C) A variation where the striker must call out their predicted score before hitting</t>
  </si>
  <si>
    <t>In this challenging version, the striker declares the number of Danda-lengths they will hit, adding a layer of prediction and pressure.</t>
  </si>
  <si>
    <t>Which social class was Gilli Danda most associated with during the Mughal and British eras?</t>
  </si>
  <si>
    <t>A) The aristocracy, B) The clergy, C) The urban merchant class, D) The rural peasantry and working class</t>
  </si>
  <si>
    <t>D) The rural peasantry and working class</t>
  </si>
  <si>
    <t>It was fundamentally a folk game, played by common people in villages and towns.</t>
  </si>
  <si>
    <t>Why is a side-on stance the most effective for a powerful strike?</t>
  </si>
  <si>
    <t>A) It generates power from the rotation of the core and hips, B) It provides a better view of the Gilli, C) It is the most stable stance, D) It is the only stance allowed</t>
  </si>
  <si>
    <t>A) It generates power from the rotation of the core and hips</t>
  </si>
  <si>
    <t>This classic batting stance allows the entire body to contribute to the force of the swing.</t>
  </si>
  <si>
    <t>In Gilli Danda folklore, who is often depicted as the most skilled player?</t>
  </si>
  <si>
    <t>A) The village elder, B) A mischievous but talented young boy, C) The village landlord, D) A visiting stranger</t>
  </si>
  <si>
    <t>B) A mischievous but talented young boy</t>
  </si>
  <si>
    <t>Folk stories often feature a clever and skillful child who outwits older or stronger players through sheer talent.</t>
  </si>
  <si>
    <t>The game's simple equipment is an example of what cultural principle in Pakistan?</t>
  </si>
  <si>
    <t>A) Extravagance, B) Minimalism, C) Jugaar (frugal innovation), D) Westernization</t>
  </si>
  <si>
    <t>C) Jugaar (frugal innovation)</t>
  </si>
  <si>
    <t>Jugaar is the art of improvising a solution with limited resources. Gilli Danda, with its self-made sticks, is a perfect embodiment of this spirit.</t>
  </si>
  <si>
    <t>What is the main characteristic of a 'Tulla' hit?</t>
  </si>
  <si>
    <t>A) A very high, looping hit, B) A very short hit, C) A powerful, flat, and fast hit, D) A hit that goes backward</t>
  </si>
  <si>
    <t>C) A powerful, flat, and fast hit</t>
  </si>
  <si>
    <t>A 'Tulla' is a term for a perfect, powerful strike that travels a long distance with a low trajectory, making it very hard to catch.</t>
  </si>
  <si>
    <t>Which 20th-century development had the biggest negative impact on the playing of Gilli Danda?</t>
  </si>
  <si>
    <t>A) The rise of television and video games, B) The Partition of India, C) The Green Revolution, D) The creation of formal sports bodies</t>
  </si>
  <si>
    <t>A) The rise of television and video games</t>
  </si>
  <si>
    <t>The introduction of modern, passive entertainment has been a major factor in the decline of traditional outdoor folk games.</t>
  </si>
  <si>
    <t>What is the primary difference between Gilli Danda and the similar European game of Tip-cat?</t>
  </si>
  <si>
    <t>A) There is no difference, B) The scoring method: Gilli Danda uses measurement, Tip-cat used guessing, C) The size of the sticks, D) The number of players</t>
  </si>
  <si>
    <t>B) The scoring method: Gilli Danda uses measurement, Tip-cat used guessing</t>
  </si>
  <si>
    <t>This is a key historical difference. In Tip-cat, the striker had to guess the distance in steps, and if the fielder disagreed and proved them wrong, the score was void.</t>
  </si>
  <si>
    <t>What does it mean if a fielder "traps" the Gilli?</t>
  </si>
  <si>
    <t>A) They catch it cleanly, B) They stop the Gilli with their body and it is not a clean catch, C) They build a trap for the Gilli, D) They throw the Gilli into a trap</t>
  </si>
  <si>
    <t>B) They stop the Gilli with their body and it is not a clean catch</t>
  </si>
  <si>
    <t>A "trapped" ball is one that is stopped against the ground or the body, not caught cleanly in the hands. It is not an out.</t>
  </si>
  <si>
    <t>The first hit, to make the Gilli airborne, is called the 'Toll'. What must the striker do after the 'Toll'?</t>
  </si>
  <si>
    <t>A) Run immediately, B) Hit the Gilli a second time while it is in the air, C) Wait for the fielder, D) Place the Danda on the ground</t>
  </si>
  <si>
    <t>B) Hit the Gilli a second time while it is in the air</t>
  </si>
  <si>
    <t>The 'Toll' is the setup hit. The main scoring hit comes after, when the Gilli is airborne.</t>
  </si>
  <si>
    <t>A fielder is standing outside the boundary and catches the Gilli. Is the striker out?</t>
  </si>
  <si>
    <t>A) Yes, it was a clean catch, B) No, the fielder must be inside the boundary lines to make a legal catch, C) The turn is replayed, D) The striker loses half their points</t>
  </si>
  <si>
    <t>B) No, the fielder must be inside the boundary lines to make a legal catch</t>
  </si>
  <si>
    <t>A fielder must have both feet inside the playing area when they complete the catch for it to be a valid dismissal.</t>
  </si>
  <si>
    <t>What is the most common dispute between the striker and the fielders?</t>
  </si>
  <si>
    <t>A) The type of wood used, B) The weather, C) Whether a catch was clean or if the score was measured correctly, D) The time of day</t>
  </si>
  <si>
    <t>C) Whether a catch was clean or if the score was measured correctly</t>
  </si>
  <si>
    <t>With no formal umpires, these two judgment calls are the source of most friendly arguments.</t>
  </si>
  <si>
    <t>What is the main reason Gilli Danda is considered an "indigenous sport" of Pakistan?</t>
  </si>
  <si>
    <t>A) It was invented after 1947, B) It has been played in the region for centuries, long before modern sports were introduced, C) It is only played in Pakistan, D) It is recognized by the IOC</t>
  </si>
  <si>
    <t>B) It has been played in the region for centuries, long before modern sports were introduced</t>
  </si>
  <si>
    <t>The game is part of the deep-rooted folk culture of the land and its people, predating modern national boundaries.</t>
  </si>
  <si>
    <t>A player is known for their "juggling" skill. What does this involve?</t>
  </si>
  <si>
    <t>A) Juggling multiple Gillis, B) Hitting the Gilli multiple times in the air before the final strike, C) Making the fielder juggle a catch, D) Juggling the Danda</t>
  </si>
  <si>
    <t>B) Hitting the Gilli multiple times in the air before the final strike</t>
  </si>
  <si>
    <t>This is an advanced skill where a player uses multiple light taps to keep the Gilli airborne and position it perfectly.</t>
  </si>
  <si>
    <t>Why is it strategically risky for all fielders to stand very close to the striker?</t>
  </si>
  <si>
    <t>A) It is not risky, B) A powerful long hit will go over all their heads, C) It is against the rules, D) It will tire them out</t>
  </si>
  <si>
    <t>B) A powerful long hit will go over all their heads</t>
  </si>
  <si>
    <t>While this strategy is good for catching short hits, it leaves the entire outfield open for a skilled striker to hit the Gilli for a massive score.</t>
  </si>
  <si>
    <t>A striker's hit lodges in the branches of a tree. How is this scored?</t>
  </si>
  <si>
    <t>A) The striker is out, B) The turn is replayed, C) The score is measured to the point on the ground directly below the Gilli, D) The striker gets a bonus</t>
  </si>
  <si>
    <t>This is the common informal rule for handling a Gilli that gets stuck. The horizontal distance is what is measured.</t>
  </si>
  <si>
    <t>What is the main appeal of Gilli Danda compared to formal sports like cricket?</t>
  </si>
  <si>
    <t>A) It has more complex rules, B) It requires no expensive equipment or special pitch, C) It is an Olympic sport, D) It is safer than cricket</t>
  </si>
  <si>
    <t>B) It requires no expensive equipment or special pitch</t>
  </si>
  <si>
    <t>Its simplicity and accessibility are the primary reasons for its enduring popularity as a street and village game.</t>
  </si>
  <si>
    <t>What is the main objective of the fielding team?</t>
  </si>
  <si>
    <t>A) To score points, B) To dismiss the striker by catching the Gilli or hitting the Danda, C) To set traps, D) To hit the Gilli themselves</t>
  </si>
  <si>
    <t>B) To dismiss the striker by catching the Gilli or hitting the Danda</t>
  </si>
  <si>
    <t>The fielding team's entire purpose is to get the striker "out" so their team can get a turn at striking.</t>
  </si>
  <si>
    <t>A) It is a standard catch, B) It is a highly skillful and respected form of dismissal, C) It is worth bonus points for the fielding team, D) It is an illegal catch as two hands must be used</t>
  </si>
  <si>
    <t>A running, one-handed catch is a mark of an excellent fielder and is often celebrated by all players for its difficulty.</t>
  </si>
  <si>
    <t>What is a 'Tip-cat'?</t>
  </si>
  <si>
    <t>A) A variation of the game, B) The traditional English name for Gilli Danda, C) The name for the fielding team in some regions, D) The name of the winning trophy</t>
  </si>
  <si>
    <t>B) The traditional English name for Gilli Danda</t>
  </si>
  <si>
    <t>Gilli Danda is part of a global family of similar stick-and-peg games, and 'Tip-cat' is its common name in England.</t>
  </si>
  <si>
    <t>What is a 'pittù'?</t>
  </si>
  <si>
    <t>A) The striker, B) The fielder, C) The home base or starting circle, D) A bonus point</t>
  </si>
  <si>
    <t>C) The home base or starting circle</t>
  </si>
  <si>
    <t>Pittù' is another regional name for the 'guchchi' or the home base that the fielder must hit with the Gilli to get the striker out.</t>
  </si>
  <si>
    <t>Which Pakistani national institution is responsible for preserving folk traditions like Gilli Danda?</t>
  </si>
  <si>
    <t>A) A miss, B) A type of Gilli, C) A variation where the striker must call out their predicted score before hitting, D) The final round of the game</t>
  </si>
  <si>
    <t>In this challenging version, the striker declares the number of Danda-lengths they will hit, adding a layer of prediction and pressure to the game.</t>
  </si>
  <si>
    <t>This classic batting stance allows the entire body to contribute to the force of the swing, not just the arms.</t>
  </si>
  <si>
    <t>What is a 'Tulla' hit?</t>
  </si>
  <si>
    <t>A) Their Danda broke during the swing, B) The fielder's throw hit the Danda at the base, C) They dropped their Danda during the run, D) They used an illegal Danda</t>
  </si>
  <si>
    <t>This is the term for being "run out" when the fielder's throw successfully hits the target (the Danda) at the home base.</t>
  </si>
  <si>
    <t>What is a key difference between Gilli Danda and baseball?</t>
  </si>
  <si>
    <t>A) Gilli Danda uses a stick, B) There is no pitcher in Gilli Danda; the batter launches the object themselves, C) Gilli Danda is a team sport, D) There is no fielding in Gilli Danda</t>
  </si>
  <si>
    <t>B) There is no pitcher in Gilli Danda; the batter launches the object themselves</t>
  </si>
  <si>
    <t>This is a fundamental difference; the striker in Gilli Danda is responsible for both launching and striking the object.</t>
  </si>
  <si>
    <t>What is the most common reason for an argument between players?</t>
  </si>
  <si>
    <t>A) The quality of the equipment, B) Whether a catch was clean or the score was measured correctly, C) The weather, D) The time of day</t>
  </si>
  <si>
    <t>B) Whether a catch was clean or the score was measured correctly</t>
  </si>
  <si>
    <t>What is a 'gilli-palti'?</t>
  </si>
  <si>
    <t>A) When the Gilli flips over perfectly upon being struck, B) A term for a tie-breaker round, C) A variation of the game where the teams are much larger, D) A type of penalty</t>
  </si>
  <si>
    <t>A) When the Gilli flips over perfectly upon being struck</t>
  </si>
  <si>
    <t>This term describes the perfect initial strike, where the Gilli flips high and clean into the air, making it easy for the striker to hit it for the main strike.</t>
  </si>
  <si>
    <t>It was fundamentally a folk game, played by common people in villages and towns who had access to open spaces and simple materials.</t>
  </si>
  <si>
    <t>Why is it important for the striking area to be clear of loose stones and debris?</t>
  </si>
  <si>
    <t>A) It looks neater for spectators, B) To ensure the Gilli has a clean surface to flip up from without an unpredictable bounce, C) To prevent the Danda from breaking, D) To help the striker run faster</t>
  </si>
  <si>
    <t>B) To ensure the Gilli has a clean surface to flip up from without an unpredictable bounce</t>
  </si>
  <si>
    <t>A clean striking circle is essential for the initial, delicate flick that sets up the main hit.</t>
  </si>
  <si>
    <t>A player is known for their 'helicopter shot,' a full-body spinning strike. What is the main advantage of this?</t>
  </si>
  <si>
    <t>A) It is a foul, B) It generates incredible power through rotational force, C) It makes the Gilli harder to see, D) It is easier to do than a normal shot</t>
  </si>
  <si>
    <t>B) It generates incredible power through rotational force</t>
  </si>
  <si>
    <t>Similar to a discus thrower or a cricket slog-sweep, a full-body rotation can add significant momentum and power to the strike.</t>
  </si>
  <si>
    <t>What is the primary reason for the "three-try" rule for the striker?</t>
  </si>
  <si>
    <t>A) To make the game last longer, B) To give the striker a fair chance while preventing them from delaying the game indefinitely, C) To make the game harder for the striker, D) To tire the striker out</t>
  </si>
  <si>
    <t>B) To give the striker a fair chance while preventing them from delaying the game indefinitely</t>
  </si>
  <si>
    <t>The three-chance limit is a balance between fairness to the striker (who might miss the first flick) and keeping the game moving for the fielding team.</t>
  </si>
  <si>
    <t>A fielder catches the Gilli but juggles it multiple times before securing it. Is the striker out?</t>
  </si>
  <si>
    <t>A) No, the catch was not clean, B) Yes, as long as the Gilli never touched the ground, C) The turn must be replayed, D) The fielder is penalized for poor catching</t>
  </si>
  <si>
    <t>B) Yes, as long as the Gilli never touched the ground</t>
  </si>
  <si>
    <t>A "juggled catch" is a valid dismissal, provided the fielder gains full control of the Gilli before it makes contact with the ground.</t>
  </si>
  <si>
    <t>What is the main reason Gilli Danda is more popular in rural areas than in dense cities in modern Pakistan?</t>
  </si>
  <si>
    <t>A) City dwellers prefer other sports, B) The game is banned in cities for safety reasons, C) The lack of safe, open spaces required to play the game, D) The equipment is not sold in city shops</t>
  </si>
  <si>
    <t>C) The lack of safe, open spaces required to play the game</t>
  </si>
  <si>
    <t>Urbanization and development have drastically reduced the number of open fields and grounds needed to play Gilli Danda safely.</t>
  </si>
  <si>
    <t>A striker's hit is very low and fast. A fielder tries to catch it, but it hits their shins. Is the striker out?</t>
  </si>
  <si>
    <t>A) Yes, if the fielder can then pick it up within three seconds, B) No, a catch must be made cleanly with the hands, C) The turn is replayed due to a dangerous hit, D) The fielder is penalized for using their legs</t>
  </si>
  <si>
    <t>B) No, a catch must be made cleanly with the hands</t>
  </si>
  <si>
    <t>A catch is only valid if the fielder catches the Gilli with their hands before it touches the ground. Deflecting with the body is not a catch.</t>
  </si>
  <si>
    <t>Why is a slight crosswind often considered the most challenging condition to play in?</t>
  </si>
  <si>
    <t>A) It makes the Gilli travel farther than expected, B) It can cause the Gilli to swerve unpredictably, making it hard to strike and catch, C) It makes it too cold to play, D) It blows dust into the players' eyes</t>
  </si>
  <si>
    <t>A) The game is too new to have rules, B) It was passed down through oral tradition and varied from village to village, C) All the ancient rulebooks were lost, D) The rules are considered a guarded secret</t>
  </si>
  <si>
    <t>A fielder catches the Gilli while wearing gloves. Is this allowed in a traditional game?</t>
  </si>
  <si>
    <t>A) Yes, for safety reasons, B) No, the game is traditionally played bare-handed, C) Only the captain of the fielding team can wear gloves, D) Only if the Gilli is made of a hard material</t>
  </si>
  <si>
    <t>B) No, the game is traditionally played bare-handed</t>
  </si>
  <si>
    <t>Traditionally, Gilli Danda is played without any protective gear, and catches must be made with bare hands.</t>
  </si>
  <si>
    <t>What is the main purpose of the Gilli being tapered at both ends?</t>
  </si>
  <si>
    <t>A) It is a decorative feature, B) It allows the striker to easily flick it into the air by striking a tapered end, C) It makes the Gilli harder to balance and strike, D) It is a traditional design with no practical purpose</t>
  </si>
  <si>
    <t>A) A variation of the game, B) The traditional English name for Gilli Danda, C) The name for the fielding team, D) The name of the winning trophy</t>
  </si>
  <si>
    <t>What is the most common cause of dispute in a casual game?</t>
  </si>
  <si>
    <t>A) The equipment breaking, B) Disagreements over the distance measurement, C) Player injuries, D) The weather</t>
  </si>
  <si>
    <t>B) Disagreements over the distance measurement</t>
  </si>
  <si>
    <t>Because scoring is measured by using the Danda as a ruler, arguments over the exact count are extremely common.</t>
  </si>
  <si>
    <t>What is the primary role of the Danda?</t>
  </si>
  <si>
    <t>A) To act as a target, B) To be used as the "bat" to strike the Gilli, C) To be used as the "ruler" to measure the score, D) Both B and C</t>
  </si>
  <si>
    <t>The Danda is the central piece of equipment, used for both striking the Gilli and for measuring the distance to calculate the score.</t>
  </si>
  <si>
    <t>A fielder is standing very close to the striker. Is this allowed?</t>
  </si>
  <si>
    <t>A) No, there is a minimum distance rule, B) Yes, but it is a dangerous and high-risk position, C) Only if they are wearing a helmet, D) Only the team captain can stand close</t>
  </si>
  <si>
    <t>B) Yes, but it is a dangerous and high-risk position</t>
  </si>
  <si>
    <t>There are usually no formal rules on fielder placement, but standing too close (like a "silly point" in cricket) is a very brave or foolish position.</t>
  </si>
  <si>
    <t>The striker hits the Gilli, and it rolls and touches a fielder's shoe. The fielder then picks it up. What is the outcome?</t>
  </si>
  <si>
    <t>A) The striker is out, B) The striker is not out, C) The turn is replayed, D) The fielder is penalized</t>
  </si>
  <si>
    <t>B) The striker is not out</t>
  </si>
  <si>
    <t>The Gilli must be caught in the air. Once it has touched the ground or a grounded player, it is no longer a catch.</t>
  </si>
  <si>
    <t>A) The game is now illegal, B) The lack of open spaces and the rise of other sports like cricket, C) The equipment is too expensive, D) It is considered an old-fashioned game</t>
  </si>
  <si>
    <t>B) The lack of open spaces and the rise of other sports like cricket</t>
  </si>
  <si>
    <t>Urbanization has led to the loss of open fields, and modern sports have become more popular among city youth.</t>
  </si>
  <si>
    <t>Why is a side-on stance recommended for striking the Gilli?</t>
  </si>
  <si>
    <t>A) It is more traditional, B) It allows for greater body rotation and power, C) It provides a better view of the field, D) It makes it easier to run</t>
  </si>
  <si>
    <t>Similar to batting in cricket or baseball, a side-on stance enables the player to use their entire body to generate power in the swing.</t>
  </si>
  <si>
    <t>What is the most common way a game of Gilli Danda ends?</t>
  </si>
  <si>
    <t>A) When it gets too dark to see the Gilli, B) When a team reaches a pre-agreed score, C) When all players have had a turn striking, D) All of the above are common</t>
  </si>
  <si>
    <t>D) All of the above are common</t>
  </si>
  <si>
    <t>Due to its informal nature, a game can end based on time, a target score, or when a full rotation of players is complete.</t>
  </si>
  <si>
    <t>What is the primary difference between Gilli Danda and the English game of Tip-cat?</t>
  </si>
  <si>
    <t>A) There is no difference, B) Tip-cat uses a metal Gilli, C) Gilli Danda scores by measuring with the Danda, while Tip-cat scores by guessing the distance, D) Tip-cat is a team sport only</t>
  </si>
  <si>
    <t>C) Gilli Danda scores by measuring with the Danda, while Tip-cat scores by guessing the distance</t>
  </si>
  <si>
    <t>This is a key historical difference. In Tip-cat, the striker would guess the distance in steps, and if their guess was wrong, they lost their points.</t>
  </si>
  <si>
    <t>What is a 'pittù out'?</t>
  </si>
  <si>
    <t>A) When the Gilli is caught, B) When the striker misses three times, C) When a fielder throws the Gilli back and hits the Danda placed over the starting hole, D) When the striker steps out of bounds</t>
  </si>
  <si>
    <t>C) When a fielder throws the Gilli back and hits the Danda placed over the starting hole</t>
  </si>
  <si>
    <t>This is the name for the "run out" dismissal, where the fielder successfully hits the "wicket" (the Danda) with the "ball" (the Gilli).</t>
  </si>
  <si>
    <t>What is the most common way a game of Gilli Danda is decided?</t>
  </si>
  <si>
    <t>A) The first player to reach 100 points wins, B) The player or team with the highest score after everyone has had a turn wins, C) The player with the longest single hit wins, D) The game does not have a winner</t>
  </si>
  <si>
    <t>B) The player or team with the highest score after everyone has had a turn wins</t>
  </si>
  <si>
    <t>The game is typically played in "innings," where each player gets a turn to strike until they are out. The highest scorer wins.</t>
  </si>
  <si>
    <t>A player is known for their 'juggling' skill. What does this involve?</t>
  </si>
  <si>
    <t>A) It is not risky; it is the best defensive strategy, B) A powerful long hit will go over all their heads, C) It is against the rules of the game, D) It will tire the fielders out from running</t>
  </si>
  <si>
    <t>A striker's hit lodges high in a tree. How is this scored?</t>
  </si>
  <si>
    <t>A) The striker is out for losing the Gilli, B) The turn is replayed, C) The score is measured to the point on the ground directly below the Gilli, D) The striker gets a bonus for a powerful hit</t>
  </si>
  <si>
    <t>This is the common informal rule for handling a Gilli getting stuck. The horizontal distance is what is measured.</t>
  </si>
  <si>
    <t>A) A strong throwing arm, B) Fast running speed, C) Excellent reflexes and courage, D) Good communication skills</t>
  </si>
  <si>
    <t>The "silly point" fielder needs bravery to stand close and lightning-fast reflexes to catch a Gilli hit at high speed from short range.</t>
  </si>
  <si>
    <t>A fielder catches the Gilli in their hat. Is this a legal catch?</t>
  </si>
  <si>
    <t>A) Yes, as long as it didn't touch the ground, B) No, the catch must be made with the hands, C) It is up to the striker to decide, D) The turn is replayed</t>
  </si>
  <si>
    <t>B) No, the catch must be made with the hands</t>
  </si>
  <si>
    <t>In traditional rules, a catch is only valid if made with the bare hands. Using clothing like a hat or shirt to aid the catch is not allowed.</t>
  </si>
  <si>
    <t>What is the main reason for the "three-try" rule for the striker?</t>
  </si>
  <si>
    <t>A fielder is distracted by a teammate and misses a simple catch. Whose fault is it?</t>
  </si>
  <si>
    <t>A) The striker's, B) The fielder who was distracted, C) The teammate who caused the distraction, D) It is a no-fault incident</t>
  </si>
  <si>
    <t>B) The fielder who was distracted</t>
  </si>
  <si>
    <t>In fielding, each player is responsible for maintaining their own focus. The striker is not out.</t>
  </si>
  <si>
    <t>This is a term of respect for a player who has mastered the art of striking the Gilli for maximum distance.</t>
  </si>
  <si>
    <t>A) A coin toss, B) The team with the longest single hit wins, C) A "super over" or extra round is played, D) The match is declared a draw</t>
  </si>
  <si>
    <t>C) A "super over" or extra round is played</t>
  </si>
  <si>
    <t>To break a tie, a final round is often played where each team gets a set number of strikes to determine a winner.</t>
  </si>
  <si>
    <t>A) City dwellers prefer other sports, B) The game is banned in cities, C) The lack of safe, open spaces required to play the game, D) The equipment is not sold in cities</t>
  </si>
  <si>
    <t>Urbanization has drastically reduced the number of open fields and grounds needed to play Gilli Danda safely.</t>
  </si>
  <si>
    <t>How is the Gilli Danda played in rural villages?</t>
  </si>
  <si>
    <t>A) With formal rules and umpires, B) Informally in open fields with negotiated rules, C) Only during festivals, D) As a professional league</t>
  </si>
  <si>
    <t>B) Informally in open fields with negotiated rules</t>
  </si>
  <si>
    <t>The game is a classic folk sport, with rules that often vary from one village to the next and are agreed upon before play.</t>
  </si>
  <si>
    <t>Which historical document contains references to stick-and-peg games similar to Gilli Danda?</t>
  </si>
  <si>
    <t>A) The Magna Carta, B) The Code of Hammurabi, C) The memoirs of the Mughal emperor Babur, D) The Egyptian Book of the Dead</t>
  </si>
  <si>
    <t>C) The memoirs of the Mughal emperor Babur</t>
  </si>
  <si>
    <t>The Baburnama contains descriptions of the daily life and pastimes in the subcontinent, including references to various folk games.</t>
  </si>
  <si>
    <t>What is the historical origin of the equestrian sport of Tent Pegging?</t>
  </si>
  <si>
    <t>A) A hunting practice, B) A recreational game for nobility, C) A cavalry training drill for raiding enemy camps, D) A religious ritual</t>
  </si>
  <si>
    <t>C) A cavalry training drill for raiding enemy camps</t>
  </si>
  <si>
    <t>Tent Pegging originated as a military exercise where horsemen would charge at dawn, using their lances to pull up the pegs of enemy tents to cause chaos.</t>
  </si>
  <si>
    <t>During which historical period was Tent Pegging formalized into a competitive sport, particularly among cavalry units?</t>
  </si>
  <si>
    <t>A) The Mughal Empire, B) The British Colonial Era, C) The Sultanate Period, D) The Gupta Empire</t>
  </si>
  <si>
    <t>B) The British Colonial Era</t>
  </si>
  <si>
    <t>The British military in India standardized the rules and equipment, transforming the traditional drill into a formal competitive sport.</t>
  </si>
  <si>
    <t>What is the primary weapon used in the main event of Tent Pegging?</t>
  </si>
  <si>
    <t>A) A spear, B) A sword, C) A lance, D) An axe</t>
  </si>
  <si>
    <t>C) A lance</t>
  </si>
  <si>
    <t>A lance, a type of spear specifically designed for cavalry use, is the primary implement for striking ground targets.</t>
  </si>
  <si>
    <t>Which empire in the Indian subcontinent is known for refining Tent Pegging techniques and including it in royal ceremonies?</t>
  </si>
  <si>
    <t>A) The Ottoman Empire, B) The Mughal Empire, C) The Mauryan Empire, D) The British Empire</t>
  </si>
  <si>
    <t>B) The Mughal Empire</t>
  </si>
  <si>
    <t>The Mughals, with their strong cavalry tradition, refined Tent Pegging and often featured it as martial entertainment in their courts.</t>
  </si>
  <si>
    <t>Which international body is the primary global governor of Tent Pegging competitions?</t>
  </si>
  <si>
    <t>A) Fédération Équestre Internationale (FEI), B) International Olympic Committee (IOC), C) International Tent Pegging Federation (ITPF), D) World Cavalry Association</t>
  </si>
  <si>
    <t>C) International Tent Pegging Federation (ITPF)</t>
  </si>
  <si>
    <t>While recognized by the FEI, the ITPF is the dedicated international federation that organizes World Cups and standardizes the sport's rules.</t>
  </si>
  <si>
    <t>Which region of the Indian subcontinent is considered the cultural heartland of Tent Pegging?</t>
  </si>
  <si>
    <t>A) Punjab, B) Sindh, C) Bengal, D) Balochistan</t>
  </si>
  <si>
    <t>A) Punjab</t>
  </si>
  <si>
    <t>The Punjab region, spanning both Pakistan and India, has a deep-rooted cavalry tradition and is central to the history and popularity of the sport.</t>
  </si>
  <si>
    <t>What does the "tent peg" target symbolically represent in the sport's historical context?</t>
  </si>
  <si>
    <t>A) The wealth of the enemy, B) A military insignia, C) The stake holding up an enemy's tent, D) A horse tether</t>
  </si>
  <si>
    <t>C) The stake holding up an enemy's tent</t>
  </si>
  <si>
    <t>The act of pulling the peg symbolizes a successful cavalry raid, where collapsing enemy tents was a key objective.</t>
  </si>
  <si>
    <t>Which horse breed from the subcontinent, known for its inwardly-curved ears and agility, is highly favored for Tent Pegging?</t>
  </si>
  <si>
    <t>A) Arabian, B) Thoroughbred, C) Marwari, D) Andalusian</t>
  </si>
  <si>
    <t>C) Marwari</t>
  </si>
  <si>
    <t>The Marwari breed, a traditional Indian cavalry horse, is prized for its bravery, agility, and stamina, making it ideal for the sport.</t>
  </si>
  <si>
    <t>Which modern country is considered a major hub of Tent Pegging in South Asia, with numerous clubs and competitions?</t>
  </si>
  <si>
    <t>A) India, B) Pakistan, C) Afghanistan, D) Bangladesh</t>
  </si>
  <si>
    <t>B) Pakistan</t>
  </si>
  <si>
    <t>Pakistan has a very strong and active Tent Pegging community, with the sport being a major part of its rural and military culture.</t>
  </si>
  <si>
    <t>The sport's traditional name in Pakistan and Iran is "Neza Bazi." What does this term mean?</t>
  </si>
  <si>
    <t>A) Horse Game, B) Spear Play, C) Circle of Honor, D) Target Practice</t>
  </si>
  <si>
    <t>B) Spear Play</t>
  </si>
  <si>
    <t>Neza Bazi is the Persian/Urdu term for the sport, which translates literally to "spear play" or "lancing."</t>
  </si>
  <si>
    <t>Which ruler of the Sikh Empire was a great patron of Tent Pegging, institutionalizing it as a martial sport for his cavalry?</t>
  </si>
  <si>
    <t>A) Guru Gobind Singh, B) Maharaja Ranjit Singh, C) Hari Singh Nalwa, D) Dalip Singh</t>
  </si>
  <si>
    <t>B) Maharaja Ranjit Singh</t>
  </si>
  <si>
    <t>Maharaja Ranjit Singh, founder of the Sikh Empire, actively promoted and organized Tent Pegging as part of his army's martial traditions.</t>
  </si>
  <si>
    <t>What is the standard length of the competition track, from the start line to the finish line?</t>
  </si>
  <si>
    <t>A) 50 meters, B) 75 meters, C) 100 meters, D) 150 meters</t>
  </si>
  <si>
    <t>C) 100 meters</t>
  </si>
  <si>
    <t>A 100-meter track provides sufficient distance for the horse to accelerate to a proper speed and for the rider to prepare for the strike.</t>
  </si>
  <si>
    <t>How many points are awarded for a "full peg," where the peg is successfully struck and carried over the finish line?</t>
  </si>
  <si>
    <t>A) 4 points, B) 6 points, C) 8 points, D) 10 points</t>
  </si>
  <si>
    <t>B) 6 points</t>
  </si>
  <si>
    <t>Striking and carrying the peg cleanly across the finish line is the highest score for a single ground target, typically awarded 6 points.</t>
  </si>
  <si>
    <t>What is the penalty for a rider who misses the peg entirely on their run?</t>
  </si>
  <si>
    <t>A) A score of 0 is awarded, B) 2 points are deducted from their total, C) The rider is disqualified, D) The rider gets a verbal warning</t>
  </si>
  <si>
    <t>A) A score of 0 is awarded</t>
  </si>
  <si>
    <t>Missing the target results in zero points for that run, but there is no further penalty or deduction from the rider's aggregate score.</t>
  </si>
  <si>
    <t>In which Tent Pegging discipline is a rider required to use a sword instead of a lance?</t>
  </si>
  <si>
    <t>A) Single Pegging, B) Ring Pegging, C) Lemon Cutting, D) Indian File</t>
  </si>
  <si>
    <t>C) Lemon Cutting</t>
  </si>
  <si>
    <t>Lemon Cutting is a discipline that tests a rider's swordsmanship, requiring them to cleanly slice a suspended lemon or other small target.</t>
  </si>
  <si>
    <t>What is the standard weight of a lance used in senior-level international competitions?</t>
  </si>
  <si>
    <t>A) 1.0 - 1.2 kg, B) 1.5 - 2.0 kg, C) 2.0 - 2.5 kg, D) 2.5 - 3.0 kg</t>
  </si>
  <si>
    <t>C) 2.0 - 2.5 kg</t>
  </si>
  <si>
    <t>This weight range for a lance (typically made of bamboo or fiberglass) ensures it is sturdy enough for the task but light enough for maneuverability.</t>
  </si>
  <si>
    <t>What is the ruling if a rider successfully "draws" the peg (lifts it from the ground) but drops it before the finish line?</t>
  </si>
  <si>
    <t>A) 6 points are awarded, B) 4 points are awarded, C) 2 points are awarded, D) 0 points are awarded</t>
  </si>
  <si>
    <t>C) 2 points are awarded</t>
  </si>
  <si>
    <t>A "drawn" peg, where the rider successfully dislodges the target but fails to carry it, is awarded a lower score of 2 points.</t>
  </si>
  <si>
    <t>What is the standard time limit for a rider to complete their 100-meter run?</t>
  </si>
  <si>
    <t>A) 6 seconds, B) 8 seconds, C) 10 seconds, D) 12 seconds</t>
  </si>
  <si>
    <t>B) 8 seconds</t>
  </si>
  <si>
    <t>To ensure a fast and competitive pace, a time limit is enforced. Exceeding this time results in a score of zero for that run, even if the peg is collected.</t>
  </si>
  <si>
    <t>Which institution in Pakistan is most credited for preserving and promoting Tent Pegging after independence?</t>
  </si>
  <si>
    <t>A) The Civil Service, B) Rural village councils, C) The Pakistan Army, particularly its cavalry units, D) University sports boards</t>
  </si>
  <si>
    <t>C) The Pakistan Army, particularly its cavalry units</t>
  </si>
  <si>
    <t>The Pakistan Army's cavalry regiments have played a central role in keeping the traditions and competitive spirit of Tent Pegging alive.</t>
  </si>
  <si>
    <t>The standard wooden peg has a rectangular cross-section. What are its typical dimensions?</t>
  </si>
  <si>
    <t>A) 2 cm wide x 2 cm thick, B) 4 cm wide x 2 cm thick, C) 6 cm wide x 4 cm thick, D) 10 cm wide x 5 cm thick</t>
  </si>
  <si>
    <t>B) 4 cm wide x 2 cm thick</t>
  </si>
  <si>
    <t>The peg is typically 4 cm wide on the face presented to the rider and 2 cm thick, providing a standardized and challenging target.</t>
  </si>
  <si>
    <t>At what angle is the peg typically placed in the ground to provide a fair challenge for all riders?</t>
  </si>
  <si>
    <t>A) 30 degrees, B) 45 degrees, C) 60 degrees, D) 90 degrees (vertical)</t>
  </si>
  <si>
    <t>C) 60 degrees</t>
  </si>
  <si>
    <t>The peg is inserted into the ground at a 60-degree angle, leaning away from the direction of the charge, to ensure a consistent level of difficulty for the lift.</t>
  </si>
  <si>
    <t>In the "Rings and Peg" event, what must a rider do in a single run?</t>
  </si>
  <si>
    <t>A) Spear a peg and then spear a ring, B) Spear a ring and then spear a peg, C) Spear a ring that is placed on top of a peg, D) Choose between spearing a ring or a peg</t>
  </si>
  <si>
    <t>B) Spear a ring and then spear a peg</t>
  </si>
  <si>
    <t>This discipline tests a rider's ability to adjust their aim, first collecting a small suspended ring and then striking a ground peg in the same run.</t>
  </si>
  <si>
    <t>What is the official ruling if a rider falls off their horse during a run?</t>
  </si>
  <si>
    <t>A) They can remount and continue, B) They are given a time penalty, C) They are eliminated from that run and receive a score of zero, D) The entire team is disqualified</t>
  </si>
  <si>
    <t>C) They are eliminated from that run and receive a score of zero</t>
  </si>
  <si>
    <t>Falling from the horse results in immediate elimination from that specific run for safety reasons.</t>
  </si>
  <si>
    <t>In team events, what is a "full pass"?</t>
  </si>
  <si>
    <t>A) The team has advanced to the next round, B) All four riders in the section have successfully scored a Full Peg, C) All four riders have missed their pegs, D) The team completed the run within the time limit</t>
  </si>
  <si>
    <t>B) All four riders in the section have successfully scored a Full Peg</t>
  </si>
  <si>
    <t>A "full pass" is a perfect run where every member of the team scores maximum points, often earning a bonus in the overall standings.</t>
  </si>
  <si>
    <t>A rider's lance touches the ground before they reach the peg. What is the penalty?</t>
  </si>
  <si>
    <t>A) Disqualification from that run (a score of zero), B) A 2-point deduction, C) A verbal warning is issued, D) There is no penalty</t>
  </si>
  <si>
    <t>A) Disqualification from that run (a score of zero)</t>
  </si>
  <si>
    <t>A rider must carry their weapon cleanly. Touching the ground with the lance before the target results in a score of zero for that attempt.</t>
  </si>
  <si>
    <t>Which part of Pakistan's military and cultural heritage is most strongly reflected in Tent Pegging?</t>
  </si>
  <si>
    <t>A) Naval traditions, B) Infantry drills, C) The legacy of the Mughal and British Indian cavalry, D) Air force ceremonies</t>
  </si>
  <si>
    <t>C) The legacy of the Mughal and British Indian cavalry</t>
  </si>
  <si>
    <t>The sport is a direct continuation of the skills and pageantry of the historic cavalry regiments of the Indian subcontinent.</t>
  </si>
  <si>
    <t>What is the ruling if a rider drops the peg just after successfully carrying it over the finish line?</t>
  </si>
  <si>
    <t>A) The score is cancelled, B) The rider receives a 2-point penalty, C) The run is scored as a "Full Peg" (6 points), D) The run is scored as a "Drawn Peg" (2 points)</t>
  </si>
  <si>
    <t>C) The run is scored as a "Full Peg" (6 points)</t>
  </si>
  <si>
    <t>The peg must be carried across the finish line. Once the line is crossed, the score is valid, and dropping it afterward does not invalidate the points.</t>
  </si>
  <si>
    <t>What is the primary material of a modern, competition-grade lance?</t>
  </si>
  <si>
    <t>A) Solid wood, B) Aluminum, C) Fiberglass or high-quality bamboo, D) Steel</t>
  </si>
  <si>
    <t>C) Fiberglass or high-quality bamboo</t>
  </si>
  <si>
    <t>Modern lances are often made of these materials to provide a combination of strength, flexibility, and light weight for optimal performance.</t>
  </si>
  <si>
    <t>Which colonial-era officer is widely credited with formalizing the rules of Tent Pegging and promoting it as a sport?</t>
  </si>
  <si>
    <t>A) Lord Curzon, B) Lord Mountbatten, C) General Lord Roberts, D) Robert Clive</t>
  </si>
  <si>
    <t>C) General Lord Roberts</t>
  </si>
  <si>
    <t>Lord Roberts was instrumental in codifying the sport's rules and popularizing it within the British Indian Army in the late 19th century.</t>
  </si>
  <si>
    <t>A rider's horse refuses to gallop and completes the run at a slow trot. What is the most likely result?</t>
  </si>
  <si>
    <t>A) The rider is disqualified for being too slow, B) The rider will be awarded points if they hit the peg, C) The rider will score zero for exceeding the time limit, D) The rider is given a re-run with a different horse</t>
  </si>
  <si>
    <t>C) The rider will score zero for exceeding the time limit</t>
  </si>
  <si>
    <t>A horse moving too slowly will not be able to cover the 100m track within the strict time limit (e.g., 8 seconds), resulting in a time fault.</t>
  </si>
  <si>
    <t>In team relay events, how is the changeover between riders typically performed?</t>
  </si>
  <si>
    <t>A) Riders pass the lance like a baton, B) The next rider starts their run as the previous one crosses the finish line, C) All riders start at the same time, D) There is no relay event in Tent Pegging</t>
  </si>
  <si>
    <t>B) The next rider starts their run as the previous one crosses the finish line</t>
  </si>
  <si>
    <t>The relay is a test of speed and timing, with the finish of one run triggering the start of the next rider in the sequence.</t>
  </si>
  <si>
    <t>What is the official ruling if a peg is struck correctly but breaks in two, with one part remaining in the ground?</t>
  </si>
  <si>
    <t>A) No points are awarded, B) A "Full Peg" is awarded, C) A "Drawn Peg" is awarded, D) The run is replayed</t>
  </si>
  <si>
    <t>C) A "Drawn Peg" is awarded</t>
  </si>
  <si>
    <t>Since the peg was not carried cleanly from the ground, but was successfully struck and dislodged, it is scored as a 2-point "drawn" peg.</t>
  </si>
  <si>
    <t>The "Indian File" is a team event. What does it require riders to do?</t>
  </si>
  <si>
    <t>A) Ride in a single file line, each striking a consecutive peg, B) Ride in a V-formation, C) All strike the same peg, D) Perform a ceremonial salute</t>
  </si>
  <si>
    <t>A) Ride in a single file line, each striking a consecutive peg</t>
  </si>
  <si>
    <t>This discipline tests each rider's individual focus and skill while riding in a tight, fast-moving formation.</t>
  </si>
  <si>
    <t>What is the penalty for a rider who loses their helmet during a run?</t>
  </si>
  <si>
    <t>A) There is no penalty, B) A 2-point deduction, C) Disqualification from that run (score of zero), D) The entire team is disqualified</t>
  </si>
  <si>
    <t>C) Disqualification from that run (score of zero)</t>
  </si>
  <si>
    <t>A helmet is mandatory safety equipment. If it falls off, the run is immediately nullified with a score of zero for safety reasons.</t>
  </si>
  <si>
    <t>Why must a Tent Pegging horse be trained to run in a perfectly straight line with minimal rein commands?</t>
  </si>
  <si>
    <t>A) It is a rule that reins cannot be used, B) It allows the rider to focus completely on the target with a one-handed grip on the lance, C) It is faster than a zig-zag path, D) It is more traditional</t>
  </si>
  <si>
    <t>B) It allows the rider to focus completely on the target with a one-handed grip on the lance</t>
  </si>
  <si>
    <t>A well-trained horse maintains its path automatically, freeing the rider to concentrate on the difficult, split-second task of aiming.</t>
  </si>
  <si>
    <t>Which country is considered the "modern hub" of Tent Pegging, having invested heavily in hosting World Cups and promoting the sport globally?</t>
  </si>
  <si>
    <t>A) Pakistan, B) Oman, C) India, D) South Africa</t>
  </si>
  <si>
    <t>B) Oman</t>
  </si>
  <si>
    <t>While hugely popular in South Asia, Oman has played a leading role in the sport's modern international development and professionalization.</t>
  </si>
  <si>
    <t>What is the judge's signal for a score of zero or a failed attempt, such as a miss or time fault?</t>
  </si>
  <si>
    <t>A) A red flag is raised, B) A green flag is raised, C) The judge shakes their head, D) The judge blows a whistle once</t>
  </si>
  <si>
    <t>A) A red flag is raised</t>
  </si>
  <si>
    <t>A red flag is the standard signal to indicate that the run was unsuccessful and no points were awarded.</t>
  </si>
  <si>
    <t>Which historical military tactic is most closely related to the skills tested in the "Lemon Cutting" discipline?</t>
  </si>
  <si>
    <t>A) An archer firing arrows from horseback, B) A cavalryman using a sabre to cut down an enemy foot soldier, C) A spy sneaking into a camp, D) A cannon being fired</t>
  </si>
  <si>
    <t>B) A cavalryman using a sabre to cut down an enemy foot soldier</t>
  </si>
  <si>
    <t>The event directly simulates a historical combat technique, testing a rider's ability to deliver a precise and powerful slash with a sword while at a full gallop.</t>
  </si>
  <si>
    <t>What is the primary reason that riders are not allowed to strap or tie the lance to their arm?</t>
  </si>
  <si>
    <t>A) It is not traditional, B) For safety; they must be able to drop the lance in an emergency, C) It gives an unfair advantage in carrying the peg, D) It would make aiming impossible</t>
  </si>
  <si>
    <t>B) For safety; they must be able to drop the lance in an emergency</t>
  </si>
  <si>
    <t>Strapping the lance to the body is extremely dangerous. A rider must be able to let go of the weapon instantly if it gets stuck in the ground or causes a fall.</t>
  </si>
  <si>
    <t>What is the primary difference between Tent Pegging and Jousting?</t>
  </si>
  <si>
    <t>A) Jousting uses swords while Tent Pegging uses lances, B) Jousting involves two riders charging at each other, while Tent Pegging is a charge at a stationary target, C) Jousting is an older sport, D) There is no real difference</t>
  </si>
  <si>
    <t>B) Jousting involves two riders charging at each other, while Tent Pegging is a charge at a stationary target</t>
  </si>
  <si>
    <t>Jousting is a form of mock combat between two opponents, whereas Tent Pegging is a test of individual or team skill against a target.</t>
  </si>
  <si>
    <t>A rider's horse completes the 100m run in 5 seconds and gets a Full Peg. Is this a valid score?</t>
  </si>
  <si>
    <t>A) Yes, and they may get a bonus for speed, B) No, the run was too fast to be judged properly, C) Yes, as it is under the maximum time limit, D) No, there is a minimum time limit as well</t>
  </si>
  <si>
    <t>C) Yes, as it is under the maximum time limit</t>
  </si>
  <si>
    <t>There is a maximum time limit (e.g., 8 seconds), but no minimum. A fast run is a sign of a skilled rider and a fast horse, and the score is valid.</t>
  </si>
  <si>
    <t>What is a "full section attack" in a team event?</t>
  </si>
  <si>
    <t>A) All four riders charge the pegs simultaneously in a line abreast, B) The team uses both lances and swords in the same run, C) The team performs a ceremonial charge without any pegs, D) The team attacks the judges' stand</t>
  </si>
  <si>
    <t>A) All four riders charge the pegs simultaneously in a line abreast</t>
  </si>
  <si>
    <t>This is the classic team event, where the four riders must maintain perfect formation while each striking their individual target.</t>
  </si>
  <si>
    <t>A rider successfully spears two suspended rings in a single run. Is this possible?</t>
  </si>
  <si>
    <t>A) No, only one ring is allowed per run, B) Yes, this is a standard event in the "skills-at-arms" category, C) Only if they use two lances, D) Yes, but it does not score extra points</t>
  </si>
  <si>
    <t>B) Yes, this is a standard event in the "skills-at-arms" category</t>
  </si>
  <si>
    <t>The "Rings" event often features two suspended rings that the rider must collect in a single pass, testing their speed and accuracy.</t>
  </si>
  <si>
    <t>What is the primary reason riders must wear heeled boots?</t>
  </si>
  <si>
    <t>A) It is a tradition from British cavalry, B) They provide better grip in the stirrup, C) The heel prevents the foot from slipping all the way through the stirrup, D) They look more professional</t>
  </si>
  <si>
    <t>C) The heel prevents the foot from slipping all the way through the stirrup</t>
  </si>
  <si>
    <t>A heeled boot is a fundamental piece of equestrian safety equipment that can prevent a rider from being dragged in a fall.</t>
  </si>
  <si>
    <t>A rider's horse is lame, so they try to use a teammate's horse for their run. Is this allowed in a formal competition?</t>
  </si>
  <si>
    <t>A) Yes, if the teammate agrees, B) No, a rider must compete on their own registered horse, C) Only in practice rounds, D) Only if the horses are the same color</t>
  </si>
  <si>
    <t>B) No, a rider must compete on their own registered horse</t>
  </si>
  <si>
    <t>In official competitions, a rider and their horse are registered as a pair. A rider cannot simply switch to a different horse for their run.</t>
  </si>
  <si>
    <t>In the "skills-at-arms" event, what might a rider have to do?</t>
  </si>
  <si>
    <t>A) Perform a variety of tasks in a single run, such as spearing a peg and cutting a lemon, B) Jump over a series of obstacles, C) Perform a dressage test, D) Race against another horse</t>
  </si>
  <si>
    <t>A) Perform a variety of tasks in a single run, such as spearing a peg and cutting a lemon</t>
  </si>
  <si>
    <t>This is a composite event that tests a rider's mastery of various different weapons and targeting skills in one go.</t>
  </si>
  <si>
    <t>A rider is disqualified for having a lance that is too heavy. Why would a maximum weight rule exist?</t>
  </si>
  <si>
    <t>A) A heavier lance can be used to bludgeon opponents, B) To ensure fairness and prevent riders from gaining an advantage in windy conditions, C) A heavier lance is more likely to break, D) It is not a real rule</t>
  </si>
  <si>
    <t>B) To ensure fairness and prevent riders from gaining an advantage in windy conditions</t>
  </si>
  <si>
    <t>A very heavy lance is less affected by wind, so a maximum weight limit ensures all riders face similar challenges.</t>
  </si>
  <si>
    <t>What is the main reason for the "run-up" zone before the start line?</t>
  </si>
  <si>
    <t>A) To allow the horse to accelerate to a controlled and steady gallop, B) It is a waiting area for the riders, C) To allow the rider to practice their aim before the run, D) To please the spectators and build suspense</t>
  </si>
  <si>
    <t>A) To allow the horse to accelerate to a controlled and steady gallop</t>
  </si>
  <si>
    <t>A horse cannot go from a standstill to a perfect gallop instantly. The run-up gives the horse time to find its rhythm and speed before the timed run begins.</t>
  </si>
  <si>
    <t>What is the main characteristic of the Marwari horse breed that makes it so suitable for Tent Pegging?</t>
  </si>
  <si>
    <t>A) Its great height and long stride, B) Its calm and placid temperament, C) Its natural agility, hardiness, and bravery, D) Its muscular, heavy build</t>
  </si>
  <si>
    <t>C) Its natural agility, hardiness, and bravery</t>
  </si>
  <si>
    <t>The Marwari is a traditional South Asian cavalry horse known for all the key attributes needed in a chaotic, high-speed sport.</t>
  </si>
  <si>
    <t>What is the ultimate expression of skill in Tent Pegging?</t>
  </si>
  <si>
    <t>A) Riding the fastest horse in the competition, B) Making the difficult task of striking a small target at high speed look effortless, C) Having the most expensive equipment, D) Winning every single match</t>
  </si>
  <si>
    <t>B) Making the difficult task of striking a small target at high speed look effortless</t>
  </si>
  <si>
    <t>The mark of a true master is not just success, but the appearance of effortless grace and perfect timing in performing an incredibly difficult skill.</t>
  </si>
  <si>
    <t>A rider is part of a "veterans" category. What does this typically mean?</t>
  </si>
  <si>
    <t>A) They are a member of the armed forces, B) They are an older, experienced rider competing against their peers, C) They use a horse that is a past champion, D) They are a past national champion</t>
  </si>
  <si>
    <t>B) They are an older, experienced rider competing against their peers</t>
  </si>
  <si>
    <t>Competitions often have age categories, with a veterans division for senior competitors to ensure fair play.</t>
  </si>
  <si>
    <t>The sport is sometimes called "Neza Bazi". What does "Neza" mean in Persian/Urdu?</t>
  </si>
  <si>
    <t>A) Horse, B) Game, C) Spear or lance, D) Target</t>
  </si>
  <si>
    <t>C) Spear or lance</t>
  </si>
  <si>
    <t>Neza Bazi is the traditional term for the sport, which translates to "spear play" or "lancing."</t>
  </si>
  <si>
    <t>A rider is penalized for "crossing." What does this mean in a team event?</t>
  </si>
  <si>
    <t>A) They crossed the finish line too slowly, B) They crossed into the path of a teammate, creating a safety hazard, C) They crossed their legs while riding, D) They used a cross-breed horse</t>
  </si>
  <si>
    <t>B) They crossed into the path of a teammate, creating a safety hazard</t>
  </si>
  <si>
    <t>In a section attack, each rider must maintain their own lane. Crossing into another rider's path is a very dangerous foul.</t>
  </si>
  <si>
    <t>What is the primary purpose of the metal tip on the end of the lance?</t>
  </si>
  <si>
    <t>A) It is purely for decoration, B) It is needed to effectively penetrate and lift the wooden peg, C) It adds weight to the lance for better balance, D) It is a traditional requirement of the sport</t>
  </si>
  <si>
    <t>B) It is needed to effectively penetrate and lift the wooden peg</t>
  </si>
  <si>
    <t>A metal tip is essential for the lance to be able to pierce and lift the target from the ground without the weapon itself breaking or slipping.</t>
  </si>
  <si>
    <t>What is the main reason a horse must be well-trained to respond to a rider's leg cues?</t>
  </si>
  <si>
    <t>A) It is a rule that reins cannot be used, B) The rider needs one hand for the lance, so they must guide the horse with their legs, C) It makes the horse more comfortable, D) It looks more professional</t>
  </si>
  <si>
    <t>B) The rider needs one hand for the lance, so they must guide the horse with their legs</t>
  </si>
  <si>
    <t>A Tent Pegging horse must be controllable with minimal rein input, as the rider's attention and dominant hand are focused on the weapon.</t>
  </si>
  <si>
    <t>A rider is disqualified for having a lance that is too short. Why is there a minimum length rule?</t>
  </si>
  <si>
    <t>A) A short lance is harder to see for the judges, B) To prevent riders from gaining an unfair advantage in maneuverability, C) To ensure the rider is a safe distance from the peg when striking, D) It is a traditional rule with no practical purpose</t>
  </si>
  <si>
    <t>B) To prevent riders from gaining an unfair advantage in maneuverability</t>
  </si>
  <si>
    <t>A very short lance would be much easier to aim and control, so a standard minimum length is required to ensure a fair challenge for all.</t>
  </si>
  <si>
    <t>In a team event, who is declared the winner?</t>
  </si>
  <si>
    <t>A) The team with the fastest single run, B) The team with the best-looking horses, C) The team with the highest aggregate score from all its riders, D) The team that wins the final head-to-head race</t>
  </si>
  <si>
    <t>C) The team with the highest aggregate score from all its riders</t>
  </si>
  <si>
    <t>The winning team is the one whose members collectively score the most points across all the runs of the competition.</t>
  </si>
  <si>
    <t>What is the role of the "Technical Delegate" at an ITPF event?</t>
  </si>
  <si>
    <t>A) To coach the home team, B) To ensure the arena, equipment, and ground conditions meet official international standards, C) To be the head of the judging panel, D) To manage the television broadcast</t>
  </si>
  <si>
    <t>B) To ensure the arena, equipment, and ground conditions meet official international standards</t>
  </si>
  <si>
    <t>The Technical Delegate is the highest authority on the technical aspects of the competition, ensuring fair and safe conditions.</t>
  </si>
  <si>
    <t>Why is a deep, secure seat in the saddle essential for the rider?</t>
  </si>
  <si>
    <t>A) It looks more elegant, B) It allows the rider to absorb the horse's motion and provide a stable platform for the lance strike, C) It helps the horse to run faster, D) It is required by the uniform code</t>
  </si>
  <si>
    <t>B) It allows the rider to absorb the horse's motion and provide a stable platform for the lance strike</t>
  </si>
  <si>
    <t>A rider who is bouncing or insecure in the saddle cannot possibly aim a 2.5-meter lance with the precision needed to hit a tiny target.</t>
  </si>
  <si>
    <t>What is the purpose of the "run-out" area after the finish line?</t>
  </si>
  <si>
    <t>A) It is a waiting area for the next rider, B) It is a designated area for the horse to slow down safely after its high-speed run, C) It is where the scores are announced, D) It is where the prizes are kept</t>
  </si>
  <si>
    <t>B) It is a designated area for the horse to slow down safely after its high-speed run</t>
  </si>
  <si>
    <t>The run-out area is a crucial safety feature that allows the horse to decelerate naturally without having to stop abruptly.</t>
  </si>
  <si>
    <t>What is the judge's signal for a "Drawn Peg" (2 points)?</t>
  </si>
  <si>
    <t>A) A green flag, B) A white flag, C) A red flag, D) A blue flag</t>
  </si>
  <si>
    <t>B) A white flag</t>
  </si>
  <si>
    <t>In the ITPF flag system, white signifies a partial score for a peg that was dislodged but not carried across the finish line.</t>
  </si>
  <si>
    <t>In the "lance out" salute after a run, what does the rider do?</t>
  </si>
  <si>
    <t>A) Throws the lance in the air, B) Points the lance straight up to acknowledge the judges, C) Places the lance on the ground, D) Hands the lance to an official</t>
  </si>
  <si>
    <t>B) Points the lance straight up to acknowledge the judges</t>
  </si>
  <si>
    <t>This is a traditional and respectful gesture to signal the completion of the run and acknowledge the officials.</t>
  </si>
  <si>
    <t>A rider is eliminated from an individual competition. Can they still compete in the team event?</t>
  </si>
  <si>
    <t>A) No, they are eliminated from the entire competition, B) Yes, the individual and team events are separate competitions, C) Only if their team captain agrees, D) Only if they apologize to the judges</t>
  </si>
  <si>
    <t>B) Yes, the individual and team events are separate competitions</t>
  </si>
  <si>
    <t>A rider's performance in one event does not affect their eligibility to compete in other scheduled events at the same tournament.</t>
  </si>
  <si>
    <t>What is the ruling if a peg is lifted, but the rider drops their lance (with the peg still on it) before the finish line?</t>
  </si>
  <si>
    <t>A) Full points are awarded, B) Half points are awarded, C) Zero points are awarded, D) The run is replayed</t>
  </si>
  <si>
    <t>C) Zero points are awarded</t>
  </si>
  <si>
    <t>The rider must maintain control of their weapon throughout the entire run. Dropping the lance results in a score of zero.</t>
  </si>
  <si>
    <t>Why do riders often wear traditional, flowing robes during ceremonial displays but not in high-level competitions?</t>
  </si>
  <si>
    <t>A) The robes are too hot, B) The robes can get caught or tangled, which is a safety risk in a timed event, C) The robes are not allowed by sponsors, D) It is a modern fashion trend</t>
  </si>
  <si>
    <t>B) The robes can get caught or tangled, which is a safety risk in a timed event</t>
  </si>
  <si>
    <t>While visually impressive, loose clothing can be dangerous at high speed, so fitted equestrian gear is required for safety in competitions.</t>
  </si>
  <si>
    <t>A rider is seen using a lance that is noticeably thicker and heavier than the standard. What is the potential advantage?</t>
  </si>
  <si>
    <t>A) Better accuracy, B) More stability in windy conditions, C) It is easier to hold, D) It is less likely to break</t>
  </si>
  <si>
    <t>B) More stability in windy conditions</t>
  </si>
  <si>
    <t>A heavier lance is less affected by crosswinds, which can be an advantage for some riders in adverse weather.</t>
  </si>
  <si>
    <t>What is the main reason for using a wooden peg instead of a plastic one?</t>
  </si>
  <si>
    <t>A) Wood is cheaper, B) Wood provides the right amount of resistance and can be pierced by the lance, C) Plastic is too heavy, D) It is a modern trend</t>
  </si>
  <si>
    <t>B) Wood provides the right amount of resistance and can be pierced by the lance</t>
  </si>
  <si>
    <t>The interaction between the metal lance tip and the wooden peg is traditional and provides the specific challenge the sport is based on.</t>
  </si>
  <si>
    <t>A rider successfully spears a ring, but it falls off the lance before the finish line. What is the score?</t>
  </si>
  <si>
    <t>A) Full points, B) Half points, C) Zero points, D) The run is replayed</t>
  </si>
  <si>
    <t>C) Zero points</t>
  </si>
  <si>
    <t>Just like with the ground peg, a suspended target must be successfully collected and carried across the finish line to be scored.</t>
  </si>
  <si>
    <t>What does the term "Neza Bazi" refer to?</t>
  </si>
  <si>
    <t>A) The Pakistani name for Tent Pegging, B) A type of horse, C) The ceremonial uniform, D) The championship trophy</t>
  </si>
  <si>
    <t>A) The Pakistani name for Tent Pegging</t>
  </si>
  <si>
    <t>Neza Bazi is the traditional Persian and Urdu term for the sport, meaning "spear play."</t>
  </si>
  <si>
    <t>What is the primary purpose of the "galloping track" or run-up area before the official start line?</t>
  </si>
  <si>
    <t>A) To allow the horse and rider to build up to the correct speed and rhythm, B) To warm up the horse, C) To allow spectators to get a better view, D) It is a waiting area</t>
  </si>
  <si>
    <t>A) To allow the horse and rider to build up to the correct speed and rhythm</t>
  </si>
  <si>
    <t>This run-up area is crucial for the horse to reach a steady, controlled gallop before the timed run begins.</t>
  </si>
  <si>
    <t>A rider is disqualified for "dangerous riding." What is a likely reason?</t>
  </si>
  <si>
    <t>A) Riding too fast, B) Not being in control of their horse, causing a risk to others, C) Shouting during the run, D) Wearing the wrong color</t>
  </si>
  <si>
    <t>B) Not being in control of their horse, causing a risk to others</t>
  </si>
  <si>
    <t>Any action that demonstrates a lack of control and endangers other riders, horses, or officials is considered dangerous riding.</t>
  </si>
  <si>
    <t>What is the judge's signal for a score of zero or a failed attempt?</t>
  </si>
  <si>
    <t>Why are riders not allowed to strap the lance to their arm?</t>
  </si>
  <si>
    <t>Strapping the lance to the body is extremely dangerous. A rider must be able to let go of the weapon instantly if it gets stuck or causes a fall.</t>
  </si>
  <si>
    <t>In a team event, what is the penalty if one rider is eliminated for a false start?</t>
  </si>
  <si>
    <t>A) The whole team is disqualified, B) The team continues with three riders, but the eliminated rider gets a score of zero, C) The team must replay the run, D) The team gets a 6-point penalty</t>
  </si>
  <si>
    <t>B) The team continues with three riders, but the eliminated rider gets a score of zero</t>
  </si>
  <si>
    <t>The individual rider's score is nullified, but this does not disqualify the other members of the team, whose scores still count.</t>
  </si>
  <si>
    <t>A rider is part of a team from the Pakistan Army. What is the significance of this?</t>
  </si>
  <si>
    <t>A) It means they are a professional rider, B) The armed forces, particularly the cavalry, are a major preserver and promoter of the sport, C) They have an unfair advantage, D) They are required to use military horses</t>
  </si>
  <si>
    <t>B) The armed forces, particularly the cavalry, are a major preserver and promoter of the sport</t>
  </si>
  <si>
    <t>Many of the top Tent Pegging teams in Pakistan are associated with army cavalry units, which have kept the tradition alive.</t>
  </si>
  <si>
    <t>A rider is using a lance with a three-pronged tip. Is this legal in a standard pegging event?</t>
  </si>
  <si>
    <t>A) Yes, it makes it easier to catch the peg, B) No, a single point is required, C) Only if the referee approves, D) Yes, but it scores fewer points</t>
  </si>
  <si>
    <t>B) No, a single point is required</t>
  </si>
  <si>
    <t>The standard lance must have a simple, single point. Multi-pronged heads are not allowed in the main discipline.</t>
  </si>
  <si>
    <t>What is the main reason a rider must hold the lance near its base?</t>
  </si>
  <si>
    <t>A) It is a rule, B) It provides the maximum reach and leverage for the strike, C) It is easier to balance, D) It protects the hand</t>
  </si>
  <si>
    <t>B) It provides the maximum reach and leverage for the strike</t>
  </si>
  <si>
    <t>Holding the lance at its end, like a pool cue, allows for the longest and most stable extension of the arm.</t>
  </si>
  <si>
    <t>What is the penalty for a rider who is found to have an illegally sharpened lance tip?</t>
  </si>
  <si>
    <t>A) They must blunt it before competing, B) They are immediately disqualified from the competition, C) They are given a point penalty, D) A warning is issued</t>
  </si>
  <si>
    <t>B) They are immediately disqualified from the competition</t>
  </si>
  <si>
    <t>A sharpened lance is a major safety violation that can cause serious injury to the horse if the rider misses, and it is strictly forbidden.</t>
  </si>
  <si>
    <t>A rider's horse is seen wearing blinkers. What is their purpose?</t>
  </si>
  <si>
    <t>A) To protect the horse's eyes from dust, B) To restrict the horse's field of vision and keep it focused on the track ahead, C) They are a decorative element, D) They help the horse to see better at night</t>
  </si>
  <si>
    <t>B) To restrict the horse's field of vision and keep it focused on the track ahead</t>
  </si>
  <si>
    <t>Blinkers are a piece of tack that prevent the horse from being distracted by movement to its side or rear, ensuring it runs straight.</t>
  </si>
  <si>
    <t>What is the judge's ruling if a rider strikes the peg and lifts it, but the peg is impaled sideways on the lance?</t>
  </si>
  <si>
    <t>A) A Full Peg is awarded, B) A Drawn Peg is awarded, C) No points are awarded, D) The run is replayed</t>
  </si>
  <si>
    <t>A) A Full Peg is awarded</t>
  </si>
  <si>
    <t>The manner in which the peg is attached to the lance does not matter. As long as it is lifted and carried across the line, it is a full score.</t>
  </si>
  <si>
    <t>In a tie-breaking round, how might officials increase the difficulty?</t>
  </si>
  <si>
    <t>A) Make the riders use a heavier lance, B) Decrease the width of the target peg, C) Make the riders go faster, D) Make the track longer</t>
  </si>
  <si>
    <t>B) Decrease the width of the target peg</t>
  </si>
  <si>
    <t>To separate the best riders, the challenge can be increased by using a smaller target, making the test of accuracy even greater.</t>
  </si>
  <si>
    <t>What is the main reason a rider must wear heeled boots?</t>
  </si>
  <si>
    <t>A) It is a tradition, B) They provide better grip in the stirrup, C) The heel prevents the foot from slipping through the stirrup, D) They look more professional</t>
  </si>
  <si>
    <t>C) The heel prevents the foot from slipping through the stirrup</t>
  </si>
  <si>
    <t>A rider's horse is lame, so they try to use a teammate's horse. Is this allowed?</t>
  </si>
  <si>
    <t>In official competitions, a rider and their horse are registered as a pair. A rider cannot simply switch to a different horse.</t>
  </si>
  <si>
    <t>What is a "clean run"?</t>
  </si>
  <si>
    <t>A) A run where the rider scores a Full Peg, B) A run that is completed without any penalties or fouls, C) A run where the rider's uniform stays clean, D) A run that is very fast</t>
  </si>
  <si>
    <t>B) A run that is completed without any penalties or fouls</t>
  </si>
  <si>
    <t>A "clean run" is one where the rider commits no faults, such as a false start, time fault, or dropping their weapon.</t>
  </si>
  <si>
    <t>What is the penalty for a team with non-matching uniforms in a team event?</t>
  </si>
  <si>
    <t>A) A point deduction, B) Disqualification, C) They are not allowed to start, D) A warning is issued</t>
  </si>
  <si>
    <t>C) They are not allowed to start</t>
  </si>
  <si>
    <t>In team events, riders must have matching attire for a professional appearance before they can compete.</t>
  </si>
  <si>
    <t>What does it mean for a rider to have "soft hands"?</t>
  </si>
  <si>
    <t>A) They have weak hands, B) They guide the horse with light rein cues, C) They wear soft gloves, D) They are a beginner</t>
  </si>
  <si>
    <t>B) They guide the horse with light rein cues</t>
  </si>
  <si>
    <t>"Soft hands" signify an expert horseman who communicates through subtle signals.</t>
  </si>
  <si>
    <t>What is the ruling if a rider protests about sun glare?</t>
  </si>
  <si>
    <t>A) They get a re-run, B) The protest is dismissed, C) The competition is paused, D) They get partial points</t>
  </si>
  <si>
    <t>B) The protest is dismissed</t>
  </si>
  <si>
    <t>Environmental conditions like sun glare are considered part of the sport's challenge.</t>
  </si>
  <si>
    <t>What is the primary difference between a lance and a spear?</t>
  </si>
  <si>
    <t>A) No difference, B) A lance is for use on horseback, C) A spear is longer, D) A lance is metal</t>
  </si>
  <si>
    <t>B) A lance is for use on horseback</t>
  </si>
  <si>
    <t>A lance is a type of spear specifically adapted for cavalry use.</t>
  </si>
  <si>
    <t>Can an eliminated individual rider still compete in the team event?</t>
  </si>
  <si>
    <t>A) No, B) Yes, C) Only if the captain agrees, D) Only if they apologize</t>
  </si>
  <si>
    <t>B) Yes</t>
  </si>
  <si>
    <t>Individual and team events are separate competitions; eligibility is not linked.</t>
  </si>
  <si>
    <t>A) To coach the home team, B) To ensure all equipment and conditions meet official standards, C) To be the head of the judging panel, D) To manage the broadcast</t>
  </si>
  <si>
    <t>B) To ensure all equipment and conditions meet official standards</t>
  </si>
  <si>
    <t>Why must the tip of the lance be made of metal?</t>
  </si>
  <si>
    <t>A) It looks better, B) It is needed to effectively penetrate and lift the wooden peg, C) It adds weight to the lance, D) It is a traditional requirement</t>
  </si>
  <si>
    <t>A metal tip is essential for the lance to be able to pierce and lift the target from the ground without the weapon itself breaking.</t>
  </si>
  <si>
    <t>What is the main purpose of the "slow-motion" replay camera in modern competitions?</t>
  </si>
  <si>
    <t>A) To make the event look dramatic, B) To help judges make accurate decisions, C) To help coaches, D) To entertain the crowd</t>
  </si>
  <si>
    <t>B) To help judges make accurate decisions</t>
  </si>
  <si>
    <t>Slow-motion replay is a crucial officiating tool for reviewing close calls and protests.</t>
  </si>
  <si>
    <t>What is a key part of a horse's diet for stamina?</t>
  </si>
  <si>
    <t>A) Sugar cubes, B) High-quality hay and grain, C) Only grass, D) Fruits and vegetables</t>
  </si>
  <si>
    <t>B) High-quality hay and grain</t>
  </si>
  <si>
    <t>An athletic horse requires a balanced diet of forage and energy-rich grains for performance.</t>
  </si>
  <si>
    <t>A) A heavier lance is more dangerous, B) To ensure fairness and prevent an advantage in windy conditions, C) A heavier lance is more likely to break, D) It is not a rule</t>
  </si>
  <si>
    <t>B) To ensure fairness and prevent an advantage in windy conditions</t>
  </si>
  <si>
    <t>A rider's horse is lame, so they borrow a horse. Is this allowed?</t>
  </si>
  <si>
    <t>A) Yes, if the owner agrees, B) No, a rider must compete on their registered horse, C) Only in practice, D) Only if the horses are the same color</t>
  </si>
  <si>
    <t>In official competitions, a rider and their horse are a registered pair. A rider cannot switch to a different horse.</t>
  </si>
  <si>
    <t>What does the term "full pass" mean in a team event?</t>
  </si>
  <si>
    <t>A) The team has advanced, B) All four riders scored a Full Peg, C) All four riders missed, D) The team finished on time</t>
  </si>
  <si>
    <t>B) All four riders scored a Full Peg</t>
  </si>
  <si>
    <t>A "full pass" is a perfect run, often earning a bonus.</t>
  </si>
  <si>
    <t>A) They crossed the finish line too slowly, B) They crossed into a teammate's path, creating a hazard, C) They crossed their legs while riding, D) They used a cross-breed horse</t>
  </si>
  <si>
    <t>B) They crossed into a teammate's path, creating a hazard</t>
  </si>
  <si>
    <t>In a section attack, each rider must maintain their lane. Crossing into another rider's path is a very dangerous foul.</t>
  </si>
  <si>
    <t>What is the primary reason for using a sabre for Lemon Cutting?</t>
  </si>
  <si>
    <t>A) It looks traditional, B) A curved blade is designed for slicing, C) It is lighter, D) It is sharper</t>
  </si>
  <si>
    <t>B) A curved blade is designed for slicing</t>
  </si>
  <si>
    <t>The curve of a sabre allows the blade to slice through a target efficiently as the rider gallops past.</t>
  </si>
  <si>
    <t>What is a key mental skill for a Tent Pegger?</t>
  </si>
  <si>
    <t>A) The ability to ignore pressure and focus intensely on a single point, B) A good memory for rules, C) The ability to do math quickly, D) A loud voice</t>
  </si>
  <si>
    <t>A) The ability to ignore pressure and focus intensely on a single point</t>
  </si>
  <si>
    <t>The sport requires immense concentration to perform a precise action in a high-speed, high-pressure environment.</t>
  </si>
  <si>
    <t>A rider's horse is wearing blinkers. What is their purpose?</t>
  </si>
  <si>
    <t>A) To protect the horse's eyes, B) To restrict the horse's vision and keep it focused ahead, C) They are decorative, D) They help the horse see at night</t>
  </si>
  <si>
    <t>B) To restrict the horse's vision and keep it focused ahead</t>
  </si>
  <si>
    <t>Blinkers prevent the horse from being distracted by movement to its side or rear, ensuring it runs straight.</t>
  </si>
  <si>
    <t>What is the ruling if a rider lifts the peg sideways on the lance?</t>
  </si>
  <si>
    <t>The manner in which the peg is attached to the lance does not matter. As long as it is lifted and carried, it is a full score.</t>
  </si>
  <si>
    <t>In a tie-breaker, how might officials increase the difficulty?</t>
  </si>
  <si>
    <t>A) Make riders use a heavier lance, B) Decrease the width of the peg, C) Make riders go faster, D) Make the track longer</t>
  </si>
  <si>
    <t>B) Decrease the width of the peg</t>
  </si>
  <si>
    <t>To separate the best riders, the challenge is increased by using a smaller target.</t>
  </si>
  <si>
    <t>What is the main reason a rider holds the lance near its base?</t>
  </si>
  <si>
    <t>A) It is a rule, B) It provides maximum reach and leverage, C) It is easier to balance, D) It protects the hand</t>
  </si>
  <si>
    <t>B) It provides maximum reach and leverage</t>
  </si>
  <si>
    <t>What is the penalty for using an illegally sharpened lance tip?</t>
  </si>
  <si>
    <t>A) They must blunt it, B) Immediate disqualification, C) A point penalty, D) A warning</t>
  </si>
  <si>
    <t>B) Immediate disqualification</t>
  </si>
  <si>
    <t>A sharpened lance is a major safety violation that can cause serious injury to the horse if the rider misses.</t>
  </si>
  <si>
    <t>A rider completes a run in 5 seconds and gets a Full Peg. Is this valid?</t>
  </si>
  <si>
    <t>A) Yes, with a speed bonus, B) No, the run was too fast, C) Yes, as it is under the maximum time limit, D) No, there is a minimum time limit</t>
  </si>
  <si>
    <t>There is a maximum time limit, but no minimum. A fast run is a sign of a skilled rider.</t>
  </si>
  <si>
    <t>What is the difference between a "lance" and a "sword" run?</t>
  </si>
  <si>
    <t>A) The lance pierces, the sword cuts, B) The sword run is slower, C) The lance run is safer, D) No difference</t>
  </si>
  <si>
    <t>A) The lance pierces, the sword cuts</t>
  </si>
  <si>
    <t>These disciplines test two different historical cavalry skills: the thrust of the lance and the slice of the sabre.</t>
  </si>
  <si>
    <t>What is the most important characteristic of the track surface?</t>
  </si>
  <si>
    <t>A) It must be grass, B) It must be sand, C) It must be level, firm, and free of obstacles, D) It must be sloped</t>
  </si>
  <si>
    <t>C) It must be level, firm, and free of obstacles</t>
  </si>
  <si>
    <t>A safe and fair track must be consistent and predictable to prevent horses from stumbling.</t>
  </si>
  <si>
    <t>What is a "skills-at-arms" event?</t>
  </si>
  <si>
    <t>A) A single run with multiple tasks, like spearing a peg and cutting a lemon, B) Jumping obstacles, C) A dressage test, D) A horse race</t>
  </si>
  <si>
    <t>A) A single run with multiple tasks, like spearing a peg and cutting a lemon</t>
  </si>
  <si>
    <t>This is a composite event that tests a rider's mastery of various weapons and targeting skills in one go.</t>
  </si>
  <si>
    <t>Why must riders wear heeled boots?</t>
  </si>
  <si>
    <t>A) It is a tradition, B) They provide better grip, C) The heel prevents the foot from slipping through the stirrup, D) They look professional</t>
  </si>
  <si>
    <t>A) A run with a Full Peg, B) A run completed without any penalties or fouls, C) A run where the uniform stays clean, D) A very fast run</t>
  </si>
  <si>
    <t>B) A run completed without any penalties or fouls</t>
  </si>
  <si>
    <t>What is the purpose of the slow-motion replay camera?</t>
  </si>
  <si>
    <t>What is the main purpose of "desensitization training" for horses?</t>
  </si>
  <si>
    <t>A) To ignore audience noise and sudden movements, B) To accept lance thrusts, C) To reduce fear of flags, D) All of the above</t>
  </si>
  <si>
    <t>Horses must remain calm despite loud, sudden, and unusual competition stimuli to perform safely and effectively.</t>
  </si>
  <si>
    <t>Which discipline demands the rider to change weapons mid-run?</t>
  </si>
  <si>
    <t>A) Lemon cutting, B) Double pegging, C) Sword &amp; lance event, D) Relay pegging</t>
  </si>
  <si>
    <t>C) Sword &amp; lance event</t>
  </si>
  <si>
    <t>This rare format tests mastery of both weapons in one gallop, requiring the rider to switch from one to the other.</t>
  </si>
  <si>
    <t>What is the ruling if a peg is struck but bounces out due to loose soil?</t>
  </si>
  <si>
    <t>A) Full points, B) Half points, C) Marshal decides, D) No points</t>
  </si>
  <si>
    <t>A) Full points</t>
  </si>
  <si>
    <t>A peg leaving the ground counts as a valid dislodgement, regardless of the soil condition.</t>
  </si>
  <si>
    <t>Why are horses often trained without saddles in early drills?</t>
  </si>
  <si>
    <t>A) To toughen riders, B) To improve the rider's core balance and leg grip, C) To prevent saddle damage, D) To increase horse stamina</t>
  </si>
  <si>
    <t>B) To improve the rider's core balance and leg grip</t>
  </si>
  <si>
    <t>Bareback training is a fundamental equestrian exercise that enhances a rider's balance and stability before using a saddle.</t>
  </si>
  <si>
    <t>What is the ruling if a rider completes a run in under the time limit but misses the peg?</t>
  </si>
  <si>
    <t>A) Bonus time points, B) No points are scored, C) A 2-point deduction, D) A warning is issued</t>
  </si>
  <si>
    <t>B) No points are scored</t>
  </si>
  <si>
    <t>Speed without accuracy has no reward in Tent Pegging. The primary objective is to strike the target.</t>
  </si>
  <si>
    <t>Which country introduced "international relay pegging" as a popular showcase sport?</t>
  </si>
  <si>
    <t>A) UAE, B) Oman, C) Pakistan, D) Australia</t>
  </si>
  <si>
    <t>D) Australia</t>
  </si>
  <si>
    <t>Australia has been a key promoter of the fast-paced and spectator-friendly relay pegging format in international exhibitions.</t>
  </si>
  <si>
    <t>Why are lances never made entirely of metal in competitions?</t>
  </si>
  <si>
    <t>A) They would be too heavy, B) A broken metal lance would create dangerous sharp edges, C) They are too expensive, D) It is not a traditional material</t>
  </si>
  <si>
    <t>B) A broken metal lance would create dangerous sharp edges</t>
  </si>
  <si>
    <t>Metal shards are a significant hazard compared to the way wood or fiberglass splinters, making them unsafe for the sport.</t>
  </si>
  <si>
    <t>Which equestrian event shares the closest similarity in skill set with Tent Pegging?</t>
  </si>
  <si>
    <t>A) Jousting, B) Polo, C) Mounted Archery, D) Dressage</t>
  </si>
  <si>
    <t>C) Mounted Archery</t>
  </si>
  <si>
    <t>Both Tent Pegging and Mounted Archery require the rider to control a horse at speed with their legs while performing a precise weapon-based action.</t>
  </si>
  <si>
    <t>What is the maximum number of suspended rings allowed in one "ring pegging" run?</t>
  </si>
  <si>
    <t>A) 1, B) 2, C) 3, D) 4</t>
  </si>
  <si>
    <t>B) 2</t>
  </si>
  <si>
    <t>Regulations typically allow a maximum of two rings to be collected in a single run, testing both accuracy and speed.</t>
  </si>
  <si>
    <t>What is the primary reason the starting signal is critical?</t>
  </si>
  <si>
    <t>A) To synchronize riders for team events, B) To prevent early start disputes, C) To ensure fair and consistent timing for all competitors, D) All of the above</t>
  </si>
  <si>
    <t>A clear and consistent start signal is fundamental to the fairness, timing, and organization of the competition.</t>
  </si>
  <si>
    <t>Which horse breed is considered to have the best acceleration for the short Tent Pegging track?</t>
  </si>
  <si>
    <t>A) Arabian, B) Marwari, C) Thoroughbred, D) Kathiawari</t>
  </si>
  <si>
    <t>C) Thoroughbred</t>
  </si>
  <si>
    <t>Thoroughbreds are renowned for their explosive sprint speed, making them excellent for a short, timed track.</t>
  </si>
  <si>
    <t>What is the judge's role immediately after each run is completed?</t>
  </si>
  <si>
    <t>A) To measure the length of the lance, B) To inspect the soil depth, C) To clearly signal the points scored for that run, D) To ensure the horse exits the track safely</t>
  </si>
  <si>
    <t>C) To clearly signal the points scored for that run</t>
  </si>
  <si>
    <t>Judges must promptly and clearly signal the result (e.g., with flags) to the scorers and the audience to maintain the event's flow.</t>
  </si>
  <si>
    <t>What is the main reason a rider must have excellent cardiovascular fitness?</t>
  </si>
  <si>
    <t>A) To run if unhorsed, B) To withstand the physical exertion of controlling a horse at speed while performing a powerful action, C) To hold their breath for a long time, D) It is not important</t>
  </si>
  <si>
    <t>B) To withstand the physical exertion of controlling a horse at speed while performing a powerful action</t>
  </si>
  <si>
    <t>Tent Pegging is an intensely physical sport that requires a high level of fitness from the rider to maintain control and accuracy.</t>
  </si>
  <si>
    <t>What is the penalty for a team whose members are not wearing matching uniforms?</t>
  </si>
  <si>
    <t>A) They are not allowed to compete, B) A point deduction, C) A fine is imposed, D) A verbal warning is given</t>
  </si>
  <si>
    <t>A) They are not allowed to compete</t>
  </si>
  <si>
    <t>In formal team events, matching attire is a requirement for participation to ensure a professional and organized appearance.</t>
  </si>
  <si>
    <t>In which country did the ITPF World Cup take place in 2013?</t>
  </si>
  <si>
    <t>A) Pakistan, B) India, C) Oman, D) South Africa</t>
  </si>
  <si>
    <t>D) South Africa</t>
  </si>
  <si>
    <t>The inaugural ITPF World Cup, a major step in the sport's modernization, was held in Pretoria, South Africa.</t>
  </si>
  <si>
    <t>A) So the rider can hit it harder, B) A horse that fears the whip may panic or bolt when it is used for cues, C) It is not important, D) So the whip can be used on other horses</t>
  </si>
  <si>
    <t>B) A horse that fears the whip may panic or bolt when it is used for cues</t>
  </si>
  <si>
    <t>What does the "Indian File" event test in a team?</t>
  </si>
  <si>
    <t>A) The team's collective speed, B) Each rider's individual focus while riding in a tight formation, C) The team's ability to share a single lance, D) The beauty of the horses</t>
  </si>
  <si>
    <t>B) Each rider's individual focus while riding in a tight formation</t>
  </si>
  <si>
    <t>In this event, riders follow one after another, and each must concentrate on their own target without being distracted by the rider in front.</t>
  </si>
  <si>
    <t>What is the most common serious injury for a Tent Pegging rider?</t>
  </si>
  <si>
    <t>A) Wrist strain from the lance, B) Shoulder dislocation or injury from the force of the strike, C) Lower back strain, D) Leg fractures from falls</t>
  </si>
  <si>
    <t>B) Shoulder dislocation or injury from the force of the strike</t>
  </si>
  <si>
    <t>The immense force generated during the lance thrust, especially if the lance gets stuck, puts the shoulder joint at a high risk of injury.</t>
  </si>
  <si>
    <t>Which scoring error is most frequently challenged by riders?</t>
  </si>
  <si>
    <t>A) The timing of the run, B) The distinction between a "Drawn Peg" (2 points) and a miss (0 points), C) The horse stepping out of the track width, D) The weight of the lance</t>
  </si>
  <si>
    <t>B) The distinction between a "Drawn Peg" (2 points) and a miss (0 points)</t>
  </si>
  <si>
    <t>Determining whether the peg was slightly moved or fully dislodged from the ground is a common point of contention.</t>
  </si>
  <si>
    <t>What is the primary purpose of the "run-up" area before the start line?</t>
  </si>
  <si>
    <t>A) It is a waiting area for the riders, B) It allows the horse to build up to a steady and controlled gallop, C) It is for warming up the horse, D) It is for the spectators to see the horses</t>
  </si>
  <si>
    <t>B) It allows the horse to build up to a steady and controlled gallop</t>
  </si>
  <si>
    <t>A horse needs this space to accelerate and find its rhythm before the timed portion of the run begins.</t>
  </si>
  <si>
    <t>A rider is disqualified for using an "unorthodox" riding style. What might they have done?</t>
  </si>
  <si>
    <t>A) Ridden too fast, B) Held the lance with two hands during the strike, C) Shouted during the run, D) Worn the wrong color uniform</t>
  </si>
  <si>
    <t>B) Held the lance with two hands during the strike</t>
  </si>
  <si>
    <t>The sport requires proper one-handed equestrian form. Using two hands, standing on the saddle, or other non-standard postures are fouls.</t>
  </si>
  <si>
    <t>Why are horses often trained without saddles during their early drills?</t>
  </si>
  <si>
    <t>A) To toughen the riders, B) To improve the rider's core balance and leg grip, C) To prevent damage to expensive saddles, D) To increase the horse's stamina</t>
  </si>
  <si>
    <t>Bareback riding is a fundamental equestrian exercise that enhances a rider's balance and stability before they transition to using a saddle.</t>
  </si>
  <si>
    <t>Which country is often credited with the modern revival and international promotion of Tent Pegging?</t>
  </si>
  <si>
    <t>While the sport is popular in South Asia, the Sultanate of Oman has invested heavily in creating world-class facilities and hosting major international tournaments.</t>
  </si>
  <si>
    <t>What is the penalty for dropping the lance mid-run before reaching the peg?</t>
  </si>
  <si>
    <t>A) The run is replayed, B) The run is disqualified and scores zero, C) A 2-point deduction is applied, D) A verbal warning is issued</t>
  </si>
  <si>
    <t>B) The run is disqualified and scores zero</t>
  </si>
  <si>
    <t>A rider must maintain control of their weapon throughout the entire attempt for the run to be valid.</t>
  </si>
  <si>
    <t>What is the maximum height a peg can be placed above the soil according to ITPF rules?</t>
  </si>
  <si>
    <t>A) 8 cm, B) 10 cm, C) 15 cm, D) 20 cm</t>
  </si>
  <si>
    <t>C) 15 cm</t>
  </si>
  <si>
    <t>The peg's height is standardized (around 12-15 cm) to ensure visibility and a fair challenge for all riders.</t>
  </si>
  <si>
    <t>Which equestrian event shares the closest historical origin with Tent Pegging?</t>
  </si>
  <si>
    <t>A) Polo, B) Barrel Racing, C) Jousting, D) Dressage</t>
  </si>
  <si>
    <t>C) Jousting</t>
  </si>
  <si>
    <t>Both Tent Pegging and Jousting evolved from medieval cavalry drills that involved using a lance from horseback to strike a target.</t>
  </si>
  <si>
    <t>What is the ruling if a rider completes a run in under the 8-second time limit but misses the peg?</t>
  </si>
  <si>
    <t>A) They receive bonus points for speed, B) A score of 0 is awarded, C) They get a 2-point deduction for the miss, D) A warning is issued</t>
  </si>
  <si>
    <t>B) A score of 0 is awarded</t>
  </si>
  <si>
    <t>Speed without accuracy has no reward in Tent Pegging. The primary objective is to successfully strike the target.</t>
  </si>
  <si>
    <t>What is the primary reason lances are not made of metal in modern competitions?</t>
  </si>
  <si>
    <t>A) They would be too heavy, B) A broken metal lance would create dangerous sharp edges or shrapnel, C) They are too expensive, D) It is not a traditional material</t>
  </si>
  <si>
    <t>B) A broken metal lance would create dangerous sharp edges or shrapnel</t>
  </si>
  <si>
    <t>Why must the ground where the peg is placed be firm and consistent?</t>
  </si>
  <si>
    <t>A) To make it harder to lift the peg, B) To ensure the peg holds its angle and provides the same resistance for every rider, C) To prevent the horse from slipping, D) It is not a requirement</t>
  </si>
  <si>
    <t>B) To ensure the peg holds its angle and provides the same resistance for every rider</t>
  </si>
  <si>
    <t>Fair competition requires that the target has the same level of difficulty for every competitor.</t>
  </si>
  <si>
    <t>A rider is disqualified for having a lance that is too light. Why is there a minimum weight rule?</t>
  </si>
  <si>
    <t>A) A light lance is more likely to break, B) To ensure fairness and prevent riders from gaining an advantage in speed and aim, C) It is a traditional rule, D) To make the sport more challenging</t>
  </si>
  <si>
    <t>B) To ensure fairness and prevent riders from gaining an advantage in speed and aim</t>
  </si>
  <si>
    <t>A very light lance would be much easier to aim and accelerate, so a standard minimum weight is required for a fair contest.</t>
  </si>
  <si>
    <t>What is the role of the "starter" official at a Tent Pegging event?</t>
  </si>
  <si>
    <t>A) To inspect the horses, B) To give the official signal for each rider to begin their run, C) To keep the score, D) To be the head judge</t>
  </si>
  <si>
    <t>B) To give the official signal for each rider to begin their run</t>
  </si>
  <si>
    <t>The starter is responsible for ensuring each run begins fairly and at the correct time, often by dropping a flag.</t>
  </si>
  <si>
    <t>Which of these is a key part of a horse's diet for building muscle for Tent Pegging?</t>
  </si>
  <si>
    <t>A) Sugar cubes and apples, B) High-quality protein sources like alfalfa and specific grains, C) Only fresh grass, D) Mostly fruits and vegetables</t>
  </si>
  <si>
    <t>B) High-quality protein sources like alfalfa and specific grains</t>
  </si>
  <si>
    <t>An athletic horse requires a balanced diet rich in protein for muscle development and energy-rich grains for performance.</t>
  </si>
  <si>
    <t>A rider is wearing very loose, traditional clothing. Why might a referee ask them to change in a formal competition?</t>
  </si>
  <si>
    <t>A) The clothing is not the right color, B) Loose clothing can be a safety hazard by getting caught on the lance or saddle, C) It is disrespectful to the sport, D) It gives an unfair aerodynamic advantage</t>
  </si>
  <si>
    <t>B) Loose clothing can be a safety hazard by getting caught on the lance or saddle</t>
  </si>
  <si>
    <t>For safety, fitted equestrian gear is required to prevent accidents.</t>
  </si>
  <si>
    <t>What is the ultimate sign of a perfect "Full Peg"?</t>
  </si>
  <si>
    <t>A) The peg is carried for a very long distance, B) The peg is lifted from the ground with no visible disturbance to the soil, C) The rider does it at the fastest possible speed, D) The rider celebrates wildly</t>
  </si>
  <si>
    <t>B) The peg is lifted from the ground with no visible disturbance to the soil</t>
  </si>
  <si>
    <t>This indicates a perfectly aimed and executed strike, a mark of a true master of the sport.</t>
  </si>
  <si>
    <t>A team wins a "full pass" with a bonus. What does this mean?</t>
  </si>
  <si>
    <t>A) All four riders scored a Full Peg, earning them extra points in the standings, B) They passed to the next round, C) All four riders missed the peg, D) They completed the run under the time limit</t>
  </si>
  <si>
    <t>A) All four riders scored a Full Peg, earning them extra points in the standings</t>
  </si>
  <si>
    <t>A "full pass" is a perfect run where every member of the team scores maximum points, and it is often rewarded with a bonus to the team's aggregate score.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</si>
</sst>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borderId="0" fillId="0" fontId="1" numFmtId="0" xfId="0" applyAlignment="1" applyFont="1">
      <alignment horizontal="left" readingOrder="0" shrinkToFit="0" vertical="bottom" wrapText="0"/>
    </xf>
    <xf quotePrefix="1" borderId="0" fillId="0" fontId="1"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Malakhra-style">
      <tableStyleElement dxfId="1" type="headerRow"/>
      <tableStyleElement dxfId="2" type="firstRowStripe"/>
      <tableStyleElement dxfId="3" type="secondRowStripe"/>
      <tableStyleElement dxfId="4" size="0" type="wholeTable"/>
    </tableStyle>
    <tableStyle count="4" pivot="0" name="Malakhra-style 2">
      <tableStyleElement dxfId="1" type="headerRow"/>
      <tableStyleElement dxfId="2" type="firstRowStripe"/>
      <tableStyleElement dxfId="3" type="secondRowStripe"/>
      <tableStyleElement dxfId="4" size="0" type="wholeTable"/>
    </tableStyle>
    <tableStyle count="4" pivot="0" name="Chaturanga-style">
      <tableStyleElement dxfId="1" type="headerRow"/>
      <tableStyleElement dxfId="2" type="firstRowStripe"/>
      <tableStyleElement dxfId="3" type="secondRowStripe"/>
      <tableStyleElement dxfId="4" size="0" type="wholeTable"/>
    </tableStyle>
    <tableStyle count="4" pivot="0" name="Chaturanga-style 2">
      <tableStyleElement dxfId="1" type="headerRow"/>
      <tableStyleElement dxfId="2" type="firstRowStripe"/>
      <tableStyleElement dxfId="3" type="secondRowStripe"/>
      <tableStyleElement dxfId="4" size="0" type="wholeTable"/>
    </tableStyle>
    <tableStyle count="4" pivot="0" name="Buzkashi-style">
      <tableStyleElement dxfId="1" type="headerRow"/>
      <tableStyleElement dxfId="2" type="firstRowStripe"/>
      <tableStyleElement dxfId="3" type="secondRowStripe"/>
      <tableStyleElement dxfId="4" size="0" type="wholeTable"/>
    </tableStyle>
    <tableStyle count="4" pivot="0" name="Buzkashi-style 2">
      <tableStyleElement dxfId="1" type="headerRow"/>
      <tableStyleElement dxfId="2" type="firstRowStripe"/>
      <tableStyleElement dxfId="3" type="secondRowStripe"/>
      <tableStyleElement dxfId="4" size="0" type="wholeTable"/>
    </tableStyle>
    <tableStyle count="4" pivot="0" name="Gatka-style">
      <tableStyleElement dxfId="1" type="headerRow"/>
      <tableStyleElement dxfId="2" type="firstRowStripe"/>
      <tableStyleElement dxfId="3" type="secondRowStripe"/>
      <tableStyleElement dxfId="4" size="0" type="wholeTable"/>
    </tableStyle>
    <tableStyle count="4" pivot="0" name="Gatka-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ent Pegging-style">
      <tableStyleElement dxfId="1" type="headerRow"/>
      <tableStyleElement dxfId="2" type="firstRowStripe"/>
      <tableStyleElement dxfId="3" type="secondRowStripe"/>
      <tableStyleElement dxfId="4" size="0" type="wholeTable"/>
    </tableStyle>
    <tableStyle count="4" pivot="0" name="Tent Pegg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2" name="Table2" id="1">
  <tableColumns count="5">
    <tableColumn name="No." id="1"/>
    <tableColumn name="Question" id="2"/>
    <tableColumn name="Options" id="3"/>
    <tableColumn name="Answer" id="4"/>
    <tableColumn name="Description" id="5"/>
  </tableColumns>
  <tableStyleInfo name="Malakhra-style" showColumnStripes="0" showFirstColumn="1" showLastColumn="1" showRowStripes="1"/>
</table>
</file>

<file path=xl/tables/table2.xml><?xml version="1.0" encoding="utf-8"?>
<table xmlns="http://schemas.openxmlformats.org/spreadsheetml/2006/main" ref="I1:M151" displayName="Table1" name="Table1" id="2">
  <tableColumns count="5">
    <tableColumn name="نہیں" id="1"/>
    <tableColumn name="سوال" id="2"/>
    <tableColumn name="اختیارات" id="3"/>
    <tableColumn name="جواب دیں۔" id="4"/>
    <tableColumn name="تفصیل" id="5"/>
  </tableColumns>
  <tableStyleInfo name="Malakhra-style 2" showColumnStripes="0" showFirstColumn="1" showLastColumn="1" showRowStripes="1"/>
</table>
</file>

<file path=xl/tables/table3.xml><?xml version="1.0" encoding="utf-8"?>
<table xmlns="http://schemas.openxmlformats.org/spreadsheetml/2006/main" ref="A1:E151" displayName="Table4" name="Table4" id="3">
  <tableColumns count="5">
    <tableColumn name="Question No." id="1"/>
    <tableColumn name="Question" id="2"/>
    <tableColumn name="Options" id="3"/>
    <tableColumn name="Answer" id="4"/>
    <tableColumn name="Description" id="5"/>
  </tableColumns>
  <tableStyleInfo name="Chaturanga-style" showColumnStripes="0" showFirstColumn="1" showLastColumn="1" showRowStripes="1"/>
</table>
</file>

<file path=xl/tables/table4.xml><?xml version="1.0" encoding="utf-8"?>
<table xmlns="http://schemas.openxmlformats.org/spreadsheetml/2006/main" ref="J1:N151" displayName="Table3" name="Table3" id="4">
  <tableColumns count="5">
    <tableColumn name="سوال نمبر" id="1"/>
    <tableColumn name="سوال" id="2"/>
    <tableColumn name="اختیارات" id="3"/>
    <tableColumn name="جواب دیں۔" id="4"/>
    <tableColumn name="تفصیل" id="5"/>
  </tableColumns>
  <tableStyleInfo name="Chaturanga-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No." id="1"/>
    <tableColumn name="Question" id="2"/>
    <tableColumn name="Options" id="3"/>
    <tableColumn name="Answer" id="4"/>
    <tableColumn name="Description" id="5"/>
  </tableColumns>
  <tableStyleInfo name="Buzkashi-style" showColumnStripes="0" showFirstColumn="1" showLastColumn="1" showRowStripes="1"/>
</table>
</file>

<file path=xl/tables/table6.xml><?xml version="1.0" encoding="utf-8"?>
<table xmlns="http://schemas.openxmlformats.org/spreadsheetml/2006/main" ref="J1:N151" displayName="Table6" name="Table6" id="6">
  <tableColumns count="5">
    <tableColumn name="نہیں" id="1"/>
    <tableColumn name="سوال" id="2"/>
    <tableColumn name="اختیارات" id="3"/>
    <tableColumn name="جواب دیں۔" id="4"/>
    <tableColumn name="تفصیل" id="5"/>
  </tableColumns>
  <tableStyleInfo name="Buzkashi-style 2" showColumnStripes="0" showFirstColumn="1" showLastColumn="1" showRowStripes="1"/>
</table>
</file>

<file path=xl/tables/table7.xml><?xml version="1.0" encoding="utf-8"?>
<table xmlns="http://schemas.openxmlformats.org/spreadsheetml/2006/main" ref="A1:E151" displayName="Table7" name="Table7" id="7">
  <tableColumns count="5">
    <tableColumn name="Question No." id="1"/>
    <tableColumn name="Question" id="2"/>
    <tableColumn name="Options" id="3"/>
    <tableColumn name="Answer" id="4"/>
    <tableColumn name="Description" id="5"/>
  </tableColumns>
  <tableStyleInfo name="Gatka-style" showColumnStripes="0" showFirstColumn="1" showLastColumn="1" showRowStripes="1"/>
</table>
</file>

<file path=xl/tables/table8.xml><?xml version="1.0" encoding="utf-8"?>
<table xmlns="http://schemas.openxmlformats.org/spreadsheetml/2006/main" ref="J1:N151" displayName="Table8" name="Table8" id="8">
  <tableColumns count="5">
    <tableColumn name="سوال نمبر" id="1"/>
    <tableColumn name="سوال" id="2"/>
    <tableColumn name="اختیارات" id="3"/>
    <tableColumn name="جواب دیں۔" id="4"/>
    <tableColumn name="تفصیل" id="5"/>
  </tableColumns>
  <tableStyleInfo name="Gatka-style 2" showColumnStripes="0" showFirstColumn="1" showLastColumn="1" showRowStripes="1"/>
</table>
</file>

<file path=xl/tables/table9.xml><?xml version="1.0" encoding="utf-8"?>
<table xmlns="http://schemas.openxmlformats.org/spreadsheetml/2006/main" ref="A1:E151" displayName="Table10" name="Table10" id="9">
  <tableColumns count="5">
    <tableColumn name="Question No." id="1"/>
    <tableColumn name="Question" id="2"/>
    <tableColumn name="Options" id="3"/>
    <tableColumn name="Answer" id="4"/>
    <tableColumn name="Description" id="5"/>
  </tableColumns>
  <tableStyleInfo name="Gilli Danda-style" showColumnStripes="0" showFirstColumn="1" showLastColumn="1" showRowStripes="1"/>
</table>
</file>

<file path=xl/tables/table10.xml><?xml version="1.0" encoding="utf-8"?>
<table xmlns="http://schemas.openxmlformats.org/spreadsheetml/2006/main" ref="J1:N151" displayName="Table9" name="Table9" id="10">
  <tableColumns count="5">
    <tableColumn name="سوال نمبر" id="1"/>
    <tableColumn name="سوال" id="2"/>
    <tableColumn name="اختیارات" id="3"/>
    <tableColumn name="جواب دیں۔" id="4"/>
    <tableColumn name="تفصیل" id="5"/>
  </tableColumns>
  <tableStyleInfo name="Gilli Danda-style 2" showColumnStripes="0" showFirstColumn="1" showLastColumn="1" showRowStripes="1"/>
</table>
</file>

<file path=xl/tables/table11.xml><?xml version="1.0" encoding="utf-8"?>
<table xmlns="http://schemas.openxmlformats.org/spreadsheetml/2006/main" ref="A1:E151" displayName="Table11" name="Table11" id="11">
  <tableColumns count="5">
    <tableColumn name="Question No." id="1"/>
    <tableColumn name="Question" id="2"/>
    <tableColumn name="Options" id="3"/>
    <tableColumn name="Answer" id="4"/>
    <tableColumn name="Description" id="5"/>
  </tableColumns>
  <tableStyleInfo name="Tent Pegging-style" showColumnStripes="0" showFirstColumn="1" showLastColumn="1" showRowStripes="1"/>
</table>
</file>

<file path=xl/tables/table12.xml><?xml version="1.0" encoding="utf-8"?>
<table xmlns="http://schemas.openxmlformats.org/spreadsheetml/2006/main" ref="K1:O151" displayName="Table12" name="Table12" id="12">
  <tableColumns count="5">
    <tableColumn name="سوال نمبر" id="1"/>
    <tableColumn name="سوال" id="2"/>
    <tableColumn name="اختیارات" id="3"/>
    <tableColumn name="جواب دیں۔" id="4"/>
    <tableColumn name="تفصیل" id="5"/>
  </tableColumns>
  <tableStyleInfo name="Tent Pegg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10" max="13" width="37.63"/>
  </cols>
  <sheetData>
    <row r="1">
      <c r="A1" s="1" t="s">
        <v>0</v>
      </c>
      <c r="B1" s="1" t="s">
        <v>1</v>
      </c>
      <c r="C1" s="1" t="s">
        <v>2</v>
      </c>
      <c r="D1" s="1" t="s">
        <v>3</v>
      </c>
      <c r="E1" s="1" t="s">
        <v>4</v>
      </c>
      <c r="I1" s="2" t="s">
        <v>5</v>
      </c>
      <c r="J1" s="2" t="s">
        <v>6</v>
      </c>
      <c r="K1" s="2" t="s">
        <v>7</v>
      </c>
      <c r="L1" s="2" t="s">
        <v>8</v>
      </c>
      <c r="M1" s="2" t="s">
        <v>9</v>
      </c>
    </row>
    <row r="2">
      <c r="A2" s="3">
        <v>1.0</v>
      </c>
      <c r="B2" s="4" t="s">
        <v>10</v>
      </c>
      <c r="C2" s="4" t="s">
        <v>11</v>
      </c>
      <c r="D2" s="4" t="s">
        <v>12</v>
      </c>
      <c r="E2" s="4" t="s">
        <v>13</v>
      </c>
      <c r="I2" s="5" t="str">
        <f>IFERROR(__xludf.DUMMYFUNCTION("GOOGLETRANSLATE(A2, ""en"", ""ur"")"),"1")</f>
        <v>1</v>
      </c>
      <c r="J2" s="5" t="str">
        <f>IFERROR(__xludf.DUMMYFUNCTION("GOOGLETRANSLATE(B2, ""en"", ""ur"")"),"ملاکھڑا، ایک روایتی ریسلنگ کھیل، پاکستان کے کس صوبے میں شروع ہوا؟")</f>
        <v>ملاکھڑا، ایک روایتی ریسلنگ کھیل، پاکستان کے کس صوبے میں شروع ہوا؟</v>
      </c>
      <c r="K2" s="5" t="str">
        <f>IFERROR(__xludf.DUMMYFUNCTION("GOOGLETRANSLATE(C2, ""en"", ""ur"")"),"A) پنجاب، B) سندھ، C) بلوچستان، D) خیبر پختونخواہ")</f>
        <v>A) پنجاب، B) سندھ، C) بلوچستان، D) خیبر پختونخواہ</v>
      </c>
      <c r="L2" s="5" t="str">
        <f>IFERROR(__xludf.DUMMYFUNCTION("GOOGLETRANSLATE(D2, ""en"", ""ur"")"),"ب) سندھ")</f>
        <v>ب) سندھ</v>
      </c>
      <c r="M2" s="5" t="str">
        <f>IFERROR(__xludf.DUMMYFUNCTION("GOOGLETRANSLATE(E2, ""en"", ""ur"")"),"ملاکھڑا سندھی لوگوں کا روایتی کشتی کا فن ہے اور صدیوں سے اس خطے میں ایک مقبول ثقافتی کھیل رہا ہے۔")</f>
        <v>ملاکھڑا سندھی لوگوں کا روایتی کشتی کا فن ہے اور صدیوں سے اس خطے میں ایک مقبول ثقافتی کھیل رہا ہے۔</v>
      </c>
    </row>
    <row r="3">
      <c r="A3" s="3">
        <v>2.0</v>
      </c>
      <c r="B3" s="4" t="s">
        <v>14</v>
      </c>
      <c r="C3" s="4" t="s">
        <v>15</v>
      </c>
      <c r="D3" s="4" t="s">
        <v>16</v>
      </c>
      <c r="E3" s="4" t="s">
        <v>17</v>
      </c>
      <c r="I3" s="5" t="str">
        <f>IFERROR(__xludf.DUMMYFUNCTION("GOOGLETRANSLATE(A3, ""en"", ""ur"")"),"2")</f>
        <v>2</v>
      </c>
      <c r="J3" s="5" t="str">
        <f>IFERROR(__xludf.DUMMYFUNCTION("GOOGLETRANSLATE(B3, ""en"", ""ur"")"),"ملاکھڑا میچ میں پہلوانوں (پہلوانوں) کا روایتی لباس کیا ہے؟")</f>
        <v>ملاکھڑا میچ میں پہلوانوں (پہلوانوں) کا روایتی لباس کیا ہے؟</v>
      </c>
      <c r="K3" s="5" t="str">
        <f>IFERROR(__xludf.DUMMYFUNCTION("GOOGLETRANSLATE(C3, ""en"", ""ur"")"),"A) شلوار قمیض، B) ایک لنگوٹی (دھوتی) اور کپڑے کی پٹی (سندھرو)، C) ریسلنگ سنگل، D) کرتا پاجامہ")</f>
        <v>A) شلوار قمیض، B) ایک لنگوٹی (دھوتی) اور کپڑے کی پٹی (سندھرو)، C) ریسلنگ سنگل، D) کرتا پاجامہ</v>
      </c>
      <c r="L3" s="5" t="str">
        <f>IFERROR(__xludf.DUMMYFUNCTION("GOOGLETRANSLATE(D3, ""en"", ""ur"")"),"ب) ایک لنگوٹی (دھوتی) اور کپڑے کی پٹی (سندھرو)")</f>
        <v>ب) ایک لنگوٹی (دھوتی) اور کپڑے کی پٹی (سندھرو)</v>
      </c>
      <c r="M3" s="5" t="str">
        <f>IFERROR(__xludf.DUMMYFUNCTION("GOOGLETRANSLATE(E3, ""en"", ""ur"")"),"پہلوان دھوتی اور ضروری بٹی ہوئی کپڑے کی پٹی پہنتے ہیں، جو پکڑنے اور چلانے کی تکنیکوں کے لیے استعمال ہوتی ہے۔")</f>
        <v>پہلوان دھوتی اور ضروری بٹی ہوئی کپڑے کی پٹی پہنتے ہیں، جو پکڑنے اور چلانے کی تکنیکوں کے لیے استعمال ہوتی ہے۔</v>
      </c>
    </row>
    <row r="4">
      <c r="A4" s="3">
        <v>3.0</v>
      </c>
      <c r="B4" s="4" t="s">
        <v>18</v>
      </c>
      <c r="C4" s="4" t="s">
        <v>19</v>
      </c>
      <c r="D4" s="4" t="s">
        <v>20</v>
      </c>
      <c r="E4" s="4" t="s">
        <v>21</v>
      </c>
      <c r="I4" s="5" t="str">
        <f>IFERROR(__xludf.DUMMYFUNCTION("GOOGLETRANSLATE(A4, ""en"", ""ur"")"),"3")</f>
        <v>3</v>
      </c>
      <c r="J4" s="5" t="str">
        <f>IFERROR(__xludf.DUMMYFUNCTION("GOOGLETRANSLATE(B4, ""en"", ""ur"")"),"تاریخی طور پر ملاکھڑا مقابلے سندھ میں کس قسم کے بڑے ثقافتی اور مذہبی اجتماع کی ایک نمایاں خصوصیت تھے؟")</f>
        <v>تاریخی طور پر ملاکھڑا مقابلے سندھ میں کس قسم کے بڑے ثقافتی اور مذہبی اجتماع کی ایک نمایاں خصوصیت تھے؟</v>
      </c>
      <c r="K4" s="5" t="str">
        <f>IFERROR(__xludf.DUMMYFUNCTION("GOOGLETRANSLATE(C4, ""en"", ""ur"")"),"A) شادیاں، B) سیاسی جلسے، C) صوفی بزرگوں کے عرس کے تہوار، D) فصل کی کٹائی کے تہوار")</f>
        <v>A) شادیاں، B) سیاسی جلسے، C) صوفی بزرگوں کے عرس کے تہوار، D) فصل کی کٹائی کے تہوار</v>
      </c>
      <c r="L4" s="5" t="str">
        <f>IFERROR(__xludf.DUMMYFUNCTION("GOOGLETRANSLATE(D4, ""en"", ""ur"")"),"ج) صوفی بزرگوں کے عرس کے تہوار")</f>
        <v>ج) صوفی بزرگوں کے عرس کے تہوار</v>
      </c>
      <c r="M4" s="5" t="str">
        <f>IFERROR(__xludf.DUMMYFUNCTION("GOOGLETRANSLATE(E4, ""en"", ""ur"")"),"شاہ عبداللطیف بھٹائی جیسے بڑے عرس کے تہواروں میں ملاکھڑا میچ تقریبات کا ایک اہم حصہ تھے۔")</f>
        <v>شاہ عبداللطیف بھٹائی جیسے بڑے عرس کے تہواروں میں ملاکھڑا میچ تقریبات کا ایک اہم حصہ تھے۔</v>
      </c>
    </row>
    <row r="5">
      <c r="A5" s="3">
        <v>4.0</v>
      </c>
      <c r="B5" s="4" t="s">
        <v>22</v>
      </c>
      <c r="C5" s="4" t="s">
        <v>23</v>
      </c>
      <c r="D5" s="4" t="s">
        <v>24</v>
      </c>
      <c r="E5" s="4" t="s">
        <v>25</v>
      </c>
      <c r="I5" s="5" t="str">
        <f>IFERROR(__xludf.DUMMYFUNCTION("GOOGLETRANSLATE(A5, ""en"", ""ur"")"),"4")</f>
        <v>4</v>
      </c>
      <c r="J5" s="5" t="str">
        <f>IFERROR(__xludf.DUMMYFUNCTION("GOOGLETRANSLATE(B5, ""en"", ""ur"")"),"ملاخرہ کی اصطلاح کس زبان سے ماخوذ ہے جو اس کے علاقائی ماخذ کی عکاسی کرتی ہے؟")</f>
        <v>ملاخرہ کی اصطلاح کس زبان سے ماخوذ ہے جو اس کے علاقائی ماخذ کی عکاسی کرتی ہے؟</v>
      </c>
      <c r="K5" s="5" t="str">
        <f>IFERROR(__xludf.DUMMYFUNCTION("GOOGLETRANSLATE(C5, ""en"", ""ur"")"),"A) فارسی، B) سندھی، C) اردو، D) عربی")</f>
        <v>A) فارسی، B) سندھی، C) اردو، D) عربی</v>
      </c>
      <c r="L5" s="5" t="str">
        <f>IFERROR(__xludf.DUMMYFUNCTION("GOOGLETRANSLATE(D5, ""en"", ""ur"")"),"ب) سندھی")</f>
        <v>ب) سندھی</v>
      </c>
      <c r="M5" s="5" t="str">
        <f>IFERROR(__xludf.DUMMYFUNCTION("GOOGLETRANSLATE(E5, ""en"", ""ur"")"),"لفظ 'ملکھڑا' کی جڑیں سندھی زبان میں ہیں، جہاں یہ کشتی کے لیے عام اصطلاح ہے۔")</f>
        <v>لفظ 'ملکھڑا' کی جڑیں سندھی زبان میں ہیں، جہاں یہ کشتی کے لیے عام اصطلاح ہے۔</v>
      </c>
    </row>
    <row r="6">
      <c r="A6" s="3">
        <v>5.0</v>
      </c>
      <c r="B6" s="4" t="s">
        <v>26</v>
      </c>
      <c r="C6" s="4" t="s">
        <v>27</v>
      </c>
      <c r="D6" s="4" t="s">
        <v>28</v>
      </c>
      <c r="E6" s="4" t="s">
        <v>29</v>
      </c>
      <c r="I6" s="5" t="str">
        <f>IFERROR(__xludf.DUMMYFUNCTION("GOOGLETRANSLATE(A6, ""en"", ""ur"")"),"5")</f>
        <v>5</v>
      </c>
      <c r="J6" s="5" t="str">
        <f>IFERROR(__xludf.DUMMYFUNCTION("GOOGLETRANSLATE(B6, ""en"", ""ur"")"),"18ویں صدی میں سندھ پر حکمرانی کرنے والے کس خاندان کو ملاکھڑا کی سرپرستی اور مقبولیت کا سب سے زیادہ سہرا جاتا ہے؟")</f>
        <v>18ویں صدی میں سندھ پر حکمرانی کرنے والے کس خاندان کو ملاکھڑا کی سرپرستی اور مقبولیت کا سب سے زیادہ سہرا جاتا ہے؟</v>
      </c>
      <c r="K6" s="5" t="str">
        <f>IFERROR(__xludf.DUMMYFUNCTION("GOOGLETRANSLATE(C6, ""en"", ""ur"")"),"A) سومرا خاندان، B) سما خاندان، C) کلہوڑہ خاندان، D) مغل خاندان")</f>
        <v>A) سومرا خاندان، B) سما خاندان، C) کلہوڑہ خاندان، D) مغل خاندان</v>
      </c>
      <c r="L6" s="5" t="str">
        <f>IFERROR(__xludf.DUMMYFUNCTION("GOOGLETRANSLATE(D6, ""en"", ""ur"")"),"ج) کلہوڑہ خاندان")</f>
        <v>ج) کلہوڑہ خاندان</v>
      </c>
      <c r="M6" s="5" t="str">
        <f>IFERROR(__xludf.DUMMYFUNCTION("GOOGLETRANSLATE(E6, ""en"", ""ur"")"),"غلام شاہ کلہوڑو جیسے حکمران اہم سرپرست تھے جنہوں نے اس کھیل کو رسمی شکل دینے اور اسے سندھی درباری اور مقبول ثقافت میں ضم کرنے میں مدد کی۔")</f>
        <v>غلام شاہ کلہوڑو جیسے حکمران اہم سرپرست تھے جنہوں نے اس کھیل کو رسمی شکل دینے اور اسے سندھی درباری اور مقبول ثقافت میں ضم کرنے میں مدد کی۔</v>
      </c>
    </row>
    <row r="7">
      <c r="A7" s="3">
        <v>6.0</v>
      </c>
      <c r="B7" s="4" t="s">
        <v>30</v>
      </c>
      <c r="C7" s="4" t="s">
        <v>31</v>
      </c>
      <c r="D7" s="4" t="s">
        <v>32</v>
      </c>
      <c r="E7" s="4" t="s">
        <v>33</v>
      </c>
      <c r="I7" s="5" t="str">
        <f>IFERROR(__xludf.DUMMYFUNCTION("GOOGLETRANSLATE(A7, ""en"", ""ur"")"),"6")</f>
        <v>6</v>
      </c>
      <c r="J7" s="5" t="str">
        <f>IFERROR(__xludf.DUMMYFUNCTION("GOOGLETRANSLATE(B7, ""en"", ""ur"")"),"اپنی ابتدائی تاریخ میں ملاخرہ کا بنیادی مقصد کیا تھا؟")</f>
        <v>اپنی ابتدائی تاریخ میں ملاخرہ کا بنیادی مقصد کیا تھا؟</v>
      </c>
      <c r="K7" s="5" t="str">
        <f>IFERROR(__xludf.DUMMYFUNCTION("GOOGLETRANSLATE(C7, ""en"", ""ur"")"),"A) خالصتاً تفریح، B) فوجی اور اپنے دفاع کی تربیت کی ایک شکل کے طور پر، C) ایک مذہبی رسم، D) ایک زرعی مشق")</f>
        <v>A) خالصتاً تفریح، B) فوجی اور اپنے دفاع کی تربیت کی ایک شکل کے طور پر، C) ایک مذہبی رسم، D) ایک زرعی مشق</v>
      </c>
      <c r="L7" s="5" t="str">
        <f>IFERROR(__xludf.DUMMYFUNCTION("GOOGLETRANSLATE(D7, ""en"", ""ur"")"),"ب) فوجی اور اپنے دفاع کی تربیت کی ایک شکل کے طور پر")</f>
        <v>ب) فوجی اور اپنے دفاع کی تربیت کی ایک شکل کے طور پر</v>
      </c>
      <c r="M7" s="5" t="str">
        <f>IFERROR(__xludf.DUMMYFUNCTION("GOOGLETRANSLATE(E7, ""en"", ""ur"")"),"ملاکھرا کی ابتدا نوجوانوں کو لڑنے کی مہارت، طاقت، اور جنگ کے لیے ضروری جرات کی تربیت کرنے کے لیے ہوئی۔")</f>
        <v>ملاکھرا کی ابتدا نوجوانوں کو لڑنے کی مہارت، طاقت، اور جنگ کے لیے ضروری جرات کی تربیت کرنے کے لیے ہوئی۔</v>
      </c>
    </row>
    <row r="8">
      <c r="A8" s="3">
        <v>7.0</v>
      </c>
      <c r="B8" s="4" t="s">
        <v>34</v>
      </c>
      <c r="C8" s="4" t="s">
        <v>35</v>
      </c>
      <c r="D8" s="4" t="s">
        <v>36</v>
      </c>
      <c r="E8" s="4" t="s">
        <v>37</v>
      </c>
      <c r="I8" s="5" t="str">
        <f>IFERROR(__xludf.DUMMYFUNCTION("GOOGLETRANSLATE(A8, ""en"", ""ur"")"),"7")</f>
        <v>7</v>
      </c>
      <c r="J8" s="5" t="str">
        <f>IFERROR(__xludf.DUMMYFUNCTION("GOOGLETRANSLATE(B8, ""en"", ""ur"")"),"ایک بڑے ملاخرہ میچ کے فاتح کو دیا جانے والا روایتی انعام کیا ہے، جو عزت اور فتح کی علامت ہے؟")</f>
        <v>ایک بڑے ملاخرہ میچ کے فاتح کو دیا جانے والا روایتی انعام کیا ہے، جو عزت اور فتح کی علامت ہے؟</v>
      </c>
      <c r="K8" s="5" t="str">
        <f>IFERROR(__xludf.DUMMYFUNCTION("GOOGLETRANSLATE(C8, ""en"", ""ur"")"),"A) سونے کا ایک تھیلا، B) زمین کا ایک پلاٹ، C) رسمی پگڑی (پگری)، D) تلوار")</f>
        <v>A) سونے کا ایک تھیلا، B) زمین کا ایک پلاٹ، C) رسمی پگڑی (پگری)، D) تلوار</v>
      </c>
      <c r="L8" s="5" t="str">
        <f>IFERROR(__xludf.DUMMYFUNCTION("GOOGLETRANSLATE(D8, ""en"", ""ur"")"),"ج) ایک رسمی پگڑی (پاگری)")</f>
        <v>ج) ایک رسمی پگڑی (پاگری)</v>
      </c>
      <c r="M8" s="5" t="str">
        <f>IFERROR(__xludf.DUMMYFUNCTION("GOOGLETRANSLATE(E8, ""en"", ""ur"")"),"پگڑی جیتنا ایک بہت بڑا اعزاز ہے، جو کمیونٹی میں چیمپئن کی حیثیت، احترام اور اختیار کی علامت ہے۔")</f>
        <v>پگڑی جیتنا ایک بہت بڑا اعزاز ہے، جو کمیونٹی میں چیمپئن کی حیثیت، احترام اور اختیار کی علامت ہے۔</v>
      </c>
    </row>
    <row r="9">
      <c r="A9" s="3">
        <v>8.0</v>
      </c>
      <c r="B9" s="4" t="s">
        <v>38</v>
      </c>
      <c r="C9" s="4" t="s">
        <v>39</v>
      </c>
      <c r="D9" s="4" t="s">
        <v>40</v>
      </c>
      <c r="E9" s="4" t="s">
        <v>41</v>
      </c>
      <c r="I9" s="5" t="str">
        <f>IFERROR(__xludf.DUMMYFUNCTION("GOOGLETRANSLATE(A9, ""en"", ""ur"")"),"8")</f>
        <v>8</v>
      </c>
      <c r="J9" s="5" t="str">
        <f>IFERROR(__xludf.DUMMYFUNCTION("GOOGLETRANSLATE(B9, ""en"", ""ur"")"),"ملاخرہ جیسے روایتی کھیلوں کے حوالے سے برطانوی نوآبادیاتی انتظامیہ کی عمومی پالیسی کیا تھی؟")</f>
        <v>ملاخرہ جیسے روایتی کھیلوں کے حوالے سے برطانوی نوآبادیاتی انتظامیہ کی عمومی پالیسی کیا تھی؟</v>
      </c>
      <c r="K9" s="5" t="str">
        <f>IFERROR(__xludf.DUMMYFUNCTION("GOOGLETRANSLATE(C9, ""en"", ""ur"")"),"A) انہوں نے فعال طور پر اسے فروغ دیا، B) انہوں نے اکثر اس کی حوصلہ شکنی کی یا اس پر پابندی عائد کی، C) وہ لاتعلق تھے، D) انہوں نے اسے ایک نئے کھیل میں تبدیل کیا")</f>
        <v>A) انہوں نے فعال طور پر اسے فروغ دیا، B) انہوں نے اکثر اس کی حوصلہ شکنی کی یا اس پر پابندی عائد کی، C) وہ لاتعلق تھے، D) انہوں نے اسے ایک نئے کھیل میں تبدیل کیا</v>
      </c>
      <c r="L9" s="5" t="str">
        <f>IFERROR(__xludf.DUMMYFUNCTION("GOOGLETRANSLATE(D9, ""en"", ""ur"")"),"ب) وہ اکثر اس کی حوصلہ شکنی یا پابندی لگاتے تھے۔")</f>
        <v>ب) وہ اکثر اس کی حوصلہ شکنی یا پابندی لگاتے تھے۔</v>
      </c>
      <c r="M9" s="5" t="str">
        <f>IFERROR(__xludf.DUMMYFUNCTION("GOOGLETRANSLATE(E9, ""en"", ""ur"")"),"برطانوی حکام اکثر بڑے، جنگی اجتماعات کو شک کی نگاہ سے دیکھتے تھے اور کرکٹ جیسے مغربی کھیلوں کے حق میں روایتی کھیلوں کی حوصلہ شکنی کرتے تھے۔")</f>
        <v>برطانوی حکام اکثر بڑے، جنگی اجتماعات کو شک کی نگاہ سے دیکھتے تھے اور کرکٹ جیسے مغربی کھیلوں کے حق میں روایتی کھیلوں کی حوصلہ شکنی کرتے تھے۔</v>
      </c>
    </row>
    <row r="10">
      <c r="A10" s="3">
        <v>9.0</v>
      </c>
      <c r="B10" s="4" t="s">
        <v>42</v>
      </c>
      <c r="C10" s="4" t="s">
        <v>43</v>
      </c>
      <c r="D10" s="4" t="s">
        <v>44</v>
      </c>
      <c r="E10" s="4" t="s">
        <v>45</v>
      </c>
      <c r="I10" s="5" t="str">
        <f>IFERROR(__xludf.DUMMYFUNCTION("GOOGLETRANSLATE(A10, ""en"", ""ur"")"),"9")</f>
        <v>9</v>
      </c>
      <c r="J10" s="5" t="str">
        <f>IFERROR(__xludf.DUMMYFUNCTION("GOOGLETRANSLATE(B10, ""en"", ""ur"")"),"گاؤں کے روایتی میچ میں، عام طور پر ریفری اور جج کے طور پر کون کام کرتا تھا؟")</f>
        <v>گاؤں کے روایتی میچ میں، عام طور پر ریفری اور جج کے طور پر کون کام کرتا تھا؟</v>
      </c>
      <c r="K10" s="5" t="str">
        <f>IFERROR(__xludf.DUMMYFUNCTION("GOOGLETRANSLATE(C10, ""en"", ""ur"")"),"A) پہلوان خود، B) معزز گاؤں کے بزرگوں کا ایک پینل، C) مقامی زمیندار، D) سرکاری اہلکار")</f>
        <v>A) پہلوان خود، B) معزز گاؤں کے بزرگوں کا ایک پینل، C) مقامی زمیندار، D) سرکاری اہلکار</v>
      </c>
      <c r="L10" s="5" t="str">
        <f>IFERROR(__xludf.DUMMYFUNCTION("GOOGLETRANSLATE(D10, ""en"", ""ur"")"),"ب) معزز گاؤں کے بزرگوں کا ایک پینل")</f>
        <v>ب) معزز گاؤں کے بزرگوں کا ایک پینل</v>
      </c>
      <c r="M10" s="5" t="str">
        <f>IFERROR(__xludf.DUMMYFUNCTION("GOOGLETRANSLATE(E10, ""en"", ""ur"")"),"انصاف کو یقینی بنانے اور روایت کو برقرار رکھنے کے لیے، گاؤں کے بزرگوں نے غیر جانبدار ثالث کے طور پر کام کیا، اور ان کے فیصلوں کا بہت احترام کیا گیا۔")</f>
        <v>انصاف کو یقینی بنانے اور روایت کو برقرار رکھنے کے لیے، گاؤں کے بزرگوں نے غیر جانبدار ثالث کے طور پر کام کیا، اور ان کے فیصلوں کا بہت احترام کیا گیا۔</v>
      </c>
    </row>
    <row r="11">
      <c r="A11" s="3">
        <v>10.0</v>
      </c>
      <c r="B11" s="4" t="s">
        <v>46</v>
      </c>
      <c r="C11" s="4" t="s">
        <v>47</v>
      </c>
      <c r="D11" s="4" t="s">
        <v>48</v>
      </c>
      <c r="E11" s="4" t="s">
        <v>49</v>
      </c>
      <c r="I11" s="5" t="str">
        <f>IFERROR(__xludf.DUMMYFUNCTION("GOOGLETRANSLATE(A11, ""en"", ""ur"")"),"10")</f>
        <v>10</v>
      </c>
      <c r="J11" s="5" t="str">
        <f>IFERROR(__xludf.DUMMYFUNCTION("GOOGLETRANSLATE(B11, ""en"", ""ur"")"),"ملاخرہ کس سالانہ صوبائی تقریب کے دوران ثقافتی نمائش کے طور پر نمایاں ہے؟")</f>
        <v>ملاخرہ کس سالانہ صوبائی تقریب کے دوران ثقافتی نمائش کے طور پر نمایاں ہے؟</v>
      </c>
      <c r="K11" s="5" t="str">
        <f>IFERROR(__xludf.DUMMYFUNCTION("GOOGLETRANSLATE(C11, ""en"", ""ur"")"),"A) سندھ لٹریچر فیسٹیول، B) سندھ کلچرل ڈے، C) میلہ چراغاں، D) شندور پولو فیسٹیول")</f>
        <v>A) سندھ لٹریچر فیسٹیول، B) سندھ کلچرل ڈے، C) میلہ چراغاں، D) شندور پولو فیسٹیول</v>
      </c>
      <c r="L11" s="5" t="str">
        <f>IFERROR(__xludf.DUMMYFUNCTION("GOOGLETRANSLATE(D11, ""en"", ""ur"")"),"ب) سندھ کا ثقافتی دن")</f>
        <v>ب) سندھ کا ثقافتی دن</v>
      </c>
      <c r="M11" s="5" t="str">
        <f>IFERROR(__xludf.DUMMYFUNCTION("GOOGLETRANSLATE(E11, ""en"", ""ur"")"),"ملاکھڑا میچ سندھ کے ثقافتی دن کی ایک اہم خصوصیت ہیں، جو صوبے کی منفرد روایات اور ورثے کو مناتے ہیں۔")</f>
        <v>ملاکھڑا میچ سندھ کے ثقافتی دن کی ایک اہم خصوصیت ہیں، جو صوبے کی منفرد روایات اور ورثے کو مناتے ہیں۔</v>
      </c>
    </row>
    <row r="12">
      <c r="A12" s="3">
        <v>11.0</v>
      </c>
      <c r="B12" s="4" t="s">
        <v>50</v>
      </c>
      <c r="C12" s="4" t="s">
        <v>51</v>
      </c>
      <c r="D12" s="4" t="s">
        <v>52</v>
      </c>
      <c r="E12" s="4" t="s">
        <v>53</v>
      </c>
      <c r="I12" s="5" t="str">
        <f>IFERROR(__xludf.DUMMYFUNCTION("GOOGLETRANSLATE(A12, ""en"", ""ur"")"),"11")</f>
        <v>11</v>
      </c>
      <c r="J12" s="5" t="str">
        <f>IFERROR(__xludf.DUMMYFUNCTION("GOOGLETRANSLATE(B12, ""en"", ""ur"")"),"گرفت کے لیے کمر کی پٹی کا تاریخی استعمال ایک ایسی خصوصیت ہے جو ملاکھڑا کو برصغیر کے دوسرے مشہور ریسلنگ اسٹائل سے ممتاز کرتی ہے؟")</f>
        <v>گرفت کے لیے کمر کی پٹی کا تاریخی استعمال ایک ایسی خصوصیت ہے جو ملاکھڑا کو برصغیر کے دوسرے مشہور ریسلنگ اسٹائل سے ممتاز کرتی ہے؟</v>
      </c>
      <c r="K12" s="5" t="str">
        <f>IFERROR(__xludf.DUMMYFUNCTION("GOOGLETRANSLATE(C12, ""en"", ""ur"")"),"A) کشتی (پہلوانی)، B) انبوان کشتی، C) ملّا یودھا، D) کبڈی")</f>
        <v>A) کشتی (پہلوانی)، B) انبوان کشتی، C) ملّا یودھا، D) کبڈی</v>
      </c>
      <c r="L12" s="5" t="str">
        <f>IFERROR(__xludf.DUMMYFUNCTION("GOOGLETRANSLATE(D12, ""en"", ""ur"")"),"ا) کشتی (پہلوانی)")</f>
        <v>ا) کشتی (پہلوانی)</v>
      </c>
      <c r="M12" s="5" t="str">
        <f>IFERROR(__xludf.DUMMYFUNCTION("GOOGLETRANSLATE(E12, ""en"", ""ur"")"),"جب کہ دونوں کشتی کی شکلیں ہیں، لازمی بیلٹ گرفت (سندھرو) ملاکھرا کے لیے منفرد ہے، جب کہ کشتی جسم کو پکڑنے کی اجازت دیتی ہے۔")</f>
        <v>جب کہ دونوں کشتی کی شکلیں ہیں، لازمی بیلٹ گرفت (سندھرو) ملاکھرا کے لیے منفرد ہے، جب کہ کشتی جسم کو پکڑنے کی اجازت دیتی ہے۔</v>
      </c>
    </row>
    <row r="13">
      <c r="A13" s="3">
        <v>12.0</v>
      </c>
      <c r="B13" s="4" t="s">
        <v>54</v>
      </c>
      <c r="C13" s="4" t="s">
        <v>55</v>
      </c>
      <c r="D13" s="4" t="s">
        <v>56</v>
      </c>
      <c r="E13" s="4" t="s">
        <v>57</v>
      </c>
      <c r="I13" s="5" t="str">
        <f>IFERROR(__xludf.DUMMYFUNCTION("GOOGLETRANSLATE(A13, ""en"", ""ur"")"),"12")</f>
        <v>12</v>
      </c>
      <c r="J13" s="5" t="str">
        <f>IFERROR(__xludf.DUMMYFUNCTION("GOOGLETRANSLATE(B13, ""en"", ""ur"")"),"کس تاریخی دور کو مضبوط شاہی سرپرستی کی وجہ سے ملاخرا کے لیے اکثر ""سنہری دور"" سمجھا جاتا ہے؟")</f>
        <v>کس تاریخی دور کو مضبوط شاہی سرپرستی کی وجہ سے ملاخرا کے لیے اکثر "سنہری دور" سمجھا جاتا ہے؟</v>
      </c>
      <c r="K13" s="5" t="str">
        <f>IFERROR(__xludf.DUMMYFUNCTION("GOOGLETRANSLATE(C13, ""en"", ""ur"")"),"A) قبل از اسلام دور، B) مغل دور، C) برطانوی دور، D) جدید دور")</f>
        <v>A) قبل از اسلام دور، B) مغل دور، C) برطانوی دور، D) جدید دور</v>
      </c>
      <c r="L13" s="5" t="str">
        <f>IFERROR(__xludf.DUMMYFUNCTION("GOOGLETRANSLATE(D13, ""en"", ""ur"")"),"ب) مغلیہ دور")</f>
        <v>ب) مغلیہ دور</v>
      </c>
      <c r="M13" s="5" t="str">
        <f>IFERROR(__xludf.DUMMYFUNCTION("GOOGLETRANSLATE(E13, ""en"", ""ur"")"),"ملاخرہ، دیگر مارشل آرٹس کے ساتھ، مغل دور میں پروان چڑھا جب شہنشاہوں اور مقامی گورنروں نے ایسی روایات کی حمایت کی۔")</f>
        <v>ملاخرہ، دیگر مارشل آرٹس کے ساتھ، مغل دور میں پروان چڑھا جب شہنشاہوں اور مقامی گورنروں نے ایسی روایات کی حمایت کی۔</v>
      </c>
    </row>
    <row r="14">
      <c r="A14" s="3">
        <v>13.0</v>
      </c>
      <c r="B14" s="4" t="s">
        <v>58</v>
      </c>
      <c r="C14" s="4" t="s">
        <v>59</v>
      </c>
      <c r="D14" s="4" t="s">
        <v>60</v>
      </c>
      <c r="E14" s="4" t="s">
        <v>61</v>
      </c>
      <c r="I14" s="5" t="str">
        <f>IFERROR(__xludf.DUMMYFUNCTION("GOOGLETRANSLATE(A14, ""en"", ""ur"")"),"13")</f>
        <v>13</v>
      </c>
      <c r="J14" s="5" t="str">
        <f>IFERROR(__xludf.DUMMYFUNCTION("GOOGLETRANSLATE(B14, ""en"", ""ur"")"),"سندھ کے تاریخی تناظر میں ملاکھڑا میچ جیتنا بڑا ذاتی اور فرقہ وارانہ معاملہ سمجھا جاتا تھا کیا؟")</f>
        <v>سندھ کے تاریخی تناظر میں ملاکھڑا میچ جیتنا بڑا ذاتی اور فرقہ وارانہ معاملہ سمجھا جاتا تھا کیا؟</v>
      </c>
      <c r="K14" s="5" t="str">
        <f>IFERROR(__xludf.DUMMYFUNCTION("GOOGLETRANSLATE(C14, ""en"", ""ur"")"),"A) دولت، B) عزت (عزت) C) ذہانت، D) مذہبی تقویٰ")</f>
        <v>A) دولت، B) عزت (عزت) C) ذہانت، D) مذہبی تقویٰ</v>
      </c>
      <c r="L14" s="5" t="str">
        <f>IFERROR(__xludf.DUMMYFUNCTION("GOOGLETRANSLATE(D14, ""en"", ""ur"")"),"ب) عزت (عزت)")</f>
        <v>ب) عزت (عزت)</v>
      </c>
      <c r="M14" s="5" t="str">
        <f>IFERROR(__xludf.DUMMYFUNCTION("GOOGLETRANSLATE(E14, ""en"", ""ur"")"),"اکھاڑے میں فتح آدمی کی (اور اس کے گاؤں کی) عزت، طاقت اور فخر کی ایک طاقتور علامت تھی۔")</f>
        <v>اکھاڑے میں فتح آدمی کی (اور اس کے گاؤں کی) عزت، طاقت اور فخر کی ایک طاقتور علامت تھی۔</v>
      </c>
    </row>
    <row r="15">
      <c r="A15" s="3">
        <v>14.0</v>
      </c>
      <c r="B15" s="4" t="s">
        <v>62</v>
      </c>
      <c r="C15" s="4" t="s">
        <v>63</v>
      </c>
      <c r="D15" s="4" t="s">
        <v>64</v>
      </c>
      <c r="E15" s="4" t="s">
        <v>65</v>
      </c>
      <c r="I15" s="5" t="str">
        <f>IFERROR(__xludf.DUMMYFUNCTION("GOOGLETRANSLATE(A15, ""en"", ""ur"")"),"14")</f>
        <v>14</v>
      </c>
      <c r="J15" s="5" t="str">
        <f>IFERROR(__xludf.DUMMYFUNCTION("GOOGLETRANSLATE(B15, ""en"", ""ur"")"),"آثار قدیمہ کے شواہد جن سے قدیم تہذیب میں کشتی کی روایات کی موجودگی کا پتہ چلتا ہے جو ملاخرہ کا پیش خیمہ ہو سکتا ہے؟")</f>
        <v>آثار قدیمہ کے شواہد جن سے قدیم تہذیب میں کشتی کی روایات کی موجودگی کا پتہ چلتا ہے جو ملاخرہ کا پیش خیمہ ہو سکتا ہے؟</v>
      </c>
      <c r="K15" s="5" t="str">
        <f>IFERROR(__xludf.DUMMYFUNCTION("GOOGLETRANSLATE(C15, ""en"", ""ur"")"),"A) فارسی سلطنت، B) قدیم یونان، C) وادی سندھ کی تہذیب، D) قدیم مصر")</f>
        <v>A) فارسی سلطنت، B) قدیم یونان، C) وادی سندھ کی تہذیب، D) قدیم مصر</v>
      </c>
      <c r="L15" s="5" t="str">
        <f>IFERROR(__xludf.DUMMYFUNCTION("GOOGLETRANSLATE(D15, ""en"", ""ur"")"),"ج) وادی سندھ کی تہذیب")</f>
        <v>ج) وادی سندھ کی تہذیب</v>
      </c>
      <c r="M15" s="5" t="str">
        <f>IFERROR(__xludf.DUMMYFUNCTION("GOOGLETRANSLATE(E15, ""en"", ""ur"")"),"موہنجو داڑو جیسی جگہوں پر پائے جانے والے مہروں اور مجسموں میں اعداد و شمار کو جوڑنے کے موقف میں دکھایا گیا ہے، جو اس خطے میں کشتی کی ایک طویل تاریخ بتاتے ہیں۔")</f>
        <v>موہنجو داڑو جیسی جگہوں پر پائے جانے والے مہروں اور مجسموں میں اعداد و شمار کو جوڑنے کے موقف میں دکھایا گیا ہے، جو اس خطے میں کشتی کی ایک طویل تاریخ بتاتے ہیں۔</v>
      </c>
    </row>
    <row r="16">
      <c r="A16" s="3">
        <v>15.0</v>
      </c>
      <c r="B16" s="4" t="s">
        <v>66</v>
      </c>
      <c r="C16" s="4" t="s">
        <v>67</v>
      </c>
      <c r="D16" s="4" t="s">
        <v>68</v>
      </c>
      <c r="E16" s="4" t="s">
        <v>69</v>
      </c>
      <c r="I16" s="5" t="str">
        <f>IFERROR(__xludf.DUMMYFUNCTION("GOOGLETRANSLATE(A16, ""en"", ""ur"")"),"15")</f>
        <v>15</v>
      </c>
      <c r="J16" s="5" t="str">
        <f>IFERROR(__xludf.DUMMYFUNCTION("GOOGLETRANSLATE(B16, ""en"", ""ur"")"),"کچھ تاریخی مثالوں میں، ملاخرہ کس طرح گائوں کے درمیان تنازعات کو حل کرنے کے لیے استعمال کیا جاتا تھا؟")</f>
        <v>کچھ تاریخی مثالوں میں، ملاخرہ کس طرح گائوں کے درمیان تنازعات کو حل کرنے کے لیے استعمال کیا جاتا تھا؟</v>
      </c>
      <c r="K16" s="5" t="str">
        <f>IFERROR(__xludf.DUMMYFUNCTION("GOOGLETRANSLATE(C16, ""en"", ""ur"")"),"A) جیتنے والے کا گاؤں جھگڑا جیت جائے گا، B) اسے کبھی جھگڑے کے لیے استعمال نہیں کیا گیا، C) ہارنے والے پہلوان کو جرمانہ ادا کرنا پڑتا تھا، D) یہ حقیقی خونریزی کو روکنے کے لیے ایک علامتی مقابلہ تھا۔")</f>
        <v>A) جیتنے والے کا گاؤں جھگڑا جیت جائے گا، B) اسے کبھی جھگڑے کے لیے استعمال نہیں کیا گیا، C) ہارنے والے پہلوان کو جرمانہ ادا کرنا پڑتا تھا، D) یہ حقیقی خونریزی کو روکنے کے لیے ایک علامتی مقابلہ تھا۔</v>
      </c>
      <c r="L16" s="5" t="str">
        <f>IFERROR(__xludf.DUMMYFUNCTION("GOOGLETRANSLATE(D16, ""en"", ""ur"")"),"D) یہ حقیقی خونریزی کو روکنے کے لیے ایک علامتی مقابلہ تھا۔")</f>
        <v>D) یہ حقیقی خونریزی کو روکنے کے لیے ایک علامتی مقابلہ تھا۔</v>
      </c>
      <c r="M16" s="5" t="str">
        <f>IFERROR(__xludf.DUMMYFUNCTION("GOOGLETRANSLATE(E16, ""en"", ""ur"")"),"مسلح تصادم کی طرف بڑھنے کے بجائے، گاؤں کبھی کبھی ملاکھڑا میچ کے لیے راضی ہو جاتے، جس کے نتیجے میں تنازعہ حل ہو جاتا اور عزت بحال ہو جاتی۔")</f>
        <v>مسلح تصادم کی طرف بڑھنے کے بجائے، گاؤں کبھی کبھی ملاکھڑا میچ کے لیے راضی ہو جاتے، جس کے نتیجے میں تنازعہ حل ہو جاتا اور عزت بحال ہو جاتی۔</v>
      </c>
    </row>
    <row r="17">
      <c r="A17" s="3">
        <v>16.0</v>
      </c>
      <c r="B17" s="4" t="s">
        <v>70</v>
      </c>
      <c r="C17" s="4" t="s">
        <v>71</v>
      </c>
      <c r="D17" s="4" t="s">
        <v>72</v>
      </c>
      <c r="E17" s="4" t="s">
        <v>73</v>
      </c>
      <c r="I17" s="5" t="str">
        <f>IFERROR(__xludf.DUMMYFUNCTION("GOOGLETRANSLATE(A17, ""en"", ""ur"")"),"16")</f>
        <v>16</v>
      </c>
      <c r="J17" s="5" t="str">
        <f>IFERROR(__xludf.DUMMYFUNCTION("GOOGLETRANSLATE(B17, ""en"", ""ur"")"),"انگریزوں سے پہلے سندھ پر حکومت کرنے والا تالپور خاندان ملاکھڑا کے عظیم سرپرست تھے۔ کون سا شہر ان کے ٹورنامنٹس کا بڑا مرکز تھا؟")</f>
        <v>انگریزوں سے پہلے سندھ پر حکومت کرنے والا تالپور خاندان ملاکھڑا کے عظیم سرپرست تھے۔ کون سا شہر ان کے ٹورنامنٹس کا بڑا مرکز تھا؟</v>
      </c>
      <c r="K17" s="5" t="str">
        <f>IFERROR(__xludf.DUMMYFUNCTION("GOOGLETRANSLATE(C17, ""en"", ""ur"")"),"A) کراچی، B) سکھر، C) حیدرآباد، D) لاڑکانہ")</f>
        <v>A) کراچی، B) سکھر، C) حیدرآباد، D) لاڑکانہ</v>
      </c>
      <c r="L17" s="5" t="str">
        <f>IFERROR(__xludf.DUMMYFUNCTION("GOOGLETRANSLATE(D17, ""en"", ""ur"")"),"ج) حیدرآباد")</f>
        <v>ج) حیدرآباد</v>
      </c>
      <c r="M17" s="5" t="str">
        <f>IFERROR(__xludf.DUMMYFUNCTION("GOOGLETRANSLATE(E17, ""en"", ""ur"")"),"حیدرآباد، تالپور میروں کا دارالحکومت، ملاکھڑا کا ایک مشہور مرکز تھا، جو بڑے ٹورنامنٹس کا انعقاد کرتا تھا اور بہترین پہلوانوں کو راغب کرتا تھا۔")</f>
        <v>حیدرآباد، تالپور میروں کا دارالحکومت، ملاکھڑا کا ایک مشہور مرکز تھا، جو بڑے ٹورنامنٹس کا انعقاد کرتا تھا اور بہترین پہلوانوں کو راغب کرتا تھا۔</v>
      </c>
    </row>
    <row r="18">
      <c r="A18" s="3">
        <v>17.0</v>
      </c>
      <c r="B18" s="4" t="s">
        <v>74</v>
      </c>
      <c r="C18" s="4" t="s">
        <v>75</v>
      </c>
      <c r="D18" s="4" t="s">
        <v>76</v>
      </c>
      <c r="E18" s="4" t="s">
        <v>77</v>
      </c>
      <c r="I18" s="5" t="str">
        <f>IFERROR(__xludf.DUMMYFUNCTION("GOOGLETRANSLATE(A18, ""en"", ""ur"")"),"17")</f>
        <v>17</v>
      </c>
      <c r="J18" s="5" t="str">
        <f>IFERROR(__xludf.DUMMYFUNCTION("GOOGLETRANSLATE(B18, ""en"", ""ur"")"),"ملاکھڑا میں استعمال ہونے والی کپڑے کی پٹی (سندھرو) کی تاریخی اہمیت کیا ہے؟")</f>
        <v>ملاکھڑا میں استعمال ہونے والی کپڑے کی پٹی (سندھرو) کی تاریخی اہمیت کیا ہے؟</v>
      </c>
      <c r="K18" s="5" t="str">
        <f>IFERROR(__xludf.DUMMYFUNCTION("GOOGLETRANSLATE(C18, ""en"", ""ur"")"),"A) یہ اعلیٰ درجے کی علامت تھی، B) یہ جوجھنے اور پھینکنے کا ایک عملی آلہ تھا، C) یہ سجاوٹ کے لیے تھا، D) یہ ایک مذہبی تقاضا تھا۔")</f>
        <v>A) یہ اعلیٰ درجے کی علامت تھی، B) یہ جوجھنے اور پھینکنے کا ایک عملی آلہ تھا، C) یہ سجاوٹ کے لیے تھا، D) یہ ایک مذہبی تقاضا تھا۔</v>
      </c>
      <c r="L18" s="5" t="str">
        <f>IFERROR(__xludf.DUMMYFUNCTION("GOOGLETRANSLATE(D18, ""en"", ""ur"")"),"ب) یہ گراپلنگ اور تھرو کو انجام دینے کا ایک عملی ٹول تھا۔")</f>
        <v>ب) یہ گراپلنگ اور تھرو کو انجام دینے کا ایک عملی ٹول تھا۔</v>
      </c>
      <c r="M18" s="5" t="str">
        <f>IFERROR(__xludf.DUMMYFUNCTION("GOOGLETRANSLATE(E18, ""en"", ""ur"")"),"سیندھرو اس کھیل کی مرکزی اختراع ہے، جس نے ریسلنگ میچ کو گرفت، فائدہ اٹھانے اور تکنیک کے ایک منفرد امتحان میں تبدیل کر دیا ہے۔")</f>
        <v>سیندھرو اس کھیل کی مرکزی اختراع ہے، جس نے ریسلنگ میچ کو گرفت، فائدہ اٹھانے اور تکنیک کے ایک منفرد امتحان میں تبدیل کر دیا ہے۔</v>
      </c>
    </row>
    <row r="19">
      <c r="A19" s="3">
        <v>18.0</v>
      </c>
      <c r="B19" s="4" t="s">
        <v>78</v>
      </c>
      <c r="C19" s="4" t="s">
        <v>79</v>
      </c>
      <c r="D19" s="4" t="s">
        <v>80</v>
      </c>
      <c r="E19" s="4" t="s">
        <v>81</v>
      </c>
      <c r="I19" s="5" t="str">
        <f>IFERROR(__xludf.DUMMYFUNCTION("GOOGLETRANSLATE(A19, ""en"", ""ur"")"),"18")</f>
        <v>18</v>
      </c>
      <c r="J19" s="5" t="str">
        <f>IFERROR(__xludf.DUMMYFUNCTION("GOOGLETRANSLATE(B19, ""en"", ""ur"")"),"ایک الگ کھیل کے طور پر ملاخرہ کے ابتدائی واضح تحریری ریکارڈ کس صدی کے ہیں؟")</f>
        <v>ایک الگ کھیل کے طور پر ملاخرہ کے ابتدائی واضح تحریری ریکارڈ کس صدی کے ہیں؟</v>
      </c>
      <c r="K19" s="5" t="str">
        <f>IFERROR(__xludf.DUMMYFUNCTION("GOOGLETRANSLATE(C19, ""en"", ""ur"")"),"A) 14ویں صدی، B) 16ویں صدی، C) 18ویں صدی، D) 20ویں صدی")</f>
        <v>A) 14ویں صدی، B) 16ویں صدی، C) 18ویں صدی، D) 20ویں صدی</v>
      </c>
      <c r="L19" s="5" t="str">
        <f>IFERROR(__xludf.DUMMYFUNCTION("GOOGLETRANSLATE(D19, ""en"", ""ur"")"),"ج) 18ویں صدی")</f>
        <v>ج) 18ویں صدی</v>
      </c>
      <c r="M19" s="5" t="str">
        <f>IFERROR(__xludf.DUMMYFUNCTION("GOOGLETRANSLATE(E19, ""en"", ""ur"")"),"مقامی مورخین اور تاریخ دانوں نے کلہوڑہ اور تالپور دور میں سب سے پہلے اس کھیل کے قوانین اور ثقافتی اہمیت کی دستاویز کرنا شروع کی۔")</f>
        <v>مقامی مورخین اور تاریخ دانوں نے کلہوڑہ اور تالپور دور میں سب سے پہلے اس کھیل کے قوانین اور ثقافتی اہمیت کی دستاویز کرنا شروع کی۔</v>
      </c>
    </row>
    <row r="20">
      <c r="A20" s="3">
        <v>19.0</v>
      </c>
      <c r="B20" s="4" t="s">
        <v>82</v>
      </c>
      <c r="C20" s="4" t="s">
        <v>83</v>
      </c>
      <c r="D20" s="4" t="s">
        <v>84</v>
      </c>
      <c r="E20" s="4" t="s">
        <v>85</v>
      </c>
      <c r="I20" s="5" t="str">
        <f>IFERROR(__xludf.DUMMYFUNCTION("GOOGLETRANSLATE(A20, ""en"", ""ur"")"),"19")</f>
        <v>19</v>
      </c>
      <c r="J20" s="5" t="str">
        <f>IFERROR(__xludf.DUMMYFUNCTION("GOOGLETRANSLATE(B20, ""en"", ""ur"")"),"سندھی لوک داستانوں اور شاعری میں ملاکھڑا کو تاریخی طور پر کیا کہا جاتا ہے؟")</f>
        <v>سندھی لوک داستانوں اور شاعری میں ملاکھڑا کو تاریخی طور پر کیا کہا جاتا ہے؟</v>
      </c>
      <c r="K20" s="5" t="str">
        <f>IFERROR(__xludf.DUMMYFUNCTION("GOOGLETRANSLATE(C20, ""en"", ""ur"")"),"A) پہلوانی، B) کشتی، C) ملائیون، D) سندھی کشتی")</f>
        <v>A) پہلوانی، B) کشتی، C) ملائیون، D) سندھی کشتی</v>
      </c>
      <c r="L20" s="5" t="str">
        <f>IFERROR(__xludf.DUMMYFUNCTION("GOOGLETRANSLATE(D20, ""en"", ""ur"")"),"ج) ملائیون")</f>
        <v>ج) ملائیون</v>
      </c>
      <c r="M20" s="5" t="str">
        <f>IFERROR(__xludf.DUMMYFUNCTION("GOOGLETRANSLATE(E20, ""en"", ""ur"")"),"اصطلاح ""ملاخرہ"" کے معیاری بننے سے پہلے، اس کھیل کو اکثر عام اصطلاح 'ملائیون' سے جانا جاتا تھا، جس کا مطلب ہے 'کشتی بازی'۔")</f>
        <v>اصطلاح "ملاخرہ" کے معیاری بننے سے پہلے، اس کھیل کو اکثر عام اصطلاح 'ملائیون' سے جانا جاتا تھا، جس کا مطلب ہے 'کشتی بازی'۔</v>
      </c>
    </row>
    <row r="21">
      <c r="A21" s="3">
        <v>20.0</v>
      </c>
      <c r="B21" s="4" t="s">
        <v>86</v>
      </c>
      <c r="C21" s="4" t="s">
        <v>87</v>
      </c>
      <c r="D21" s="4" t="s">
        <v>88</v>
      </c>
      <c r="E21" s="4" t="s">
        <v>89</v>
      </c>
      <c r="I21" s="5" t="str">
        <f>IFERROR(__xludf.DUMMYFUNCTION("GOOGLETRANSLATE(A21, ""en"", ""ur"")"),"20")</f>
        <v>20</v>
      </c>
      <c r="J21" s="5" t="str">
        <f>IFERROR(__xludf.DUMMYFUNCTION("GOOGLETRANSLATE(B21, ""en"", ""ur"")"),"کس نامور سندھی صوفی شاعر نے اپنی ادبی تصانیف میں کشتی کے جذبے کو طاقت کے استعارے کے طور پر ذکر کیا ہے؟")</f>
        <v>کس نامور سندھی صوفی شاعر نے اپنی ادبی تصانیف میں کشتی کے جذبے کو طاقت کے استعارے کے طور پر ذکر کیا ہے؟</v>
      </c>
      <c r="K21" s="5" t="str">
        <f>IFERROR(__xludf.DUMMYFUNCTION("GOOGLETRANSLATE(C21, ""en"", ""ur"")"),"A) شاہ عبداللطیف بھٹائی، B) سچل سرمست، C) مرزا قلیچ بیگ، D) شیخ ایاز")</f>
        <v>A) شاہ عبداللطیف بھٹائی، B) سچل سرمست، C) مرزا قلیچ بیگ، D) شیخ ایاز</v>
      </c>
      <c r="L21" s="5" t="str">
        <f>IFERROR(__xludf.DUMMYFUNCTION("GOOGLETRANSLATE(D21, ""en"", ""ur"")"),"الف) شاہ عبداللطیف بھٹائی")</f>
        <v>الف) شاہ عبداللطیف بھٹائی</v>
      </c>
      <c r="M21" s="5" t="str">
        <f>IFERROR(__xludf.DUMMYFUNCTION("GOOGLETRANSLATE(E21, ""en"", ""ur"")"),"عظیم شاعر شاہ عبداللطیف بھٹائی نے اپنی شاعری میں پہلوانوں کی طاقت اور واقعات کے اجتماعی جذبے کا حوالہ دیا۔")</f>
        <v>عظیم شاعر شاہ عبداللطیف بھٹائی نے اپنی شاعری میں پہلوانوں کی طاقت اور واقعات کے اجتماعی جذبے کا حوالہ دیا۔</v>
      </c>
    </row>
    <row r="22">
      <c r="A22" s="3">
        <v>21.0</v>
      </c>
      <c r="B22" s="4" t="s">
        <v>90</v>
      </c>
      <c r="C22" s="4" t="s">
        <v>91</v>
      </c>
      <c r="D22" s="4" t="s">
        <v>92</v>
      </c>
      <c r="E22" s="4" t="s">
        <v>93</v>
      </c>
      <c r="I22" s="5" t="str">
        <f>IFERROR(__xludf.DUMMYFUNCTION("GOOGLETRANSLATE(A22, ""en"", ""ur"")"),"21")</f>
        <v>21</v>
      </c>
      <c r="J22" s="5" t="str">
        <f>IFERROR(__xludf.DUMMYFUNCTION("GOOGLETRANSLATE(B22, ""en"", ""ur"")"),"تاریخی زمانے میں، ملاخرہ چیمپئن کے لیے پگڑی کے علاوہ اور کیا عام انعام تھا؟")</f>
        <v>تاریخی زمانے میں، ملاخرہ چیمپئن کے لیے پگڑی کے علاوہ اور کیا عام انعام تھا؟</v>
      </c>
      <c r="K22" s="5" t="str">
        <f>IFERROR(__xludf.DUMMYFUNCTION("GOOGLETRANSLATE(C22, ""en"", ""ur"")"),"A) ایک سرکاری عہدہ، B) مویشی، جیسے بکری، بھینس، یا اونٹ، C) ہتھیاروں کا ایک سیٹ، D) اناج کا ایک تھیلا")</f>
        <v>A) ایک سرکاری عہدہ، B) مویشی، جیسے بکری، بھینس، یا اونٹ، C) ہتھیاروں کا ایک سیٹ، D) اناج کا ایک تھیلا</v>
      </c>
      <c r="L22" s="5" t="str">
        <f>IFERROR(__xludf.DUMMYFUNCTION("GOOGLETRANSLATE(D22, ""en"", ""ur"")"),"ب) مویشی، جیسے بکری، بھینس یا اونٹ")</f>
        <v>ب) مویشی، جیسے بکری، بھینس یا اونٹ</v>
      </c>
      <c r="M22" s="5" t="str">
        <f>IFERROR(__xludf.DUMMYFUNCTION("GOOGLETRANSLATE(E22, ""en"", ""ur"")"),"زرعی معاشرے میں، مویشی ایک قیمتی اور عملی انعام تھا جو دولت اور حیثیت کو ظاہر کرتا تھا۔")</f>
        <v>زرعی معاشرے میں، مویشی ایک قیمتی اور عملی انعام تھا جو دولت اور حیثیت کو ظاہر کرتا تھا۔</v>
      </c>
    </row>
    <row r="23">
      <c r="A23" s="3">
        <v>22.0</v>
      </c>
      <c r="B23" s="4" t="s">
        <v>94</v>
      </c>
      <c r="C23" s="4" t="s">
        <v>95</v>
      </c>
      <c r="D23" s="4" t="s">
        <v>96</v>
      </c>
      <c r="E23" s="4" t="s">
        <v>97</v>
      </c>
      <c r="I23" s="5" t="str">
        <f>IFERROR(__xludf.DUMMYFUNCTION("GOOGLETRANSLATE(A23, ""en"", ""ur"")"),"22")</f>
        <v>22</v>
      </c>
      <c r="J23" s="5" t="str">
        <f>IFERROR(__xludf.DUMMYFUNCTION("GOOGLETRANSLATE(B23, ""en"", ""ur"")"),"ملاکھڑا میدان (اکھاڑہ) کے لیے روایتی طور پر کس قسم کی مٹی کو ترجیح دی جاتی تھی؟")</f>
        <v>ملاکھڑا میدان (اکھاڑہ) کے لیے روایتی طور پر کس قسم کی مٹی کو ترجیح دی جاتی تھی؟</v>
      </c>
      <c r="K23" s="5" t="str">
        <f>IFERROR(__xludf.DUMMYFUNCTION("GOOGLETRANSLATE(C23, ""en"", ""ur"")"),"A) سخت ریت، B) نرم، کھیتی ہوئی مٹی یا زمین، C) سرسبز گھاس، D) بجری")</f>
        <v>A) سخت ریت، B) نرم، کھیتی ہوئی مٹی یا زمین، C) سرسبز گھاس، D) بجری</v>
      </c>
      <c r="L23" s="5" t="str">
        <f>IFERROR(__xludf.DUMMYFUNCTION("GOOGLETRANSLATE(D23, ""en"", ""ur"")"),"ب) نرم، کھیت والی مٹی یا زمین")</f>
        <v>ب) نرم، کھیت والی مٹی یا زمین</v>
      </c>
      <c r="M23" s="5" t="str">
        <f>IFERROR(__xludf.DUMMYFUNCTION("GOOGLETRANSLATE(E23, ""en"", ""ur"")"),"نرم زمین، جو اکثر چاول کی بھوسی جیسے مواد کے ساتھ مل جاتی ہے، ایک تکیے والی سطح بنانے کے لیے استعمال کی جاتی تھی جو گرنے کے اثرات کو جذب کر سکتی تھی اور زخموں کو روک سکتی تھی۔")</f>
        <v>نرم زمین، جو اکثر چاول کی بھوسی جیسے مواد کے ساتھ مل جاتی ہے، ایک تکیے والی سطح بنانے کے لیے استعمال کی جاتی تھی جو گرنے کے اثرات کو جذب کر سکتی تھی اور زخموں کو روک سکتی تھی۔</v>
      </c>
    </row>
    <row r="24">
      <c r="A24" s="3">
        <v>23.0</v>
      </c>
      <c r="B24" s="4" t="s">
        <v>98</v>
      </c>
      <c r="C24" s="4" t="s">
        <v>99</v>
      </c>
      <c r="D24" s="4" t="s">
        <v>100</v>
      </c>
      <c r="E24" s="4" t="s">
        <v>101</v>
      </c>
      <c r="I24" s="5" t="str">
        <f>IFERROR(__xludf.DUMMYFUNCTION("GOOGLETRANSLATE(A24, ""en"", ""ur"")"),"23")</f>
        <v>23</v>
      </c>
      <c r="J24" s="5" t="str">
        <f>IFERROR(__xludf.DUMMYFUNCTION("GOOGLETRANSLATE(B24, ""en"", ""ur"")"),"ملاخرہ کس روایتی فارسی ایتھلیٹک نظام کے ساتھ کچھ فلسفیانہ اور تکنیکی مماثلتیں رکھتی ہے؟")</f>
        <v>ملاخرہ کس روایتی فارسی ایتھلیٹک نظام کے ساتھ کچھ فلسفیانہ اور تکنیکی مماثلتیں رکھتی ہے؟</v>
      </c>
      <c r="K24" s="5" t="str">
        <f>IFERROR(__xludf.DUMMYFUNCTION("GOOGLETRANSLATE(C24, ""en"", ""ur"")"),"A) رومن پنکریشن، B) فارسی زرخانہ، C) ہندوستانی ملاکھمبا، D) منگول بوک")</f>
        <v>A) رومن پنکریشن، B) فارسی زرخانہ، C) ہندوستانی ملاکھمبا، D) منگول بوک</v>
      </c>
      <c r="L24" s="5" t="str">
        <f>IFERROR(__xludf.DUMMYFUNCTION("GOOGLETRANSLATE(D24, ""en"", ""ur"")"),"ب) فارسی زرخانہ")</f>
        <v>ب) فارسی زرخانہ</v>
      </c>
      <c r="M24" s="5" t="str">
        <f>IFERROR(__xludf.DUMMYFUNCTION("GOOGLETRANSLATE(E24, ""en"", ""ur"")"),"فارسی ""طاقت کا گھر"" روایت، رسم، طاقت کی تربیت، اور کشتی پر زور دینے کے ساتھ، غالباً ملاخرہ کی ترقی کو متاثر کرتی ہے۔")</f>
        <v>فارسی "طاقت کا گھر" روایت، رسم، طاقت کی تربیت، اور کشتی پر زور دینے کے ساتھ، غالباً ملاخرہ کی ترقی کو متاثر کرتی ہے۔</v>
      </c>
    </row>
    <row r="25">
      <c r="A25" s="3">
        <v>24.0</v>
      </c>
      <c r="B25" s="4" t="s">
        <v>102</v>
      </c>
      <c r="C25" s="4" t="s">
        <v>103</v>
      </c>
      <c r="D25" s="4" t="s">
        <v>104</v>
      </c>
      <c r="E25" s="4" t="s">
        <v>105</v>
      </c>
      <c r="I25" s="5" t="str">
        <f>IFERROR(__xludf.DUMMYFUNCTION("GOOGLETRANSLATE(A25, ""en"", ""ur"")"),"24")</f>
        <v>24</v>
      </c>
      <c r="J25" s="5" t="str">
        <f>IFERROR(__xludf.DUMMYFUNCTION("GOOGLETRANSLATE(B25, ""en"", ""ur"")"),"1970 کی دہائی میں کس پاکستانی رہنما کی انتظامیہ کے تحت ملاکھڑا جیسے علاقائی لوک کھیلوں کے فروغ کے لیے کوئی قابل ذکر کوشش کی گئی؟")</f>
        <v>1970 کی دہائی میں کس پاکستانی رہنما کی انتظامیہ کے تحت ملاکھڑا جیسے علاقائی لوک کھیلوں کے فروغ کے لیے کوئی قابل ذکر کوشش کی گئی؟</v>
      </c>
      <c r="K25" s="5" t="str">
        <f>IFERROR(__xludf.DUMMYFUNCTION("GOOGLETRANSLATE(C25, ""en"", ""ur"")"),"A) لیاقت علی خان، B) ایوب خان، C) ذوالفقار علی بھٹو، D) محمد ضیاء الحق")</f>
        <v>A) لیاقت علی خان، B) ایوب خان، C) ذوالفقار علی بھٹو، D) محمد ضیاء الحق</v>
      </c>
      <c r="L25" s="5" t="str">
        <f>IFERROR(__xludf.DUMMYFUNCTION("GOOGLETRANSLATE(D25, ""en"", ""ur"")"),"ج) ذوالفقار علی بھٹو")</f>
        <v>ج) ذوالفقار علی بھٹو</v>
      </c>
      <c r="M25" s="5" t="str">
        <f>IFERROR(__xludf.DUMMYFUNCTION("GOOGLETRANSLATE(E25, ""en"", ""ur"")"),"ذوالفقار علی بھٹو، جو خود ایک سندھی ہیں، نے سندھ کے ثقافتی ورثے کے فروغ اور تحفظ کے لیے کوششیں کیں، بشمول اس کے روایتی کھیل۔")</f>
        <v>ذوالفقار علی بھٹو، جو خود ایک سندھی ہیں، نے سندھ کے ثقافتی ورثے کے فروغ اور تحفظ کے لیے کوششیں کیں، بشمول اس کے روایتی کھیل۔</v>
      </c>
    </row>
    <row r="26">
      <c r="A26" s="3">
        <v>25.0</v>
      </c>
      <c r="B26" s="4" t="s">
        <v>106</v>
      </c>
      <c r="C26" s="4" t="s">
        <v>107</v>
      </c>
      <c r="D26" s="4" t="s">
        <v>108</v>
      </c>
      <c r="E26" s="4" t="s">
        <v>109</v>
      </c>
      <c r="I26" s="5" t="str">
        <f>IFERROR(__xludf.DUMMYFUNCTION("GOOGLETRANSLATE(A26, ""en"", ""ur"")"),"25")</f>
        <v>25</v>
      </c>
      <c r="J26" s="5" t="str">
        <f>IFERROR(__xludf.DUMMYFUNCTION("GOOGLETRANSLATE(B26, ""en"", ""ur"")"),"نوآبادیاتی دور سے پہلے سندھ کے سماجی ڈھانچے میں ملاکھڑا نے کیا کردار ادا کیا؟")</f>
        <v>نوآبادیاتی دور سے پہلے سندھ کے سماجی ڈھانچے میں ملاکھڑا نے کیا کردار ادا کیا؟</v>
      </c>
      <c r="K26" s="5" t="str">
        <f>IFERROR(__xludf.DUMMYFUNCTION("GOOGLETRANSLATE(C26, ""en"", ""ur"")"),"A) یہ صرف تفریح ​​کے لیے تھا، B) یہ مردوں کے لیے اپنی حیثیت، طاقت اور عزت کی تصدیق کا ایک طریقہ تھا، C) یہ ایک ضروری مذہبی عمل تھا، D) یہ بنیادی اقتصادی سرگرمی تھی")</f>
        <v>A) یہ صرف تفریح ​​کے لیے تھا، B) یہ مردوں کے لیے اپنی حیثیت، طاقت اور عزت کی تصدیق کا ایک طریقہ تھا، C) یہ ایک ضروری مذہبی عمل تھا، D) یہ بنیادی اقتصادی سرگرمی تھی</v>
      </c>
      <c r="L26" s="5" t="str">
        <f>IFERROR(__xludf.DUMMYFUNCTION("GOOGLETRANSLATE(D26, ""en"", ""ur"")"),"ب) یہ مردوں کے لیے اپنی حیثیت، طاقت اور عزت کی تصدیق کرنے کا ایک طریقہ تھا۔")</f>
        <v>ب) یہ مردوں کے لیے اپنی حیثیت، طاقت اور عزت کی تصدیق کرنے کا ایک طریقہ تھا۔</v>
      </c>
      <c r="M26" s="5" t="str">
        <f>IFERROR(__xludf.DUMMYFUNCTION("GOOGLETRANSLATE(E26, ""en"", ""ur"")"),"ملاکھرا میچ جیتنا ایک اہم سماجی واقعہ تھا جو کمیونٹی میں ایک آدمی (اور اس کے خاندان کے) کی حیثیت کو بلند کر سکتا ہے۔")</f>
        <v>ملاکھرا میچ جیتنا ایک اہم سماجی واقعہ تھا جو کمیونٹی میں ایک آدمی (اور اس کے خاندان کے) کی حیثیت کو بلند کر سکتا ہے۔</v>
      </c>
    </row>
    <row r="27">
      <c r="A27" s="3">
        <v>26.0</v>
      </c>
      <c r="B27" s="4" t="s">
        <v>110</v>
      </c>
      <c r="C27" s="4" t="s">
        <v>111</v>
      </c>
      <c r="D27" s="4" t="s">
        <v>112</v>
      </c>
      <c r="E27" s="4" t="s">
        <v>113</v>
      </c>
      <c r="I27" s="5" t="str">
        <f>IFERROR(__xludf.DUMMYFUNCTION("GOOGLETRANSLATE(A27, ""en"", ""ur"")"),"26")</f>
        <v>26</v>
      </c>
      <c r="J27" s="5" t="str">
        <f>IFERROR(__xludf.DUMMYFUNCTION("GOOGLETRANSLATE(B27, ""en"", ""ur"")"),"کونسا تاریخی واقعہ ملاخرا کی سرپرستی اور مقبولیت میں نمایاں کمی کا باعث بنا؟")</f>
        <v>کونسا تاریخی واقعہ ملاخرا کی سرپرستی اور مقبولیت میں نمایاں کمی کا باعث بنا؟</v>
      </c>
      <c r="K27" s="5" t="str">
        <f>IFERROR(__xludf.DUMMYFUNCTION("GOOGLETRANSLATE(C27, ""en"", ""ur"")"),"A) 1947 میں ہندوستان کی تقسیم، B) صنعتی انقلاب، C) سندھ پر 1843 میں برطانوی نوآبادیات، D) اسلام کا عروج")</f>
        <v>A) 1947 میں ہندوستان کی تقسیم، B) صنعتی انقلاب، C) سندھ پر 1843 میں برطانوی نوآبادیات، D) اسلام کا عروج</v>
      </c>
      <c r="L27" s="5" t="str">
        <f>IFERROR(__xludf.DUMMYFUNCTION("GOOGLETRANSLATE(D27, ""en"", ""ur"")"),"ج) 1843 میں سندھ پر برطانوی نوآبادیات")</f>
        <v>ج) 1843 میں سندھ پر برطانوی نوآبادیات</v>
      </c>
      <c r="M27" s="5" t="str">
        <f>IFERROR(__xludf.DUMMYFUNCTION("GOOGLETRANSLATE(E27, ""en"", ""ur"")"),"برطانوی انتظامیہ نے بہت سے روایتی ہندوستانی کھیلوں کی حوصلہ شکنی کی، انہیں غیر نظم و ضبط کے طور پر دیکھا، اور اس کی بجائے کرکٹ جیسے مغربی کھیلوں کو فروغ دیا۔")</f>
        <v>برطانوی انتظامیہ نے بہت سے روایتی ہندوستانی کھیلوں کی حوصلہ شکنی کی، انہیں غیر نظم و ضبط کے طور پر دیکھا، اور اس کی بجائے کرکٹ جیسے مغربی کھیلوں کو فروغ دیا۔</v>
      </c>
    </row>
    <row r="28">
      <c r="A28" s="3">
        <v>27.0</v>
      </c>
      <c r="B28" s="4" t="s">
        <v>114</v>
      </c>
      <c r="C28" s="4" t="s">
        <v>115</v>
      </c>
      <c r="D28" s="4" t="s">
        <v>116</v>
      </c>
      <c r="E28" s="4" t="s">
        <v>117</v>
      </c>
      <c r="I28" s="5" t="str">
        <f>IFERROR(__xludf.DUMMYFUNCTION("GOOGLETRANSLATE(A28, ""en"", ""ur"")"),"27")</f>
        <v>27</v>
      </c>
      <c r="J28" s="5" t="str">
        <f>IFERROR(__xludf.DUMMYFUNCTION("GOOGLETRANSLATE(B28, ""en"", ""ur"")"),"تالپور دور میں خواتین کے کچھ تاریخی نمائشی میچوں میں بنیادی فرق کیا تھا؟")</f>
        <v>تالپور دور میں خواتین کے کچھ تاریخی نمائشی میچوں میں بنیادی فرق کیا تھا؟</v>
      </c>
      <c r="K28" s="5" t="str">
        <f>IFERROR(__xludf.DUMMYFUNCTION("GOOGLETRANSLATE(C28, ""en"", ""ur"")"),"A) انہوں نے ایک لمبی بیلٹ کا استعمال کیا، B) میچ چھوٹے تھے اور خام طاقت سے زیادہ مہارت پر توجہ مرکوز کرتے تھے، C) انہیں نجی طور پر منعقد کیا گیا تھا، D) انہوں نے ایک مختلف اسکورنگ سسٹم کا استعمال کیا")</f>
        <v>A) انہوں نے ایک لمبی بیلٹ کا استعمال کیا، B) میچ چھوٹے تھے اور خام طاقت سے زیادہ مہارت پر توجہ مرکوز کرتے تھے، C) انہیں نجی طور پر منعقد کیا گیا تھا، D) انہوں نے ایک مختلف اسکورنگ سسٹم کا استعمال کیا</v>
      </c>
      <c r="L28" s="5" t="str">
        <f>IFERROR(__xludf.DUMMYFUNCTION("GOOGLETRANSLATE(D28, ""en"", ""ur"")"),"ب) میچ چھوٹے تھے اور خام طاقت کے مقابلے مہارت پر زیادہ توجہ مرکوز کرتے تھے۔")</f>
        <v>ب) میچ چھوٹے تھے اور خام طاقت کے مقابلے مہارت پر زیادہ توجہ مرکوز کرتے تھے۔</v>
      </c>
      <c r="M28" s="5" t="str">
        <f>IFERROR(__xludf.DUMMYFUNCTION("GOOGLETRANSLATE(E28, ""en"", ""ur"")"),"خواتین کی نایاب نمائشیں مردوں کے طاقتور مقابلوں کے بجائے فضل اور تکنیک کی نمائش تھیں۔")</f>
        <v>خواتین کی نایاب نمائشیں مردوں کے طاقتور مقابلوں کے بجائے فضل اور تکنیک کی نمائش تھیں۔</v>
      </c>
    </row>
    <row r="29">
      <c r="A29" s="3">
        <v>28.0</v>
      </c>
      <c r="B29" s="4" t="s">
        <v>118</v>
      </c>
      <c r="C29" s="4" t="s">
        <v>119</v>
      </c>
      <c r="D29" s="4" t="s">
        <v>120</v>
      </c>
      <c r="E29" s="4" t="s">
        <v>121</v>
      </c>
      <c r="I29" s="5" t="str">
        <f>IFERROR(__xludf.DUMMYFUNCTION("GOOGLETRANSLATE(A29, ""en"", ""ur"")"),"28")</f>
        <v>28</v>
      </c>
      <c r="J29" s="5" t="str">
        <f>IFERROR(__xludf.DUMMYFUNCTION("GOOGLETRANSLATE(B29, ""en"", ""ur"")"),"ملاکھڑا میچوں کے لیے تال فراہم کرنے کے لیے کون سا روایتی سندھی موسیقی کا آلہ سب سے زیادہ مشہور ہے؟")</f>
        <v>ملاکھڑا میچوں کے لیے تال فراہم کرنے کے لیے کون سا روایتی سندھی موسیقی کا آلہ سب سے زیادہ مشہور ہے؟</v>
      </c>
      <c r="K29" s="5" t="str">
        <f>IFERROR(__xludf.DUMMYFUNCTION("GOOGLETRANSLATE(C29, ""en"", ""ur"")"),"A) الگوزا (جڑواں بانسری)، B) ڈھول (دوہرا ڈھول)، C) تمبورا (تار والا)، D) سورانڈو (بارہ)")</f>
        <v>A) الگوزا (جڑواں بانسری)، B) ڈھول (دوہرا ڈھول)، C) تمبورا (تار والا)، D) سورانڈو (بارہ)</v>
      </c>
      <c r="L29" s="5" t="str">
        <f>IFERROR(__xludf.DUMMYFUNCTION("GOOGLETRANSLATE(D29, ""en"", ""ur"")"),"ب) ڈھول (دو رخا ڈھول)")</f>
        <v>ب) ڈھول (دو رخا ڈھول)</v>
      </c>
      <c r="M29" s="5" t="str">
        <f>IFERROR(__xludf.DUMMYFUNCTION("GOOGLETRANSLATE(E29, ""en"", ""ur"")"),"ڈھول کی طاقتور اور پرجوش تھاپ ماحول کا ایک لازمی حصہ ہے، اس کی تال رنگ میں ایکشن کے ساتھ بڑھتا اور گرتا ہے۔")</f>
        <v>ڈھول کی طاقتور اور پرجوش تھاپ ماحول کا ایک لازمی حصہ ہے، اس کی تال رنگ میں ایکشن کے ساتھ بڑھتا اور گرتا ہے۔</v>
      </c>
    </row>
    <row r="30">
      <c r="A30" s="3">
        <v>29.0</v>
      </c>
      <c r="B30" s="4" t="s">
        <v>122</v>
      </c>
      <c r="C30" s="4" t="s">
        <v>123</v>
      </c>
      <c r="D30" s="4" t="s">
        <v>124</v>
      </c>
      <c r="E30" s="4" t="s">
        <v>125</v>
      </c>
      <c r="I30" s="5" t="str">
        <f>IFERROR(__xludf.DUMMYFUNCTION("GOOGLETRANSLATE(A30, ""en"", ""ur"")"),"29")</f>
        <v>29</v>
      </c>
      <c r="J30" s="5" t="str">
        <f>IFERROR(__xludf.DUMMYFUNCTION("GOOGLETRANSLATE(B30, ""en"", ""ur"")"),"سندھی لوک داستانوں میں، پہلوانوں کا اکثر استعاراتی طور پر کس جانور سے موازنہ کیا جاتا ہے، جو ان کی طاقت کی علامت ہے؟")</f>
        <v>سندھی لوک داستانوں میں، پہلوانوں کا اکثر استعاراتی طور پر کس جانور سے موازنہ کیا جاتا ہے، جو ان کی طاقت کی علامت ہے؟</v>
      </c>
      <c r="K30" s="5" t="str">
        <f>IFERROR(__xludf.DUMMYFUNCTION("GOOGLETRANSLATE(C30, ""en"", ""ur"")"),"A) اونٹ، B) گھوڑا، C) شیر، D) بیل")</f>
        <v>A) اونٹ، B) گھوڑا، C) شیر، D) بیل</v>
      </c>
      <c r="L30" s="5" t="str">
        <f>IFERROR(__xludf.DUMMYFUNCTION("GOOGLETRANSLATE(D30, ""en"", ""ur"")"),"ج) شیر")</f>
        <v>ج) شیر</v>
      </c>
      <c r="M30" s="5" t="str">
        <f>IFERROR(__xludf.DUMMYFUNCTION("GOOGLETRANSLATE(E30, ""en"", ""ur"")"),"شیر طاقت اور ہمت کی عالمگیر علامت ہے، اور عظیم پہلوانوں کو اکثر ""شیر کا دل"" کے طور پر بیان کیا جاتا ہے۔")</f>
        <v>شیر طاقت اور ہمت کی عالمگیر علامت ہے، اور عظیم پہلوانوں کو اکثر "شیر کا دل" کے طور پر بیان کیا جاتا ہے۔</v>
      </c>
    </row>
    <row r="31">
      <c r="A31" s="3">
        <v>30.0</v>
      </c>
      <c r="B31" s="4" t="s">
        <v>126</v>
      </c>
      <c r="C31" s="4" t="s">
        <v>127</v>
      </c>
      <c r="D31" s="4" t="s">
        <v>128</v>
      </c>
      <c r="E31" s="4" t="s">
        <v>129</v>
      </c>
      <c r="I31" s="5" t="str">
        <f>IFERROR(__xludf.DUMMYFUNCTION("GOOGLETRANSLATE(A31, ""en"", ""ur"")"),"30")</f>
        <v>30</v>
      </c>
      <c r="J31" s="5" t="str">
        <f>IFERROR(__xludf.DUMMYFUNCTION("GOOGLETRANSLATE(B31, ""en"", ""ur"")"),"ایک پہلوان کی پٹی (سندھرو) اکثر کڑھائی کی جاتی ہے۔ ڈیزائن عام طور پر کیا نمائندگی کرتے ہیں؟")</f>
        <v>ایک پہلوان کی پٹی (سندھرو) اکثر کڑھائی کی جاتی ہے۔ ڈیزائن عام طور پر کیا نمائندگی کرتے ہیں؟</v>
      </c>
      <c r="K31" s="5" t="str">
        <f>IFERROR(__xludf.DUMMYFUNCTION("GOOGLETRANSLATE(C31, ""en"", ""ur"")"),"A) پہلوان کا نام، B) اسپانسر کا نام، C) ہندسی قبائلی یا گاؤں کی شکلیں، D) کھیل کے اصول")</f>
        <v>A) پہلوان کا نام، B) اسپانسر کا نام، C) ہندسی قبائلی یا گاؤں کی شکلیں، D) کھیل کے اصول</v>
      </c>
      <c r="L31" s="5" t="str">
        <f>IFERROR(__xludf.DUMMYFUNCTION("GOOGLETRANSLATE(D31, ""en"", ""ur"")"),"ج) ہندسی قبائلی یا گاؤں کے نقش")</f>
        <v>ج) ہندسی قبائلی یا گاؤں کے نقش</v>
      </c>
      <c r="M31" s="5" t="str">
        <f>IFERROR(__xludf.DUMMYFUNCTION("GOOGLETRANSLATE(E31, ""en"", ""ur"")"),"بیلٹ پر کڑھائی میں اکثر ایسے نقش ہوتے ہیں جو پہلوان کی شناخت، نسب اور علاقائی فخر کو ظاہر کرتے ہیں۔")</f>
        <v>بیلٹ پر کڑھائی میں اکثر ایسے نقش ہوتے ہیں جو پہلوان کی شناخت، نسب اور علاقائی فخر کو ظاہر کرتے ہیں۔</v>
      </c>
    </row>
    <row r="32">
      <c r="A32" s="3">
        <v>31.0</v>
      </c>
      <c r="B32" s="4" t="s">
        <v>130</v>
      </c>
      <c r="C32" s="4" t="s">
        <v>131</v>
      </c>
      <c r="D32" s="4" t="s">
        <v>132</v>
      </c>
      <c r="E32" s="4" t="s">
        <v>133</v>
      </c>
      <c r="I32" s="5" t="str">
        <f>IFERROR(__xludf.DUMMYFUNCTION("GOOGLETRANSLATE(A32, ""en"", ""ur"")"),"31")</f>
        <v>31</v>
      </c>
      <c r="J32" s="5" t="str">
        <f>IFERROR(__xludf.DUMMYFUNCTION("GOOGLETRANSLATE(B32, ""en"", ""ur"")"),"19ویں صدی میں کس انگریز ایکسپلورر اور اسکالر نے اپنے سندھ کے تفصیلی احوال میں ملاکھڑا میچ دیکھنے کے بارے میں لکھا؟")</f>
        <v>19ویں صدی میں کس انگریز ایکسپلورر اور اسکالر نے اپنے سندھ کے تفصیلی احوال میں ملاکھڑا میچ دیکھنے کے بارے میں لکھا؟</v>
      </c>
      <c r="K32" s="5" t="str">
        <f>IFERROR(__xludf.DUMMYFUNCTION("GOOGLETRANSLATE(C32, ""en"", ""ur"")"),"A) الیگزینڈر کننگھم، B) سر رچرڈ برٹن، C) اوریل سٹین، D) T.E. لارنس")</f>
        <v>A) الیگزینڈر کننگھم، B) سر رچرڈ برٹن، C) اوریل سٹین، D) T.E. لارنس</v>
      </c>
      <c r="L32" s="5" t="str">
        <f>IFERROR(__xludf.DUMMYFUNCTION("GOOGLETRANSLATE(D32, ""en"", ""ur"")"),"ب) سر رچرڈ برٹن")</f>
        <v>ب) سر رچرڈ برٹن</v>
      </c>
      <c r="M32" s="5" t="str">
        <f>IFERROR(__xludf.DUMMYFUNCTION("GOOGLETRANSLATE(E32, ""en"", ""ur"")"),"مشہور ایکسپلورر اور ماہر لسانیات نے اس خطے میں اپنے وقت کے دوران سندھی ثقافت کے بہت سے پہلوؤں کو دستاویزی شکل دی، بشمول اس کی روایتی کشتی۔")</f>
        <v>مشہور ایکسپلورر اور ماہر لسانیات نے اس خطے میں اپنے وقت کے دوران سندھی ثقافت کے بہت سے پہلوؤں کو دستاویزی شکل دی، بشمول اس کی روایتی کشتی۔</v>
      </c>
    </row>
    <row r="33">
      <c r="A33" s="3">
        <v>32.0</v>
      </c>
      <c r="B33" s="4" t="s">
        <v>134</v>
      </c>
      <c r="C33" s="4" t="s">
        <v>135</v>
      </c>
      <c r="D33" s="4" t="s">
        <v>136</v>
      </c>
      <c r="E33" s="4" t="s">
        <v>137</v>
      </c>
      <c r="I33" s="5" t="str">
        <f>IFERROR(__xludf.DUMMYFUNCTION("GOOGLETRANSLATE(A33, ""en"", ""ur"")"),"32")</f>
        <v>32</v>
      </c>
      <c r="J33" s="5" t="str">
        <f>IFERROR(__xludf.DUMMYFUNCTION("GOOGLETRANSLATE(B33, ""en"", ""ur"")"),"مون سون کے موسم میں ملاکھڑا میچ تاریخی طور پر کیوں منع تھے؟")</f>
        <v>مون سون کے موسم میں ملاکھڑا میچ تاریخی طور پر کیوں منع تھے؟</v>
      </c>
      <c r="K33" s="5" t="str">
        <f>IFERROR(__xludf.DUMMYFUNCTION("GOOGLETRANSLATE(C33, ""en"", ""ur"")"),"A) یہ مذہبی روزوں کا دور تھا، B) پہلوان کھیتی باڑی میں مصروف تھے، C) مٹی اور ریت کے میدان خطرناک طور پر پھسلن اور ناقابل استعمال ہو جائیں گے، D) اسے بدقسمتی سمجھا جاتا تھا۔")</f>
        <v>A) یہ مذہبی روزوں کا دور تھا، B) پہلوان کھیتی باڑی میں مصروف تھے، C) مٹی اور ریت کے میدان خطرناک طور پر پھسلن اور ناقابل استعمال ہو جائیں گے، D) اسے بدقسمتی سمجھا جاتا تھا۔</v>
      </c>
      <c r="L33" s="5" t="str">
        <f>IFERROR(__xludf.DUMMYFUNCTION("GOOGLETRANSLATE(D33, ""en"", ""ur"")"),"ج) مٹی اور ریت کے میدان خطرناک طور پر پھسلن اور ناقابل استعمال ہو جائیں گے۔")</f>
        <v>ج) مٹی اور ریت کے میدان خطرناک طور پر پھسلن اور ناقابل استعمال ہو جائیں گے۔</v>
      </c>
      <c r="M33" s="5" t="str">
        <f>IFERROR(__xludf.DUMMYFUNCTION("GOOGLETRANSLATE(E33, ""en"", ""ur"")"),"مون سون کی تیز بارشیں ریسلنگ کے گڑھوں کو کیچڑ میں تبدیل کر دیتی ہیں، جس سے کھیل کو ناممکن اور پریکٹس کرنا غیر محفوظ ہو جاتا ہے۔")</f>
        <v>مون سون کی تیز بارشیں ریسلنگ کے گڑھوں کو کیچڑ میں تبدیل کر دیتی ہیں، جس سے کھیل کو ناممکن اور پریکٹس کرنا غیر محفوظ ہو جاتا ہے۔</v>
      </c>
    </row>
    <row r="34">
      <c r="A34" s="3">
        <v>33.0</v>
      </c>
      <c r="B34" s="4" t="s">
        <v>138</v>
      </c>
      <c r="C34" s="4" t="s">
        <v>139</v>
      </c>
      <c r="D34" s="4" t="s">
        <v>140</v>
      </c>
      <c r="E34" s="4" t="s">
        <v>141</v>
      </c>
      <c r="I34" s="5" t="str">
        <f>IFERROR(__xludf.DUMMYFUNCTION("GOOGLETRANSLATE(A34, ""en"", ""ur"")"),"33")</f>
        <v>33</v>
      </c>
      <c r="J34" s="5" t="str">
        <f>IFERROR(__xludf.DUMMYFUNCTION("GOOGLETRANSLATE(B34, ""en"", ""ur"")"),"ملاخرا کی روایت بنیادی طور پر زوال کے ادوار میں، جیسے برطانوی راج کے دوران کیسے محفوظ رہی؟")</f>
        <v>ملاخرا کی روایت بنیادی طور پر زوال کے ادوار میں، جیسے برطانوی راج کے دوران کیسے محفوظ رہی؟</v>
      </c>
      <c r="K34" s="5" t="str">
        <f>IFERROR(__xludf.DUMMYFUNCTION("GOOGLETRANSLATE(C34, ""en"", ""ur"")"),"A) تحریری اصولوں کی کتابوں کے ذریعے، B) رات کے خفیہ مقابلوں اور مذہبی تہواروں میں اس کی شمولیت کے ذریعے، C) افغانستان ہجرت کر کے، D) سکولوں میں پڑھائے جانے سے")</f>
        <v>A) تحریری اصولوں کی کتابوں کے ذریعے، B) رات کے خفیہ مقابلوں اور مذہبی تہواروں میں اس کی شمولیت کے ذریعے، C) افغانستان ہجرت کر کے، D) سکولوں میں پڑھائے جانے سے</v>
      </c>
      <c r="L34" s="5" t="str">
        <f>IFERROR(__xludf.DUMMYFUNCTION("GOOGLETRANSLATE(D34, ""en"", ""ur"")"),"ب) خفیہ نائٹ میچز اور مذہبی تہواروں میں اس کی شمولیت کے ذریعے")</f>
        <v>ب) خفیہ نائٹ میچز اور مذہبی تہواروں میں اس کی شمولیت کے ذریعے</v>
      </c>
      <c r="M34" s="5" t="str">
        <f>IFERROR(__xludf.DUMMYFUNCTION("GOOGLETRANSLATE(E34, ""en"", ""ur"")"),"اس کھیل کو ماسٹرز (استاد) اور کمیونٹیز نے زندہ رکھا جو اس پر عمل کرتے رہے، اکثر سرکاری جانچ پڑتال سے بچنے کے لیے مذہبی یا ثقافتی اجتماع کا بھیس بدل کر۔")</f>
        <v>اس کھیل کو ماسٹرز (استاد) اور کمیونٹیز نے زندہ رکھا جو اس پر عمل کرتے رہے، اکثر سرکاری جانچ پڑتال سے بچنے کے لیے مذہبی یا ثقافتی اجتماع کا بھیس بدل کر۔</v>
      </c>
    </row>
    <row r="35">
      <c r="A35" s="3">
        <v>34.0</v>
      </c>
      <c r="B35" s="4" t="s">
        <v>142</v>
      </c>
      <c r="C35" s="4" t="s">
        <v>143</v>
      </c>
      <c r="D35" s="4" t="s">
        <v>144</v>
      </c>
      <c r="E35" s="4" t="s">
        <v>145</v>
      </c>
      <c r="I35" s="5" t="str">
        <f>IFERROR(__xludf.DUMMYFUNCTION("GOOGLETRANSLATE(A35, ""en"", ""ur"")"),"34")</f>
        <v>34</v>
      </c>
      <c r="J35" s="5" t="str">
        <f>IFERROR(__xludf.DUMMYFUNCTION("GOOGLETRANSLATE(B35, ""en"", ""ur"")"),"سندھی زبانی کہانیوں میں ملاکھڑا پہلوانوں کو اکثر کس چیز کے محافظ کے طور پر دکھایا جاتا ہے؟")</f>
        <v>سندھی زبانی کہانیوں میں ملاکھڑا پہلوانوں کو اکثر کس چیز کے محافظ کے طور پر دکھایا جاتا ہے؟</v>
      </c>
      <c r="K35" s="5" t="str">
        <f>IFERROR(__xludf.DUMMYFUNCTION("GOOGLETRANSLATE(C35, ""en"", ""ur"")"),"A) گاؤں کا مویشی، B) گاؤں کی دولت، C) گاؤں کی عزت اور وقار، D) مقامی مزار")</f>
        <v>A) گاؤں کا مویشی، B) گاؤں کی دولت، C) گاؤں کی عزت اور وقار، D) مقامی مزار</v>
      </c>
      <c r="L35" s="5" t="str">
        <f>IFERROR(__xludf.DUMMYFUNCTION("GOOGLETRANSLATE(D35, ""en"", ""ur"")"),"ج) گاؤں کی عزت اور وقار")</f>
        <v>ج) گاؤں کی عزت اور وقار</v>
      </c>
      <c r="M35" s="5" t="str">
        <f>IFERROR(__xludf.DUMMYFUNCTION("GOOGLETRANSLATE(E35, ""en"", ""ur"")"),"چیمپیئن پہلوان ایک لوک ہیرو تھا، کمیونٹی کی طاقت اور حریفوں کے خلاف اپنے اعزاز کا دفاع کرنے کی صلاحیت کی علامت تھا۔")</f>
        <v>چیمپیئن پہلوان ایک لوک ہیرو تھا، کمیونٹی کی طاقت اور حریفوں کے خلاف اپنے اعزاز کا دفاع کرنے کی صلاحیت کی علامت تھا۔</v>
      </c>
    </row>
    <row r="36">
      <c r="A36" s="3">
        <v>35.0</v>
      </c>
      <c r="B36" s="4" t="s">
        <v>146</v>
      </c>
      <c r="C36" s="4" t="s">
        <v>147</v>
      </c>
      <c r="D36" s="4" t="s">
        <v>148</v>
      </c>
      <c r="E36" s="4" t="s">
        <v>149</v>
      </c>
      <c r="I36" s="5" t="str">
        <f>IFERROR(__xludf.DUMMYFUNCTION("GOOGLETRANSLATE(A36, ""en"", ""ur"")"),"35")</f>
        <v>35</v>
      </c>
      <c r="J36" s="5" t="str">
        <f>IFERROR(__xludf.DUMMYFUNCTION("GOOGLETRANSLATE(B36, ""en"", ""ur"")"),"ملاخرہ میں گھٹنے ٹیکنے کی پوزیشن کی تاریخی اہمیت کیا ہے؟")</f>
        <v>ملاخرہ میں گھٹنے ٹیکنے کی پوزیشن کی تاریخی اہمیت کیا ہے؟</v>
      </c>
      <c r="K36" s="5" t="str">
        <f>IFERROR(__xludf.DUMMYFUNCTION("GOOGLETRANSLATE(C36, ""en"", ""ur"")"),"A) یہ یقینی بناتا ہے کہ دونوں پہلوان برابر قدموں سے شروع ہوں اور وقت سے پہلے رش کو روکیں، B) یہ دعا کی علامت ہے، C) یہ پہلوان کی ٹانگوں کی طاقت کو جانچنے کا ایک طریقہ ہے، D) یہ ایک جدید ایجاد ہے۔")</f>
        <v>A) یہ یقینی بناتا ہے کہ دونوں پہلوان برابر قدموں سے شروع ہوں اور وقت سے پہلے رش کو روکیں، B) یہ دعا کی علامت ہے، C) یہ پہلوان کی ٹانگوں کی طاقت کو جانچنے کا ایک طریقہ ہے، D) یہ ایک جدید ایجاد ہے۔</v>
      </c>
      <c r="L36" s="5" t="str">
        <f>IFERROR(__xludf.DUMMYFUNCTION("GOOGLETRANSLATE(D36, ""en"", ""ur"")"),"A) یہ یقینی بناتا ہے کہ دونوں پہلوان برابر کے ساتھ شروع ہوتے ہیں اور قبل از وقت رش کو روکتا ہے۔")</f>
        <v>A) یہ یقینی بناتا ہے کہ دونوں پہلوان برابر کے ساتھ شروع ہوتے ہیں اور قبل از وقت رش کو روکتا ہے۔</v>
      </c>
      <c r="M36" s="5" t="str">
        <f>IFERROR(__xludf.DUMMYFUNCTION("GOOGLETRANSLATE(E36, ""en"", ""ur"")"),"یہ انوکھا آغاز قاعدہ اس بات کی ضمانت دیتا ہے کہ میچ جوش اور تکنیک کے ساتھ شروع ہوتا ہے، نہ کہ صرف افراتفری کے الزام سے۔")</f>
        <v>یہ انوکھا آغاز قاعدہ اس بات کی ضمانت دیتا ہے کہ میچ جوش اور تکنیک کے ساتھ شروع ہوتا ہے، نہ کہ صرف افراتفری کے الزام سے۔</v>
      </c>
    </row>
    <row r="37">
      <c r="A37" s="3">
        <v>36.0</v>
      </c>
      <c r="B37" s="4" t="s">
        <v>150</v>
      </c>
      <c r="C37" s="4" t="s">
        <v>151</v>
      </c>
      <c r="D37" s="4" t="s">
        <v>152</v>
      </c>
      <c r="E37" s="4" t="s">
        <v>153</v>
      </c>
      <c r="I37" s="5" t="str">
        <f>IFERROR(__xludf.DUMMYFUNCTION("GOOGLETRANSLATE(A37, ""en"", ""ur"")"),"36")</f>
        <v>36</v>
      </c>
      <c r="J37" s="5" t="str">
        <f>IFERROR(__xludf.DUMMYFUNCTION("GOOGLETRANSLATE(B37, ""en"", ""ur"")"),"چیمپئن کی بیلٹ کو سجانے کے لیے کون سا روایتی سندھی دستکاری اکثر استعمال ہوتی ہے؟")</f>
        <v>چیمپئن کی بیلٹ کو سجانے کے لیے کون سا روایتی سندھی دستکاری اکثر استعمال ہوتی ہے؟</v>
      </c>
      <c r="K37" s="5" t="str">
        <f>IFERROR(__xludf.DUMMYFUNCTION("GOOGLETRANSLATE(C37, ""en"", ""ur"")"),"A) اجرک بلاک پرنٹنگ، B) ریل کی لحاف، C) سندھی کڑھائی، D) نیلے مٹی کے برتن")</f>
        <v>A) اجرک بلاک پرنٹنگ، B) ریل کی لحاف، C) سندھی کڑھائی، D) نیلے مٹی کے برتن</v>
      </c>
      <c r="L37" s="5" t="str">
        <f>IFERROR(__xludf.DUMMYFUNCTION("GOOGLETRANSLATE(D37, ""en"", ""ur"")"),"ج) سندھی کڑھائی")</f>
        <v>ج) سندھی کڑھائی</v>
      </c>
      <c r="M37" s="5" t="str">
        <f>IFERROR(__xludf.DUMMYFUNCTION("GOOGLETRANSLATE(E37, ""en"", ""ur"")"),"نامور پہلوانوں کے بیلٹس میں اکثر پیچیدہ اور رنگین کڑھائی والے نقش ہوتے ہیں جو ان کی حیثیت اور ثقافتی فخر کی نشاندہی کرتے ہیں۔")</f>
        <v>نامور پہلوانوں کے بیلٹس میں اکثر پیچیدہ اور رنگین کڑھائی والے نقش ہوتے ہیں جو ان کی حیثیت اور ثقافتی فخر کی نشاندہی کرتے ہیں۔</v>
      </c>
    </row>
    <row r="38">
      <c r="A38" s="3">
        <v>37.0</v>
      </c>
      <c r="B38" s="4" t="s">
        <v>154</v>
      </c>
      <c r="C38" s="4" t="s">
        <v>155</v>
      </c>
      <c r="D38" s="4" t="s">
        <v>156</v>
      </c>
      <c r="E38" s="4" t="s">
        <v>157</v>
      </c>
      <c r="I38" s="5" t="str">
        <f>IFERROR(__xludf.DUMMYFUNCTION("GOOGLETRANSLATE(A38, ""en"", ""ur"")"),"37")</f>
        <v>37</v>
      </c>
      <c r="J38" s="5" t="str">
        <f>IFERROR(__xludf.DUMMYFUNCTION("GOOGLETRANSLATE(B38, ""en"", ""ur"")"),"پاکستان کی آزادی کے بعد ملاخرہ کو بنیادی طور پر کن ذرائع سے محفوظ اور فروغ دیا گیا؟")</f>
        <v>پاکستان کی آزادی کے بعد ملاخرہ کو بنیادی طور پر کن ذرائع سے محفوظ اور فروغ دیا گیا؟</v>
      </c>
      <c r="K38" s="5" t="str">
        <f>IFERROR(__xludf.DUMMYFUNCTION("GOOGLETRANSLATE(C38, ""en"", ""ur"")"),"A) پرائیویٹ ریسلنگ کلب، B) حکومت کے زیر اہتمام ثقافتی میلے اور تقریبات، C) مسلح افواج، D) بین الاقوامی مقابلے")</f>
        <v>A) پرائیویٹ ریسلنگ کلب، B) حکومت کے زیر اہتمام ثقافتی میلے اور تقریبات، C) مسلح افواج، D) بین الاقوامی مقابلے</v>
      </c>
      <c r="L38" s="5" t="str">
        <f>IFERROR(__xludf.DUMMYFUNCTION("GOOGLETRANSLATE(D38, ""en"", ""ur"")"),"ب) حکومت کے زیر اہتمام ثقافتی تہوار اور تقریبات")</f>
        <v>ب) حکومت کے زیر اہتمام ثقافتی تہوار اور تقریبات</v>
      </c>
      <c r="M38" s="5" t="str">
        <f>IFERROR(__xludf.DUMMYFUNCTION("GOOGLETRANSLATE(E38, ""en"", ""ur"")"),"صوبائی اور قومی ثقافتی محکموں نے ریاستی سرپرستی میں ہونے والے تہواروں میں ملاخرا کی بقا کو یقینی بنانے میں کلیدی کردار ادا کیا۔")</f>
        <v>صوبائی اور قومی ثقافتی محکموں نے ریاستی سرپرستی میں ہونے والے تہواروں میں ملاخرا کی بقا کو یقینی بنانے میں کلیدی کردار ادا کیا۔</v>
      </c>
    </row>
    <row r="39">
      <c r="A39" s="3">
        <v>38.0</v>
      </c>
      <c r="B39" s="4" t="s">
        <v>158</v>
      </c>
      <c r="C39" s="4" t="s">
        <v>159</v>
      </c>
      <c r="D39" s="4" t="s">
        <v>160</v>
      </c>
      <c r="E39" s="4" t="s">
        <v>161</v>
      </c>
      <c r="I39" s="5" t="str">
        <f>IFERROR(__xludf.DUMMYFUNCTION("GOOGLETRANSLATE(A39, ""en"", ""ur"")"),"38")</f>
        <v>38</v>
      </c>
      <c r="J39" s="5" t="str">
        <f>IFERROR(__xludf.DUMMYFUNCTION("GOOGLETRANSLATE(B39, ""en"", ""ur"")"),"سندھی لوک داستانوں میں، کس افسانوی ہیرو کے بارے میں کہا جاتا ہے کہ وہ شیطانوں کو شکست دینے کے لیے کشتی کی تکنیک استعمال کرتا تھا؟")</f>
        <v>سندھی لوک داستانوں میں، کس افسانوی ہیرو کے بارے میں کہا جاتا ہے کہ وہ شیطانوں کو شکست دینے کے لیے کشتی کی تکنیک استعمال کرتا تھا؟</v>
      </c>
      <c r="K39" s="5" t="str">
        <f>IFERROR(__xludf.DUMMYFUNCTION("GOOGLETRANSLATE(C39, ""en"", ""ur"")"),"A) اڈیرولال، B) دودو سومرو، C) جام تماچی، D) موریرو میربہار")</f>
        <v>A) اڈیرولال، B) دودو سومرو، C) جام تماچی، D) موریرو میربہار</v>
      </c>
      <c r="L39" s="5" t="str">
        <f>IFERROR(__xludf.DUMMYFUNCTION("GOOGLETRANSLATE(D39, ""en"", ""ur"")"),"ڈی) موریرو میربہار")</f>
        <v>ڈی) موریرو میربہار</v>
      </c>
      <c r="M39" s="5" t="str">
        <f>IFERROR(__xludf.DUMMYFUNCTION("GOOGLETRANSLATE(E39, ""en"", ""ur"")"),"لوک ہیرو موریرو میربہار، ایک مچھیرے کو کچھ کہانیوں میں اپنے لوگوں کو بچانے کے لیے کشتی اور مافوق الفطرت مخلوق کو شکست دینے کا سہرا دیا جاتا ہے۔")</f>
        <v>لوک ہیرو موریرو میربہار، ایک مچھیرے کو کچھ کہانیوں میں اپنے لوگوں کو بچانے کے لیے کشتی اور مافوق الفطرت مخلوق کو شکست دینے کا سہرا دیا جاتا ہے۔</v>
      </c>
    </row>
    <row r="40">
      <c r="A40" s="3">
        <v>39.0</v>
      </c>
      <c r="B40" s="4" t="s">
        <v>162</v>
      </c>
      <c r="C40" s="4" t="s">
        <v>163</v>
      </c>
      <c r="D40" s="4" t="s">
        <v>164</v>
      </c>
      <c r="E40" s="4" t="s">
        <v>165</v>
      </c>
      <c r="I40" s="5" t="str">
        <f>IFERROR(__xludf.DUMMYFUNCTION("GOOGLETRANSLATE(A40, ""en"", ""ur"")"),"39")</f>
        <v>39</v>
      </c>
      <c r="J40" s="5" t="str">
        <f>IFERROR(__xludf.DUMMYFUNCTION("GOOGLETRANSLATE(B40, ""en"", ""ur"")"),"نوآبادیاتی دور میں کس برطانوی ٹیکس نے متعارف کرایا جس نے کمیونٹیز کے لیے بڑے ملاخرا تہواروں کی میزبانی کرنا زیادہ مہنگا بنا دیا؟")</f>
        <v>نوآبادیاتی دور میں کس برطانوی ٹیکس نے متعارف کرایا جس نے کمیونٹیز کے لیے بڑے ملاخرا تہواروں کی میزبانی کرنا زیادہ مہنگا بنا دیا؟</v>
      </c>
      <c r="K40" s="5" t="str">
        <f>IFERROR(__xludf.DUMMYFUNCTION("GOOGLETRANSLATE(C40, ""en"", ""ur"")"),"A) ایک میدان لائسنس فیس، B) عوامی اجتماعات پر ""تفریحی ڈیوٹی"" یا ٹیکس، C) زرعی ٹیکس، D) حج ٹیکس")</f>
        <v>A) ایک میدان لائسنس فیس، B) عوامی اجتماعات پر "تفریحی ڈیوٹی" یا ٹیکس، C) زرعی ٹیکس، D) حج ٹیکس</v>
      </c>
      <c r="L40" s="5" t="str">
        <f>IFERROR(__xludf.DUMMYFUNCTION("GOOGLETRANSLATE(D40, ""en"", ""ur"")"),"ب) عوامی اجتماعات پر ""تفریحی ڈیوٹی"" یا ٹیکس")</f>
        <v>ب) عوامی اجتماعات پر "تفریحی ڈیوٹی" یا ٹیکس</v>
      </c>
      <c r="M40" s="5" t="str">
        <f>IFERROR(__xludf.DUMMYFUNCTION("GOOGLETRANSLATE(E40, ""en"", ""ur"")"),"بڑے عوامی پروگراموں پر ٹیکس لگا کر، نوآبادیاتی حکام نے دیہاتوں کے لیے روایتی تہواروں کا اہتمام کرنا مالی طور پر مشکل بنا دیا۔")</f>
        <v>بڑے عوامی پروگراموں پر ٹیکس لگا کر، نوآبادیاتی حکام نے دیہاتوں کے لیے روایتی تہواروں کا اہتمام کرنا مالی طور پر مشکل بنا دیا۔</v>
      </c>
    </row>
    <row r="41">
      <c r="A41" s="3">
        <v>40.0</v>
      </c>
      <c r="B41" s="4" t="s">
        <v>166</v>
      </c>
      <c r="C41" s="4" t="s">
        <v>167</v>
      </c>
      <c r="D41" s="4" t="s">
        <v>168</v>
      </c>
      <c r="E41" s="4" t="s">
        <v>169</v>
      </c>
      <c r="I41" s="5" t="str">
        <f>IFERROR(__xludf.DUMMYFUNCTION("GOOGLETRANSLATE(A41, ""en"", ""ur"")"),"40")</f>
        <v>40</v>
      </c>
      <c r="J41" s="5" t="str">
        <f>IFERROR(__xludf.DUMMYFUNCTION("GOOGLETRANSLATE(B41, ""en"", ""ur"")"),"ملاخرہ میں ماسٹر یا کوچ کی اصطلاح وہی ہے جو بہت سے دوسرے برصغیر کے فنون میں ہے۔ یہ کیا ہے؟")</f>
        <v>ملاخرہ میں ماسٹر یا کوچ کی اصطلاح وہی ہے جو بہت سے دوسرے برصغیر کے فنون میں ہے۔ یہ کیا ہے؟</v>
      </c>
      <c r="K41" s="5" t="str">
        <f>IFERROR(__xludf.DUMMYFUNCTION("GOOGLETRANSLATE(C41, ""en"", ""ur"")"),"اے) گرو، بی) سینسی، سی) استاد، ڈی) سیفو")</f>
        <v>اے) گرو، بی) سینسی، سی) استاد، ڈی) سیفو</v>
      </c>
      <c r="L41" s="5" t="str">
        <f>IFERROR(__xludf.DUMMYFUNCTION("GOOGLETRANSLATE(D41, ""en"", ""ur"")"),"ج) استاد")</f>
        <v>ج) استاد</v>
      </c>
      <c r="M41" s="5" t="str">
        <f>IFERROR(__xludf.DUMMYFUNCTION("GOOGLETRANSLATE(E41, ""en"", ""ur"")"),"ایک استاد ایک قابل احترام استاد اور استاد ہوتا ہے جو فن کی تکنیک اور فلسفہ کو منتقل کرنے کا ذمہ دار ہوتا ہے۔")</f>
        <v>ایک استاد ایک قابل احترام استاد اور استاد ہوتا ہے جو فن کی تکنیک اور فلسفہ کو منتقل کرنے کا ذمہ دار ہوتا ہے۔</v>
      </c>
    </row>
    <row r="42">
      <c r="A42" s="3">
        <v>41.0</v>
      </c>
      <c r="B42" s="4" t="s">
        <v>170</v>
      </c>
      <c r="C42" s="4" t="s">
        <v>171</v>
      </c>
      <c r="D42" s="4" t="s">
        <v>172</v>
      </c>
      <c r="E42" s="4" t="s">
        <v>173</v>
      </c>
      <c r="I42" s="5" t="str">
        <f>IFERROR(__xludf.DUMMYFUNCTION("GOOGLETRANSLATE(A42, ""en"", ""ur"")"),"41")</f>
        <v>41</v>
      </c>
      <c r="J42" s="5" t="str">
        <f>IFERROR(__xludf.DUMMYFUNCTION("GOOGLETRANSLATE(B42, ""en"", ""ur"")"),"ملاخرہ اور کبڈی کے درمیان مقصد میں بنیادی فرق کیا ہے؟")</f>
        <v>ملاخرہ اور کبڈی کے درمیان مقصد میں بنیادی فرق کیا ہے؟</v>
      </c>
      <c r="K42" s="5" t="str">
        <f>IFERROR(__xludf.DUMMYFUNCTION("GOOGLETRANSLATE(C42, ""en"", ""ur"")"),"A) ملاکھڑا ایک ٹیم کا کھیل ہے، B) کبڈی میں ""چھاپہ مارنا"" شامل ہے، جب کہ ملاکھڑا خالص جوت بازی کا مقابلہ ہے، C) ملاکھڑا بیلٹ کا استعمال کرتا ہے، D) B اور C دونوں")</f>
        <v>A) ملاکھڑا ایک ٹیم کا کھیل ہے، B) کبڈی میں "چھاپہ مارنا" شامل ہے، جب کہ ملاکھڑا خالص جوت بازی کا مقابلہ ہے، C) ملاکھڑا بیلٹ کا استعمال کرتا ہے، D) B اور C دونوں</v>
      </c>
      <c r="L42" s="5" t="str">
        <f>IFERROR(__xludf.DUMMYFUNCTION("GOOGLETRANSLATE(D42, ""en"", ""ur"")"),"D) B اور C دونوں")</f>
        <v>D) B اور C دونوں</v>
      </c>
      <c r="M42" s="5" t="str">
        <f>IFERROR(__xludf.DUMMYFUNCTION("GOOGLETRANSLATE(E42, ""en"", ""ur"")"),"کبڈی ایک ٹیم کے چھاپے اور ٹیگ کا کھیل ہے، جب کہ ملاکھڑا ایک دوسرے سے لڑنے والا جوڑا ہے جس کی تعریف بیلٹ کے استعمال سے ہوتی ہے۔")</f>
        <v>کبڈی ایک ٹیم کے چھاپے اور ٹیگ کا کھیل ہے، جب کہ ملاکھڑا ایک دوسرے سے لڑنے والا جوڑا ہے جس کی تعریف بیلٹ کے استعمال سے ہوتی ہے۔</v>
      </c>
    </row>
    <row r="43">
      <c r="A43" s="3">
        <v>42.0</v>
      </c>
      <c r="B43" s="4" t="s">
        <v>174</v>
      </c>
      <c r="C43" s="4" t="s">
        <v>175</v>
      </c>
      <c r="D43" s="4" t="s">
        <v>176</v>
      </c>
      <c r="E43" s="4" t="s">
        <v>177</v>
      </c>
      <c r="I43" s="5" t="str">
        <f>IFERROR(__xludf.DUMMYFUNCTION("GOOGLETRANSLATE(A43, ""en"", ""ur"")"),"42")</f>
        <v>42</v>
      </c>
      <c r="J43" s="5" t="str">
        <f>IFERROR(__xludf.DUMMYFUNCTION("GOOGLETRANSLATE(B43, ""en"", ""ur"")"),"میچ کے دوران ڈھول کا بنیادی کردار کیا ہے؟")</f>
        <v>میچ کے دوران ڈھول کا بنیادی کردار کیا ہے؟</v>
      </c>
      <c r="K43" s="5" t="str">
        <f>IFERROR(__xludf.DUMMYFUNCTION("GOOGLETRANSLATE(C43, ""en"", ""ur"")"),"A) ایک راؤنڈ کے اختتام کا اشارہ دینے کے لئے، B) ایک پرجوش اور تال کی دھڑکن فراہم کرنے کے لئے جو جوش و خروش پیدا کرے اور عمل کی رفتار کو فالو کرے، C) پہلوانوں کا دھیان بٹانے کے لئے، D) میڈیکل ٹائم آؤٹ کا مطالبہ کرنا")</f>
        <v>A) ایک راؤنڈ کے اختتام کا اشارہ دینے کے لئے، B) ایک پرجوش اور تال کی دھڑکن فراہم کرنے کے لئے جو جوش و خروش پیدا کرے اور عمل کی رفتار کو فالو کرے، C) پہلوانوں کا دھیان بٹانے کے لئے، D) میڈیکل ٹائم آؤٹ کا مطالبہ کرنا</v>
      </c>
      <c r="L43" s="5" t="str">
        <f>IFERROR(__xludf.DUMMYFUNCTION("GOOGLETRANSLATE(D43, ""en"", ""ur"")"),"ب) ایک پُرجوش اور تال کی دھڑکن فراہم کرنا جو جوش و خروش پیدا کرے اور عمل کی رفتار کو آگے بڑھائے۔")</f>
        <v>ب) ایک پُرجوش اور تال کی دھڑکن فراہم کرنا جو جوش و خروش پیدا کرے اور عمل کی رفتار کو آگے بڑھائے۔</v>
      </c>
      <c r="M43" s="5" t="str">
        <f>IFERROR(__xludf.DUMMYFUNCTION("GOOGLETRANSLATE(E43, ""en"", ""ur"")"),"ڈرم کی دھڑکن میچ کی ""دل کی دھڑکن"" ہے، جو ہجوم اور حریف دونوں کے لیے ایک طاقتور اور تہوار کا ماحول بناتی ہے۔")</f>
        <v>ڈرم کی دھڑکن میچ کی "دل کی دھڑکن" ہے، جو ہجوم اور حریف دونوں کے لیے ایک طاقتور اور تہوار کا ماحول بناتی ہے۔</v>
      </c>
    </row>
    <row r="44">
      <c r="A44" s="3">
        <v>43.0</v>
      </c>
      <c r="B44" s="4" t="s">
        <v>178</v>
      </c>
      <c r="C44" s="4" t="s">
        <v>179</v>
      </c>
      <c r="D44" s="4" t="s">
        <v>180</v>
      </c>
      <c r="E44" s="4" t="s">
        <v>181</v>
      </c>
      <c r="I44" s="5" t="str">
        <f>IFERROR(__xludf.DUMMYFUNCTION("GOOGLETRANSLATE(A44, ""en"", ""ur"")"),"43")</f>
        <v>43</v>
      </c>
      <c r="J44" s="5" t="str">
        <f>IFERROR(__xludf.DUMMYFUNCTION("GOOGLETRANSLATE(B44, ""en"", ""ur"")"),"اس بات کو یقینی بنانے کے لیے بیلٹ (سندھرو) کو مخصوص طریقے سے باندھا جاتا ہے؟")</f>
        <v>اس بات کو یقینی بنانے کے لیے بیلٹ (سندھرو) کو مخصوص طریقے سے باندھا جاتا ہے؟</v>
      </c>
      <c r="K44" s="5" t="str">
        <f>IFERROR(__xludf.DUMMYFUNCTION("GOOGLETRANSLATE(C44, ""en"", ""ur"")"),"A) یہ آرائشی نظر آتا ہے، B) اسے ہٹانا آسان ہے، C) یہ دونوں پہلوانوں کے لیے ایک محفوظ گرفت فراہم کرتا ہے لیکن انہیں زخمی نہیں کرتا، D) یہ ایک مقدس آدمی کی برکت سے ہوتا ہے۔")</f>
        <v>A) یہ آرائشی نظر آتا ہے، B) اسے ہٹانا آسان ہے، C) یہ دونوں پہلوانوں کے لیے ایک محفوظ گرفت فراہم کرتا ہے لیکن انہیں زخمی نہیں کرتا، D) یہ ایک مقدس آدمی کی برکت سے ہوتا ہے۔</v>
      </c>
      <c r="L44" s="5" t="str">
        <f>IFERROR(__xludf.DUMMYFUNCTION("GOOGLETRANSLATE(D44, ""en"", ""ur"")"),"C) یہ دونوں پہلوانوں کے لیے ایک محفوظ گرفت فراہم کرتا ہے لیکن انہیں زخمی نہیں کرتا")</f>
        <v>C) یہ دونوں پہلوانوں کے لیے ایک محفوظ گرفت فراہم کرتا ہے لیکن انہیں زخمی نہیں کرتا</v>
      </c>
      <c r="M44" s="5" t="str">
        <f>IFERROR(__xludf.DUMMYFUNCTION("GOOGLETRANSLATE(E44, ""en"", ""ur"")"),"بیلٹ کی گرہ اور جکڑن کو احتیاط سے تیار کیا جاتا ہے تاکہ وہ جوڑنے کی تکنیکوں کے لیے فعال اور محفوظ ہو۔")</f>
        <v>بیلٹ کی گرہ اور جکڑن کو احتیاط سے تیار کیا جاتا ہے تاکہ وہ جوڑنے کی تکنیکوں کے لیے فعال اور محفوظ ہو۔</v>
      </c>
    </row>
    <row r="45">
      <c r="A45" s="3">
        <v>44.0</v>
      </c>
      <c r="B45" s="4" t="s">
        <v>182</v>
      </c>
      <c r="C45" s="4" t="s">
        <v>183</v>
      </c>
      <c r="D45" s="4" t="s">
        <v>184</v>
      </c>
      <c r="E45" s="4" t="s">
        <v>185</v>
      </c>
      <c r="I45" s="5" t="str">
        <f>IFERROR(__xludf.DUMMYFUNCTION("GOOGLETRANSLATE(A45, ""en"", ""ur"")"),"44")</f>
        <v>44</v>
      </c>
      <c r="J45" s="5" t="str">
        <f>IFERROR(__xludf.DUMMYFUNCTION("GOOGLETRANSLATE(B45, ""en"", ""ur"")"),"""پہلوان"" جسم کی بنیادی خصوصیت کیا ہے؟")</f>
        <v>"پہلوان" جسم کی بنیادی خصوصیت کیا ہے؟</v>
      </c>
      <c r="K45" s="5" t="str">
        <f>IFERROR(__xludf.DUMMYFUNCTION("GOOGLETRANSLATE(C45, ""en"", ""ur"")"),"A) بہت دبلا اور پتلا، B) مضبوط کندھوں، کمر اور ٹانگوں کے ساتھ ایک طاقتور تعمیر، C) ایک چھوٹی اور مضبوط ساخت، D) ایک لمبی اور پتلی تعمیر")</f>
        <v>A) بہت دبلا اور پتلا، B) مضبوط کندھوں، کمر اور ٹانگوں کے ساتھ ایک طاقتور تعمیر، C) ایک چھوٹی اور مضبوط ساخت، D) ایک لمبی اور پتلی تعمیر</v>
      </c>
      <c r="L45" s="5" t="str">
        <f>IFERROR(__xludf.DUMMYFUNCTION("GOOGLETRANSLATE(D45, ""en"", ""ur"")"),"ب) مضبوط کندھوں، کمر اور ٹانگوں کے ساتھ ایک طاقتور تعمیر")</f>
        <v>ب) مضبوط کندھوں، کمر اور ٹانگوں کے ساتھ ایک طاقتور تعمیر</v>
      </c>
      <c r="M45" s="5" t="str">
        <f>IFERROR(__xludf.DUMMYFUNCTION("GOOGLETRANSLATE(E45, ""en"", ""ur"")"),"ایک روایتی پہلوان، یا پہلوان، اپنی بے پناہ فعال طاقت کے لیے جانا جاتا ہے، جو برسوں کی تربیت کے ذریعے تیار ہوا ہے۔")</f>
        <v>ایک روایتی پہلوان، یا پہلوان، اپنی بے پناہ فعال طاقت کے لیے جانا جاتا ہے، جو برسوں کی تربیت کے ذریعے تیار ہوا ہے۔</v>
      </c>
    </row>
    <row r="46">
      <c r="A46" s="3">
        <v>45.0</v>
      </c>
      <c r="B46" s="4" t="s">
        <v>186</v>
      </c>
      <c r="C46" s="4" t="s">
        <v>187</v>
      </c>
      <c r="D46" s="4" t="s">
        <v>188</v>
      </c>
      <c r="E46" s="4" t="s">
        <v>189</v>
      </c>
      <c r="I46" s="5" t="str">
        <f>IFERROR(__xludf.DUMMYFUNCTION("GOOGLETRANSLATE(A46, ""en"", ""ur"")"),"45")</f>
        <v>45</v>
      </c>
      <c r="J46" s="5" t="str">
        <f>IFERROR(__xludf.DUMMYFUNCTION("GOOGLETRANSLATE(B46, ""en"", ""ur"")"),"ایک پہلوان نے میچ سے پہلے اپنے جسم پر تیل لگایا تھا۔ یہ فضول کیوں ہے؟")</f>
        <v>ایک پہلوان نے میچ سے پہلے اپنے جسم پر تیل لگایا تھا۔ یہ فضول کیوں ہے؟</v>
      </c>
      <c r="K46" s="5" t="str">
        <f>IFERROR(__xludf.DUMMYFUNCTION("GOOGLETRANSLATE(C46, ""en"", ""ur"")"),"A) یہ غیر صحت بخش ہے، B) یہ مخالف کے لیے مناسب گرفت حاصل کرنا ناممکن بنا دیتا ہے، C) یہ ایک جدید عمل ہے، D) یہ بیلٹ کو نقصان پہنچا سکتا ہے۔")</f>
        <v>A) یہ غیر صحت بخش ہے، B) یہ مخالف کے لیے مناسب گرفت حاصل کرنا ناممکن بنا دیتا ہے، C) یہ ایک جدید عمل ہے، D) یہ بیلٹ کو نقصان پہنچا سکتا ہے۔</v>
      </c>
      <c r="L46" s="5" t="str">
        <f>IFERROR(__xludf.DUMMYFUNCTION("GOOGLETRANSLATE(D46, ""en"", ""ur"")"),"ب) یہ مخالف کے لیے مناسب گرفت حاصل کرنا ناممکن بنا دیتا ہے۔")</f>
        <v>ب) یہ مخالف کے لیے مناسب گرفت حاصل کرنا ناممکن بنا دیتا ہے۔</v>
      </c>
      <c r="M46" s="5" t="str">
        <f>IFERROR(__xludf.DUMMYFUNCTION("GOOGLETRANSLATE(E46, ""en"", ""ur"")"),"کسی بھی پھسلنے والے مادے کو لگانا گریپنگ کھیلوں میں دھوکہ دہی کی ایک کلاسک شکل ہے اور اس کے نتیجے میں نااہلی ہوتی ہے۔")</f>
        <v>کسی بھی پھسلنے والے مادے کو لگانا گریپنگ کھیلوں میں دھوکہ دہی کی ایک کلاسک شکل ہے اور اس کے نتیجے میں نااہلی ہوتی ہے۔</v>
      </c>
    </row>
    <row r="47">
      <c r="A47" s="3">
        <v>46.0</v>
      </c>
      <c r="B47" s="4" t="s">
        <v>190</v>
      </c>
      <c r="C47" s="4" t="s">
        <v>191</v>
      </c>
      <c r="D47" s="4" t="s">
        <v>192</v>
      </c>
      <c r="E47" s="4" t="s">
        <v>193</v>
      </c>
      <c r="I47" s="5" t="str">
        <f>IFERROR(__xludf.DUMMYFUNCTION("GOOGLETRANSLATE(A47, ""en"", ""ur"")"),"46")</f>
        <v>46</v>
      </c>
      <c r="J47" s="5" t="str">
        <f>IFERROR(__xludf.DUMMYFUNCTION("GOOGLETRANSLATE(B47, ""en"", ""ur"")"),"ملاخرہ میں ان میں سے کون سی قانونی تکنیک ہے؟")</f>
        <v>ملاخرہ میں ان میں سے کون سی قانونی تکنیک ہے؟</v>
      </c>
      <c r="K47" s="5" t="str">
        <f>IFERROR(__xludf.DUMMYFUNCTION("GOOGLETRANSLATE(C47, ""en"", ""ur"")"),"A) ایک چوک ہولڈ، B) انگلی کو مروڑنا، C) کولہے کا پھینکنا (بگھالی)، D) بازو کی بار")</f>
        <v>A) ایک چوک ہولڈ، B) انگلی کو مروڑنا، C) کولہے کا پھینکنا (بگھالی)، D) بازو کی بار</v>
      </c>
      <c r="L47" s="5" t="str">
        <f>IFERROR(__xludf.DUMMYFUNCTION("GOOGLETRANSLATE(D47, ""en"", ""ur"")"),"ج) ہپ تھرو (بگھالی)")</f>
        <v>ج) ہپ تھرو (بگھالی)</v>
      </c>
      <c r="M47" s="5" t="str">
        <f>IFERROR(__xludf.DUMMYFUNCTION("GOOGLETRANSLATE(E47, ""en"", ""ur"")"),"پھینکیں، ٹرپ، اور جھاڑو جو بیلٹ گرفت سے فائدہ اٹھاتے ہیں اس کھیل کی بنیادی جارحانہ تکنیک ہیں۔")</f>
        <v>پھینکیں، ٹرپ، اور جھاڑو جو بیلٹ گرفت سے فائدہ اٹھاتے ہیں اس کھیل کی بنیادی جارحانہ تکنیک ہیں۔</v>
      </c>
    </row>
    <row r="48">
      <c r="A48" s="3">
        <v>47.0</v>
      </c>
      <c r="B48" s="4" t="s">
        <v>194</v>
      </c>
      <c r="C48" s="4" t="s">
        <v>195</v>
      </c>
      <c r="D48" s="4" t="s">
        <v>196</v>
      </c>
      <c r="E48" s="4" t="s">
        <v>197</v>
      </c>
      <c r="I48" s="5" t="str">
        <f>IFERROR(__xludf.DUMMYFUNCTION("GOOGLETRANSLATE(A48, ""en"", ""ur"")"),"47")</f>
        <v>47</v>
      </c>
      <c r="J48" s="5" t="str">
        <f>IFERROR(__xludf.DUMMYFUNCTION("GOOGLETRANSLATE(B48, ""en"", ""ur"")"),"کھیل بنیادی طور پر ایک نسل سے دوسری نسل تک کیسے منتقل ہوتا ہے؟")</f>
        <v>کھیل بنیادی طور پر ایک نسل سے دوسری نسل تک کیسے منتقل ہوتا ہے؟</v>
      </c>
      <c r="K48" s="5" t="str">
        <f>IFERROR(__xludf.DUMMYFUNCTION("GOOGLETRANSLATE(C48, ""en"", ""ur"")"),"A) سرکاری قواعد کی کتابوں کے ذریعے، B) استاد (ماسٹر) کی زبانی روایت کے ذریعے اپنے طلباء (شاگردوں) کو پڑھانا، C) آن لائن ویڈیوز کے ذریعے، D) سرکاری سکولوں کے ذریعے")</f>
        <v>A) سرکاری قواعد کی کتابوں کے ذریعے، B) استاد (ماسٹر) کی زبانی روایت کے ذریعے اپنے طلباء (شاگردوں) کو پڑھانا، C) آن لائن ویڈیوز کے ذریعے، D) سرکاری سکولوں کے ذریعے</v>
      </c>
      <c r="L48" s="5" t="str">
        <f>IFERROR(__xludf.DUMMYFUNCTION("GOOGLETRANSLATE(D48, ""en"", ""ur"")"),"ب) استاد کی زبانی روایت کے ذریعے اپنے شاگردوں (شاگردوں) کو پڑھانا")</f>
        <v>ب) استاد کی زبانی روایت کے ذریعے اپنے شاگردوں (شاگردوں) کو پڑھانا</v>
      </c>
      <c r="M48" s="5" t="str">
        <f>IFERROR(__xludf.DUMMYFUNCTION("GOOGLETRANSLATE(E48, ""en"", ""ur"")"),"ملاکھڑا ایک روایتی فن ہے جہاں علم کو براہ راست استاد سے طالب علم کو اکھاڑے میں منتقل کیا جاتا ہے۔")</f>
        <v>ملاکھڑا ایک روایتی فن ہے جہاں علم کو براہ راست استاد سے طالب علم کو اکھاڑے میں منتقل کیا جاتا ہے۔</v>
      </c>
    </row>
    <row r="49">
      <c r="A49" s="3">
        <v>48.0</v>
      </c>
      <c r="B49" s="4" t="s">
        <v>198</v>
      </c>
      <c r="C49" s="4" t="s">
        <v>199</v>
      </c>
      <c r="D49" s="4" t="s">
        <v>200</v>
      </c>
      <c r="E49" s="4" t="s">
        <v>201</v>
      </c>
      <c r="I49" s="5" t="str">
        <f>IFERROR(__xludf.DUMMYFUNCTION("GOOGLETRANSLATE(A49, ""en"", ""ur"")"),"48")</f>
        <v>48</v>
      </c>
      <c r="J49" s="5" t="str">
        <f>IFERROR(__xludf.DUMMYFUNCTION("GOOGLETRANSLATE(B49, ""en"", ""ur"")"),"پہلوانوں کی کیا اہمیت ہے جو اکثر اپنے سر کو کپڑے یا ٹوپی سے ڈھانپتے ہیں؟")</f>
        <v>پہلوانوں کی کیا اہمیت ہے جو اکثر اپنے سر کو کپڑے یا ٹوپی سے ڈھانپتے ہیں؟</v>
      </c>
      <c r="K49" s="5" t="str">
        <f>IFERROR(__xludf.DUMMYFUNCTION("GOOGLETRANSLATE(C49, ""en"", ""ur"")"),"A) یہ ایک فیشن بیان ہے، B) یہ روایتی ماحول میں احترام اور شائستگی کی علامت ہے، C) یہ سورج سے بچاتا ہے، D) یہ ٹیم کی وردی ہے۔")</f>
        <v>A) یہ ایک فیشن بیان ہے، B) یہ روایتی ماحول میں احترام اور شائستگی کی علامت ہے، C) یہ سورج سے بچاتا ہے، D) یہ ٹیم کی وردی ہے۔</v>
      </c>
      <c r="L49" s="5" t="str">
        <f>IFERROR(__xludf.DUMMYFUNCTION("GOOGLETRANSLATE(D49, ""en"", ""ur"")"),"ب) یہ روایتی ماحول میں احترام اور شائستگی کی علامت ہے۔")</f>
        <v>ب) یہ روایتی ماحول میں احترام اور شائستگی کی علامت ہے۔</v>
      </c>
      <c r="M49" s="5" t="str">
        <f>IFERROR(__xludf.DUMMYFUNCTION("GOOGLETRANSLATE(E49, ""en"", ""ur"")"),"سر ڈھانپنا اس خطے میں ایک عام ثقافتی عمل ہے جسے ایتھلیٹک مقابلوں کے دوران بھی تقویٰ اور احترام کی علامت کے طور پر برقرار رکھا جاتا ہے۔")</f>
        <v>سر ڈھانپنا اس خطے میں ایک عام ثقافتی عمل ہے جسے ایتھلیٹک مقابلوں کے دوران بھی تقویٰ اور احترام کی علامت کے طور پر برقرار رکھا جاتا ہے۔</v>
      </c>
    </row>
    <row r="50">
      <c r="A50" s="3">
        <v>49.0</v>
      </c>
      <c r="B50" s="4" t="s">
        <v>202</v>
      </c>
      <c r="C50" s="4" t="s">
        <v>203</v>
      </c>
      <c r="D50" s="4" t="s">
        <v>204</v>
      </c>
      <c r="E50" s="4" t="s">
        <v>205</v>
      </c>
      <c r="I50" s="5" t="str">
        <f>IFERROR(__xludf.DUMMYFUNCTION("GOOGLETRANSLATE(A50, ""en"", ""ur"")"),"49")</f>
        <v>49</v>
      </c>
      <c r="J50" s="5" t="str">
        <f>IFERROR(__xludf.DUMMYFUNCTION("GOOGLETRANSLATE(B50, ""en"", ""ur"")"),"ایک پہلوان جو ریفری کے شروع کرنے کے حکم کے بعد مشغولیت سے انکار کرتا ہے اس کے لیے کیا سزا ہے؟")</f>
        <v>ایک پہلوان جو ریفری کے شروع کرنے کے حکم کے بعد مشغولیت سے انکار کرتا ہے اس کے لیے کیا سزا ہے؟</v>
      </c>
      <c r="K50" s="5" t="str">
        <f>IFERROR(__xludf.DUMMYFUNCTION("GOOGLETRANSLATE(C50, ""en"", ""ur"")"),"A) مخالف کو پوائنٹ دیا جاتا ہے، B) غیر فعال ہونے پر وارننگ جاری کی جاتی ہے، C) میچ فوری طور پر دوبارہ ٹائی ہو جاتا ہے، D) پہلوان کو مزید وقت دیا جاتا ہے۔")</f>
        <v>A) مخالف کو پوائنٹ دیا جاتا ہے، B) غیر فعال ہونے پر وارننگ جاری کی جاتی ہے، C) میچ فوری طور پر دوبارہ ٹائی ہو جاتا ہے، D) پہلوان کو مزید وقت دیا جاتا ہے۔</v>
      </c>
      <c r="L50" s="5" t="str">
        <f>IFERROR(__xludf.DUMMYFUNCTION("GOOGLETRANSLATE(D50, ""en"", ""ur"")"),"ب) غیر فعال ہونے کے لیے ایک انتباہ جاری کیا جاتا ہے۔")</f>
        <v>ب) غیر فعال ہونے کے لیے ایک انتباہ جاری کیا جاتا ہے۔</v>
      </c>
      <c r="M50" s="5" t="str">
        <f>IFERROR(__xludf.DUMMYFUNCTION("GOOGLETRANSLATE(E50, ""en"", ""ur"")"),"ایک پہلوان مشغولیت سے انکار نہیں کر سکتا۔ ریفری ایک زبانی اشارہ جاری کرے گا، پھر اسٹالنگ کے لیے ایک باضابطہ انتباہ۔")</f>
        <v>ایک پہلوان مشغولیت سے انکار نہیں کر سکتا۔ ریفری ایک زبانی اشارہ جاری کرے گا، پھر اسٹالنگ کے لیے ایک باضابطہ انتباہ۔</v>
      </c>
    </row>
    <row r="51">
      <c r="A51" s="3">
        <v>50.0</v>
      </c>
      <c r="B51" s="4" t="s">
        <v>206</v>
      </c>
      <c r="C51" s="4" t="s">
        <v>207</v>
      </c>
      <c r="D51" s="4" t="s">
        <v>208</v>
      </c>
      <c r="E51" s="4" t="s">
        <v>209</v>
      </c>
      <c r="I51" s="5" t="str">
        <f>IFERROR(__xludf.DUMMYFUNCTION("GOOGLETRANSLATE(A51, ""en"", ""ur"")"),"50")</f>
        <v>50</v>
      </c>
      <c r="J51" s="5" t="str">
        <f>IFERROR(__xludf.DUMMYFUNCTION("GOOGLETRANSLATE(B51, ""en"", ""ur"")"),"اپنی اعلیٰ ترین شکل میں ملاکھڑا کو صرف ایک کھیل ہی نہیں بلکہ کس چیز کی شکل بھی سمجھا جاتا ہے؟")</f>
        <v>اپنی اعلیٰ ترین شکل میں ملاکھڑا کو صرف ایک کھیل ہی نہیں بلکہ کس چیز کی شکل بھی سمجھا جاتا ہے؟</v>
      </c>
      <c r="K51" s="5" t="str">
        <f>IFERROR(__xludf.DUMMYFUNCTION("GOOGLETRANSLATE(C51, ""en"", ""ur"")"),"A) رقص، B) فن اور کردار کا امتحان، C) مذہبی عبادت، D) پیسہ کمانے کا طریقہ")</f>
        <v>A) رقص، B) فن اور کردار کا امتحان، C) مذہبی عبادت، D) پیسہ کمانے کا طریقہ</v>
      </c>
      <c r="L51" s="5" t="str">
        <f>IFERROR(__xludf.DUMMYFUNCTION("GOOGLETRANSLATE(D51, ""en"", ""ur"")"),"ب) فن اور کردار کا امتحان")</f>
        <v>ب) فن اور کردار کا امتحان</v>
      </c>
      <c r="M51" s="5" t="str">
        <f>IFERROR(__xludf.DUMMYFUNCTION("GOOGLETRANSLATE(E51, ""en"", ""ur"")"),"اس کے پریکٹیشنرز کے لیے، ملاخرہ ایک فن (تفریح) اور ایک نظم و ضبط ہے جو ہمت، عزت اور لچک پیدا کرتا ہے۔")</f>
        <v>اس کے پریکٹیشنرز کے لیے، ملاخرہ ایک فن (تفریح) اور ایک نظم و ضبط ہے جو ہمت، عزت اور لچک پیدا کرتا ہے۔</v>
      </c>
    </row>
    <row r="52">
      <c r="A52" s="3">
        <v>51.0</v>
      </c>
      <c r="B52" s="4" t="s">
        <v>210</v>
      </c>
      <c r="C52" s="4" t="s">
        <v>211</v>
      </c>
      <c r="D52" s="4" t="s">
        <v>212</v>
      </c>
      <c r="E52" s="4" t="s">
        <v>213</v>
      </c>
      <c r="I52" s="5" t="str">
        <f>IFERROR(__xludf.DUMMYFUNCTION("GOOGLETRANSLATE(A52, ""en"", ""ur"")"),"51")</f>
        <v>51</v>
      </c>
      <c r="J52" s="5" t="str">
        <f>IFERROR(__xludf.DUMMYFUNCTION("GOOGLETRANSLATE(B52, ""en"", ""ur"")"),"ملاخرہ ایک بڑا بین الاقوامی کھیل نہ بننے کی بنیادی وجہ کیا ہے؟")</f>
        <v>ملاخرہ ایک بڑا بین الاقوامی کھیل نہ بننے کی بنیادی وجہ کیا ہے؟</v>
      </c>
      <c r="K52" s="5" t="str">
        <f>IFERROR(__xludf.DUMMYFUNCTION("GOOGLETRANSLATE(C52, ""en"", ""ur"")"),"A) یہ کافی پرجوش نہیں ہے، B) قواعد بہت مخصوص اور ثقافتی طور پر سرایت شدہ ہیں، جس سے برآمد کرنا مشکل ہو رہا ہے، C) یہ بہت خطرناک ہے، D) کوئی گورننگ باڈی نہیں ہے۔")</f>
        <v>A) یہ کافی پرجوش نہیں ہے، B) قواعد بہت مخصوص اور ثقافتی طور پر سرایت شدہ ہیں، جس سے برآمد کرنا مشکل ہو رہا ہے، C) یہ بہت خطرناک ہے، D) کوئی گورننگ باڈی نہیں ہے۔</v>
      </c>
      <c r="L52" s="5" t="str">
        <f>IFERROR(__xludf.DUMMYFUNCTION("GOOGLETRANSLATE(D52, ""en"", ""ur"")"),"ب) قواعد بہت مخصوص اور ثقافتی طور پر سرایت شدہ ہیں، جس سے برآمد کرنا مشکل ہو جاتا ہے۔")</f>
        <v>ب) قواعد بہت مخصوص اور ثقافتی طور پر سرایت شدہ ہیں، جس سے برآمد کرنا مشکل ہو جاتا ہے۔</v>
      </c>
      <c r="M52" s="5" t="str">
        <f>IFERROR(__xludf.DUMMYFUNCTION("GOOGLETRANSLATE(E52, ""en"", ""ur"")"),"بیلٹ باندھنے کا منفرد اصول اور اس کا گہرا ثقافتی تناظر اسے اولمپک کشتی کے زیادہ عالمگیر انداز سے بہت مختلف بناتا ہے۔")</f>
        <v>بیلٹ باندھنے کا منفرد اصول اور اس کا گہرا ثقافتی تناظر اسے اولمپک کشتی کے زیادہ عالمگیر انداز سے بہت مختلف بناتا ہے۔</v>
      </c>
    </row>
    <row r="53">
      <c r="A53" s="3">
        <v>52.0</v>
      </c>
      <c r="B53" s="4" t="s">
        <v>214</v>
      </c>
      <c r="C53" s="4" t="s">
        <v>215</v>
      </c>
      <c r="D53" s="4" t="s">
        <v>216</v>
      </c>
      <c r="E53" s="4" t="s">
        <v>217</v>
      </c>
      <c r="I53" s="5" t="str">
        <f>IFERROR(__xludf.DUMMYFUNCTION("GOOGLETRANSLATE(A53, ""en"", ""ur"")"),"52")</f>
        <v>52</v>
      </c>
      <c r="J53" s="5" t="str">
        <f>IFERROR(__xludf.DUMMYFUNCTION("GOOGLETRANSLATE(B53, ""en"", ""ur"")"),"اگر میچ کے دوران پہلوان کی بیلٹ (سندرو) کھل جائے تو کیا حکم ہے؟")</f>
        <v>اگر میچ کے دوران پہلوان کی بیلٹ (سندرو) کھل جائے تو کیا حکم ہے؟</v>
      </c>
      <c r="K53" s="5" t="str">
        <f>IFERROR(__xludf.DUMMYFUNCTION("GOOGLETRANSLATE(C53, ""en"", ""ur"")"),"A)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f>
        <v>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v>
      </c>
      <c r="L53" s="5" t="str">
        <f>IFERROR(__xludf.DUMMYFUNCTION("GOOGLETRANSLATE(D53, ""en"", ""ur"")"),"C) ریفری میچ کو فوری طور پر روکتا ہے تاکہ اسے ریٹائر کیا جائے۔")</f>
        <v>C) ریفری میچ کو فوری طور پر روکتا ہے تاکہ اسے ریٹائر کیا جائے۔</v>
      </c>
      <c r="M53" s="5" t="str">
        <f>IFERROR(__xludf.DUMMYFUNCTION("GOOGLETRANSLATE(E53, ""en"", ""ur"")"),"میچ کے قانونی اور محفوظ طریقے سے انعقاد کے لیے بیلٹ ضروری ہے۔ ریفری کو سامان کو ٹھیک کرنے کے لیے کارروائی کو روکنا چاہیے۔")</f>
        <v>میچ کے قانونی اور محفوظ طریقے سے انعقاد کے لیے بیلٹ ضروری ہے۔ ریفری کو سامان کو ٹھیک کرنے کے لیے کارروائی کو روکنا چاہیے۔</v>
      </c>
    </row>
    <row r="54">
      <c r="A54" s="3">
        <v>53.0</v>
      </c>
      <c r="B54" s="4" t="s">
        <v>218</v>
      </c>
      <c r="C54" s="4" t="s">
        <v>219</v>
      </c>
      <c r="D54" s="4" t="s">
        <v>220</v>
      </c>
      <c r="E54" s="4" t="s">
        <v>221</v>
      </c>
      <c r="I54" s="5" t="str">
        <f>IFERROR(__xludf.DUMMYFUNCTION("GOOGLETRANSLATE(A54, ""en"", ""ur"")"),"53")</f>
        <v>53</v>
      </c>
      <c r="J54" s="5" t="str">
        <f>IFERROR(__xludf.DUMMYFUNCTION("GOOGLETRANSLATE(B54, ""en"", ""ur"")"),"ایک پہلوان کو ""لیوریج کا ماسٹر"" کہا جاتا ہے۔ اس کا کیا مطلب ہے؟")</f>
        <v>ایک پہلوان کو "لیوریج کا ماسٹر" کہا جاتا ہے۔ اس کا کیا مطلب ہے؟</v>
      </c>
      <c r="K54" s="5" t="str">
        <f>IFERROR(__xludf.DUMMYFUNCTION("GOOGLETRANSLATE(C54, ""en"", ""ur"")"),"A) وہ سب سے مضبوط پہلوان ہیں، B) وہ مضبوط حریفوں کو شکست دینے کے لیے تکنیک اور پوزیشننگ استعمال کرنے میں ماہر ہیں، C) وہ بہت بھاری ہیں، D) ان کے پاس بہترین بیلٹ ہے")</f>
        <v>A) وہ سب سے مضبوط پہلوان ہیں، B) وہ مضبوط حریفوں کو شکست دینے کے لیے تکنیک اور پوزیشننگ استعمال کرنے میں ماہر ہیں، C) وہ بہت بھاری ہیں، D) ان کے پاس بہترین بیلٹ ہے</v>
      </c>
      <c r="L54" s="5" t="str">
        <f>IFERROR(__xludf.DUMMYFUNCTION("GOOGLETRANSLATE(D54, ""en"", ""ur"")"),"ب) وہ مضبوط مخالفین کو شکست دینے کے لیے تکنیک اور پوزیشننگ استعمال کرنے میں ماہر ہیں۔")</f>
        <v>ب) وہ مضبوط مخالفین کو شکست دینے کے لیے تکنیک اور پوزیشننگ استعمال کرنے میں ماہر ہیں۔</v>
      </c>
      <c r="M54" s="5" t="str">
        <f>IFERROR(__xludf.DUMMYFUNCTION("GOOGLETRANSLATE(E54, ""en"", ""ur"")"),"ملاخرہ ایک تکنیکی فن ہے جہاں ایک ہنر مند پہلوان خام طاقت کے فائدہ پر قابو پانے کے لیے بیعانہ اور توازن کا استعمال کر سکتا ہے۔")</f>
        <v>ملاخرہ ایک تکنیکی فن ہے جہاں ایک ہنر مند پہلوان خام طاقت کے فائدہ پر قابو پانے کے لیے بیعانہ اور توازن کا استعمال کر سکتا ہے۔</v>
      </c>
    </row>
    <row r="55">
      <c r="A55" s="3">
        <v>54.0</v>
      </c>
      <c r="B55" s="4" t="s">
        <v>222</v>
      </c>
      <c r="C55" s="4" t="s">
        <v>223</v>
      </c>
      <c r="D55" s="4" t="s">
        <v>224</v>
      </c>
      <c r="E55" s="4" t="s">
        <v>225</v>
      </c>
      <c r="I55" s="5" t="str">
        <f>IFERROR(__xludf.DUMMYFUNCTION("GOOGLETRANSLATE(A55, ""en"", ""ur"")"),"54")</f>
        <v>54</v>
      </c>
      <c r="J55" s="5" t="str">
        <f>IFERROR(__xludf.DUMMYFUNCTION("GOOGLETRANSLATE(B55, ""en"", ""ur"")"),"تربیت میں پہلوان کی روایتی خوراک کیا ہے؟")</f>
        <v>تربیت میں پہلوان کی روایتی خوراک کیا ہے؟</v>
      </c>
      <c r="K55" s="5" t="str">
        <f>IFERROR(__xludf.DUMMYFUNCTION("GOOGLETRANSLATE(C55, ""en"", ""ur"")"),"A) سبزی خور غذا، B) پروٹین اور ڈیری سے بھرپور غذا، جیسے دودھ، گھی، اور بادام، C) پروٹین شیک والی جدید خوراک، D) کم کیلوریز والی خوراک")</f>
        <v>A) سبزی خور غذا، B) پروٹین اور ڈیری سے بھرپور غذا، جیسے دودھ، گھی، اور بادام، C) پروٹین شیک والی جدید خوراک، D) کم کیلوریز والی خوراک</v>
      </c>
      <c r="L55" s="5" t="str">
        <f>IFERROR(__xludf.DUMMYFUNCTION("GOOGLETRANSLATE(D55, ""en"", ""ur"")"),"ب) پروٹین اور ڈیری سے بھرپور غذا، جیسے دودھ، گھی، اور بادام")</f>
        <v>ب) پروٹین اور ڈیری سے بھرپور غذا، جیسے دودھ، گھی، اور بادام</v>
      </c>
      <c r="M55" s="5" t="str">
        <f>IFERROR(__xludf.DUMMYFUNCTION("GOOGLETRANSLATE(E55, ""en"", ""ur"")"),"جنوبی ایشیائی پہلوانوں کے لیے روایتی غذا کو غذائیت سے بھرپور، قدرتی کھانوں کے ذریعے بے پناہ طاقت اور بڑے پیمانے پر بنانے کے لیے ڈیزائن کیا گیا ہے۔")</f>
        <v>جنوبی ایشیائی پہلوانوں کے لیے روایتی غذا کو غذائیت سے بھرپور، قدرتی کھانوں کے ذریعے بے پناہ طاقت اور بڑے پیمانے پر بنانے کے لیے ڈیزائن کیا گیا ہے۔</v>
      </c>
    </row>
    <row r="56">
      <c r="A56" s="3">
        <v>55.0</v>
      </c>
      <c r="B56" s="4" t="s">
        <v>226</v>
      </c>
      <c r="C56" s="4" t="s">
        <v>227</v>
      </c>
      <c r="D56" s="4" t="s">
        <v>228</v>
      </c>
      <c r="E56" s="4" t="s">
        <v>229</v>
      </c>
      <c r="I56" s="5" t="str">
        <f>IFERROR(__xludf.DUMMYFUNCTION("GOOGLETRANSLATE(A56, ""en"", ""ur"")"),"55")</f>
        <v>55</v>
      </c>
      <c r="J56" s="5" t="str">
        <f>IFERROR(__xludf.DUMMYFUNCTION("GOOGLETRANSLATE(B56, ""en"", ""ur"")"),"ایک پہلوان اپنے مخالف کو مکمل طور پر زمین سے اٹھاتا ہے۔ کیا یہ ایکشن اپنے طور پر پوائنٹ سکور کرتا ہے؟")</f>
        <v>ایک پہلوان اپنے مخالف کو مکمل طور پر زمین سے اٹھاتا ہے۔ کیا یہ ایکشن اپنے طور پر پوائنٹ سکور کرتا ہے؟</v>
      </c>
      <c r="K56" s="5" t="str">
        <f>IFERROR(__xludf.DUMMYFUNCTION("GOOGLETRANSLATE(C56, ""en"", ""ur"")"),"A) ہاں، ایک لفٹ کی قیمت 3 پوائنٹس ہے، B) نہیں، اسکور کرنے کے لیے لفٹ کو تھرو یا پن میں مکمل کرنا ضروری ہے، C) ہاں، اس کی قیمت 1 پوائنٹ ہے، D) حریف اٹھائے جانے پر ایک پوائنٹ کھو دیتا ہے۔")</f>
        <v>A) ہاں، ایک لفٹ کی قیمت 3 پوائنٹس ہے، B) نہیں، اسکور کرنے کے لیے لفٹ کو تھرو یا پن میں مکمل کرنا ضروری ہے، C) ہاں، اس کی قیمت 1 پوائنٹ ہے، D) حریف اٹھائے جانے پر ایک پوائنٹ کھو دیتا ہے۔</v>
      </c>
      <c r="L56" s="5" t="str">
        <f>IFERROR(__xludf.DUMMYFUNCTION("GOOGLETRANSLATE(D56, ""en"", ""ur"")"),"ب) نہیں، اسکور کرنے کے لیے لفٹ کو تھرو یا پن میں مکمل کرنا چاہیے۔")</f>
        <v>ب) نہیں، اسکور کرنے کے لیے لفٹ کو تھرو یا پن میں مکمل کرنا چاہیے۔</v>
      </c>
      <c r="M56" s="5" t="str">
        <f>IFERROR(__xludf.DUMMYFUNCTION("GOOGLETRANSLATE(E56, ""en"", ""ur"")"),"لفٹ ختم ہونے کا ایک ذریعہ ہے۔ پوائنٹس کو ٹیک ڈاؤن کی کامیابی سے مکمل کرنے کے لیے دیا جاتا ہے، نہ کہ خود لفٹ کے لیے۔")</f>
        <v>لفٹ ختم ہونے کا ایک ذریعہ ہے۔ پوائنٹس کو ٹیک ڈاؤن کی کامیابی سے مکمل کرنے کے لیے دیا جاتا ہے، نہ کہ خود لفٹ کے لیے۔</v>
      </c>
    </row>
    <row r="57">
      <c r="A57" s="3">
        <v>56.0</v>
      </c>
      <c r="B57" s="4" t="s">
        <v>230</v>
      </c>
      <c r="C57" s="4" t="s">
        <v>231</v>
      </c>
      <c r="D57" s="4" t="s">
        <v>232</v>
      </c>
      <c r="E57" s="4" t="s">
        <v>233</v>
      </c>
      <c r="I57" s="5" t="str">
        <f>IFERROR(__xludf.DUMMYFUNCTION("GOOGLETRANSLATE(A57, ""en"", ""ur"")"),"56")</f>
        <v>56</v>
      </c>
      <c r="J57" s="5" t="str">
        <f>IFERROR(__xludf.DUMMYFUNCTION("GOOGLETRANSLATE(B57, ""en"", ""ur"")"),"اگر کوئی پہلوان پھینکنے کے بعد توازن برقرار رکھنے کے لیے اپنا ہاتھ زمین پر لگائے تو اس کا کیا حکم ہے؟")</f>
        <v>اگر کوئی پہلوان پھینکنے کے بعد توازن برقرار رکھنے کے لیے اپنا ہاتھ زمین پر لگائے تو اس کا کیا حکم ہے؟</v>
      </c>
      <c r="K57" s="5" t="str">
        <f>IFERROR(__xludf.DUMMYFUNCTION("GOOGLETRANSLATE(C57, ""en"", ""ur"")"),"A) تھرو قانونی ہے، B) یہ فاؤل ہے، اور مخالف کو ایک پوائنٹ دیا جاتا ہے، C) راؤنڈ دوبارہ چلایا جاتا ہے، D) وارننگ جاری کی جاتی ہے۔")</f>
        <v>A) تھرو قانونی ہے، B) یہ فاؤل ہے، اور مخالف کو ایک پوائنٹ دیا جاتا ہے، C) راؤنڈ دوبارہ چلایا جاتا ہے، D) وارننگ جاری کی جاتی ہے۔</v>
      </c>
      <c r="L57" s="5" t="str">
        <f>IFERROR(__xludf.DUMMYFUNCTION("GOOGLETRANSLATE(D57, ""en"", ""ur"")"),"ب) یہ ایک غلط ہے، اور مخالف کو ایک پوائنٹ دیا جاتا ہے۔")</f>
        <v>ب) یہ ایک غلط ہے، اور مخالف کو ایک پوائنٹ دیا جاتا ہے۔</v>
      </c>
      <c r="M57" s="5" t="str">
        <f>IFERROR(__xludf.DUMMYFUNCTION("GOOGLETRANSLATE(E57, ""en"", ""ur"")"),"ایک پہلوان کو اپنے پیروں پر توازن برقرار رکھنا چاہیے۔ ہاتھ سے زمین کو چھونے کو ""گرنے"" سمجھا جاتا ہے اور اس کے نتیجے میں پوائنٹ کا نقصان ہوتا ہے۔")</f>
        <v>ایک پہلوان کو اپنے پیروں پر توازن برقرار رکھنا چاہیے۔ ہاتھ سے زمین کو چھونے کو "گرنے" سمجھا جاتا ہے اور اس کے نتیجے میں پوائنٹ کا نقصان ہوتا ہے۔</v>
      </c>
    </row>
    <row r="58">
      <c r="A58" s="3">
        <v>57.0</v>
      </c>
      <c r="B58" s="4" t="s">
        <v>234</v>
      </c>
      <c r="C58" s="4" t="s">
        <v>235</v>
      </c>
      <c r="D58" s="4" t="s">
        <v>236</v>
      </c>
      <c r="E58" s="4" t="s">
        <v>237</v>
      </c>
      <c r="I58" s="5" t="str">
        <f>IFERROR(__xludf.DUMMYFUNCTION("GOOGLETRANSLATE(A58, ""en"", ""ur"")"),"57")</f>
        <v>57</v>
      </c>
      <c r="J58" s="5" t="str">
        <f>IFERROR(__xludf.DUMMYFUNCTION("GOOGLETRANSLATE(B58, ""en"", ""ur"")"),"ایک پہلوان کو بیلٹ پر غیر قانونی گرفت استعمال کرنے پر سزا دی جاتی ہے۔ انہوں نے کیا کیا ہوگا؟")</f>
        <v>ایک پہلوان کو بیلٹ پر غیر قانونی گرفت استعمال کرنے پر سزا دی جاتی ہے۔ انہوں نے کیا کیا ہوگا؟</v>
      </c>
      <c r="K58" s="5" t="str">
        <f>IFERROR(__xludf.DUMMYFUNCTION("GOOGLETRANSLATE(C58, ""en"", ""ur"")"),"A) بیلٹ کو بہت مضبوطی سے پکڑا، B) اضافی فائدہ اٹھانے کے لیے بیلٹ کو اپنی کلائی کے گرد لپیٹ لیا، C) دونوں ہاتھوں سے پکڑا، D) بیلٹ کی گرہ کو پکڑ لیا")</f>
        <v>A) بیلٹ کو بہت مضبوطی سے پکڑا، B) اضافی فائدہ اٹھانے کے لیے بیلٹ کو اپنی کلائی کے گرد لپیٹ لیا، C) دونوں ہاتھوں سے پکڑا، D) بیلٹ کی گرہ کو پکڑ لیا</v>
      </c>
      <c r="L58" s="5" t="str">
        <f>IFERROR(__xludf.DUMMYFUNCTION("GOOGLETRANSLATE(D58, ""en"", ""ur"")"),"ب) اضافی فائدہ اٹھانے کے لیے بیلٹ کو اپنی کلائی کے گرد لپیٹیں۔")</f>
        <v>ب) اضافی فائدہ اٹھانے کے لیے بیلٹ کو اپنی کلائی کے گرد لپیٹیں۔</v>
      </c>
      <c r="M58" s="5" t="str">
        <f>IFERROR(__xludf.DUMMYFUNCTION("GOOGLETRANSLATE(E58, ""en"", ""ur"")"),"بیلٹ کو بازو یا ہاتھ کے کسی بھی حصے کے گرد لپیٹنا غیر قانونی ہے، کیونکہ یہ ایک خطرناک اور غیر منصفانہ تالا بناتا ہے۔")</f>
        <v>بیلٹ کو بازو یا ہاتھ کے کسی بھی حصے کے گرد لپیٹنا غیر قانونی ہے، کیونکہ یہ ایک خطرناک اور غیر منصفانہ تالا بناتا ہے۔</v>
      </c>
    </row>
    <row r="59">
      <c r="A59" s="3">
        <v>58.0</v>
      </c>
      <c r="B59" s="4" t="s">
        <v>238</v>
      </c>
      <c r="C59" s="4" t="s">
        <v>239</v>
      </c>
      <c r="D59" s="4" t="s">
        <v>240</v>
      </c>
      <c r="E59" s="4" t="s">
        <v>241</v>
      </c>
      <c r="I59" s="5" t="str">
        <f>IFERROR(__xludf.DUMMYFUNCTION("GOOGLETRANSLATE(A59, ""en"", ""ur"")"),"58")</f>
        <v>58</v>
      </c>
      <c r="J59" s="5" t="str">
        <f>IFERROR(__xludf.DUMMYFUNCTION("GOOGLETRANSLATE(B59, ""en"", ""ur"")"),"میچ کے دوران استاد کا بنیادی کردار کیا ہوتا ہے؟")</f>
        <v>میچ کے دوران استاد کا بنیادی کردار کیا ہوتا ہے؟</v>
      </c>
      <c r="K59" s="5" t="str">
        <f>IFERROR(__xludf.DUMMYFUNCTION("GOOGLETRANSLATE(C59, ""en"", ""ur"")"),"A) ریفری کے طور پر کام کرنا، B) اکھاڑہ کے کونے سے اپنے پہلوان کی کوچنگ کرنا، C) پانی فراہم کرنا، D) ججوں سے بحث کرنا")</f>
        <v>A) ریفری کے طور پر کام کرنا، B) اکھاڑہ کے کونے سے اپنے پہلوان کی کوچنگ کرنا، C) پانی فراہم کرنا، D) ججوں سے بحث کرنا</v>
      </c>
      <c r="L59" s="5" t="str">
        <f>IFERROR(__xludf.DUMMYFUNCTION("GOOGLETRANSLATE(D59, ""en"", ""ur"")"),"ب) اکھاڑہ کے کونے سے اپنے پہلوان کی کوچنگ کرنا")</f>
        <v>ب) اکھاڑہ کے کونے سے اپنے پہلوان کی کوچنگ کرنا</v>
      </c>
      <c r="M59" s="5" t="str">
        <f>IFERROR(__xludf.DUMMYFUNCTION("GOOGLETRANSLATE(E59, ""en"", ""ur"")"),"استاد وہ کوچ ہے جو میچ کے دوران اپنے شاگرد (طالب علم) کو حکمت عملی سے متعلق مشورہ اور حوصلہ افزائی کرتا ہے۔")</f>
        <v>استاد وہ کوچ ہے جو میچ کے دوران اپنے شاگرد (طالب علم) کو حکمت عملی سے متعلق مشورہ اور حوصلہ افزائی کرتا ہے۔</v>
      </c>
    </row>
    <row r="60">
      <c r="A60" s="3">
        <v>59.0</v>
      </c>
      <c r="B60" s="4" t="s">
        <v>242</v>
      </c>
      <c r="C60" s="4" t="s">
        <v>243</v>
      </c>
      <c r="D60" s="4" t="s">
        <v>244</v>
      </c>
      <c r="E60" s="4" t="s">
        <v>245</v>
      </c>
      <c r="I60" s="5" t="str">
        <f>IFERROR(__xludf.DUMMYFUNCTION("GOOGLETRANSLATE(A60, ""en"", ""ur"")"),"59")</f>
        <v>59</v>
      </c>
      <c r="J60" s="5" t="str">
        <f>IFERROR(__xludf.DUMMYFUNCTION("GOOGLETRANSLATE(B60, ""en"", ""ur"")"),"ریفری کے ذریعہ ""پن"" کو سرکاری طور پر کیسے اشارہ کیا جاتا ہے؟")</f>
        <v>ریفری کے ذریعہ "پن" کو سرکاری طور پر کیسے اشارہ کیا جاتا ہے؟</v>
      </c>
      <c r="K60" s="5" t="str">
        <f>IFERROR(__xludf.DUMMYFUNCTION("GOOGLETRANSLATE(C60, ""en"", ""ur"")"),"A) سیٹی بجا کر، B) ایک بازو اٹھا کر ""مالہ!"" کا نعرہ لگا کر، C) تین گن کر، D) تالیاں بجا کر")</f>
        <v>A) سیٹی بجا کر، B) ایک بازو اٹھا کر "مالہ!" کا نعرہ لگا کر، C) تین گن کر، D) تالیاں بجا کر</v>
      </c>
      <c r="L60" s="5" t="str">
        <f>IFERROR(__xludf.DUMMYFUNCTION("GOOGLETRANSLATE(D60, ""en"", ""ur"")"),"ب) ایک بازو اٹھا کر ""مالہ!""")</f>
        <v>ب) ایک بازو اٹھا کر "مالہ!"</v>
      </c>
      <c r="M60" s="5" t="str">
        <f>IFERROR(__xludf.DUMMYFUNCTION("GOOGLETRANSLATE(E60, ""en"", ""ur"")"),"ریفری اس بات کا اشارہ دینے کے لیے واضح اور بلند آواز میں اعلان کرتا ہے کہ ایک پن حاصل ہو گیا ہے اور میچ ختم ہو گیا ہے۔")</f>
        <v>ریفری اس بات کا اشارہ دینے کے لیے واضح اور بلند آواز میں اعلان کرتا ہے کہ ایک پن حاصل ہو گیا ہے اور میچ ختم ہو گیا ہے۔</v>
      </c>
    </row>
    <row r="61">
      <c r="A61" s="3">
        <v>60.0</v>
      </c>
      <c r="B61" s="4" t="s">
        <v>246</v>
      </c>
      <c r="C61" s="4" t="s">
        <v>247</v>
      </c>
      <c r="D61" s="4" t="s">
        <v>248</v>
      </c>
      <c r="E61" s="4" t="s">
        <v>249</v>
      </c>
      <c r="I61" s="5" t="str">
        <f>IFERROR(__xludf.DUMMYFUNCTION("GOOGLETRANSLATE(A61, ""en"", ""ur"")"),"60")</f>
        <v>60</v>
      </c>
      <c r="J61" s="5" t="str">
        <f>IFERROR(__xludf.DUMMYFUNCTION("GOOGLETRANSLATE(B61, ""en"", ""ur"")"),"پہلوانوں کے جسم پر ریت پھینکنے کی میچ سے پہلے کی رسم کا کیا مطلب ہے؟")</f>
        <v>پہلوانوں کے جسم پر ریت پھینکنے کی میچ سے پہلے کی رسم کا کیا مطلب ہے؟</v>
      </c>
      <c r="K61" s="5" t="str">
        <f>IFERROR(__xludf.DUMMYFUNCTION("GOOGLETRANSLATE(C61, ""en"", ""ur"")"),"A) یہ گرم کرنے کا ایک طریقہ ہے، B) یہ پسینہ جذب کرنے اور گرفت کو بہتر بنانے کا روایتی طریقہ ہے، C) یہ مخالف کی بے عزتی کی علامت ہے، D) یہ دعا کی ایک شکل ہے۔")</f>
        <v>A) یہ گرم کرنے کا ایک طریقہ ہے، B) یہ پسینہ جذب کرنے اور گرفت کو بہتر بنانے کا روایتی طریقہ ہے، C) یہ مخالف کی بے عزتی کی علامت ہے، D) یہ دعا کی ایک شکل ہے۔</v>
      </c>
      <c r="L61" s="5" t="str">
        <f>IFERROR(__xludf.DUMMYFUNCTION("GOOGLETRANSLATE(D61, ""en"", ""ur"")"),"ب) یہ پسینہ جذب کرنے اور گرفت کو بہتر بنانے کا روایتی طریقہ ہے۔")</f>
        <v>ب) یہ پسینہ جذب کرنے اور گرفت کو بہتر بنانے کا روایتی طریقہ ہے۔</v>
      </c>
      <c r="M61" s="5" t="str">
        <f>IFERROR(__xludf.DUMMYFUNCTION("GOOGLETRANSLATE(E61, ""en"", ""ur"")"),"یہ قدیم مشق سینڈ پٹ ریسلنگ میں عام ہے اور شدید جوجھ کے دوران پھسلنے سے بچنے میں مدد کرتی ہے۔")</f>
        <v>یہ قدیم مشق سینڈ پٹ ریسلنگ میں عام ہے اور شدید جوجھ کے دوران پھسلنے سے بچنے میں مدد کرتی ہے۔</v>
      </c>
    </row>
    <row r="62">
      <c r="A62" s="3">
        <v>61.0</v>
      </c>
      <c r="B62" s="4" t="s">
        <v>250</v>
      </c>
      <c r="C62" s="4" t="s">
        <v>251</v>
      </c>
      <c r="D62" s="4" t="s">
        <v>252</v>
      </c>
      <c r="E62" s="4" t="s">
        <v>253</v>
      </c>
      <c r="I62" s="5" t="str">
        <f>IFERROR(__xludf.DUMMYFUNCTION("GOOGLETRANSLATE(A62, ""en"", ""ur"")"),"61")</f>
        <v>61</v>
      </c>
      <c r="J62" s="5" t="str">
        <f>IFERROR(__xludf.DUMMYFUNCTION("GOOGLETRANSLATE(B62, ""en"", ""ur"")"),"ابتدائی سندھی دیہاتوں میں، اپنی طاقت اور اثر و رسوخ کے اظہار کے لیے اکثر ملاکھڑا میچوں کو کس نے سپانسر کیا؟")</f>
        <v>ابتدائی سندھی دیہاتوں میں، اپنی طاقت اور اثر و رسوخ کے اظہار کے لیے اکثر ملاکھڑا میچوں کو کس نے سپانسر کیا؟</v>
      </c>
      <c r="K62" s="5" t="str">
        <f>IFERROR(__xludf.DUMMYFUNCTION("GOOGLETRANSLATE(C62, ""en"", ""ur"")"),"A) مقامی شاعر، B) جاگیردار زمیندار (وڈیرو)، C) سفر کرنے والے سوداگر، D) گاؤں کے پجاری")</f>
        <v>A) مقامی شاعر، B) جاگیردار زمیندار (وڈیرو)، C) سفر کرنے والے سوداگر، D) گاؤں کے پجاری</v>
      </c>
      <c r="L62" s="5" t="str">
        <f>IFERROR(__xludf.DUMMYFUNCTION("GOOGLETRANSLATE(D62, ""en"", ""ur"")"),"ب) جاگیردار زمیندار (وڈیرو)")</f>
        <v>ب) جاگیردار زمیندار (وڈیرو)</v>
      </c>
      <c r="M62" s="5" t="str">
        <f>IFERROR(__xludf.DUMMYFUNCTION("GOOGLETRANSLATE(E62, ""en"", ""ur"")"),"زمینداروں اور بااثر شخصیات نے اپنی سماجی حیثیت کو ثابت کرنے اور کمیونٹی کی وفاداری جیتنے کے لیے مالاکھرا ٹورنامنٹس کو فنڈز فراہم کیے تھے۔")</f>
        <v>زمینداروں اور بااثر شخصیات نے اپنی سماجی حیثیت کو ثابت کرنے اور کمیونٹی کی وفاداری جیتنے کے لیے مالاکھرا ٹورنامنٹس کو فنڈز فراہم کیے تھے۔</v>
      </c>
    </row>
    <row r="63">
      <c r="A63" s="3">
        <v>62.0</v>
      </c>
      <c r="B63" s="4" t="s">
        <v>254</v>
      </c>
      <c r="C63" s="4" t="s">
        <v>255</v>
      </c>
      <c r="D63" s="4" t="s">
        <v>256</v>
      </c>
      <c r="E63" s="4" t="s">
        <v>257</v>
      </c>
      <c r="I63" s="5" t="str">
        <f>IFERROR(__xludf.DUMMYFUNCTION("GOOGLETRANSLATE(A63, ""en"", ""ur"")"),"62")</f>
        <v>62</v>
      </c>
      <c r="J63" s="5" t="str">
        <f>IFERROR(__xludf.DUMMYFUNCTION("GOOGLETRANSLATE(B63, ""en"", ""ur"")"),"پہلوانوں کی حفاظت کو یقینی بنانے کے لیے ملاکھڑا اکھاڑہ میں روایتی طور پر کون سا مواد زمین پر پھیلایا جاتا تھا؟")</f>
        <v>پہلوانوں کی حفاظت کو یقینی بنانے کے لیے ملاکھڑا اکھاڑہ میں روایتی طور پر کون سا مواد زمین پر پھیلایا جاتا تھا؟</v>
      </c>
      <c r="K63" s="5" t="str">
        <f>IFERROR(__xludf.DUMMYFUNCTION("GOOGLETRANSLATE(C63, ""en"", ""ur"")"),"A) چاول کی بھوسی اور نرم مٹی، B) کپاس کی بھری، C) سخت زمین، D) جانوروں کی کھالیں")</f>
        <v>A) چاول کی بھوسی اور نرم مٹی، B) کپاس کی بھری، C) سخت زمین، D) جانوروں کی کھالیں</v>
      </c>
      <c r="L63" s="5" t="str">
        <f>IFERROR(__xludf.DUMMYFUNCTION("GOOGLETRANSLATE(D63, ""en"", ""ur"")"),"A) چاول کی بھوسی اور نرم مٹی")</f>
        <v>A) چاول کی بھوسی اور نرم مٹی</v>
      </c>
      <c r="M63" s="5" t="str">
        <f>IFERROR(__xludf.DUMMYFUNCTION("GOOGLETRANSLATE(E63, ""en"", ""ur"")"),"نرم، کھیتی ہوئی مٹی اور چاول کی بھوسی کا مرکب تکیے والے میدان کا فرش بنانے کے لیے استعمال کیا جاتا تھا، جس سے بھاری گرنے کے اثرات کم ہوتے تھے۔")</f>
        <v>نرم، کھیتی ہوئی مٹی اور چاول کی بھوسی کا مرکب تکیے والے میدان کا فرش بنانے کے لیے استعمال کیا جاتا تھا، جس سے بھاری گرنے کے اثرات کم ہوتے تھے۔</v>
      </c>
    </row>
    <row r="64">
      <c r="A64" s="3">
        <v>63.0</v>
      </c>
      <c r="B64" s="4" t="s">
        <v>258</v>
      </c>
      <c r="C64" s="4" t="s">
        <v>259</v>
      </c>
      <c r="D64" s="4" t="s">
        <v>260</v>
      </c>
      <c r="E64" s="4" t="s">
        <v>261</v>
      </c>
      <c r="I64" s="5" t="str">
        <f>IFERROR(__xludf.DUMMYFUNCTION("GOOGLETRANSLATE(A64, ""en"", ""ur"")"),"63")</f>
        <v>63</v>
      </c>
      <c r="J64" s="5" t="str">
        <f>IFERROR(__xludf.DUMMYFUNCTION("GOOGLETRANSLATE(B64, ""en"", ""ur"")"),"تالپور دور میں ملاکھڑا میچ اکثر کس سرکاری سرکاری سرگرمی کے ساتھ منعقد کیا جاتا تھا؟")</f>
        <v>تالپور دور میں ملاکھڑا میچ اکثر کس سرکاری سرکاری سرگرمی کے ساتھ منعقد کیا جاتا تھا؟</v>
      </c>
      <c r="K64" s="5" t="str">
        <f>IFERROR(__xludf.DUMMYFUNCTION("GOOGLETRANSLATE(C64, ""en"", ""ur"")"),"A) محصولات کی وصولی، B) ججوں کی تقرری، C) فوجی معائنہ اور پریڈ، D) زمین کا سروے")</f>
        <v>A) محصولات کی وصولی، B) ججوں کی تقرری، C) فوجی معائنہ اور پریڈ، D) زمین کا سروے</v>
      </c>
      <c r="L64" s="5" t="str">
        <f>IFERROR(__xludf.DUMMYFUNCTION("GOOGLETRANSLATE(D64, ""en"", ""ur"")"),"ج) فوجی معائنہ اور پریڈ")</f>
        <v>ج) فوجی معائنہ اور پریڈ</v>
      </c>
      <c r="M64" s="5" t="str">
        <f>IFERROR(__xludf.DUMMYFUNCTION("GOOGLETRANSLATE(E64, ""en"", ""ur"")"),"تالپور حکمرانوں نے جنگی کھیل کو باقاعدہ فوجی مشقوں کے ساتھ جوڑ کر اپنی طاقت اور نظم و ضبط کا مظاہرہ کیا۔")</f>
        <v>تالپور حکمرانوں نے جنگی کھیل کو باقاعدہ فوجی مشقوں کے ساتھ جوڑ کر اپنی طاقت اور نظم و ضبط کا مظاہرہ کیا۔</v>
      </c>
    </row>
    <row r="65">
      <c r="A65" s="3">
        <v>64.0</v>
      </c>
      <c r="B65" s="4" t="s">
        <v>262</v>
      </c>
      <c r="C65" s="4" t="s">
        <v>263</v>
      </c>
      <c r="D65" s="4" t="s">
        <v>132</v>
      </c>
      <c r="E65" s="4" t="s">
        <v>264</v>
      </c>
      <c r="I65" s="5" t="str">
        <f>IFERROR(__xludf.DUMMYFUNCTION("GOOGLETRANSLATE(A65, ""en"", ""ur"")"),"64")</f>
        <v>64</v>
      </c>
      <c r="J65" s="5" t="str">
        <f>IFERROR(__xludf.DUMMYFUNCTION("GOOGLETRANSLATE(B65, ""en"", ""ur"")"),"19ویں صدی کے کس برطانوی محقق اور اسکالر نے سندھ پر اپنی تفصیلی تحریروں میں ملاکھڑا کو مشہور کیا؟")</f>
        <v>19ویں صدی کے کس برطانوی محقق اور اسکالر نے سندھ پر اپنی تفصیلی تحریروں میں ملاکھڑا کو مشہور کیا؟</v>
      </c>
      <c r="K65" s="5" t="str">
        <f>IFERROR(__xludf.DUMMYFUNCTION("GOOGLETRANSLATE(C65, ""en"", ""ur"")"),"A) ابن بطوطہ، B) سر رچرڈ برٹن، C) البیرونی، D) مارکو پولو")</f>
        <v>A) ابن بطوطہ، B) سر رچرڈ برٹن، C) البیرونی، D) مارکو پولو</v>
      </c>
      <c r="L65" s="5" t="str">
        <f>IFERROR(__xludf.DUMMYFUNCTION("GOOGLETRANSLATE(D65, ""en"", ""ur"")"),"ب) سر رچرڈ برٹن")</f>
        <v>ب) سر رچرڈ برٹن</v>
      </c>
      <c r="M65" s="5" t="str">
        <f>IFERROR(__xludf.DUMMYFUNCTION("GOOGLETRANSLATE(E65, ""en"", ""ur"")"),"برٹن نے سندھ میں اپنے وقت کے دوران ملاکھڑا کا مشاہدہ کیا اور اس کے بارے میں لکھا، اس کی گہری ثقافتی اہمیت اور منفرد اصولوں کو نوٹ کیا۔")</f>
        <v>برٹن نے سندھ میں اپنے وقت کے دوران ملاکھڑا کا مشاہدہ کیا اور اس کے بارے میں لکھا، اس کی گہری ثقافتی اہمیت اور منفرد اصولوں کو نوٹ کیا۔</v>
      </c>
    </row>
    <row r="66">
      <c r="A66" s="3">
        <v>65.0</v>
      </c>
      <c r="B66" s="4" t="s">
        <v>265</v>
      </c>
      <c r="C66" s="4" t="s">
        <v>266</v>
      </c>
      <c r="D66" s="4" t="s">
        <v>267</v>
      </c>
      <c r="E66" s="4" t="s">
        <v>268</v>
      </c>
      <c r="I66" s="5" t="str">
        <f>IFERROR(__xludf.DUMMYFUNCTION("GOOGLETRANSLATE(A66, ""en"", ""ur"")"),"65")</f>
        <v>65</v>
      </c>
      <c r="J66" s="5" t="str">
        <f>IFERROR(__xludf.DUMMYFUNCTION("GOOGLETRANSLATE(B66, ""en"", ""ur"")"),"سندھی لوک داستانوں میں، پہلوانوں کو اکثر استعاراتی طور پر کس قدرتی عنصر سے تشبیہ دی جاتی ہے، جو ان کی طاقت اور بہاؤ کی علامت ہے؟")</f>
        <v>سندھی لوک داستانوں میں، پہلوانوں کو اکثر استعاراتی طور پر کس قدرتی عنصر سے تشبیہ دی جاتی ہے، جو ان کی طاقت اور بہاؤ کی علامت ہے؟</v>
      </c>
      <c r="K66" s="5" t="str">
        <f>IFERROR(__xludf.DUMMYFUNCTION("GOOGLETRANSLATE(C66, ""en"", ""ur"")"),"A) پہاڑ، B) شیر، C) دریا، D) درخت")</f>
        <v>A) پہاڑ، B) شیر، C) دریا، D) درخت</v>
      </c>
      <c r="L66" s="5" t="str">
        <f>IFERROR(__xludf.DUMMYFUNCTION("GOOGLETRANSLATE(D66, ""en"", ""ur"")"),"ج) ندیاں")</f>
        <v>ج) ندیاں</v>
      </c>
      <c r="M66" s="5" t="str">
        <f>IFERROR(__xludf.DUMMYFUNCTION("GOOGLETRANSLATE(E66, ""en"", ""ur"")"),"طاقتور دریائے سندھ کی طرح، پہلوانوں کو قدرت کی ایک طاقتور، بہتی اور پائیدار قوت کی نمائندگی کرتے ہوئے دیکھا گیا۔")</f>
        <v>طاقتور دریائے سندھ کی طرح، پہلوانوں کو قدرت کی ایک طاقتور، بہتی اور پائیدار قوت کی نمائندگی کرتے ہوئے دیکھا گیا۔</v>
      </c>
    </row>
    <row r="67">
      <c r="A67" s="3">
        <v>66.0</v>
      </c>
      <c r="B67" s="4" t="s">
        <v>269</v>
      </c>
      <c r="C67" s="4" t="s">
        <v>270</v>
      </c>
      <c r="D67" s="4" t="s">
        <v>271</v>
      </c>
      <c r="E67" s="4" t="s">
        <v>272</v>
      </c>
      <c r="I67" s="5" t="str">
        <f>IFERROR(__xludf.DUMMYFUNCTION("GOOGLETRANSLATE(A67, ""en"", ""ur"")"),"66")</f>
        <v>66</v>
      </c>
      <c r="J67" s="5" t="str">
        <f>IFERROR(__xludf.DUMMYFUNCTION("GOOGLETRANSLATE(B67, ""en"", ""ur"")"),"نوآبادیاتی پابندیوں کے تحت، پہلوانوں نے اکثر ملاکھڑا کی روایت کو کیسے جاری رکھا؟")</f>
        <v>نوآبادیاتی پابندیوں کے تحت، پہلوانوں نے اکثر ملاکھڑا کی روایت کو کیسے جاری رکھا؟</v>
      </c>
      <c r="K67" s="5" t="str">
        <f>IFERROR(__xludf.DUMMYFUNCTION("GOOGLETRANSLATE(C67, ""en"", ""ur"")"),"A) خفیہ رات کے میچوں کا انعقاد کرکے، B) میچوں کو مذہبی تہواروں کے حصے کے طور پر پیش کرکے، C) کھیل کو افغانستان منتقل کرکے، D) اسے رقص میں تبدیل کرکے")</f>
        <v>A) خفیہ رات کے میچوں کا انعقاد کرکے، B) میچوں کو مذہبی تہواروں کے حصے کے طور پر پیش کرکے، C) کھیل کو افغانستان منتقل کرکے، D) اسے رقص میں تبدیل کرکے</v>
      </c>
      <c r="L67" s="5" t="str">
        <f>IFERROR(__xludf.DUMMYFUNCTION("GOOGLETRANSLATE(D67, ""en"", ""ur"")"),"ب) میچوں کو مذہبی تہواروں کے حصے کے طور پر پیش کرنا")</f>
        <v>ب) میچوں کو مذہبی تہواروں کے حصے کے طور پر پیش کرنا</v>
      </c>
      <c r="M67" s="5" t="str">
        <f>IFERROR(__xludf.DUMMYFUNCTION("GOOGLETRANSLATE(E67, ""en"", ""ur"")"),"عرس جیسے بڑے مذہبی اجتماعات کے دوران میچوں کے انعقاد سے، یہ تقریب ایک ثقافتی جشن کے طور پر آگے بڑھ سکتی ہے، اس طرح عوامی اجتماعات پر نوآبادیاتی پابندیوں سے گریز کیا جا سکتا ہے۔")</f>
        <v>عرس جیسے بڑے مذہبی اجتماعات کے دوران میچوں کے انعقاد سے، یہ تقریب ایک ثقافتی جشن کے طور پر آگے بڑھ سکتی ہے، اس طرح عوامی اجتماعات پر نوآبادیاتی پابندیوں سے گریز کیا جا سکتا ہے۔</v>
      </c>
    </row>
    <row r="68">
      <c r="A68" s="3">
        <v>67.0</v>
      </c>
      <c r="B68" s="4" t="s">
        <v>273</v>
      </c>
      <c r="C68" s="4" t="s">
        <v>274</v>
      </c>
      <c r="D68" s="4" t="s">
        <v>275</v>
      </c>
      <c r="E68" s="4" t="s">
        <v>276</v>
      </c>
      <c r="I68" s="5" t="str">
        <f>IFERROR(__xludf.DUMMYFUNCTION("GOOGLETRANSLATE(A68, ""en"", ""ur"")"),"67")</f>
        <v>67</v>
      </c>
      <c r="J68" s="5" t="str">
        <f>IFERROR(__xludf.DUMMYFUNCTION("GOOGLETRANSLATE(B68, ""en"", ""ur"")"),"کھیل سے متاثر کون سا سندھی محاورہ غیر متزلزل عزم کو بیان کرنے کے لیے استعمال ہوتا ہے؟")</f>
        <v>کھیل سے متاثر کون سا سندھی محاورہ غیر متزلزل عزم کو بیان کرنے کے لیے استعمال ہوتا ہے؟</v>
      </c>
      <c r="K68" s="5" t="str">
        <f>IFERROR(__xludf.DUMMYFUNCTION("GOOGLETRANSLATE(C68, ""en"", ""ur"")"),"A) ""سات بار گریں، آٹھ اٹھیں""، B) ""پہلوان کی گرفت کی طرح مضبوط""، C) ""طاقت خاموشی میں ہے""، D) ""میدان سچ کا فیصلہ کرتا ہے""")</f>
        <v>A) "سات بار گریں، آٹھ اٹھیں"، B) "پہلوان کی گرفت کی طرح مضبوط"، C) "طاقت خاموشی میں ہے"، D) "میدان سچ کا فیصلہ کرتا ہے"</v>
      </c>
      <c r="L68" s="5" t="str">
        <f>IFERROR(__xludf.DUMMYFUNCTION("GOOGLETRANSLATE(D68, ""en"", ""ur"")"),"ب) ""ایک پہلوان کی گرفت کی طرح مضبوط""")</f>
        <v>ب) "ایک پہلوان کی گرفت کی طرح مضبوط"</v>
      </c>
      <c r="M68" s="5" t="str">
        <f>IFERROR(__xludf.DUMMYFUNCTION("GOOGLETRANSLATE(E68, ""en"", ""ur"")"),"یہ کہاوت ایک مضبوط، اٹوٹ عزم کی علامت کے لیے استعمال ہوتی ہے، جو براہ راست ملاخرا میں سب سے اہم مہارت کا حوالہ دیتی ہے۔")</f>
        <v>یہ کہاوت ایک مضبوط، اٹوٹ عزم کی علامت کے لیے استعمال ہوتی ہے، جو براہ راست ملاخرا میں سب سے اہم مہارت کا حوالہ دیتی ہے۔</v>
      </c>
    </row>
    <row r="69">
      <c r="A69" s="3">
        <v>68.0</v>
      </c>
      <c r="B69" s="4" t="s">
        <v>277</v>
      </c>
      <c r="C69" s="4" t="s">
        <v>278</v>
      </c>
      <c r="D69" s="4" t="s">
        <v>279</v>
      </c>
      <c r="E69" s="4" t="s">
        <v>280</v>
      </c>
      <c r="I69" s="5" t="str">
        <f>IFERROR(__xludf.DUMMYFUNCTION("GOOGLETRANSLATE(A69, ""en"", ""ur"")"),"68")</f>
        <v>68</v>
      </c>
      <c r="J69" s="5" t="str">
        <f>IFERROR(__xludf.DUMMYFUNCTION("GOOGLETRANSLATE(B69, ""en"", ""ur"")"),"سندھ کے کلہوڑ حکمرانوں نے ملاکھڑا کو کس خاص قسم کے تہوار میں ضم کرنے کے لیے جانا ہے؟")</f>
        <v>سندھ کے کلہوڑ حکمرانوں نے ملاکھڑا کو کس خاص قسم کے تہوار میں ضم کرنے کے لیے جانا ہے؟</v>
      </c>
      <c r="K69" s="5" t="str">
        <f>IFERROR(__xludf.DUMMYFUNCTION("GOOGLETRANSLATE(C69, ""en"", ""ur"")"),"A) شاہی شادیاں، B) فوجی فتح پریڈ، C) نئے سال (نوروز) کی تقریبات، D) جنازے")</f>
        <v>A) شاہی شادیاں، B) فوجی فتح پریڈ، C) نئے سال (نوروز) کی تقریبات، D) جنازے</v>
      </c>
      <c r="L69" s="5" t="str">
        <f>IFERROR(__xludf.DUMMYFUNCTION("GOOGLETRANSLATE(D69, ""en"", ""ur"")"),"ج) نئے سال (نوروز) کی تقریبات")</f>
        <v>ج) نئے سال (نوروز) کی تقریبات</v>
      </c>
      <c r="M69" s="5" t="str">
        <f>IFERROR(__xludf.DUMMYFUNCTION("GOOGLETRANSLATE(E69, ""en"", ""ur"")"),"کلہوڑہ خاندان نے ملاکھڑا کو موسمی اور نئے سال کی تقریبات میں شامل کیا، اسے تجدید اور فرقہ وارانہ خوشی کے کھیل کے طور پر نشان زد کیا۔")</f>
        <v>کلہوڑہ خاندان نے ملاکھڑا کو موسمی اور نئے سال کی تقریبات میں شامل کیا، اسے تجدید اور فرقہ وارانہ خوشی کے کھیل کے طور پر نشان زد کیا۔</v>
      </c>
    </row>
    <row r="70">
      <c r="A70" s="3">
        <v>69.0</v>
      </c>
      <c r="B70" s="4" t="s">
        <v>281</v>
      </c>
      <c r="C70" s="4" t="s">
        <v>282</v>
      </c>
      <c r="D70" s="4" t="s">
        <v>283</v>
      </c>
      <c r="E70" s="4" t="s">
        <v>284</v>
      </c>
      <c r="I70" s="5" t="str">
        <f>IFERROR(__xludf.DUMMYFUNCTION("GOOGLETRANSLATE(A70, ""en"", ""ur"")"),"69")</f>
        <v>69</v>
      </c>
      <c r="J70" s="5" t="str">
        <f>IFERROR(__xludf.DUMMYFUNCTION("GOOGLETRANSLATE(B70, ""en"", ""ur"")"),"روایتی طور پر جوش و خروش اور جنگجو جذبے کی علامت کے لیے ملاخرا بیلٹ کس رنگ میں رنگے جاتے تھے؟")</f>
        <v>روایتی طور پر جوش و خروش اور جنگجو جذبے کی علامت کے لیے ملاخرا بیلٹ کس رنگ میں رنگے جاتے تھے؟</v>
      </c>
      <c r="K70" s="5" t="str">
        <f>IFERROR(__xludf.DUMMYFUNCTION("GOOGLETRANSLATE(C70, ""en"", ""ur"")"),"اے) سفید (پاکیزگی)، بی) سیاہ (طاقت)، سی) سرخ (توانائی)، ڈی) سبز (تقویٰ)")</f>
        <v>اے) سفید (پاکیزگی)، بی) سیاہ (طاقت)، سی) سرخ (توانائی)، ڈی) سبز (تقویٰ)</v>
      </c>
      <c r="L70" s="5" t="str">
        <f>IFERROR(__xludf.DUMMYFUNCTION("GOOGLETRANSLATE(D70, ""en"", ""ur"")"),"سی) سرخ (توانائی)")</f>
        <v>سی) سرخ (توانائی)</v>
      </c>
      <c r="M70" s="5" t="str">
        <f>IFERROR(__xludf.DUMMYFUNCTION("GOOGLETRANSLATE(E70, ""en"", ""ur"")"),"سرخ ایک ایسا رنگ ہے جو روایتی طور پر طاقت، جذبہ اور جیونت سے منسلک ہے، جو اسے پہلوانوں کے بیلٹ کے لیے موزوں رنگ بناتا ہے۔")</f>
        <v>سرخ ایک ایسا رنگ ہے جو روایتی طور پر طاقت، جذبہ اور جیونت سے منسلک ہے، جو اسے پہلوانوں کے بیلٹ کے لیے موزوں رنگ بناتا ہے۔</v>
      </c>
    </row>
    <row r="71">
      <c r="A71" s="3">
        <v>70.0</v>
      </c>
      <c r="B71" s="4" t="s">
        <v>285</v>
      </c>
      <c r="C71" s="4" t="s">
        <v>286</v>
      </c>
      <c r="D71" s="4" t="s">
        <v>287</v>
      </c>
      <c r="E71" s="4" t="s">
        <v>288</v>
      </c>
      <c r="I71" s="5" t="str">
        <f>IFERROR(__xludf.DUMMYFUNCTION("GOOGLETRANSLATE(A71, ""en"", ""ur"")"),"70")</f>
        <v>70</v>
      </c>
      <c r="J71" s="5" t="str">
        <f>IFERROR(__xludf.DUMMYFUNCTION("GOOGLETRANSLATE(B71, ""en"", ""ur"")"),"سندھ میں کون سے دریا کے کنارے بڑے ملاکھڑا ٹورنامنٹس کے لیے ایک تاریخی اور مقبول مقام تھے؟")</f>
        <v>سندھ میں کون سے دریا کے کنارے بڑے ملاکھڑا ٹورنامنٹس کے لیے ایک تاریخی اور مقبول مقام تھے؟</v>
      </c>
      <c r="K71" s="5" t="str">
        <f>IFERROR(__xludf.DUMMYFUNCTION("GOOGLETRANSLATE(C71, ""en"", ""ur"")"),"A) دریائے سندھ، B) دریائے حب، C) ملیر ندی، D) دریائے راوی")</f>
        <v>A) دریائے سندھ، B) دریائے حب، C) ملیر ندی، D) دریائے راوی</v>
      </c>
      <c r="L71" s="5" t="str">
        <f>IFERROR(__xludf.DUMMYFUNCTION("GOOGLETRANSLATE(D71, ""en"", ""ur"")"),"A) دریائے سندھ")</f>
        <v>A) دریائے سندھ</v>
      </c>
      <c r="M71" s="5" t="str">
        <f>IFERROR(__xludf.DUMMYFUNCTION("GOOGLETRANSLATE(E71, ""en"", ""ur"")"),"دریائے سندھ کے وسیع، ریتیلے کنارے نے میلوں اور عرس کے تہواروں کے لیے درکار بڑے ہجوم اور میدانوں کے لیے ایک قدرتی اور مثالی کھلی فضا میں جگہ فراہم کی۔")</f>
        <v>دریائے سندھ کے وسیع، ریتیلے کنارے نے میلوں اور عرس کے تہواروں کے لیے درکار بڑے ہجوم اور میدانوں کے لیے ایک قدرتی اور مثالی کھلی فضا میں جگہ فراہم کی۔</v>
      </c>
    </row>
    <row r="72">
      <c r="A72" s="3">
        <v>71.0</v>
      </c>
      <c r="B72" s="4" t="s">
        <v>289</v>
      </c>
      <c r="C72" s="4" t="s">
        <v>290</v>
      </c>
      <c r="D72" s="4" t="s">
        <v>291</v>
      </c>
      <c r="E72" s="4" t="s">
        <v>292</v>
      </c>
      <c r="I72" s="5" t="str">
        <f>IFERROR(__xludf.DUMMYFUNCTION("GOOGLETRANSLATE(A72, ""en"", ""ur"")"),"71")</f>
        <v>71</v>
      </c>
      <c r="J72" s="5" t="str">
        <f>IFERROR(__xludf.DUMMYFUNCTION("GOOGLETRANSLATE(B72, ""en"", ""ur"")"),"مون سون کے موسم میں ملاکھڑا میچ روایتی طور پر منع کیوں تھا؟")</f>
        <v>مون سون کے موسم میں ملاکھڑا میچ روایتی طور پر منع کیوں تھا؟</v>
      </c>
      <c r="K72" s="5" t="str">
        <f>IFERROR(__xludf.DUMMYFUNCTION("GOOGLETRANSLATE(C72, ""en"", ""ur"")"),"A) یہ مذہبی روزے کا دور تھا، B) یہ فصلوں کی پودے لگانے کا اہم موسم تھا، C) گیلی مٹی کے کھیتوں نے کشتی کو خطرناک طور پر پھسلن بنا دیا تھا، D) اسے سال کا بدقسمت وقت سمجھا جاتا تھا۔")</f>
        <v>A) یہ مذہبی روزے کا دور تھا، B) یہ فصلوں کی پودے لگانے کا اہم موسم تھا، C) گیلی مٹی کے کھیتوں نے کشتی کو خطرناک طور پر پھسلن بنا دیا تھا، D) اسے سال کا بدقسمت وقت سمجھا جاتا تھا۔</v>
      </c>
      <c r="L72" s="5" t="str">
        <f>IFERROR(__xludf.DUMMYFUNCTION("GOOGLETRANSLATE(D72, ""en"", ""ur"")"),"ج) گیلی مٹی کے میدانوں نے کشتی کو خطرناک طور پر پھسلن بنا دیا تھا۔")</f>
        <v>ج) گیلی مٹی کے میدانوں نے کشتی کو خطرناک طور پر پھسلن بنا دیا تھا۔</v>
      </c>
      <c r="M72" s="5" t="str">
        <f>IFERROR(__xludf.DUMMYFUNCTION("GOOGLETRANSLATE(E72, ""en"", ""ur"")"),"مون سون کی شدید بارشیں ریسلنگ کے میدانوں کو کیچڑ کے گڑھوں میں تبدیل کر دے گی، جس سے کھیل غیر محفوظ اور کھیلنا ناقابل عمل ہو جائے گا۔")</f>
        <v>مون سون کی شدید بارشیں ریسلنگ کے میدانوں کو کیچڑ کے گڑھوں میں تبدیل کر دے گی، جس سے کھیل غیر محفوظ اور کھیلنا ناقابل عمل ہو جائے گا۔</v>
      </c>
    </row>
    <row r="73">
      <c r="A73" s="3">
        <v>72.0</v>
      </c>
      <c r="B73" s="4" t="s">
        <v>293</v>
      </c>
      <c r="C73" s="4" t="s">
        <v>294</v>
      </c>
      <c r="D73" s="4" t="s">
        <v>295</v>
      </c>
      <c r="E73" s="4" t="s">
        <v>296</v>
      </c>
      <c r="I73" s="5" t="str">
        <f>IFERROR(__xludf.DUMMYFUNCTION("GOOGLETRANSLATE(A73, ""en"", ""ur"")"),"72")</f>
        <v>72</v>
      </c>
      <c r="J73" s="5" t="str">
        <f>IFERROR(__xludf.DUMMYFUNCTION("GOOGLETRANSLATE(B73, ""en"", ""ur"")"),"برطانوی نوآبادیاتی منتظمین اکثر ملاخرہ پر تنقید کرتے تھے، اس ڈر سے کہ اس سے کیا نتیجہ نکل سکتا ہے؟")</f>
        <v>برطانوی نوآبادیاتی منتظمین اکثر ملاخرہ پر تنقید کرتے تھے، اس ڈر سے کہ اس سے کیا نتیجہ نکل سکتا ہے؟</v>
      </c>
      <c r="K73" s="5" t="str">
        <f>IFERROR(__xludf.DUMMYFUNCTION("GOOGLETRANSLATE(C73, ""en"", ""ur"")"),"A) یہ بہت پرتشدد تھا اور زخموں کا سبب بن سکتا تھا، B) یہ قوم پرست یکجہتی کو ہوا دے سکتا تھا اور سیاسی احتجاج کا باعث بن سکتا تھا، C) یہ وقت کا معاشی ضیاع تھا، D) یہ ایک غیر مسیحی عمل تھا۔")</f>
        <v>A) یہ بہت پرتشدد تھا اور زخموں کا سبب بن سکتا تھا، B) یہ قوم پرست یکجہتی کو ہوا دے سکتا تھا اور سیاسی احتجاج کا باعث بن سکتا تھا، C) یہ وقت کا معاشی ضیاع تھا، D) یہ ایک غیر مسیحی عمل تھا۔</v>
      </c>
      <c r="L73" s="5" t="str">
        <f>IFERROR(__xludf.DUMMYFUNCTION("GOOGLETRANSLATE(D73, ""en"", ""ur"")"),"ب) یہ قوم پرست یکجہتی کو بھڑکا سکتا ہے اور سیاسی احتجاج کا باعث بن سکتا ہے۔")</f>
        <v>ب) یہ قوم پرست یکجہتی کو بھڑکا سکتا ہے اور سیاسی احتجاج کا باعث بن سکتا ہے۔</v>
      </c>
      <c r="M73" s="5" t="str">
        <f>IFERROR(__xludf.DUMMYFUNCTION("GOOGLETRANSLATE(E73, ""en"", ""ur"")"),"برطانوی حکام کو اکثر مارشل مردوں کے بڑے اجتماعات پر شبہ تھا اور انہیں خدشہ تھا کہ یہ واقعات نوآبادیاتی مخالف جذبات کے لیے ایک ریلینگ پوائنٹ بن سکتے ہیں۔")</f>
        <v>برطانوی حکام کو اکثر مارشل مردوں کے بڑے اجتماعات پر شبہ تھا اور انہیں خدشہ تھا کہ یہ واقعات نوآبادیاتی مخالف جذبات کے لیے ایک ریلینگ پوائنٹ بن سکتے ہیں۔</v>
      </c>
    </row>
    <row r="74">
      <c r="A74" s="3">
        <v>73.0</v>
      </c>
      <c r="B74" s="4" t="s">
        <v>297</v>
      </c>
      <c r="C74" s="4" t="s">
        <v>298</v>
      </c>
      <c r="D74" s="4" t="s">
        <v>299</v>
      </c>
      <c r="E74" s="4" t="s">
        <v>300</v>
      </c>
      <c r="I74" s="5" t="str">
        <f>IFERROR(__xludf.DUMMYFUNCTION("GOOGLETRANSLATE(A74, ""en"", ""ur"")"),"73")</f>
        <v>73</v>
      </c>
      <c r="J74" s="5" t="str">
        <f>IFERROR(__xludf.DUMMYFUNCTION("GOOGLETRANSLATE(B74, ""en"", ""ur"")"),"سندھ کی کون سی کمیونٹی، جو اپنے دیہی طرز زندگی کے لیے مشہور ہے، نے تاریخی طور پر بہت سے مضبوط ترین ملاکھڑا پہلوان پیدا کیے؟")</f>
        <v>سندھ کی کون سی کمیونٹی، جو اپنے دیہی طرز زندگی کے لیے مشہور ہے، نے تاریخی طور پر بہت سے مضبوط ترین ملاکھڑا پہلوان پیدا کیے؟</v>
      </c>
      <c r="K74" s="5" t="str">
        <f>IFERROR(__xludf.DUMMYFUNCTION("GOOGLETRANSLATE(C74, ""en"", ""ur"")"),"A) ملا (کشتی والے)، B) جاٹ (چرواہے)، C) بلوچ قبائل، D) لوہانہ (تاجر)")</f>
        <v>A) ملا (کشتی والے)، B) جاٹ (چرواہے)، C) بلوچ قبائل، D) لوہانہ (تاجر)</v>
      </c>
      <c r="L74" s="5" t="str">
        <f>IFERROR(__xludf.DUMMYFUNCTION("GOOGLETRANSLATE(D74, ""en"", ""ur"")"),"ب) جاٹ (چرواہے)")</f>
        <v>ب) جاٹ (چرواہے)</v>
      </c>
      <c r="M74" s="5" t="str">
        <f>IFERROR(__xludf.DUMMYFUNCTION("GOOGLETRANSLATE(E74, ""en"", ""ur"")"),"گلہ بانی اور مویشی پالنے کے جسمانی طور پر مانگنے والے طرز زندگی نے قدرتی طور پر کشتی میں سبقت حاصل کرنے کے لیے درکار خام طاقت اور برداشت پیدا کی۔")</f>
        <v>گلہ بانی اور مویشی پالنے کے جسمانی طور پر مانگنے والے طرز زندگی نے قدرتی طور پر کشتی میں سبقت حاصل کرنے کے لیے درکار خام طاقت اور برداشت پیدا کی۔</v>
      </c>
    </row>
    <row r="75">
      <c r="A75" s="3">
        <v>74.0</v>
      </c>
      <c r="B75" s="4" t="s">
        <v>301</v>
      </c>
      <c r="C75" s="4" t="s">
        <v>302</v>
      </c>
      <c r="D75" s="4" t="s">
        <v>303</v>
      </c>
      <c r="E75" s="4" t="s">
        <v>304</v>
      </c>
      <c r="I75" s="5" t="str">
        <f>IFERROR(__xludf.DUMMYFUNCTION("GOOGLETRANSLATE(A75, ""en"", ""ur"")"),"74")</f>
        <v>74</v>
      </c>
      <c r="J75" s="5" t="str">
        <f>IFERROR(__xludf.DUMMYFUNCTION("GOOGLETRANSLATE(B75, ""en"", ""ur"")"),"تالپور دور میں، شاہی پذیرائی حاصل کرنے والے چیمپئن پہلوانوں کے لیے عام انعام کیا تھا؟")</f>
        <v>تالپور دور میں، شاہی پذیرائی حاصل کرنے والے چیمپئن پہلوانوں کے لیے عام انعام کیا تھا؟</v>
      </c>
      <c r="K75" s="5" t="str">
        <f>IFERROR(__xludf.DUMMYFUNCTION("GOOGLETRANSLATE(C75, ""en"", ""ur"")"),"A) شاہی دعوتوں کی دعوت، B) شاہی کونسل میں ایک عہدہ، C) تجارتی کارواں، D) درباری شاعر کا کردار")</f>
        <v>A) شاہی دعوتوں کی دعوت، B) شاہی کونسل میں ایک عہدہ، C) تجارتی کارواں، D) درباری شاعر کا کردار</v>
      </c>
      <c r="L75" s="5" t="str">
        <f>IFERROR(__xludf.DUMMYFUNCTION("GOOGLETRANSLATE(D75, ""en"", ""ur"")"),"A) شاہی دعوتوں کی دعوت")</f>
        <v>A) شاہی دعوتوں کی دعوت</v>
      </c>
      <c r="M75" s="5" t="str">
        <f>IFERROR(__xludf.DUMMYFUNCTION("GOOGLETRANSLATE(E75, ""en"", ""ur"")"),"چیمپیئن پہلوانوں کو اکثر تالپور میروں کی دعوتوں میں مہمان خصوصی کے طور پر نوازا جاتا تھا جو کہ ان کے بلند مرتبے کی علامت ہے۔")</f>
        <v>چیمپیئن پہلوانوں کو اکثر تالپور میروں کی دعوتوں میں مہمان خصوصی کے طور پر نوازا جاتا تھا جو کہ ان کے بلند مرتبے کی علامت ہے۔</v>
      </c>
    </row>
    <row r="76">
      <c r="A76" s="3">
        <v>75.0</v>
      </c>
      <c r="B76" s="4" t="s">
        <v>305</v>
      </c>
      <c r="C76" s="4" t="s">
        <v>306</v>
      </c>
      <c r="D76" s="4" t="s">
        <v>307</v>
      </c>
      <c r="E76" s="4" t="s">
        <v>308</v>
      </c>
      <c r="I76" s="5" t="str">
        <f>IFERROR(__xludf.DUMMYFUNCTION("GOOGLETRANSLATE(A76, ""en"", ""ur"")"),"75")</f>
        <v>75</v>
      </c>
      <c r="J76" s="5" t="str">
        <f>IFERROR(__xludf.DUMMYFUNCTION("GOOGLETRANSLATE(B76, ""en"", ""ur"")"),"ڈھول کی کس قسم کی ڈھول کی تھاپ روایتی طور پر ملاکھڑا میچ کے آغاز کو نشان زد کرتی ہے؟")</f>
        <v>ڈھول کی کس قسم کی ڈھول کی تھاپ روایتی طور پر ملاکھڑا میچ کے آغاز کو نشان زد کرتی ہے؟</v>
      </c>
      <c r="K76" s="5" t="str">
        <f>IFERROR(__xludf.DUMMYFUNCTION("GOOGLETRANSLATE(C76, ""en"", ""ur"")"),"A) ایک مسلسل، مستحکم تال، B) ایک ہی تیز آواز، C) ایک بڑھتی ہوئی رفتار یا کریسینڈو، D) ایک سست، متبادل دھڑکن")</f>
        <v>A) ایک مسلسل، مستحکم تال، B) ایک ہی تیز آواز، C) ایک بڑھتی ہوئی رفتار یا کریسینڈو، D) ایک سست، متبادل دھڑکن</v>
      </c>
      <c r="L76" s="5" t="str">
        <f>IFERROR(__xludf.DUMMYFUNCTION("GOOGLETRANSLATE(D76, ""en"", ""ur"")"),"ج) ایک بڑھتی ہوئی رفتار یا کریسینڈو")</f>
        <v>ج) ایک بڑھتی ہوئی رفتار یا کریسینڈو</v>
      </c>
      <c r="M76" s="5" t="str">
        <f>IFERROR(__xludf.DUMMYFUNCTION("GOOGLETRANSLATE(E76, ""en"", ""ur"")"),"ڈرامے اور جوش میں اضافہ کرتے ہوئے مخالفین کے قریب آنے والے تصادم کا اشارہ دینے کے لیے ڈھول کی دھڑکن رفتار اور شدت سے تیار ہو گی۔")</f>
        <v>ڈرامے اور جوش میں اضافہ کرتے ہوئے مخالفین کے قریب آنے والے تصادم کا اشارہ دینے کے لیے ڈھول کی دھڑکن رفتار اور شدت سے تیار ہو گی۔</v>
      </c>
    </row>
    <row r="77">
      <c r="A77" s="3">
        <v>76.0</v>
      </c>
      <c r="B77" s="4" t="s">
        <v>309</v>
      </c>
      <c r="C77" s="4" t="s">
        <v>310</v>
      </c>
      <c r="D77" s="4" t="s">
        <v>311</v>
      </c>
      <c r="E77" s="4" t="s">
        <v>312</v>
      </c>
      <c r="I77" s="5" t="str">
        <f>IFERROR(__xludf.DUMMYFUNCTION("GOOGLETRANSLATE(A77, ""en"", ""ur"")"),"76")</f>
        <v>76</v>
      </c>
      <c r="J77" s="5" t="str">
        <f>IFERROR(__xludf.DUMMYFUNCTION("GOOGLETRANSLATE(B77, ""en"", ""ur"")"),"ماقبل جدید سندھ میں، مالاخرہ میچ کو کبھی کبھار علامتی متبادل کے طور پر استعمال کیا جاتا تھا؟")</f>
        <v>ماقبل جدید سندھ میں، مالاخرہ میچ کو کبھی کبھار علامتی متبادل کے طور پر استعمال کیا جاتا تھا؟</v>
      </c>
      <c r="K77" s="5" t="str">
        <f>IFERROR(__xludf.DUMMYFUNCTION("GOOGLETRANSLATE(C77, ""en"", ""ur"")"),"A) ایک عدالتی مقدمہ، B) قبائلی انتخابات، C) حریفوں کے درمیان مسلح لڑائی، D) مذہبی بحث")</f>
        <v>A) ایک عدالتی مقدمہ، B) قبائلی انتخابات، C) حریفوں کے درمیان مسلح لڑائی، D) مذہبی بحث</v>
      </c>
      <c r="L77" s="5" t="str">
        <f>IFERROR(__xludf.DUMMYFUNCTION("GOOGLETRANSLATE(D77, ""en"", ""ur"")"),"ج) حریفوں کے درمیان مسلح جنگ")</f>
        <v>ج) حریفوں کے درمیان مسلح جنگ</v>
      </c>
      <c r="M77" s="5" t="str">
        <f>IFERROR(__xludf.DUMMYFUNCTION("GOOGLETRANSLATE(E77, ""en"", ""ur"")"),"خونریزی کو روکنے کے لیے، کبھی کبھی غیرت کے تنازعات کو اکھاڑے میں طے کیا جاتا تھا، جس میں کشتی کا میچ مہلک جوڑی کے متبادل کے طور پر کام کرتا تھا۔")</f>
        <v>خونریزی کو روکنے کے لیے، کبھی کبھی غیرت کے تنازعات کو اکھاڑے میں طے کیا جاتا تھا، جس میں کشتی کا میچ مہلک جوڑی کے متبادل کے طور پر کام کرتا تھا۔</v>
      </c>
    </row>
    <row r="78">
      <c r="A78" s="3">
        <v>77.0</v>
      </c>
      <c r="B78" s="4" t="s">
        <v>313</v>
      </c>
      <c r="C78" s="4" t="s">
        <v>159</v>
      </c>
      <c r="D78" s="4" t="s">
        <v>160</v>
      </c>
      <c r="E78" s="4" t="s">
        <v>314</v>
      </c>
      <c r="I78" s="5" t="str">
        <f>IFERROR(__xludf.DUMMYFUNCTION("GOOGLETRANSLATE(A78, ""en"", ""ur"")"),"77")</f>
        <v>77</v>
      </c>
      <c r="J78" s="5" t="str">
        <f>IFERROR(__xludf.DUMMYFUNCTION("GOOGLETRANSLATE(B78, ""en"", ""ur"")"),"سندھی لوک داستانوں میں، کس افسانوی ہیرو کے بارے میں کہا جاتا ہے کہ وہ کشتی کی تکنیک کا استعمال کرتے ہوئے شیطانوں کو شکست دیتا تھا؟")</f>
        <v>سندھی لوک داستانوں میں، کس افسانوی ہیرو کے بارے میں کہا جاتا ہے کہ وہ کشتی کی تکنیک کا استعمال کرتے ہوئے شیطانوں کو شکست دیتا تھا؟</v>
      </c>
      <c r="K78" s="5" t="str">
        <f>IFERROR(__xludf.DUMMYFUNCTION("GOOGLETRANSLATE(C78, ""en"", ""ur"")"),"A) اڈیرولال، B) دودو سومرو، C) جام تماچی، D) موریرو میربہار")</f>
        <v>A) اڈیرولال، B) دودو سومرو، C) جام تماچی، D) موریرو میربہار</v>
      </c>
      <c r="L78" s="5" t="str">
        <f>IFERROR(__xludf.DUMMYFUNCTION("GOOGLETRANSLATE(D78, ""en"", ""ur"")"),"ڈی) موریرو میربہار")</f>
        <v>ڈی) موریرو میربہار</v>
      </c>
      <c r="M78" s="5" t="str">
        <f>IFERROR(__xludf.DUMMYFUNCTION("GOOGLETRANSLATE(E78, ""en"", ""ur"")"),"مچھیرے کے ہیرو موریرو کو کچھ سندھی لوک کہانیوں میں اپنی برادری کی حفاظت کے لیے کشتی اور مافوق الفطرت مخلوق کو شکست دینے کا سہرا دیا جاتا ہے۔")</f>
        <v>مچھیرے کے ہیرو موریرو کو کچھ سندھی لوک کہانیوں میں اپنی برادری کی حفاظت کے لیے کشتی اور مافوق الفطرت مخلوق کو شکست دینے کا سہرا دیا جاتا ہے۔</v>
      </c>
    </row>
    <row r="79">
      <c r="A79" s="3">
        <v>78.0</v>
      </c>
      <c r="B79" s="4" t="s">
        <v>315</v>
      </c>
      <c r="C79" s="4" t="s">
        <v>316</v>
      </c>
      <c r="D79" s="4" t="s">
        <v>317</v>
      </c>
      <c r="E79" s="4" t="s">
        <v>318</v>
      </c>
      <c r="I79" s="5" t="str">
        <f>IFERROR(__xludf.DUMMYFUNCTION("GOOGLETRANSLATE(A79, ""en"", ""ur"")"),"78")</f>
        <v>78</v>
      </c>
      <c r="J79" s="5" t="str">
        <f>IFERROR(__xludf.DUMMYFUNCTION("GOOGLETRANSLATE(B79, ""en"", ""ur"")"),"ملاکھڑا میچوں کے دوران کون سا روایتی سندھی لوک ساز اکثر ڈھول ڈھول کے ساتھ ہوتا تھا؟")</f>
        <v>ملاکھڑا میچوں کے دوران کون سا روایتی سندھی لوک ساز اکثر ڈھول ڈھول کے ساتھ ہوتا تھا؟</v>
      </c>
      <c r="K79" s="5" t="str">
        <f>IFERROR(__xludf.DUMMYFUNCTION("GOOGLETRANSLATE(C79, ""en"", ""ur"")"),"A) شہنائی، B) الغوزا (جڑواں بانسری)، C) سورانڈو، D) نگارا")</f>
        <v>A) شہنائی، B) الغوزا (جڑواں بانسری)، C) سورانڈو، D) نگارا</v>
      </c>
      <c r="L79" s="5" t="str">
        <f>IFERROR(__xludf.DUMMYFUNCTION("GOOGLETRANSLATE(D79, ""en"", ""ur"")"),"ب) الغوزا (جڑواں بانسری)")</f>
        <v>ب) الغوزا (جڑواں بانسری)</v>
      </c>
      <c r="M79" s="5" t="str">
        <f>IFERROR(__xludf.DUMMYFUNCTION("GOOGLETRANSLATE(E79, ""en"", ""ur"")"),"ڈھول کے ساتھ بجائی جانے والی الغوزہ کی جاندار اور مسلسل دھن تہوار کی موسیقی کا ایک اہم حصہ تھی۔")</f>
        <v>ڈھول کے ساتھ بجائی جانے والی الغوزہ کی جاندار اور مسلسل دھن تہوار کی موسیقی کا ایک اہم حصہ تھی۔</v>
      </c>
    </row>
    <row r="80">
      <c r="A80" s="3">
        <v>79.0</v>
      </c>
      <c r="B80" s="4" t="s">
        <v>319</v>
      </c>
      <c r="C80" s="4" t="s">
        <v>320</v>
      </c>
      <c r="D80" s="4" t="s">
        <v>321</v>
      </c>
      <c r="E80" s="4" t="s">
        <v>322</v>
      </c>
      <c r="I80" s="5" t="str">
        <f>IFERROR(__xludf.DUMMYFUNCTION("GOOGLETRANSLATE(A80, ""en"", ""ur"")"),"79")</f>
        <v>79</v>
      </c>
      <c r="J80" s="5" t="str">
        <f>IFERROR(__xludf.DUMMYFUNCTION("GOOGLETRANSLATE(B80, ""en"", ""ur"")"),"برطانوی نوآبادیاتی حکومت نے ""مہذب"" اقدار کو فروغ دینے کے لیے بہت سے اسکولوں میں ملاکھڑا کو کس کھیل سے بدل دیا؟")</f>
        <v>برطانوی نوآبادیاتی حکومت نے "مہذب" اقدار کو فروغ دینے کے لیے بہت سے اسکولوں میں ملاکھڑا کو کس کھیل سے بدل دیا؟</v>
      </c>
      <c r="K80" s="5" t="str">
        <f>IFERROR(__xludf.DUMMYFUNCTION("GOOGLETRANSLATE(C80, ""en"", ""ur"")"),"A) کرکٹ، B) فٹ بال (ساکر) C) ہاکی، D) باکسنگ")</f>
        <v>A) کرکٹ، B) فٹ بال (ساکر) C) ہاکی، D) باکسنگ</v>
      </c>
      <c r="L80" s="5" t="str">
        <f>IFERROR(__xludf.DUMMYFUNCTION("GOOGLETRANSLATE(D80, ""en"", ""ur"")"),"اے) کرکٹ")</f>
        <v>اے) کرکٹ</v>
      </c>
      <c r="M80" s="5" t="str">
        <f>IFERROR(__xludf.DUMMYFUNCTION("GOOGLETRANSLATE(E80, ""en"", ""ur"")"),"کرکٹ، اصولوں، نظم و ضبط، اور ""جنٹلمینلی"" طرز عمل پر زور دینے کے ساتھ، انگریزوں نے اس کے متبادل کے طور پر بہت زیادہ فروغ دیا جسے وہ افراتفری کے مقامی کھیلوں کے طور پر دیکھتے تھے۔")</f>
        <v>کرکٹ، اصولوں، نظم و ضبط، اور "جنٹلمینلی" طرز عمل پر زور دینے کے ساتھ، انگریزوں نے اس کے متبادل کے طور پر بہت زیادہ فروغ دیا جسے وہ افراتفری کے مقامی کھیلوں کے طور پر دیکھتے تھے۔</v>
      </c>
    </row>
    <row r="81">
      <c r="A81" s="3">
        <v>80.0</v>
      </c>
      <c r="B81" s="4" t="s">
        <v>323</v>
      </c>
      <c r="C81" s="4" t="s">
        <v>324</v>
      </c>
      <c r="D81" s="4" t="s">
        <v>325</v>
      </c>
      <c r="E81" s="4" t="s">
        <v>326</v>
      </c>
      <c r="I81" s="5" t="str">
        <f>IFERROR(__xludf.DUMMYFUNCTION("GOOGLETRANSLATE(A81, ""en"", ""ur"")"),"80")</f>
        <v>80</v>
      </c>
      <c r="J81" s="5" t="str">
        <f>IFERROR(__xludf.DUMMYFUNCTION("GOOGLETRANSLATE(B81, ""en"", ""ur"")"),"کون سی سندھی لوک کہانی، جو ایک مشہور المناک رومانس ہے، جس میں پہلوانوں کو شہزادی کے ہاتھ کے لیے مقابلہ کرتے ہوئے دکھایا گیا ہے؟")</f>
        <v>کون سی سندھی لوک کہانی، جو ایک مشہور المناک رومانس ہے، جس میں پہلوانوں کو شہزادی کے ہاتھ کے لیے مقابلہ کرتے ہوئے دکھایا گیا ہے؟</v>
      </c>
      <c r="K81" s="5" t="str">
        <f>IFERROR(__xludf.DUMMYFUNCTION("GOOGLETRANSLATE(C81, ""en"", ""ur"")"),"A) سوہنی ماہیوال، B) للن چنیسر، C) مومل رانو، D) ڈوڈو چنیسر")</f>
        <v>A) سوہنی ماہیوال، B) للن چنیسر، C) مومل رانو، D) ڈوڈو چنیسر</v>
      </c>
      <c r="L81" s="5" t="str">
        <f>IFERROR(__xludf.DUMMYFUNCTION("GOOGLETRANSLATE(D81, ""en"", ""ur"")"),"ج) مومل رانو")</f>
        <v>ج) مومل رانو</v>
      </c>
      <c r="M81" s="5" t="str">
        <f>IFERROR(__xludf.DUMMYFUNCTION("GOOGLETRANSLATE(E81, ""en"", ""ur"")"),"شہزادی مومل اور کنگ رانو کی افسانوی کہانی میں ایسے مناظر شامل ہیں جہاں طاقتور حریف، بشمول پہلوان، اس کی محبت کے لیے مقابلہ کرتے ہیں۔")</f>
        <v>شہزادی مومل اور کنگ رانو کی افسانوی کہانی میں ایسے مناظر شامل ہیں جہاں طاقتور حریف، بشمول پہلوان، اس کی محبت کے لیے مقابلہ کرتے ہیں۔</v>
      </c>
    </row>
    <row r="82">
      <c r="A82" s="3">
        <v>81.0</v>
      </c>
      <c r="B82" s="4" t="s">
        <v>327</v>
      </c>
      <c r="C82" s="4" t="s">
        <v>328</v>
      </c>
      <c r="D82" s="4" t="s">
        <v>329</v>
      </c>
      <c r="E82" s="4" t="s">
        <v>330</v>
      </c>
      <c r="I82" s="5" t="str">
        <f>IFERROR(__xludf.DUMMYFUNCTION("GOOGLETRANSLATE(A82, ""en"", ""ur"")"),"81")</f>
        <v>81</v>
      </c>
      <c r="J82" s="5" t="str">
        <f>IFERROR(__xludf.DUMMYFUNCTION("GOOGLETRANSLATE(B82, ""en"", ""ur"")"),"لوک داستانوں کے مطابق، کس خاندان کے دور میں خواتین کبھی کبھار ملاکھڑا کی نمائشوں میں شرکت کرتی تھیں؟")</f>
        <v>لوک داستانوں کے مطابق، کس خاندان کے دور میں خواتین کبھی کبھار ملاکھڑا کی نمائشوں میں شرکت کرتی تھیں؟</v>
      </c>
      <c r="K82" s="5" t="str">
        <f>IFERROR(__xludf.DUMMYFUNCTION("GOOGLETRANSLATE(C82, ""en"", ""ur"")"),"A) قبل از مغل دور، B) کلہوڑہ دور، C) نوآبادیاتی دور، D) تالپور دور")</f>
        <v>A) قبل از مغل دور، B) کلہوڑہ دور، C) نوآبادیاتی دور، D) تالپور دور</v>
      </c>
      <c r="L82" s="5" t="str">
        <f>IFERROR(__xludf.DUMMYFUNCTION("GOOGLETRANSLATE(D82, ""en"", ""ur"")"),"ڈی) تالپور دور")</f>
        <v>ڈی) تالپور دور</v>
      </c>
      <c r="M82" s="5" t="str">
        <f>IFERROR(__xludf.DUMMYFUNCTION("GOOGLETRANSLATE(E82, ""en"", ""ur"")"),"جبکہ انتہائی نایاب، تالپور دور کی لوک داستانوں میں خواتین کی کشتی کی کبھی کبھار نمائشوں کا ذکر کیا گیا ہے، جس میں خواتین کی طاقت کا جشن منایا جاتا ہے۔")</f>
        <v>جبکہ انتہائی نایاب، تالپور دور کی لوک داستانوں میں خواتین کی کشتی کی کبھی کبھار نمائشوں کا ذکر کیا گیا ہے، جس میں خواتین کی طاقت کا جشن منایا جاتا ہے۔</v>
      </c>
    </row>
    <row r="83">
      <c r="A83" s="3">
        <v>82.0</v>
      </c>
      <c r="B83" s="4" t="s">
        <v>331</v>
      </c>
      <c r="C83" s="4" t="s">
        <v>332</v>
      </c>
      <c r="D83" s="4" t="s">
        <v>333</v>
      </c>
      <c r="E83" s="4" t="s">
        <v>334</v>
      </c>
      <c r="I83" s="5" t="str">
        <f>IFERROR(__xludf.DUMMYFUNCTION("GOOGLETRANSLATE(A83, ""en"", ""ur"")"),"82")</f>
        <v>82</v>
      </c>
      <c r="J83" s="5" t="str">
        <f>IFERROR(__xludf.DUMMYFUNCTION("GOOGLETRANSLATE(B83, ""en"", ""ur"")"),"20 ویں صدی کے کس سندھی مصنف اور اسکالر نے اپنے ناولوں اور تاریخی کاموں میں ملاکھرا کو دستاویزی شکل دی؟")</f>
        <v>20 ویں صدی کے کس سندھی مصنف اور اسکالر نے اپنے ناولوں اور تاریخی کاموں میں ملاکھرا کو دستاویزی شکل دی؟</v>
      </c>
      <c r="K83" s="5" t="str">
        <f>IFERROR(__xludf.DUMMYFUNCTION("GOOGLETRANSLATE(C83, ""en"", ""ur"")"),"A) G.M. سید، بی) شیخ ایاز، سی) امر جلیل، ڈی) مرزا قلیچ بیگ")</f>
        <v>A) G.M. سید، بی) شیخ ایاز، سی) امر جلیل، ڈی) مرزا قلیچ بیگ</v>
      </c>
      <c r="L83" s="5" t="str">
        <f>IFERROR(__xludf.DUMMYFUNCTION("GOOGLETRANSLATE(D83, ""en"", ""ur"")"),"د) مرزا قلیچ بیگ")</f>
        <v>د) مرزا قلیچ بیگ</v>
      </c>
      <c r="M83" s="5" t="str">
        <f>IFERROR(__xludf.DUMMYFUNCTION("GOOGLETRANSLATE(E83, ""en"", ""ur"")"),"بااثر ادیب مرزا قلیچ بیگ نے اپنے ادبی کاموں میں ملاکھڑا کو روایتی سندھی زندگی کا ایک لازمی حصہ بنا کر پیش کیا۔")</f>
        <v>بااثر ادیب مرزا قلیچ بیگ نے اپنے ادبی کاموں میں ملاکھڑا کو روایتی سندھی زندگی کا ایک لازمی حصہ بنا کر پیش کیا۔</v>
      </c>
    </row>
    <row r="84">
      <c r="A84" s="3">
        <v>83.0</v>
      </c>
      <c r="B84" s="4" t="s">
        <v>335</v>
      </c>
      <c r="C84" s="4" t="s">
        <v>336</v>
      </c>
      <c r="D84" s="4" t="s">
        <v>337</v>
      </c>
      <c r="E84" s="4" t="s">
        <v>338</v>
      </c>
      <c r="I84" s="5" t="str">
        <f>IFERROR(__xludf.DUMMYFUNCTION("GOOGLETRANSLATE(A84, ""en"", ""ur"")"),"83")</f>
        <v>83</v>
      </c>
      <c r="J84" s="5" t="str">
        <f>IFERROR(__xludf.DUMMYFUNCTION("GOOGLETRANSLATE(B84, ""en"", ""ur"")"),"زیادہ سے زیادہ ہجوم اور بہترین ماحول کو یقینی بنانے کے لیے روایتی طور پر ملاخرا فائنل دن کے کس وقت منعقد کیا جاتا تھا؟")</f>
        <v>زیادہ سے زیادہ ہجوم اور بہترین ماحول کو یقینی بنانے کے لیے روایتی طور پر ملاخرا فائنل دن کے کس وقت منعقد کیا جاتا تھا؟</v>
      </c>
      <c r="K84" s="5" t="str">
        <f>IFERROR(__xludf.DUMMYFUNCTION("GOOGLETRANSLATE(C84, ""en"", ""ur"")"),"A) فجر کے وقت، B) تیز دوپہر میں، C) شام کے ٹھنڈے وقت میں، D) آدھی رات کو")</f>
        <v>A) فجر کے وقت، B) تیز دوپہر میں، C) شام کے ٹھنڈے وقت میں، D) آدھی رات کو</v>
      </c>
      <c r="L84" s="5" t="str">
        <f>IFERROR(__xludf.DUMMYFUNCTION("GOOGLETRANSLATE(D84, ""en"", ""ur"")"),"ج) شام کی ٹھنڈی حالت میں")</f>
        <v>ج) شام کی ٹھنڈی حالت میں</v>
      </c>
      <c r="M84" s="5" t="str">
        <f>IFERROR(__xludf.DUMMYFUNCTION("GOOGLETRANSLATE(E84, ""en"", ""ur"")"),"شام کے میچوں نے لوگوں کو دن بھر کے کام کے بعد شرکت کرنے کی اجازت دی اور دن کی سخت گرمی سے راحت فراہم کی، جس سے تہوار کا ماحول پیدا ہوا۔")</f>
        <v>شام کے میچوں نے لوگوں کو دن بھر کے کام کے بعد شرکت کرنے کی اجازت دی اور دن کی سخت گرمی سے راحت فراہم کی، جس سے تہوار کا ماحول پیدا ہوا۔</v>
      </c>
    </row>
    <row r="85">
      <c r="A85" s="3">
        <v>84.0</v>
      </c>
      <c r="B85" s="4" t="s">
        <v>339</v>
      </c>
      <c r="C85" s="4" t="s">
        <v>340</v>
      </c>
      <c r="D85" s="4" t="s">
        <v>341</v>
      </c>
      <c r="E85" s="4" t="s">
        <v>342</v>
      </c>
      <c r="I85" s="5" t="str">
        <f>IFERROR(__xludf.DUMMYFUNCTION("GOOGLETRANSLATE(A85, ""en"", ""ur"")"),"84")</f>
        <v>84</v>
      </c>
      <c r="J85" s="5" t="str">
        <f>IFERROR(__xludf.DUMMYFUNCTION("GOOGLETRANSLATE(B85, ""en"", ""ur"")"),"ملاخرہ میچوں کو ""عوامی اسمبلیوں"" کے طور پر درجہ بندی کرکے ان کو منظم کرنے یا ان پر پابندی لگانے کے لیے اکثر نوآبادیاتی قانون کا استعمال کیا جاتا تھا؟")</f>
        <v>ملاخرہ میچوں کو "عوامی اسمبلیوں" کے طور پر درجہ بندی کرکے ان کو منظم کرنے یا ان پر پابندی لگانے کے لیے اکثر نوآبادیاتی قانون کا استعمال کیا جاتا تھا؟</v>
      </c>
      <c r="K85" s="5" t="str">
        <f>IFERROR(__xludf.DUMMYFUNCTION("GOOGLETRANSLATE(C85, ""en"", ""ur"")"),"A) 1860 کا انڈین پینل کوڈ، B) 1861 کا پولیس ایکٹ، C) کریمنل پروسیجر کوڈ 1898، D) آرمز ایکٹ 1878")</f>
        <v>A) 1860 کا انڈین پینل کوڈ، B) 1861 کا پولیس ایکٹ، C) کریمنل پروسیجر کوڈ 1898، D) آرمز ایکٹ 1878</v>
      </c>
      <c r="L85" s="5" t="str">
        <f>IFERROR(__xludf.DUMMYFUNCTION("GOOGLETRANSLATE(D85, ""en"", ""ur"")"),"ب) پولیس ایکٹ 1861")</f>
        <v>ب) پولیس ایکٹ 1861</v>
      </c>
      <c r="M85" s="5" t="str">
        <f>IFERROR(__xludf.DUMMYFUNCTION("GOOGLETRANSLATE(E85, ""en"", ""ur"")"),"نوآبادیاتی حکام نے بڑے اجتماعات کے لیے اجازت نامے کی ضرورت کے لیے پولیس ایکٹ کا استعمال کیا، جس سے انہیں ملاخرا جیسے واقعات کو کنٹرول کرنے یا ممنوعہ بنانے کا ایک ذریعہ فراہم کیا گیا۔")</f>
        <v>نوآبادیاتی حکام نے بڑے اجتماعات کے لیے اجازت نامے کی ضرورت کے لیے پولیس ایکٹ کا استعمال کیا، جس سے انہیں ملاخرا جیسے واقعات کو کنٹرول کرنے یا ممنوعہ بنانے کا ایک ذریعہ فراہم کیا گیا۔</v>
      </c>
    </row>
    <row r="86">
      <c r="A86" s="3">
        <v>85.0</v>
      </c>
      <c r="B86" s="4" t="s">
        <v>343</v>
      </c>
      <c r="C86" s="4" t="s">
        <v>344</v>
      </c>
      <c r="D86" s="4" t="s">
        <v>345</v>
      </c>
      <c r="E86" s="4" t="s">
        <v>346</v>
      </c>
      <c r="I86" s="5" t="str">
        <f>IFERROR(__xludf.DUMMYFUNCTION("GOOGLETRANSLATE(A86, ""en"", ""ur"")"),"85")</f>
        <v>85</v>
      </c>
      <c r="J86" s="5" t="str">
        <f>IFERROR(__xludf.DUMMYFUNCTION("GOOGLETRANSLATE(B86, ""en"", ""ur"")"),"سندھ کی صوفی شاعری میں ملاکھڑا میچ کی جدوجہد کو اکثر کس چیز کے استعارے کے طور پر استعمال کیا جاتا ہے؟")</f>
        <v>سندھ کی صوفی شاعری میں ملاکھڑا میچ کی جدوجہد کو اکثر کس چیز کے استعارے کے طور پر استعمال کیا جاتا ہے؟</v>
      </c>
      <c r="K86" s="5" t="str">
        <f>IFERROR(__xludf.DUMMYFUNCTION("GOOGLETRANSLATE(C86, ""en"", ""ur"")"),"A) روح کا الہی کے ساتھ ملاپ، B) مادی دنیا کا لالچ، C) انسانوں کی کمزوری، D) پوشیدہ علم کی تلاش")</f>
        <v>A) روح کا الہی کے ساتھ ملاپ، B) مادی دنیا کا لالچ، C) انسانوں کی کمزوری، D) پوشیدہ علم کی تلاش</v>
      </c>
      <c r="L86" s="5" t="str">
        <f>IFERROR(__xludf.DUMMYFUNCTION("GOOGLETRANSLATE(D86, ""en"", ""ur"")"),"الف) روح کا الہی کے ساتھ ملاپ")</f>
        <v>الف) روح کا الہی کے ساتھ ملاپ</v>
      </c>
      <c r="M86" s="5" t="str">
        <f>IFERROR(__xludf.DUMMYFUNCTION("GOOGLETRANSLATE(E86, ""en"", ""ur"")"),"سچل سرمست جیسے صوفی شاعروں نے کشتی کی منظر کشی کو اندرونی روحانی جدوجہد اور روح کی خدا کے لیے پرجوش جستجو کی علامت کے لیے استعمال کیا۔")</f>
        <v>سچل سرمست جیسے صوفی شاعروں نے کشتی کی منظر کشی کو اندرونی روحانی جدوجہد اور روح کی خدا کے لیے پرجوش جستجو کی علامت کے لیے استعمال کیا۔</v>
      </c>
    </row>
    <row r="87">
      <c r="A87" s="3">
        <v>86.0</v>
      </c>
      <c r="B87" s="4" t="s">
        <v>347</v>
      </c>
      <c r="C87" s="4" t="s">
        <v>348</v>
      </c>
      <c r="D87" s="4" t="s">
        <v>349</v>
      </c>
      <c r="E87" s="4" t="s">
        <v>350</v>
      </c>
      <c r="I87" s="5" t="str">
        <f>IFERROR(__xludf.DUMMYFUNCTION("GOOGLETRANSLATE(A87, ""en"", ""ur"")"),"86")</f>
        <v>86</v>
      </c>
      <c r="J87" s="5" t="str">
        <f>IFERROR(__xludf.DUMMYFUNCTION("GOOGLETRANSLATE(B87, ""en"", ""ur"")"),"روایتی طور پر ملاکھرا پہلوانوں کو طاقت اور صلاحیت پیدا کرنے کے لیے کون سا کھانا تجویز کیا جاتا تھا؟")</f>
        <v>روایتی طور پر ملاکھرا پہلوانوں کو طاقت اور صلاحیت پیدا کرنے کے لیے کون سا کھانا تجویز کیا جاتا تھا؟</v>
      </c>
      <c r="K87" s="5" t="str">
        <f>IFERROR(__xludf.DUMMYFUNCTION("GOOGLETRANSLATE(C87, ""en"", ""ur"")"),"A) مچھلی کا سالن، B) اونٹ کا دودھ، C) بادام کی مٹھائیاں، D) گندم یا باجرے کا ایک غذائیت سے بھرپور دلیہ")</f>
        <v>A) مچھلی کا سالن، B) اونٹ کا دودھ، C) بادام کی مٹھائیاں، D) گندم یا باجرے کا ایک غذائیت سے بھرپور دلیہ</v>
      </c>
      <c r="L87" s="5" t="str">
        <f>IFERROR(__xludf.DUMMYFUNCTION("GOOGLETRANSLATE(D87, ""en"", ""ur"")"),"D) گندم یا باجرے کا ایک غذائیت سے بھرپور دلیہ")</f>
        <v>D) گندم یا باجرے کا ایک غذائیت سے بھرپور دلیہ</v>
      </c>
      <c r="M87" s="5" t="str">
        <f>IFERROR(__xludf.DUMMYFUNCTION("GOOGLETRANSLATE(E87, ""en"", ""ur"")"),"دل والے اور غذائیت سے بھرپور دلیہ پہلوانوں کے لیے ایک اہم غذا تھے، جن کے بارے میں خیال کیا جاتا ہے کہ وہ تربیت کے لیے درکار دیرپا توانائی فراہم کرتے ہیں۔")</f>
        <v>دل والے اور غذائیت سے بھرپور دلیہ پہلوانوں کے لیے ایک اہم غذا تھے، جن کے بارے میں خیال کیا جاتا ہے کہ وہ تربیت کے لیے درکار دیرپا توانائی فراہم کرتے ہیں۔</v>
      </c>
    </row>
    <row r="88">
      <c r="A88" s="3">
        <v>87.0</v>
      </c>
      <c r="B88" s="4" t="s">
        <v>351</v>
      </c>
      <c r="C88" s="4" t="s">
        <v>352</v>
      </c>
      <c r="D88" s="4" t="s">
        <v>353</v>
      </c>
      <c r="E88" s="4" t="s">
        <v>354</v>
      </c>
      <c r="I88" s="5" t="str">
        <f>IFERROR(__xludf.DUMMYFUNCTION("GOOGLETRANSLATE(A88, ""en"", ""ur"")"),"87")</f>
        <v>87</v>
      </c>
      <c r="J88" s="5" t="str">
        <f>IFERROR(__xludf.DUMMYFUNCTION("GOOGLETRANSLATE(B88, ""en"", ""ur"")"),"سندھی اور دیگر علاقائی زبانوں میں ملہ کی اصطلاح کیا مراد ہے؟")</f>
        <v>سندھی اور دیگر علاقائی زبانوں میں ملہ کی اصطلاح کیا مراد ہے؟</v>
      </c>
      <c r="K88" s="5" t="str">
        <f>IFERROR(__xludf.DUMMYFUNCTION("GOOGLETRANSLATE(C88, ""en"", ""ur"")"),"A) ایک مخصوص تکنیک، B) بیلٹ، C) ایک پہلوان یا خود کشتی کا عمل، D) انعام")</f>
        <v>A) ایک مخصوص تکنیک، B) بیلٹ، C) ایک پہلوان یا خود کشتی کا عمل، D) انعام</v>
      </c>
      <c r="L88" s="5" t="str">
        <f>IFERROR(__xludf.DUMMYFUNCTION("GOOGLETRANSLATE(D88, ""en"", ""ur"")"),"ج) ایک پہلوان یا خود کشتی کا عمل")</f>
        <v>ج) ایک پہلوان یا خود کشتی کا عمل</v>
      </c>
      <c r="M88" s="5" t="str">
        <f>IFERROR(__xludf.DUMMYFUNCTION("GOOGLETRANSLATE(E88, ""en"", ""ur"")"),"ملہ کشتی کے لیے ایک قدیم لفظ ہے، اور ملاکھڑا ان کے فن کے منفرد انداز کے لیے مخصوص سندھی نام ہے۔")</f>
        <v>ملہ کشتی کے لیے ایک قدیم لفظ ہے، اور ملاکھڑا ان کے فن کے منفرد انداز کے لیے مخصوص سندھی نام ہے۔</v>
      </c>
    </row>
    <row r="89">
      <c r="A89" s="3">
        <v>88.0</v>
      </c>
      <c r="B89" s="4" t="s">
        <v>355</v>
      </c>
      <c r="C89" s="4" t="s">
        <v>356</v>
      </c>
      <c r="D89" s="4" t="s">
        <v>357</v>
      </c>
      <c r="E89" s="4" t="s">
        <v>358</v>
      </c>
      <c r="I89" s="5" t="str">
        <f>IFERROR(__xludf.DUMMYFUNCTION("GOOGLETRANSLATE(A89, ""en"", ""ur"")"),"88")</f>
        <v>88</v>
      </c>
      <c r="J89" s="5" t="str">
        <f>IFERROR(__xludf.DUMMYFUNCTION("GOOGLETRANSLATE(B89, ""en"", ""ur"")"),"ملاکھڑا کو ""لوک"" یا ""روایتی"" کھیل سمجھا جانے کی بنیادی وجہ کیا ہے؟")</f>
        <v>ملاکھڑا کو "لوک" یا "روایتی" کھیل سمجھا جانے کی بنیادی وجہ کیا ہے؟</v>
      </c>
      <c r="K89" s="5" t="str">
        <f>IFERROR(__xludf.DUMMYFUNCTION("GOOGLETRANSLATE(C89, ""en"", ""ur"")"),"A) اس کے کوئی اصول نہیں ہیں، B) یہ رسمی قواعد کی کتابوں کے بجائے زبانی روایت سے گزرتا ہے، C) یہ صرف کسانوں کے لیے ہے، D) یہ کوئی حقیقی کھیل نہیں ہے۔")</f>
        <v>A) اس کے کوئی اصول نہیں ہیں، B) یہ رسمی قواعد کی کتابوں کے بجائے زبانی روایت سے گزرتا ہے، C) یہ صرف کسانوں کے لیے ہے، D) یہ کوئی حقیقی کھیل نہیں ہے۔</v>
      </c>
      <c r="L89" s="5" t="str">
        <f>IFERROR(__xludf.DUMMYFUNCTION("GOOGLETRANSLATE(D89, ""en"", ""ur"")"),"ب) یہ رسمی قواعد کی کتابوں کے بجائے زبانی روایت سے گزرتا ہے۔")</f>
        <v>ب) یہ رسمی قواعد کی کتابوں کے بجائے زبانی روایت سے گزرتا ہے۔</v>
      </c>
      <c r="M89" s="5" t="str">
        <f>IFERROR(__xludf.DUMMYFUNCTION("GOOGLETRANSLATE(E89, ""en"", ""ur"")"),"اس کے اصول، تکنیک اور رسم و رواج نسل در نسل ماسٹرز (استاد) سے طلباء (شاگردوں) تک براہ راست محفوظ اور منتقل ہوتے رہے ہیں۔")</f>
        <v>اس کے اصول، تکنیک اور رسم و رواج نسل در نسل ماسٹرز (استاد) سے طلباء (شاگردوں) تک براہ راست محفوظ اور منتقل ہوتے رہے ہیں۔</v>
      </c>
    </row>
    <row r="90">
      <c r="A90" s="3">
        <v>89.0</v>
      </c>
      <c r="B90" s="4" t="s">
        <v>359</v>
      </c>
      <c r="C90" s="4" t="s">
        <v>360</v>
      </c>
      <c r="D90" s="4" t="s">
        <v>361</v>
      </c>
      <c r="E90" s="4" t="s">
        <v>362</v>
      </c>
      <c r="I90" s="5" t="str">
        <f>IFERROR(__xludf.DUMMYFUNCTION("GOOGLETRANSLATE(A90, ""en"", ""ur"")"),"89")</f>
        <v>89</v>
      </c>
      <c r="J90" s="5" t="str">
        <f>IFERROR(__xludf.DUMMYFUNCTION("GOOGLETRANSLATE(B90, ""en"", ""ur"")"),"صوفیاء کرام کے مزارات کے قریب ملاکھڑا میچ منعقد کرنے کی کیا اہمیت ہے؟")</f>
        <v>صوفیاء کرام کے مزارات کے قریب ملاکھڑا میچ منعقد کرنے کی کیا اہمیت ہے؟</v>
      </c>
      <c r="K90" s="5" t="str">
        <f>IFERROR(__xludf.DUMMYFUNCTION("GOOGLETRANSLATE(C90, ""en"", ""ur"")"),"A) یہ واحد دستیاب کھلی زمین تھی، B) اس نے مقابلہ کو ایک الہی یا مقدس گواہ کے تحت رکھا، C) یہ زیادہ شائقین کو راغب کرنے کا ایک طریقہ تھا، D) مندرجہ بالا سبھی")</f>
        <v>A) یہ واحد دستیاب کھلی زمین تھی، B) اس نے مقابلہ کو ایک الہی یا مقدس گواہ کے تحت رکھا، C) یہ زیادہ شائقین کو راغب کرنے کا ایک طریقہ تھا، D) مندرجہ بالا سبھی</v>
      </c>
      <c r="L90" s="5" t="str">
        <f>IFERROR(__xludf.DUMMYFUNCTION("GOOGLETRANSLATE(D90, ""en"", ""ur"")"),"D) مذکورہ بالا تمام")</f>
        <v>D) مذکورہ بالا تمام</v>
      </c>
      <c r="M90" s="5" t="str">
        <f>IFERROR(__xludf.DUMMYFUNCTION("GOOGLETRANSLATE(E90, ""en"", ""ur"")"),"مزارات پر میچوں کا انعقاد عملی، مقبول تھا، اور اس تقریب کو روحانی جواز اور فرقہ وارانہ برکت کے احساس سے بھی متاثر کیا۔")</f>
        <v>مزارات پر میچوں کا انعقاد عملی، مقبول تھا، اور اس تقریب کو روحانی جواز اور فرقہ وارانہ برکت کے احساس سے بھی متاثر کیا۔</v>
      </c>
    </row>
    <row r="91">
      <c r="A91" s="3">
        <v>90.0</v>
      </c>
      <c r="B91" s="4" t="s">
        <v>363</v>
      </c>
      <c r="C91" s="4" t="s">
        <v>364</v>
      </c>
      <c r="D91" s="4" t="s">
        <v>365</v>
      </c>
      <c r="E91" s="4" t="s">
        <v>366</v>
      </c>
      <c r="I91" s="5" t="str">
        <f>IFERROR(__xludf.DUMMYFUNCTION("GOOGLETRANSLATE(A91, ""en"", ""ur"")"),"90")</f>
        <v>90</v>
      </c>
      <c r="J91" s="5" t="str">
        <f>IFERROR(__xludf.DUMMYFUNCTION("GOOGLETRANSLATE(B91, ""en"", ""ur"")"),"ملاخرہ کے تناظر میں شگرد کیا ہے؟")</f>
        <v>ملاخرہ کے تناظر میں شگرد کیا ہے؟</v>
      </c>
      <c r="K91" s="5" t="str">
        <f>IFERROR(__xludf.DUMMYFUNCTION("GOOGLETRANSLATE(C91, ""en"", ""ur"")"),"A) ریفری، B) انعام، C) استاد (استاد) کا طالب علم یا شاگرد، D) پہلوان کی پٹی")</f>
        <v>A) ریفری، B) انعام، C) استاد (استاد) کا طالب علم یا شاگرد، D) پہلوان کی پٹی</v>
      </c>
      <c r="L91" s="5" t="str">
        <f>IFERROR(__xludf.DUMMYFUNCTION("GOOGLETRANSLATE(D91, ""en"", ""ur"")"),"ج) کسی استاد (استاد) کا شاگرد یا شاگرد")</f>
        <v>ج) کسی استاد (استاد) کا شاگرد یا شاگرد</v>
      </c>
      <c r="M91" s="5" t="str">
        <f>IFERROR(__xludf.DUMMYFUNCTION("GOOGLETRANSLATE(E91, ""en"", ""ur"")"),"استاد-شاگرد کا رشتہ روایتی جنوبی ایشیائی فنون میں علم کی ترسیل میں مرکزی حیثیت رکھتا ہے۔")</f>
        <v>استاد-شاگرد کا رشتہ روایتی جنوبی ایشیائی فنون میں علم کی ترسیل میں مرکزی حیثیت رکھتا ہے۔</v>
      </c>
    </row>
    <row r="92">
      <c r="A92" s="3">
        <v>91.0</v>
      </c>
      <c r="B92" s="4" t="s">
        <v>367</v>
      </c>
      <c r="C92" s="4" t="s">
        <v>368</v>
      </c>
      <c r="D92" s="4" t="s">
        <v>369</v>
      </c>
      <c r="E92" s="4" t="s">
        <v>370</v>
      </c>
      <c r="I92" s="5" t="str">
        <f>IFERROR(__xludf.DUMMYFUNCTION("GOOGLETRANSLATE(A92, ""en"", ""ur"")"),"91")</f>
        <v>91</v>
      </c>
      <c r="J92" s="5" t="str">
        <f>IFERROR(__xludf.DUMMYFUNCTION("GOOGLETRANSLATE(B92, ""en"", ""ur"")"),"""کلین پن"" کی بنیادی خصوصیت کیا ہے؟")</f>
        <v>"کلین پن" کی بنیادی خصوصیت کیا ہے؟</v>
      </c>
      <c r="K92" s="5" t="str">
        <f>IFERROR(__xludf.DUMMYFUNCTION("GOOGLETRANSLATE(C92, ""en"", ""ur"")"),"A) مخالف کے کندھے کے دونوں بلیڈ مضبوطی سے زمین پر رکھے ہوئے ہیں، B) مخالف زبانی طور پر عرض کرتا ہے، C) مخالف کو انگوٹھی سے باہر پھینک دیا جاتا ہے، D) مخالف کو خون بہہ رہا ہے۔")</f>
        <v>A) مخالف کے کندھے کے دونوں بلیڈ مضبوطی سے زمین پر رکھے ہوئے ہیں، B) مخالف زبانی طور پر عرض کرتا ہے، C) مخالف کو انگوٹھی سے باہر پھینک دیا جاتا ہے، D) مخالف کو خون بہہ رہا ہے۔</v>
      </c>
      <c r="L92" s="5" t="str">
        <f>IFERROR(__xludf.DUMMYFUNCTION("GOOGLETRANSLATE(D92, ""en"", ""ur"")"),"A) مخالف کے دونوں کندھے کے بلیڈ زمین پر مضبوطی سے رکھے ہوئے ہیں۔")</f>
        <v>A) مخالف کے دونوں کندھے کے بلیڈ زمین پر مضبوطی سے رکھے ہوئے ہیں۔</v>
      </c>
      <c r="M92" s="5" t="str">
        <f>IFERROR(__xludf.DUMMYFUNCTION("GOOGLETRANSLATE(E92, ""en"", ""ur"")"),"ایک فیصلہ کن فتح کے لیے پہلوان کو اپنے حریف کو قابو کرنے اور اپنے دونوں کندھوں کو بیک وقت زمین پر دبانے کی ضرورت ہوتی ہے۔")</f>
        <v>ایک فیصلہ کن فتح کے لیے پہلوان کو اپنے حریف کو قابو کرنے اور اپنے دونوں کندھوں کو بیک وقت زمین پر دبانے کی ضرورت ہوتی ہے۔</v>
      </c>
    </row>
    <row r="93">
      <c r="A93" s="3">
        <v>92.0</v>
      </c>
      <c r="B93" s="4" t="s">
        <v>371</v>
      </c>
      <c r="C93" s="4" t="s">
        <v>372</v>
      </c>
      <c r="D93" s="4" t="s">
        <v>373</v>
      </c>
      <c r="E93" s="4" t="s">
        <v>374</v>
      </c>
      <c r="I93" s="5" t="str">
        <f>IFERROR(__xludf.DUMMYFUNCTION("GOOGLETRANSLATE(A93, ""en"", ""ur"")"),"92")</f>
        <v>92</v>
      </c>
      <c r="J93" s="5" t="str">
        <f>IFERROR(__xludf.DUMMYFUNCTION("GOOGLETRANSLATE(B93, ""en"", ""ur"")"),"بگالی کیا ہے؟")</f>
        <v>بگالی کیا ہے؟</v>
      </c>
      <c r="K93" s="5" t="str">
        <f>IFERROR(__xludf.DUMMYFUNCTION("GOOGLETRANSLATE(C93, ""en"", ""ur"")"),"A) ایک دفاعی موقف، B) پہلوان کی پٹی، C) ایک قسم کی طاقتور ہپ تھرو، D) ٹانگوں میں جھاڑو")</f>
        <v>A) ایک دفاعی موقف، B) پہلوان کی پٹی، C) ایک قسم کی طاقتور ہپ تھرو، D) ٹانگوں میں جھاڑو</v>
      </c>
      <c r="L93" s="5" t="str">
        <f>IFERROR(__xludf.DUMMYFUNCTION("GOOGLETRANSLATE(D93, ""en"", ""ur"")"),"ج) طاقتور ہپ تھرو کی ایک قسم")</f>
        <v>ج) طاقتور ہپ تھرو کی ایک قسم</v>
      </c>
      <c r="M93" s="5" t="str">
        <f>IFERROR(__xludf.DUMMYFUNCTION("GOOGLETRANSLATE(E93, ""en"", ""ur"")"),"بگالی ایک کلاسک اور موثر ٹیک ڈاؤن تکنیک ہے جو حریف کو پھینکنے کے لیے کولہے کو بطور فلکرم استعمال کرتی ہے۔")</f>
        <v>بگالی ایک کلاسک اور موثر ٹیک ڈاؤن تکنیک ہے جو حریف کو پھینکنے کے لیے کولہے کو بطور فلکرم استعمال کرتی ہے۔</v>
      </c>
    </row>
    <row r="94">
      <c r="A94" s="3">
        <v>93.0</v>
      </c>
      <c r="B94" s="4" t="s">
        <v>375</v>
      </c>
      <c r="C94" s="4" t="s">
        <v>376</v>
      </c>
      <c r="D94" s="4" t="s">
        <v>377</v>
      </c>
      <c r="E94" s="4" t="s">
        <v>378</v>
      </c>
      <c r="I94" s="5" t="str">
        <f>IFERROR(__xludf.DUMMYFUNCTION("GOOGLETRANSLATE(A94, ""en"", ""ur"")"),"93")</f>
        <v>93</v>
      </c>
      <c r="J94" s="5" t="str">
        <f>IFERROR(__xludf.DUMMYFUNCTION("GOOGLETRANSLATE(B94, ""en"", ""ur"")"),"ایک پہلوان کو مخالف کی پٹی (سندھرو) پر مسلسل گرفت کیوں برقرار رکھنی چاہیے؟")</f>
        <v>ایک پہلوان کو مخالف کی پٹی (سندھرو) پر مسلسل گرفت کیوں برقرار رکھنی چاہیے؟</v>
      </c>
      <c r="K94" s="5" t="str">
        <f>IFERROR(__xludf.DUMMYFUNCTION("GOOGLETRANSLATE(C94, ""en"", ""ur"")"),"A) انہیں بھاگنے سے روکنے کے لئے، B) یہ مرکزی اصول ہے جو مسلسل مشغولیت اور جوڑ توڑ پر مجبور کرتا ہے، C) یہ دوستی کی علامت ہے، D) مخالف کی پشت کو سہارا دینا")</f>
        <v>A) انہیں بھاگنے سے روکنے کے لئے، B) یہ مرکزی اصول ہے جو مسلسل مشغولیت اور جوڑ توڑ پر مجبور کرتا ہے، C) یہ دوستی کی علامت ہے، D) مخالف کی پشت کو سہارا دینا</v>
      </c>
      <c r="L94" s="5" t="str">
        <f>IFERROR(__xludf.DUMMYFUNCTION("GOOGLETRANSLATE(D94, ""en"", ""ur"")"),"ب) یہ مرکزی قاعدہ ہے جو مسلسل مشغولیت اور جوجھ کو مجبور کرتا ہے۔")</f>
        <v>ب) یہ مرکزی قاعدہ ہے جو مسلسل مشغولیت اور جوجھ کو مجبور کرتا ہے۔</v>
      </c>
      <c r="M94" s="5" t="str">
        <f>IFERROR(__xludf.DUMMYFUNCTION("GOOGLETRANSLATE(E94, ""en"", ""ur"")"),"یہ منفرد اصول اسٹالنگ کو روکتا ہے اور اس بات کو یقینی بناتا ہے کہ میچ گرفت کی طاقت، فائدہ اٹھانے اور تکنیک کا مسلسل امتحان ہے۔")</f>
        <v>یہ منفرد اصول اسٹالنگ کو روکتا ہے اور اس بات کو یقینی بناتا ہے کہ میچ گرفت کی طاقت، فائدہ اٹھانے اور تکنیک کا مسلسل امتحان ہے۔</v>
      </c>
    </row>
    <row r="95">
      <c r="A95" s="3">
        <v>94.0</v>
      </c>
      <c r="B95" s="4" t="s">
        <v>379</v>
      </c>
      <c r="C95" s="4" t="s">
        <v>380</v>
      </c>
      <c r="D95" s="4" t="s">
        <v>381</v>
      </c>
      <c r="E95" s="4" t="s">
        <v>382</v>
      </c>
      <c r="I95" s="5" t="str">
        <f>IFERROR(__xludf.DUMMYFUNCTION("GOOGLETRANSLATE(A95, ""en"", ""ur"")"),"94")</f>
        <v>94</v>
      </c>
      <c r="J95" s="5" t="str">
        <f>IFERROR(__xludf.DUMMYFUNCTION("GOOGLETRANSLATE(B95, ""en"", ""ur"")"),"ملح استاد کا کردار کیا ہے؟")</f>
        <v>ملح استاد کا کردار کیا ہے؟</v>
      </c>
      <c r="K95" s="5" t="str">
        <f>IFERROR(__xludf.DUMMYFUNCTION("GOOGLETRANSLATE(C95, ""en"", ""ur"")"),"A) ایک چیمپئن پہلوان، B) ایک ماسٹر اور کوچ جو ریسلنگ اسکول (اکھاڑہ) چلاتا ہے، C) ایک ریفری، D) کھیل کا ایک مورخ")</f>
        <v>A) ایک چیمپئن پہلوان، B) ایک ماسٹر اور کوچ جو ریسلنگ اسکول (اکھاڑہ) چلاتا ہے، C) ایک ریفری، D) کھیل کا ایک مورخ</v>
      </c>
      <c r="L95" s="5" t="str">
        <f>IFERROR(__xludf.DUMMYFUNCTION("GOOGLETRANSLATE(D95, ""en"", ""ur"")"),"ب) ایک ماسٹر اور کوچ جو ریسلنگ اسکول چلاتا ہے (اکھاڑہ)")</f>
        <v>ب) ایک ماسٹر اور کوچ جو ریسلنگ اسکول چلاتا ہے (اکھاڑہ)</v>
      </c>
      <c r="M95" s="5" t="str">
        <f>IFERROR(__xludf.DUMMYFUNCTION("GOOGLETRANSLATE(E95, ""en"", ""ur"")"),"ایک استاد ایک سینئر استاد ہے جو پہلوانوں کی اگلی نسل کی تربیت کا ذمہ دار ہے۔")</f>
        <v>ایک استاد ایک سینئر استاد ہے جو پہلوانوں کی اگلی نسل کی تربیت کا ذمہ دار ہے۔</v>
      </c>
    </row>
    <row r="96">
      <c r="A96" s="3">
        <v>95.0</v>
      </c>
      <c r="B96" s="4" t="s">
        <v>383</v>
      </c>
      <c r="C96" s="4" t="s">
        <v>384</v>
      </c>
      <c r="D96" s="4" t="s">
        <v>385</v>
      </c>
      <c r="E96" s="4" t="s">
        <v>386</v>
      </c>
      <c r="I96" s="5" t="str">
        <f>IFERROR(__xludf.DUMMYFUNCTION("GOOGLETRANSLATE(A96, ""en"", ""ur"")"),"95")</f>
        <v>95</v>
      </c>
      <c r="J96" s="5" t="str">
        <f>IFERROR(__xludf.DUMMYFUNCTION("GOOGLETRANSLATE(B96, ""en"", ""ur"")"),"اگر کسی پہلوان کی لنگوٹی (دھوتی) میچ کے دوران پوری طرح اتر جائے تو کیا حکم ہے؟")</f>
        <v>اگر کسی پہلوان کی لنگوٹی (دھوتی) میچ کے دوران پوری طرح اتر جائے تو کیا حکم ہے؟</v>
      </c>
      <c r="K96" s="5" t="str">
        <f>IFERROR(__xludf.DUMMYFUNCTION("GOOGLETRANSLATE(C96, ""en"", ""ur"")"),"A) میچ جاری ہے، B) ریفری غلط لباس پہننے پر میچ کو فوری طور پر روک دیتا ہے، C) مخالف ڈیفالٹ جیت جاتا ہے، D) پہلوان ایک پوائنٹ کھو دیتا ہے۔")</f>
        <v>A) میچ جاری ہے، B) ریفری غلط لباس پہننے پر میچ کو فوری طور پر روک دیتا ہے، C) مخالف ڈیفالٹ جیت جاتا ہے، D) پہلوان ایک پوائنٹ کھو دیتا ہے۔</v>
      </c>
      <c r="L96" s="5" t="str">
        <f>IFERROR(__xludf.DUMMYFUNCTION("GOOGLETRANSLATE(D96, ""en"", ""ur"")"),"ب) ریفری غلط لباس پہننے پر میچ کو فوری طور پر روک دیتا ہے۔")</f>
        <v>ب) ریفری غلط لباس پہننے پر میچ کو فوری طور پر روک دیتا ہے۔</v>
      </c>
      <c r="M96" s="5" t="str">
        <f>IFERROR(__xludf.DUMMYFUNCTION("GOOGLETRANSLATE(E96, ""en"", ""ur"")"),"مناسب وجوہات کی بناء پر اور خلفشار کو روکنے کے لیے، ریسلر کو اپنا لباس ٹھیک کرنے کی اجازت دینے کے لیے ریفری میچ کو روک دے گا۔")</f>
        <v>مناسب وجوہات کی بناء پر اور خلفشار کو روکنے کے لیے، ریسلر کو اپنا لباس ٹھیک کرنے کی اجازت دینے کے لیے ریفری میچ کو روک دے گا۔</v>
      </c>
    </row>
    <row r="97">
      <c r="A97" s="3">
        <v>96.0</v>
      </c>
      <c r="B97" s="4" t="s">
        <v>387</v>
      </c>
      <c r="C97" s="4" t="s">
        <v>388</v>
      </c>
      <c r="D97" s="4" t="s">
        <v>389</v>
      </c>
      <c r="E97" s="4" t="s">
        <v>390</v>
      </c>
      <c r="I97" s="5" t="str">
        <f>IFERROR(__xludf.DUMMYFUNCTION("GOOGLETRANSLATE(A97, ""en"", ""ur"")"),"96")</f>
        <v>96</v>
      </c>
      <c r="J97" s="5" t="str">
        <f>IFERROR(__xludf.DUMMYFUNCTION("GOOGLETRANSLATE(B97, ""en"", ""ur"")"),"ملاکھرا اور گریکو رومن ریسلنگ کے درمیان بنیادی فرق کیا ہے؟")</f>
        <v>ملاکھرا اور گریکو رومن ریسلنگ کے درمیان بنیادی فرق کیا ہے؟</v>
      </c>
      <c r="K97" s="5" t="str">
        <f>IFERROR(__xludf.DUMMYFUNCTION("GOOGLETRANSLATE(C97, ""en"", ""ur"")"),"A) ملاکھڑا ٹانگوں پر حملوں کی اجازت دیتا ہے، جبکہ گریکو رومن نہیں کرتا، B) گریکو رومن بیلٹ کا استعمال کرتا ہے، C) ملاکھرا ایک ٹیم کھیل ہے، D) کوئی فرق نہیں ہے")</f>
        <v>A) ملاکھڑا ٹانگوں پر حملوں کی اجازت دیتا ہے، جبکہ گریکو رومن نہیں کرتا، B) گریکو رومن بیلٹ کا استعمال کرتا ہے، C) ملاکھرا ایک ٹیم کھیل ہے، D) کوئی فرق نہیں ہے</v>
      </c>
      <c r="L97" s="5" t="str">
        <f>IFERROR(__xludf.DUMMYFUNCTION("GOOGLETRANSLATE(D97, ""en"", ""ur"")"),"A) ملاخرا ٹانگوں پر حملوں کی اجازت دیتا ہے، جبکہ گریکو رومن نہیں دیتا")</f>
        <v>A) ملاخرا ٹانگوں پر حملوں کی اجازت دیتا ہے، جبکہ گریکو رومن نہیں دیتا</v>
      </c>
      <c r="M97" s="5" t="str">
        <f>IFERROR(__xludf.DUMMYFUNCTION("GOOGLETRANSLATE(E97, ""en"", ""ur"")"),"ملاکھرا دوروں اور جھاڑو دینے کے لیے ٹانگوں کے استعمال کی اجازت دیتا ہے، جب کہ گریکو رومن کشتی صرف جسم کے اوپری حصے کے حملوں تک محدود ہے۔")</f>
        <v>ملاکھرا دوروں اور جھاڑو دینے کے لیے ٹانگوں کے استعمال کی اجازت دیتا ہے، جب کہ گریکو رومن کشتی صرف جسم کے اوپری حصے کے حملوں تک محدود ہے۔</v>
      </c>
    </row>
    <row r="98">
      <c r="A98" s="3">
        <v>97.0</v>
      </c>
      <c r="B98" s="4" t="s">
        <v>391</v>
      </c>
      <c r="C98" s="4" t="s">
        <v>392</v>
      </c>
      <c r="D98" s="4" t="s">
        <v>393</v>
      </c>
      <c r="E98" s="4" t="s">
        <v>394</v>
      </c>
      <c r="I98" s="5" t="str">
        <f>IFERROR(__xludf.DUMMYFUNCTION("GOOGLETRANSLATE(A98, ""en"", ""ur"")"),"97")</f>
        <v>97</v>
      </c>
      <c r="J98" s="5" t="str">
        <f>IFERROR(__xludf.DUMMYFUNCTION("GOOGLETRANSLATE(B98, ""en"", ""ur"")"),"اگر کوئی پہلوان ""تکنیکی برتری"" سے جیت جائے تو اس کا کیا مطلب ہے؟")</f>
        <v>اگر کوئی پہلوان "تکنیکی برتری" سے جیت جائے تو اس کا کیا مطلب ہے؟</v>
      </c>
      <c r="K98" s="5" t="str">
        <f>IFERROR(__xludf.DUMMYFUNCTION("GOOGLETRANSLATE(C98, ""en"", ""ur"")"),"A) انہوں نے پن سے جیتا، B) انہوں نے جیت لیا کیونکہ مخالف کو نااہل قرار دیا گیا تھا، C) انہوں نے وقت کی حد ختم ہونے کے بعد پوائنٹس پر جیتا، D) وہ جیت گئے کیونکہ ریفری نے انہیں بہت زیادہ ہنر مند سمجھا")</f>
        <v>A) انہوں نے پن سے جیتا، B) انہوں نے جیت لیا کیونکہ مخالف کو نااہل قرار دیا گیا تھا، C) انہوں نے وقت کی حد ختم ہونے کے بعد پوائنٹس پر جیتا، D) وہ جیت گئے کیونکہ ریفری نے انہیں بہت زیادہ ہنر مند سمجھا</v>
      </c>
      <c r="L98" s="5" t="str">
        <f>IFERROR(__xludf.DUMMYFUNCTION("GOOGLETRANSLATE(D98, ""en"", ""ur"")"),"C) وہ وقت کی حد ختم ہونے کے بعد پوائنٹس پر جیت گئے۔")</f>
        <v>C) وہ وقت کی حد ختم ہونے کے بعد پوائنٹس پر جیت گئے۔</v>
      </c>
      <c r="M98" s="5" t="str">
        <f>IFERROR(__xludf.DUMMYFUNCTION("GOOGLETRANSLATE(E98, ""en"", ""ur"")"),"اگر کوئی پن نہیں ہوتا ہے، پہلوان جس نے اعلی تکنیک کا مظاہرہ کیا ہے اور زیادہ پوائنٹس جمع کیے ہیں، فاتح قرار دیا جاتا ہے۔")</f>
        <v>اگر کوئی پن نہیں ہوتا ہے، پہلوان جس نے اعلی تکنیک کا مظاہرہ کیا ہے اور زیادہ پوائنٹس جمع کیے ہیں، فاتح قرار دیا جاتا ہے۔</v>
      </c>
    </row>
    <row r="99">
      <c r="A99" s="3">
        <v>98.0</v>
      </c>
      <c r="B99" s="4" t="s">
        <v>395</v>
      </c>
      <c r="C99" s="4" t="s">
        <v>396</v>
      </c>
      <c r="D99" s="4" t="s">
        <v>397</v>
      </c>
      <c r="E99" s="4" t="s">
        <v>398</v>
      </c>
      <c r="I99" s="5" t="str">
        <f>IFERROR(__xludf.DUMMYFUNCTION("GOOGLETRANSLATE(A99, ""en"", ""ur"")"),"98")</f>
        <v>98</v>
      </c>
      <c r="J99" s="5" t="str">
        <f>IFERROR(__xludf.DUMMYFUNCTION("GOOGLETRANSLATE(B99, ""en"", ""ur"")"),"ایک ٹورنامنٹ میں، ابتدائی ""وزن"" کا مقصد کیا ہے؟")</f>
        <v>ایک ٹورنامنٹ میں، ابتدائی "وزن" کا مقصد کیا ہے؟</v>
      </c>
      <c r="K99" s="5" t="str">
        <f>IFERROR(__xludf.DUMMYFUNCTION("GOOGLETRANSLATE(C99, ""en"", ""ur"")"),"A) یہ دیکھنا کہ کون سب سے مضبوط ہے، B) پہلوانوں کو منصفانہ مقابلے کے لیے ان کے صحیح وزن کی کلاسوں میں درجہ بندی کرنا، C) انعامی رقم کا تعین کرنا، D) یہ ایک میڈیکل چیک اپ ہے۔")</f>
        <v>A) یہ دیکھنا کہ کون سب سے مضبوط ہے، B) پہلوانوں کو منصفانہ مقابلے کے لیے ان کے صحیح وزن کی کلاسوں میں درجہ بندی کرنا، C) انعامی رقم کا تعین کرنا، D) یہ ایک میڈیکل چیک اپ ہے۔</v>
      </c>
      <c r="L99" s="5" t="str">
        <f>IFERROR(__xludf.DUMMYFUNCTION("GOOGLETRANSLATE(D99, ""en"", ""ur"")"),"ب) منصفانہ مقابلے کے لیے پہلوانوں کو ان کے صحیح وزن کی کلاسوں میں درجہ بندی کرنا")</f>
        <v>ب) منصفانہ مقابلے کے لیے پہلوانوں کو ان کے صحیح وزن کی کلاسوں میں درجہ بندی کرنا</v>
      </c>
      <c r="M99" s="5" t="str">
        <f>IFERROR(__xludf.DUMMYFUNCTION("GOOGLETRANSLATE(E99, ""en"", ""ur"")"),"تمام جنگی کھیلوں میں وزن ایک معیاری طریقہ کار ہے اس بات کو یقینی بنانے کے لیے کہ مخالفین ایک جیسے سائز کے ہوں۔")</f>
        <v>تمام جنگی کھیلوں میں وزن ایک معیاری طریقہ کار ہے اس بات کو یقینی بنانے کے لیے کہ مخالفین ایک جیسے سائز کے ہوں۔</v>
      </c>
    </row>
    <row r="100">
      <c r="A100" s="3">
        <v>99.0</v>
      </c>
      <c r="B100" s="4" t="s">
        <v>399</v>
      </c>
      <c r="C100" s="4" t="s">
        <v>400</v>
      </c>
      <c r="D100" s="4" t="s">
        <v>401</v>
      </c>
      <c r="E100" s="4" t="s">
        <v>402</v>
      </c>
      <c r="I100" s="5" t="str">
        <f>IFERROR(__xludf.DUMMYFUNCTION("GOOGLETRANSLATE(A100, ""en"", ""ur"")"),"99")</f>
        <v>99</v>
      </c>
      <c r="J100" s="5" t="str">
        <f>IFERROR(__xludf.DUMMYFUNCTION("GOOGLETRANSLATE(B100, ""en"", ""ur"")"),"ایک پہلوان حریف کے چہرے کو دھکیلنے کے لیے اپنا آزاد ہاتھ (جو بیلٹ نہیں پکڑتا) استعمال کرتا ہے۔ کیا یہ قانونی ہے؟")</f>
        <v>ایک پہلوان حریف کے چہرے کو دھکیلنے کے لیے اپنا آزاد ہاتھ (جو بیلٹ نہیں پکڑتا) استعمال کرتا ہے۔ کیا یہ قانونی ہے؟</v>
      </c>
      <c r="K100" s="5" t="str">
        <f>IFERROR(__xludf.DUMMYFUNCTION("GOOGLETRANSLATE(C100, ""en"", ""ur"")"),"A) ہاں، یہ ایک عام حربہ ہے، B) نہیں، فری ہینڈ کا استعمال چہرے کو مارنے یا دھکیلنے کے لیے نہیں کیا جا سکتا، C) صرف اس صورت میں جب ہاتھ کھلا ہو، D) یہ قانونی ہے لیکن اس کے نتیجے میں وارننگ ہو گی۔")</f>
        <v>A) ہاں، یہ ایک عام حربہ ہے، B) نہیں، فری ہینڈ کا استعمال چہرے کو مارنے یا دھکیلنے کے لیے نہیں کیا جا سکتا، C) صرف اس صورت میں جب ہاتھ کھلا ہو، D) یہ قانونی ہے لیکن اس کے نتیجے میں وارننگ ہو گی۔</v>
      </c>
      <c r="L100" s="5" t="str">
        <f>IFERROR(__xludf.DUMMYFUNCTION("GOOGLETRANSLATE(D100, ""en"", ""ur"")"),"ب) نہیں، فری ہینڈ کو چہرے پر مارنے یا دھکیلنے کے لیے استعمال نہیں کیا جا سکتا")</f>
        <v>ب) نہیں، فری ہینڈ کو چہرے پر مارنے یا دھکیلنے کے لیے استعمال نہیں کیا جا سکتا</v>
      </c>
      <c r="M100" s="5" t="str">
        <f>IFERROR(__xludf.DUMMYFUNCTION("GOOGLETRANSLATE(E100, ""en"", ""ur"")"),"فری ہینڈ کا استعمال مخالف کے بازو کو روکنے یا پکڑنے کے لیے کیا جا سکتا ہے، لیکن سر یا چہرے پر حملہ کرنے کے لیے نہیں۔")</f>
        <v>فری ہینڈ کا استعمال مخالف کے بازو کو روکنے یا پکڑنے کے لیے کیا جا سکتا ہے، لیکن سر یا چہرے پر حملہ کرنے کے لیے نہیں۔</v>
      </c>
    </row>
    <row r="101">
      <c r="A101" s="3">
        <v>100.0</v>
      </c>
      <c r="B101" s="4" t="s">
        <v>403</v>
      </c>
      <c r="C101" s="4" t="s">
        <v>404</v>
      </c>
      <c r="D101" s="4" t="s">
        <v>405</v>
      </c>
      <c r="E101" s="4" t="s">
        <v>406</v>
      </c>
      <c r="I101" s="5" t="str">
        <f>IFERROR(__xludf.DUMMYFUNCTION("GOOGLETRANSLATE(A101, ""en"", ""ur"")"),"100")</f>
        <v>100</v>
      </c>
      <c r="J101" s="5" t="str">
        <f>IFERROR(__xludf.DUMMYFUNCTION("GOOGLETRANSLATE(B101, ""en"", ""ur"")"),"ملاخرہ کا سندھ میں تصوف سے گہرا تعلق کیا ہے؟")</f>
        <v>ملاخرہ کا سندھ میں تصوف سے گہرا تعلق کیا ہے؟</v>
      </c>
      <c r="K101" s="5" t="str">
        <f>IFERROR(__xludf.DUMMYFUNCTION("GOOGLETRANSLATE(C101, ""en"", ""ur"")"),"A) اس کھیل کا تذکرہ صوفی متون میں ہے، B) بڑے مقابلے صوفی مزاروں پر تہواروں (عرس) کے دوران ہوتے ہیں، C) صوفی بزرگ پہلے پہلوان تھے، D) تمام پہلوانوں کو صوفی ہونا چاہیے۔")</f>
        <v>A) اس کھیل کا تذکرہ صوفی متون میں ہے، B) بڑے مقابلے صوفی مزاروں پر تہواروں (عرس) کے دوران ہوتے ہیں، C) صوفی بزرگ پہلے پہلوان تھے، D) تمام پہلوانوں کو صوفی ہونا چاہیے۔</v>
      </c>
      <c r="L101" s="5" t="str">
        <f>IFERROR(__xludf.DUMMYFUNCTION("GOOGLETRANSLATE(D101, ""en"", ""ur"")"),"ب) تہواروں (عرس) کے دوران بڑے مقابلے صوفی مزارات پر ہوتے ہیں۔")</f>
        <v>ب) تہواروں (عرس) کے دوران بڑے مقابلے صوفی مزارات پر ہوتے ہیں۔</v>
      </c>
      <c r="M101" s="5" t="str">
        <f>IFERROR(__xludf.DUMMYFUNCTION("GOOGLETRANSLATE(E101, ""en"", ""ur"")"),"عرس کی تقریبات کے مرکز کے طور پر کھیل کے کردار نے جسمانی فن اور خطے کی روحانی ثقافت کے درمیان ایک گہرا اور پائیدار ربط پیدا کیا ہے۔")</f>
        <v>عرس کی تقریبات کے مرکز کے طور پر کھیل کے کردار نے جسمانی فن اور خطے کی روحانی ثقافت کے درمیان ایک گہرا اور پائیدار ربط پیدا کیا ہے۔</v>
      </c>
    </row>
    <row r="102">
      <c r="A102" s="3">
        <v>101.0</v>
      </c>
      <c r="B102" s="4" t="s">
        <v>407</v>
      </c>
      <c r="C102" s="4" t="s">
        <v>408</v>
      </c>
      <c r="D102" s="4" t="s">
        <v>409</v>
      </c>
      <c r="E102" s="4" t="s">
        <v>410</v>
      </c>
      <c r="I102" s="5" t="str">
        <f>IFERROR(__xludf.DUMMYFUNCTION("GOOGLETRANSLATE(A102, ""en"", ""ur"")"),"101")</f>
        <v>101</v>
      </c>
      <c r="J102" s="5" t="str">
        <f>IFERROR(__xludf.DUMMYFUNCTION("GOOGLETRANSLATE(B102, ""en"", ""ur"")"),"ایک پہلوان اپنے طاقتور ""اندر ٹانگ ٹرپ"" کے لیے جانا جاتا ہے۔ اس تکنیک میں کیا شامل ہے؟")</f>
        <v>ایک پہلوان اپنے طاقتور "اندر ٹانگ ٹرپ" کے لیے جانا جاتا ہے۔ اس تکنیک میں کیا شامل ہے؟</v>
      </c>
      <c r="K102" s="5" t="str">
        <f>IFERROR(__xludf.DUMMYFUNCTION("GOOGLETRANSLATE(C102, ""en"", ""ur"")"),"A) اپنے بازو کو حریف کو ٹرپ کرنے کے لیے استعمال کرنا، B) اپنے مخالف کی ٹانگ کو پیچھے رکھ کر ان کا توازن برقرار رکھنا، C) مخالف کی ٹانگ کو لات مارنا، D) مخالف کی ٹانگ پر چھلانگ لگانا")</f>
        <v>A) اپنے بازو کو حریف کو ٹرپ کرنے کے لیے استعمال کرنا، B) اپنے مخالف کی ٹانگ کو پیچھے رکھ کر ان کا توازن برقرار رکھنا، C) مخالف کی ٹانگ کو لات مارنا، D) مخالف کی ٹانگ پر چھلانگ لگانا</v>
      </c>
      <c r="L102" s="5" t="str">
        <f>IFERROR(__xludf.DUMMYFUNCTION("GOOGLETRANSLATE(D102, ""en"", ""ur"")"),"ب) ان کی ٹانگ کو مخالف کے پیچھے رکھنا تاکہ ان کا توازن برقرار رہے۔")</f>
        <v>ب) ان کی ٹانگ کو مخالف کے پیچھے رکھنا تاکہ ان کا توازن برقرار رہے۔</v>
      </c>
      <c r="M102" s="5" t="str">
        <f>IFERROR(__xludf.DUMMYFUNCTION("GOOGLETRANSLATE(E102, ""en"", ""ur"")"),"یہ ایک کلاسک ریسلنگ ٹیک ڈاؤن ہے جہاں حملہ آور بیلٹ سے کھینچتے ہوئے حریف کو ٹرپ کرنے کے لیے اپنی ٹانگ کو رکاوٹ کے طور پر استعمال کرتا ہے۔")</f>
        <v>یہ ایک کلاسک ریسلنگ ٹیک ڈاؤن ہے جہاں حملہ آور بیلٹ سے کھینچتے ہوئے حریف کو ٹرپ کرنے کے لیے اپنی ٹانگ کو رکاوٹ کے طور پر استعمال کرتا ہے۔</v>
      </c>
    </row>
    <row r="103">
      <c r="A103" s="3">
        <v>102.0</v>
      </c>
      <c r="B103" s="4" t="s">
        <v>411</v>
      </c>
      <c r="C103" s="4" t="s">
        <v>412</v>
      </c>
      <c r="D103" s="4" t="s">
        <v>361</v>
      </c>
      <c r="E103" s="4" t="s">
        <v>413</v>
      </c>
      <c r="I103" s="5" t="str">
        <f>IFERROR(__xludf.DUMMYFUNCTION("GOOGLETRANSLATE(A103, ""en"", ""ur"")"),"102")</f>
        <v>102</v>
      </c>
      <c r="J103" s="5" t="str">
        <f>IFERROR(__xludf.DUMMYFUNCTION("GOOGLETRANSLATE(B103, ""en"", ""ur"")"),"ریسلرز کا میچ سے پہلے اپنی ہی رانوں پر تھپڑ مارنے کا بنیادی مقصد کیا ہے؟")</f>
        <v>ریسلرز کا میچ سے پہلے اپنی ہی رانوں پر تھپڑ مارنے کا بنیادی مقصد کیا ہے؟</v>
      </c>
      <c r="K103" s="5" t="str">
        <f>IFERROR(__xludf.DUMMYFUNCTION("GOOGLETRANSLATE(C103, ""en"", ""ur"")"),"A) ان کے پٹھوں کو گرم کرنے کے لئے، B) مخالف کو ڈرانے کے لئے، C) ریفری کو تیاری کا اشارہ دینا، D) مندرجہ بالا سبھی")</f>
        <v>A) ان کے پٹھوں کو گرم کرنے کے لئے، B) مخالف کو ڈرانے کے لئے، C) ریفری کو تیاری کا اشارہ دینا، D) مندرجہ بالا سبھی</v>
      </c>
      <c r="L103" s="5" t="str">
        <f>IFERROR(__xludf.DUMMYFUNCTION("GOOGLETRANSLATE(D103, ""en"", ""ur"")"),"D) مذکورہ بالا تمام")</f>
        <v>D) مذکورہ بالا تمام</v>
      </c>
      <c r="M103" s="5" t="str">
        <f>IFERROR(__xludf.DUMMYFUNCTION("GOOGLETRANSLATE(E103, ""en"", ""ur"")"),"یہ روایتی ڈسپلے جسم کو تیار کرنے، اعتماد ظاہر کرنے اور اس بات کی نشاندہی کرتا ہے کہ پہلوان شروع کرنے کے لیے تیار ہے۔")</f>
        <v>یہ روایتی ڈسپلے جسم کو تیار کرنے، اعتماد ظاہر کرنے اور اس بات کی نشاندہی کرتا ہے کہ پہلوان شروع کرنے کے لیے تیار ہے۔</v>
      </c>
    </row>
    <row r="104">
      <c r="A104" s="3">
        <v>103.0</v>
      </c>
      <c r="B104" s="4" t="s">
        <v>414</v>
      </c>
      <c r="C104" s="4" t="s">
        <v>415</v>
      </c>
      <c r="D104" s="4" t="s">
        <v>416</v>
      </c>
      <c r="E104" s="4" t="s">
        <v>417</v>
      </c>
      <c r="I104" s="5" t="str">
        <f>IFERROR(__xludf.DUMMYFUNCTION("GOOGLETRANSLATE(A104, ""en"", ""ur"")"),"103")</f>
        <v>103</v>
      </c>
      <c r="J104" s="5" t="str">
        <f>IFERROR(__xludf.DUMMYFUNCTION("GOOGLETRANSLATE(B104, ""en"", ""ur"")"),"جس پہلوان کے پاس غیر منظور شدہ، ضرورت سے زیادہ موٹی بیلٹ پائی جاتی ہے اس کے لیے کیا سزا ہے؟")</f>
        <v>جس پہلوان کے پاس غیر منظور شدہ، ضرورت سے زیادہ موٹی بیلٹ پائی جاتی ہے اس کے لیے کیا سزا ہے؟</v>
      </c>
      <c r="K104" s="5" t="str">
        <f>IFERROR(__xludf.DUMMYFUNCTION("GOOGLETRANSLATE(C104, ""en"", ""ur"")"),"A) ایک انتباہ جاری کیا جاتا ہے، B) بیلٹ کو تبدیل کرنا ضروری ہے، لیکن میچ جاری رہتا ہے، C) پہلوان کو نااہل قرار دیا جاتا ہے، D) مخالف کو 2 پوائنٹس سے نوازا جاتا ہے")</f>
        <v>A) ایک انتباہ جاری کیا جاتا ہے، B) بیلٹ کو تبدیل کرنا ضروری ہے، لیکن میچ جاری رہتا ہے، C) پہلوان کو نااہل قرار دیا جاتا ہے، D) مخالف کو 2 پوائنٹس سے نوازا جاتا ہے</v>
      </c>
      <c r="L104" s="5" t="str">
        <f>IFERROR(__xludf.DUMMYFUNCTION("GOOGLETRANSLATE(D104, ""en"", ""ur"")"),"ج) پہلوان کو نااہل قرار دیا جاتا ہے۔")</f>
        <v>ج) پہلوان کو نااہل قرار دیا جاتا ہے۔</v>
      </c>
      <c r="M104" s="5" t="str">
        <f>IFERROR(__xludf.DUMMYFUNCTION("GOOGLETRANSLATE(E104, ""en"", ""ur"")"),"غیر ریگولیشن آلات کا استعمال جو غیر منصفانہ فائدہ فراہم کرتا ہے (مثال کے طور پر، ایک موٹی بیلٹ کو پکڑنا مشکل ہے) نااہلی کا باعث بن سکتا ہے۔")</f>
        <v>غیر ریگولیشن آلات کا استعمال جو غیر منصفانہ فائدہ فراہم کرتا ہے (مثال کے طور پر، ایک موٹی بیلٹ کو پکڑنا مشکل ہے) نااہلی کا باعث بن سکتا ہے۔</v>
      </c>
    </row>
    <row r="105">
      <c r="A105" s="3">
        <v>104.0</v>
      </c>
      <c r="B105" s="4" t="s">
        <v>418</v>
      </c>
      <c r="C105" s="4" t="s">
        <v>419</v>
      </c>
      <c r="D105" s="4" t="s">
        <v>420</v>
      </c>
      <c r="E105" s="4" t="s">
        <v>421</v>
      </c>
      <c r="I105" s="5" t="str">
        <f>IFERROR(__xludf.DUMMYFUNCTION("GOOGLETRANSLATE(A105, ""en"", ""ur"")"),"104")</f>
        <v>104</v>
      </c>
      <c r="J105" s="5" t="str">
        <f>IFERROR(__xludf.DUMMYFUNCTION("GOOGLETRANSLATE(B105, ""en"", ""ur"")"),"ایک پہلوان کامیاب تھرو کے لیے ایک پوائنٹ جیتتا ہے۔ میچ دوبارہ کیسے شروع ہوتا ہے؟")</f>
        <v>ایک پہلوان کامیاب تھرو کے لیے ایک پوائنٹ جیتتا ہے۔ میچ دوبارہ کیسے شروع ہوتا ہے؟</v>
      </c>
      <c r="K105" s="5" t="str">
        <f>IFERROR(__xludf.DUMMYFUNCTION("GOOGLETRANSLATE(C105, ""en"", ""ur"")"),"A) پہلوان گراؤنڈ سے شروع ہوتے ہیں، B) پہلوانوں کو مرکز میں واپس لایا جاتا ہے اور دوبارہ باندھ دیا جاتا ہے، C) جیتنے والا پہلوان غالب پوزیشن میں شروع ہوتا ہے، D) ہارنے والے پہلوان کو رنگ چھوڑنا پڑتا ہے۔")</f>
        <v>A) پہلوان گراؤنڈ سے شروع ہوتے ہیں، B) پہلوانوں کو مرکز میں واپس لایا جاتا ہے اور دوبارہ باندھ دیا جاتا ہے، C) جیتنے والا پہلوان غالب پوزیشن میں شروع ہوتا ہے، D) ہارنے والے پہلوان کو رنگ چھوڑنا پڑتا ہے۔</v>
      </c>
      <c r="L105" s="5" t="str">
        <f>IFERROR(__xludf.DUMMYFUNCTION("GOOGLETRANSLATE(D105, ""en"", ""ur"")"),"ب) پہلوانوں کو مرکز میں واپس لا کر دوبارہ باندھ دیا جاتا ہے۔")</f>
        <v>ب) پہلوانوں کو مرکز میں واپس لا کر دوبارہ باندھ دیا جاتا ہے۔</v>
      </c>
      <c r="M105" s="5" t="str">
        <f>IFERROR(__xludf.DUMMYFUNCTION("GOOGLETRANSLATE(E105, ""en"", ""ur"")"),"ہر پوائنٹ سکورنگ ایکشن کے بعد، ریسلرز کو ایک منصفانہ تسلسل کو یقینی بنانے کے لیے اصل ابتدائی پوزیشن پر دوبارہ سیٹ کر دیا جاتا ہے۔")</f>
        <v>ہر پوائنٹ سکورنگ ایکشن کے بعد، ریسلرز کو ایک منصفانہ تسلسل کو یقینی بنانے کے لیے اصل ابتدائی پوزیشن پر دوبارہ سیٹ کر دیا جاتا ہے۔</v>
      </c>
    </row>
    <row r="106">
      <c r="A106" s="3">
        <v>105.0</v>
      </c>
      <c r="B106" s="4" t="s">
        <v>422</v>
      </c>
      <c r="C106" s="4" t="s">
        <v>423</v>
      </c>
      <c r="D106" s="4" t="s">
        <v>361</v>
      </c>
      <c r="E106" s="4" t="s">
        <v>424</v>
      </c>
      <c r="I106" s="5" t="str">
        <f>IFERROR(__xludf.DUMMYFUNCTION("GOOGLETRANSLATE(A106, ""en"", ""ur"")"),"105")</f>
        <v>105</v>
      </c>
      <c r="J106" s="5" t="str">
        <f>IFERROR(__xludf.DUMMYFUNCTION("GOOGLETRANSLATE(B106, ""en"", ""ur"")"),"ملاکھرا اور جاپانی سومو ریسلنگ میں بنیادی فرق کیا ہے؟")</f>
        <v>ملاکھرا اور جاپانی سومو ریسلنگ میں بنیادی فرق کیا ہے؟</v>
      </c>
      <c r="K106" s="5" t="str">
        <f>IFERROR(__xludf.DUMMYFUNCTION("GOOGLETRANSLATE(C106, ""en"", ""ur"")"),"A) سومو پہلوان زیادہ بھاری ہوتے ہیں، B) سومو کا مقصد حریف کو رنگ سے باہر نکالنا ہوتا ہے، جبکہ ملاکھرا کا مقصد پن لگانا ہوتا ہے، C) ملاکھرا پکڑنے کے لیے بیلٹ کا استعمال کرتا ہے، D) مندرجہ بالا سبھی")</f>
        <v>A) سومو پہلوان زیادہ بھاری ہوتے ہیں، B) سومو کا مقصد حریف کو رنگ سے باہر نکالنا ہوتا ہے، جبکہ ملاکھرا کا مقصد پن لگانا ہوتا ہے، C) ملاکھرا پکڑنے کے لیے بیلٹ کا استعمال کرتا ہے، D) مندرجہ بالا سبھی</v>
      </c>
      <c r="L106" s="5" t="str">
        <f>IFERROR(__xludf.DUMMYFUNCTION("GOOGLETRANSLATE(D106, ""en"", ""ur"")"),"D) مذکورہ بالا تمام")</f>
        <v>D) مذکورہ بالا تمام</v>
      </c>
      <c r="M106" s="5" t="str">
        <f>IFERROR(__xludf.DUMMYFUNCTION("GOOGLETRANSLATE(E106, ""en"", ""ur"")"),"دونوں کھیلوں کے بنیادی طور پر مختلف مقاصد، قواعد اور سازوسامان ہیں، جن میں سومو زور دینے پر اور ملاکھرا جوڑنے اور پن کرنے پر توجہ مرکوز کرتا ہے۔")</f>
        <v>دونوں کھیلوں کے بنیادی طور پر مختلف مقاصد، قواعد اور سازوسامان ہیں، جن میں سومو زور دینے پر اور ملاکھرا جوڑنے اور پن کرنے پر توجہ مرکوز کرتا ہے۔</v>
      </c>
    </row>
    <row r="107">
      <c r="A107" s="3">
        <v>106.0</v>
      </c>
      <c r="B107" s="4" t="s">
        <v>425</v>
      </c>
      <c r="C107" s="4" t="s">
        <v>426</v>
      </c>
      <c r="D107" s="4" t="s">
        <v>427</v>
      </c>
      <c r="E107" s="4" t="s">
        <v>428</v>
      </c>
      <c r="I107" s="5" t="str">
        <f>IFERROR(__xludf.DUMMYFUNCTION("GOOGLETRANSLATE(A107, ""en"", ""ur"")"),"106")</f>
        <v>106</v>
      </c>
      <c r="J107" s="5" t="str">
        <f>IFERROR(__xludf.DUMMYFUNCTION("GOOGLETRANSLATE(B107, ""en"", ""ur"")"),"اگر کوئی پہلوان زخمی ہوتا ہے اور ریفری اس بات کا تعین کرتا ہے کہ یہ ان کے مخالف کے غیر قانونی اقدام کی وجہ سے تھا، تو نتیجہ کیا نکلتا ہے؟")</f>
        <v>اگر کوئی پہلوان زخمی ہوتا ہے اور ریفری اس بات کا تعین کرتا ہے کہ یہ ان کے مخالف کے غیر قانونی اقدام کی وجہ سے تھا، تو نتیجہ کیا نکلتا ہے؟</v>
      </c>
      <c r="K107" s="5" t="str">
        <f>IFERROR(__xludf.DUMMYFUNCTION("GOOGLETRANSLATE(C107, ""en"", ""ur"")"),"A) میچ ڈرا ہوا، B) زخمی پہلوان نااہلی سے جیت گیا، C) میچ دوبارہ کھیلا گیا، D) غیر قانونی اقدام کو نظر انداز کر دیا گیا")</f>
        <v>A) میچ ڈرا ہوا، B) زخمی پہلوان نااہلی سے جیت گیا، C) میچ دوبارہ کھیلا گیا، D) غیر قانونی اقدام کو نظر انداز کر دیا گیا</v>
      </c>
      <c r="L107" s="5" t="str">
        <f>IFERROR(__xludf.DUMMYFUNCTION("GOOGLETRANSLATE(D107, ""en"", ""ur"")"),"ب) زخمی پہلوان نااہلی سے جیت جاتا ہے۔")</f>
        <v>ب) زخمی پہلوان نااہلی سے جیت جاتا ہے۔</v>
      </c>
      <c r="M107" s="5" t="str">
        <f>IFERROR(__xludf.DUMMYFUNCTION("GOOGLETRANSLATE(E107, ""en"", ""ur"")"),"اگر کوئی فاؤل اتنا شدید ہے کہ چوٹ لگتی ہے جو پہلوان کو جاری رکھنے سے روکتا ہے، تو مجرم پہلوان کو نااہل قرار دیا جاتا ہے۔")</f>
        <v>اگر کوئی فاؤل اتنا شدید ہے کہ چوٹ لگتی ہے جو پہلوان کو جاری رکھنے سے روکتا ہے، تو مجرم پہلوان کو نااہل قرار دیا جاتا ہے۔</v>
      </c>
    </row>
    <row r="108">
      <c r="A108" s="3">
        <v>107.0</v>
      </c>
      <c r="B108" s="4" t="s">
        <v>429</v>
      </c>
      <c r="C108" s="4" t="s">
        <v>430</v>
      </c>
      <c r="D108" s="4" t="s">
        <v>431</v>
      </c>
      <c r="E108" s="4" t="s">
        <v>432</v>
      </c>
      <c r="I108" s="5" t="str">
        <f>IFERROR(__xludf.DUMMYFUNCTION("GOOGLETRANSLATE(A108, ""en"", ""ur"")"),"107")</f>
        <v>107</v>
      </c>
      <c r="J108" s="5" t="str">
        <f>IFERROR(__xludf.DUMMYFUNCTION("GOOGLETRANSLATE(B108, ""en"", ""ur"")"),"ایک پہلوان کے بارے میں کہا جاتا ہے کہ وہ ""کم بنیاد"" رکھتا ہے۔ اس کا کیا مطلب ہے؟")</f>
        <v>ایک پہلوان کے بارے میں کہا جاتا ہے کہ وہ "کم بنیاد" رکھتا ہے۔ اس کا کیا مطلب ہے؟</v>
      </c>
      <c r="K108" s="5" t="str">
        <f>IFERROR(__xludf.DUMMYFUNCTION("GOOGLETRANSLATE(C108, ""en"", ""ur"")"),"A) ان کا موقف خراب ہے، B) وہ کشش ثقل کا کم مرکز برقرار رکھتے ہیں، جس سے انہیں پھینکنا مشکل ہو جاتا ہے، C) وہ زیادہ ہنر مند نہیں ہیں، D) وہ چھوٹے ہیں۔")</f>
        <v>A) ان کا موقف خراب ہے، B) وہ کشش ثقل کا کم مرکز برقرار رکھتے ہیں، جس سے انہیں پھینکنا مشکل ہو جاتا ہے، C) وہ زیادہ ہنر مند نہیں ہیں، D) وہ چھوٹے ہیں۔</v>
      </c>
      <c r="L108" s="5" t="str">
        <f>IFERROR(__xludf.DUMMYFUNCTION("GOOGLETRANSLATE(D108, ""en"", ""ur"")"),"ب) وہ کشش ثقل کا کم مرکز برقرار رکھتے ہیں، جس سے انہیں پھینکنا مشکل ہو جاتا ہے۔")</f>
        <v>ب) وہ کشش ثقل کا کم مرکز برقرار رکھتے ہیں، جس سے انہیں پھینکنا مشکل ہو جاتا ہے۔</v>
      </c>
      <c r="M108" s="5" t="str">
        <f>IFERROR(__xludf.DUMMYFUNCTION("GOOGLETRANSLATE(E108, ""en"", ""ur"")"),"ایک پست، مستحکم موقف تمام فنون لطیفہ میں ایک اہم دفاعی اصول ہے۔")</f>
        <v>ایک پست، مستحکم موقف تمام فنون لطیفہ میں ایک اہم دفاعی اصول ہے۔</v>
      </c>
    </row>
    <row r="109">
      <c r="A109" s="3">
        <v>108.0</v>
      </c>
      <c r="B109" s="4" t="s">
        <v>433</v>
      </c>
      <c r="C109" s="4" t="s">
        <v>434</v>
      </c>
      <c r="D109" s="4" t="s">
        <v>435</v>
      </c>
      <c r="E109" s="4" t="s">
        <v>436</v>
      </c>
      <c r="I109" s="5" t="str">
        <f>IFERROR(__xludf.DUMMYFUNCTION("GOOGLETRANSLATE(A109, ""en"", ""ur"")"),"108")</f>
        <v>108</v>
      </c>
      <c r="J109" s="5" t="str">
        <f>IFERROR(__xludf.DUMMYFUNCTION("GOOGLETRANSLATE(B109, ""en"", ""ur"")"),"ایک منٹ کے آرام کے دوران کارنر کوچ (استاد) کا بنیادی کردار کیا ہے؟")</f>
        <v>ایک منٹ کے آرام کے دوران کارنر کوچ (استاد) کا بنیادی کردار کیا ہے؟</v>
      </c>
      <c r="K109" s="5" t="str">
        <f>IFERROR(__xludf.DUMMYFUNCTION("GOOGLETRANSLATE(C109, ""en"", ""ur"")"),"A) پانی اور طبی امداد فراہم کرنا، B) اگلے راؤنڈ کے لیے حکمت عملی سے متعلق مشورہ دینا، C) ریفری سے بحث کرنا، D) A اور B دونوں")</f>
        <v>A) پانی اور طبی امداد فراہم کرنا، B) اگلے راؤنڈ کے لیے حکمت عملی سے متعلق مشورہ دینا، C) ریفری سے بحث کرنا، D) A اور B دونوں</v>
      </c>
      <c r="L109" s="5" t="str">
        <f>IFERROR(__xludf.DUMMYFUNCTION("GOOGLETRANSLATE(D109, ""en"", ""ur"")"),"D) A اور B دونوں")</f>
        <v>D) A اور B دونوں</v>
      </c>
      <c r="M109" s="5" t="str">
        <f>IFERROR(__xludf.DUMMYFUNCTION("GOOGLETRANSLATE(E109, ""en"", ""ur"")"),"باقی کی مدت پہلوان کے لیے اپنے کوچ سے اسٹریٹجک ہدایات حاصل کرتے ہوئے جسمانی طور پر صحت یاب ہونے کا ایک اہم وقت ہے۔")</f>
        <v>باقی کی مدت پہلوان کے لیے اپنے کوچ سے اسٹریٹجک ہدایات حاصل کرتے ہوئے جسمانی طور پر صحت یاب ہونے کا ایک اہم وقت ہے۔</v>
      </c>
    </row>
    <row r="110">
      <c r="A110" s="3">
        <v>109.0</v>
      </c>
      <c r="B110" s="4" t="s">
        <v>437</v>
      </c>
      <c r="C110" s="4" t="s">
        <v>438</v>
      </c>
      <c r="D110" s="4" t="s">
        <v>439</v>
      </c>
      <c r="E110" s="4" t="s">
        <v>440</v>
      </c>
      <c r="I110" s="5" t="str">
        <f>IFERROR(__xludf.DUMMYFUNCTION("GOOGLETRANSLATE(A110, ""en"", ""ur"")"),"109")</f>
        <v>109</v>
      </c>
      <c r="J110" s="5" t="str">
        <f>IFERROR(__xludf.DUMMYFUNCTION("GOOGLETRANSLATE(B110, ""en"", ""ur"")"),"ایک پہلوان کو حریف کی ٹانگ پکڑنے کے لیے اپنا آزاد ہاتھ استعمال کرنے پر سزا دی جاتی ہے۔ کیا یہ درست فاؤل ہے؟")</f>
        <v>ایک پہلوان کو حریف کی ٹانگ پکڑنے کے لیے اپنا آزاد ہاتھ استعمال کرنے پر سزا دی جاتی ہے۔ کیا یہ درست فاؤل ہے؟</v>
      </c>
      <c r="K110" s="5" t="str">
        <f>IFERROR(__xludf.DUMMYFUNCTION("GOOGLETRANSLATE(C110, ""en"", ""ur"")"),"A)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f>
        <v>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v>
      </c>
      <c r="L110" s="5" t="str">
        <f>IFERROR(__xludf.DUMMYFUNCTION("GOOGLETRANSLATE(D110, ""en"", ""ur"")"),"ب) جی ہاں، آزاد ہاتھ کو مخالف کے اعضاء کو پکڑنے کے لیے استعمال نہیں کیا جا سکتا")</f>
        <v>ب) جی ہاں، آزاد ہاتھ کو مخالف کے اعضاء کو پکڑنے کے لیے استعمال نہیں کیا جا سکتا</v>
      </c>
      <c r="M110" s="5" t="str">
        <f>IFERROR(__xludf.DUMMYFUNCTION("GOOGLETRANSLATE(E110, ""en"", ""ur"")"),"فری ہینڈ کا ایک محدود کردار ہے (مثلاً بلاک کرنا)، اور اسے ہٹانے میں مدد کے لیے مخالف کے جسم یا ٹانگوں کو پکڑنے کے لیے استعمال نہیں کیا جا سکتا۔")</f>
        <v>فری ہینڈ کا ایک محدود کردار ہے (مثلاً بلاک کرنا)، اور اسے ہٹانے میں مدد کے لیے مخالف کے جسم یا ٹانگوں کو پکڑنے کے لیے استعمال نہیں کیا جا سکتا۔</v>
      </c>
    </row>
    <row r="111">
      <c r="A111" s="3">
        <v>110.0</v>
      </c>
      <c r="B111" s="4" t="s">
        <v>441</v>
      </c>
      <c r="C111" s="4" t="s">
        <v>442</v>
      </c>
      <c r="D111" s="4" t="s">
        <v>443</v>
      </c>
      <c r="E111" s="4" t="s">
        <v>444</v>
      </c>
      <c r="I111" s="5" t="str">
        <f>IFERROR(__xludf.DUMMYFUNCTION("GOOGLETRANSLATE(A111, ""en"", ""ur"")"),"110")</f>
        <v>110</v>
      </c>
      <c r="J111" s="5" t="str">
        <f>IFERROR(__xludf.DUMMYFUNCTION("GOOGLETRANSLATE(B111, ""en"", ""ur"")"),"ملاخرہ میچ میں برداشت (سٹیمینا) اتنا اہم کیوں ہے؟")</f>
        <v>ملاخرہ میچ میں برداشت (سٹیمینا) اتنا اہم کیوں ہے؟</v>
      </c>
      <c r="K111" s="5" t="str">
        <f>IFERROR(__xludf.DUMMYFUNCTION("GOOGLETRANSLATE(C111, ""en"", ""ur"")"),"A) یہ اہم نہیں ہے، B) مضبوط گرفت کو برقرار رکھتے ہوئے مسلسل کھینچنا اور دھکیلنا جسمانی طور پر تھکا دینے والا ہے، C) میچ بہت لمبے ہوتے ہیں، D) ریت سانس لینے میں دشواری کا باعث بنتی ہے۔")</f>
        <v>A) یہ اہم نہیں ہے، B) مضبوط گرفت کو برقرار رکھتے ہوئے مسلسل کھینچنا اور دھکیلنا جسمانی طور پر تھکا دینے والا ہے، C) میچ بہت لمبے ہوتے ہیں، D) ریت سانس لینے میں دشواری کا باعث بنتی ہے۔</v>
      </c>
      <c r="L111" s="5" t="str">
        <f>IFERROR(__xludf.DUMMYFUNCTION("GOOGLETRANSLATE(D111, ""en"", ""ur"")"),"ب) مضبوط گرفت کو برقرار رکھتے ہوئے مسلسل کھینچنا اور دھکیلنا جسمانی طور پر تھکا دینے والا ہے۔")</f>
        <v>ب) مضبوط گرفت کو برقرار رکھتے ہوئے مسلسل کھینچنا اور دھکیلنا جسمانی طور پر تھکا دینے والا ہے۔</v>
      </c>
      <c r="M111" s="5" t="str">
        <f>IFERROR(__xludf.DUMMYFUNCTION("GOOGLETRANSLATE(E111, ""en"", ""ur"")"),"ملاخرا کے لیے درکار آئیسومیٹرک اور دھماکہ خیز طاقت اسے ایک ناقابل یقین حد تک مطالبہ کرنے والا کھیل بناتا ہے جس کے لیے اشرافیہ کی کنڈیشنگ کی ضرورت ہوتی ہے۔")</f>
        <v>ملاخرا کے لیے درکار آئیسومیٹرک اور دھماکہ خیز طاقت اسے ایک ناقابل یقین حد تک مطالبہ کرنے والا کھیل بناتا ہے جس کے لیے اشرافیہ کی کنڈیشنگ کی ضرورت ہوتی ہے۔</v>
      </c>
    </row>
    <row r="112">
      <c r="A112" s="3">
        <v>111.0</v>
      </c>
      <c r="B112" s="4" t="s">
        <v>445</v>
      </c>
      <c r="C112" s="4" t="s">
        <v>446</v>
      </c>
      <c r="D112" s="4" t="s">
        <v>447</v>
      </c>
      <c r="E112" s="4" t="s">
        <v>448</v>
      </c>
      <c r="I112" s="5" t="str">
        <f>IFERROR(__xludf.DUMMYFUNCTION("GOOGLETRANSLATE(A112, ""en"", ""ur"")"),"111")</f>
        <v>111</v>
      </c>
      <c r="J112" s="5" t="str">
        <f>IFERROR(__xludf.DUMMYFUNCTION("GOOGLETRANSLATE(B112, ""en"", ""ur"")"),"اگر تھرو کے دوران ریسلر کی بیلٹ مکمل طور پر اتر جائے تو ریفری کا کیا عمل ہے؟")</f>
        <v>اگر تھرو کے دوران ریسلر کی بیلٹ مکمل طور پر اتر جائے تو ریفری کا کیا عمل ہے؟</v>
      </c>
      <c r="K112" s="5" t="str">
        <f>IFERROR(__xludf.DUMMYFUNCTION("GOOGLETRANSLATE(C112, ""en"", ""ur"")"),"A) تھرو کو ابھی بھی شمار کیا جاتا ہے اگر وہ کامیاب ہو گیا تھا، B) ایکشن کو فوری طور پر روک دیا جاتا ہے، اور بیلٹ کو ہٹا دیا جاتا ہے، C) جس پہلوان کی بیلٹ اتری تھی اسے نااہل قرار دیا جاتا ہے، D) پہلوان جس کی بیلٹ اتری تھی، ایک پوائنٹ کھو دیتا ہے۔")</f>
        <v>A) تھرو کو ابھی بھی شمار کیا جاتا ہے اگر وہ کامیاب ہو گیا تھا، B) ایکشن کو فوری طور پر روک دیا جاتا ہے، اور بیلٹ کو ہٹا دیا جاتا ہے، C) جس پہلوان کی بیلٹ اتری تھی اسے نااہل قرار دیا جاتا ہے، D) پہلوان جس کی بیلٹ اتری تھی، ایک پوائنٹ کھو دیتا ہے۔</v>
      </c>
      <c r="L112" s="5" t="str">
        <f>IFERROR(__xludf.DUMMYFUNCTION("GOOGLETRANSLATE(D112, ""en"", ""ur"")"),"ب) کارروائی فوری طور پر روک دی جاتی ہے، اور بیلٹ کو دوبارہ بند کر دیا جاتا ہے۔")</f>
        <v>ب) کارروائی فوری طور پر روک دی جاتی ہے، اور بیلٹ کو دوبارہ بند کر دیا جاتا ہے۔</v>
      </c>
      <c r="M112" s="5" t="str">
        <f>IFERROR(__xludf.DUMMYFUNCTION("GOOGLETRANSLATE(E112, ""en"", ""ur"")"),"بیلٹ ضروری سامان ہے۔ اگر یہ ناکام ہو جاتا ہے، تو ریفری کو کھیل کو روکنا چاہیے تاکہ یہ یقینی بنایا جا سکے کہ آلات کو جاری رکھنے سے پہلے مناسب طریقے سے محفوظ کیا گیا ہے۔")</f>
        <v>بیلٹ ضروری سامان ہے۔ اگر یہ ناکام ہو جاتا ہے، تو ریفری کو کھیل کو روکنا چاہیے تاکہ یہ یقینی بنایا جا سکے کہ آلات کو جاری رکھنے سے پہلے مناسب طریقے سے محفوظ کیا گیا ہے۔</v>
      </c>
    </row>
    <row r="113">
      <c r="A113" s="3">
        <v>112.0</v>
      </c>
      <c r="B113" s="4" t="s">
        <v>449</v>
      </c>
      <c r="C113" s="4" t="s">
        <v>450</v>
      </c>
      <c r="D113" s="4" t="s">
        <v>451</v>
      </c>
      <c r="E113" s="4" t="s">
        <v>452</v>
      </c>
      <c r="I113" s="5" t="str">
        <f>IFERROR(__xludf.DUMMYFUNCTION("GOOGLETRANSLATE(A113, ""en"", ""ur"")"),"112")</f>
        <v>112</v>
      </c>
      <c r="J113" s="5" t="str">
        <f>IFERROR(__xludf.DUMMYFUNCTION("GOOGLETRANSLATE(B113, ""en"", ""ur"")"),"سندھی ثقافت میں، ملاکھڑا چیمپئن سے رنگ کے باہر کس معیار کی توقع کی جاتی ہے؟")</f>
        <v>سندھی ثقافت میں، ملاکھڑا چیمپئن سے رنگ کے باہر کس معیار کی توقع کی جاتی ہے؟</v>
      </c>
      <c r="K113" s="5" t="str">
        <f>IFERROR(__xludf.DUMMYFUNCTION("GOOGLETRANSLATE(C113, ""en"", ""ur"")"),"A) تکبر، B) جارحیت، C) عاجزی اور نرمی، D) دولت")</f>
        <v>A) تکبر، B) جارحیت، C) عاجزی اور نرمی، D) دولت</v>
      </c>
      <c r="L113" s="5" t="str">
        <f>IFERROR(__xludf.DUMMYFUNCTION("GOOGLETRANSLATE(D113, ""en"", ""ur"")"),"ج) عاجزی اور نرمی")</f>
        <v>ج) عاجزی اور نرمی</v>
      </c>
      <c r="M113" s="5" t="str">
        <f>IFERROR(__xludf.DUMMYFUNCTION("GOOGLETRANSLATE(E113, ""en"", ""ur"")"),"ایک حقیقی پہلوان سے توقع کی جاتی ہے کہ وہ برادری کا ایک ستون ہوگا، جو اکھاڑہ میں طاقت کا مظاہرہ کرتا ہے لیکن روزمرہ کی زندگی میں عاجزی اور احترام کا مظاہرہ کرتا ہے۔")</f>
        <v>ایک حقیقی پہلوان سے توقع کی جاتی ہے کہ وہ برادری کا ایک ستون ہوگا، جو اکھاڑہ میں طاقت کا مظاہرہ کرتا ہے لیکن روزمرہ کی زندگی میں عاجزی اور احترام کا مظاہرہ کرتا ہے۔</v>
      </c>
    </row>
    <row r="114">
      <c r="A114" s="3">
        <v>113.0</v>
      </c>
      <c r="B114" s="4" t="s">
        <v>453</v>
      </c>
      <c r="C114" s="4" t="s">
        <v>454</v>
      </c>
      <c r="D114" s="4" t="s">
        <v>455</v>
      </c>
      <c r="E114" s="4" t="s">
        <v>456</v>
      </c>
      <c r="I114" s="5" t="str">
        <f>IFERROR(__xludf.DUMMYFUNCTION("GOOGLETRANSLATE(A114, ""en"", ""ur"")"),"113")</f>
        <v>113</v>
      </c>
      <c r="J114" s="5" t="str">
        <f>IFERROR(__xludf.DUMMYFUNCTION("GOOGLETRANSLATE(B114, ""en"", ""ur"")"),"""کاؤنٹر تھرو"" کیا ہے؟")</f>
        <v>"کاؤنٹر تھرو" کیا ہے؟</v>
      </c>
      <c r="K114" s="5" t="str">
        <f>IFERROR(__xludf.DUMMYFUNCTION("GOOGLETRANSLATE(C114, ""en"", ""ur"")"),"A)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f>
        <v>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v>
      </c>
      <c r="L114" s="5" t="str">
        <f>IFERROR(__xludf.DUMMYFUNCTION("GOOGLETRANSLATE(D114, ""en"", ""ur"")"),"ب) اپنے ہی تھرو کو انجام دینے کے لیے مخالف کے حملے کی رفتار کو استعمال کرنا")</f>
        <v>ب) اپنے ہی تھرو کو انجام دینے کے لیے مخالف کے حملے کی رفتار کو استعمال کرنا</v>
      </c>
      <c r="M114" s="5" t="str">
        <f>IFERROR(__xludf.DUMMYFUNCTION("GOOGLETRANSLATE(E114, ""en"", ""ur"")"),"یہ ایک اعلیٰ سطحی مہارت ہے جہاں ایک پہلوان اپنے مخالف کے جارحانہ اقدام کو طاقت کو الٹ کر نقصان میں بدل دیتا ہے۔")</f>
        <v>یہ ایک اعلیٰ سطحی مہارت ہے جہاں ایک پہلوان اپنے مخالف کے جارحانہ اقدام کو طاقت کو الٹ کر نقصان میں بدل دیتا ہے۔</v>
      </c>
    </row>
    <row r="115">
      <c r="A115" s="3">
        <v>114.0</v>
      </c>
      <c r="B115" s="4" t="s">
        <v>457</v>
      </c>
      <c r="C115" s="4" t="s">
        <v>458</v>
      </c>
      <c r="D115" s="4" t="s">
        <v>459</v>
      </c>
      <c r="E115" s="4" t="s">
        <v>460</v>
      </c>
      <c r="I115" s="5" t="str">
        <f>IFERROR(__xludf.DUMMYFUNCTION("GOOGLETRANSLATE(A115, ""en"", ""ur"")"),"114")</f>
        <v>114</v>
      </c>
      <c r="J115" s="5" t="str">
        <f>IFERROR(__xludf.DUMMYFUNCTION("GOOGLETRANSLATE(B115, ""en"", ""ur"")"),"اگر کوئی پہلوان اپنے مدمقابل کو پن لگاتا ہے لیکن پن باؤنڈری لائن سے بالکل باہر ہوتا ہے تو اس کا کیا حکم ہے؟")</f>
        <v>اگر کوئی پہلوان اپنے مدمقابل کو پن لگاتا ہے لیکن پن باؤنڈری لائن سے بالکل باہر ہوتا ہے تو اس کا کیا حکم ہے؟</v>
      </c>
      <c r="K115" s="5" t="str">
        <f>IFERROR(__xludf.DUMMYFUNCTION("GOOGLETRANSLATE(C115, ""en"", ""ur"")"),"A) پن درست ہے، B) پن درست نہیں ہے، اور میچ دوبارہ ترتیب دیا گیا ہے، C) جس پہلوان نے پن کیا ہے اسے سٹیپ آؤٹ کے لیے ایک پوائنٹ ملتا ہے، D) میچ ڈرا قرار دیا جاتا ہے۔")</f>
        <v>A) پن درست ہے، B) پن درست نہیں ہے، اور میچ دوبارہ ترتیب دیا گیا ہے، C) جس پہلوان نے پن کیا ہے اسے سٹیپ آؤٹ کے لیے ایک پوائنٹ ملتا ہے، D) میچ ڈرا قرار دیا جاتا ہے۔</v>
      </c>
      <c r="L115" s="5" t="str">
        <f>IFERROR(__xludf.DUMMYFUNCTION("GOOGLETRANSLATE(D115, ""en"", ""ur"")"),"ب) پن درست نہیں ہے، اور میچ دوبارہ ترتیب دیا گیا ہے۔")</f>
        <v>ب) پن درست نہیں ہے، اور میچ دوبارہ ترتیب دیا گیا ہے۔</v>
      </c>
      <c r="M115" s="5" t="str">
        <f>IFERROR(__xludf.DUMMYFUNCTION("GOOGLETRANSLATE(E115, ""en"", ""ur"")"),"تمام اسکورنگ ایکشنز، بشمول فائنل پن، مکمل طور پر نامزد مسابقتی علاقے کے اندر ہونا چاہیے۔")</f>
        <v>تمام اسکورنگ ایکشنز، بشمول فائنل پن، مکمل طور پر نامزد مسابقتی علاقے کے اندر ہونا چاہیے۔</v>
      </c>
    </row>
    <row r="116">
      <c r="A116" s="3">
        <v>115.0</v>
      </c>
      <c r="B116" s="4" t="s">
        <v>461</v>
      </c>
      <c r="C116" s="4" t="s">
        <v>462</v>
      </c>
      <c r="D116" s="4" t="s">
        <v>463</v>
      </c>
      <c r="E116" s="4" t="s">
        <v>464</v>
      </c>
      <c r="I116" s="5" t="str">
        <f>IFERROR(__xludf.DUMMYFUNCTION("GOOGLETRANSLATE(A116, ""en"", ""ur"")"),"115")</f>
        <v>115</v>
      </c>
      <c r="J116" s="5" t="str">
        <f>IFERROR(__xludf.DUMMYFUNCTION("GOOGLETRANSLATE(B116, ""en"", ""ur"")"),"ان میں سے کون سا روایتی اکھاڑہ (کشتی کے اسکول) کا کلیدی حصہ ہے؟")</f>
        <v>ان میں سے کون سا روایتی اکھاڑہ (کشتی کے اسکول) کا کلیدی حصہ ہے؟</v>
      </c>
      <c r="K116" s="5" t="str">
        <f>IFERROR(__xludf.DUMMYFUNCTION("GOOGLETRANSLATE(C116, ""en"", ""ur"")"),"A) ایک جدید جم، B) ایک نرم، ٹیلڈ ریسلنگ پٹ، C) قواعد کی کتابوں کی لائبریری، D) میچ دیکھنے کے لیے ایک ٹیلی ویژن")</f>
        <v>A) ایک جدید جم، B) ایک نرم، ٹیلڈ ریسلنگ پٹ، C) قواعد کی کتابوں کی لائبریری، D) میچ دیکھنے کے لیے ایک ٹیلی ویژن</v>
      </c>
      <c r="L116" s="5" t="str">
        <f>IFERROR(__xludf.DUMMYFUNCTION("GOOGLETRANSLATE(D116, ""en"", ""ur"")"),"ب) ایک نرم، کھیت والا کشتی کا گڑھا")</f>
        <v>ب) ایک نرم، کھیت والا کشتی کا گڑھا</v>
      </c>
      <c r="M116" s="5" t="str">
        <f>IFERROR(__xludf.DUMMYFUNCTION("GOOGLETRANSLATE(E116, ""en"", ""ur"")"),"روایتی تربیتی میدان نرم زمین کا گڑھا ہے جہاں پہلوان اپنی تکنیک کی مشق کرتے ہیں۔")</f>
        <v>روایتی تربیتی میدان نرم زمین کا گڑھا ہے جہاں پہلوان اپنی تکنیک کی مشق کرتے ہیں۔</v>
      </c>
    </row>
    <row r="117">
      <c r="A117" s="3">
        <v>116.0</v>
      </c>
      <c r="B117" s="4" t="s">
        <v>465</v>
      </c>
      <c r="C117" s="4" t="s">
        <v>466</v>
      </c>
      <c r="D117" s="4" t="s">
        <v>467</v>
      </c>
      <c r="E117" s="4" t="s">
        <v>468</v>
      </c>
      <c r="I117" s="5" t="str">
        <f>IFERROR(__xludf.DUMMYFUNCTION("GOOGLETRANSLATE(A117, ""en"", ""ur"")"),"116")</f>
        <v>116</v>
      </c>
      <c r="J117" s="5" t="str">
        <f>IFERROR(__xludf.DUMMYFUNCTION("GOOGLETRANSLATE(B117, ""en"", ""ur"")"),"ایک پہلوان کو ""خطرناک عمل"" کے لیے نااہل قرار دیا جاتا ہے۔ ان میں سے کون اہل ہوگا؟")</f>
        <v>ایک پہلوان کو "خطرناک عمل" کے لیے نااہل قرار دیا جاتا ہے۔ ان میں سے کون اہل ہوگا؟</v>
      </c>
      <c r="K117" s="5" t="str">
        <f>IFERROR(__xludf.DUMMYFUNCTION("GOOGLETRANSLATE(C117, ""en"", ""ur"")"),"A) ایک طاقتور تھرو، B) ایک بہت سخت گرفت، C) ایک غیر قانونی سلم جو مخالف کے سر کو زمین میں پھینک دیتا ہے، D) ایک تیز ٹانگ جھاڑو")</f>
        <v>A) ایک طاقتور تھرو، B) ایک بہت سخت گرفت، C) ایک غیر قانونی سلم جو مخالف کے سر کو زمین میں پھینک دیتا ہے، D) ایک تیز ٹانگ جھاڑو</v>
      </c>
      <c r="L117" s="5" t="str">
        <f>IFERROR(__xludf.DUMMYFUNCTION("GOOGLETRANSLATE(D117, ""en"", ""ur"")"),"ج) ایک غیر قانونی سلم جو مخالف کے سر کو زمین میں پھینک دیتا ہے۔")</f>
        <v>ج) ایک غیر قانونی سلم جو مخالف کے سر کو زمین میں پھینک دیتا ہے۔</v>
      </c>
      <c r="M117" s="5" t="str">
        <f>IFERROR(__xludf.DUMMYFUNCTION("GOOGLETRANSLATE(E117, ""en"", ""ur"")"),"کوئی بھی تکنیک جو چوٹ پہنچانے کے واضح ارادے کے ساتھ انجام دی جاتی ہے، جیسے کہ خطرناک ""پائلڈرائیور"" قسم کا سلیم، ایک بڑا فاول ہے۔")</f>
        <v>کوئی بھی تکنیک جو چوٹ پہنچانے کے واضح ارادے کے ساتھ انجام دی جاتی ہے، جیسے کہ خطرناک "پائلڈرائیور" قسم کا سلیم، ایک بڑا فاول ہے۔</v>
      </c>
    </row>
    <row r="118">
      <c r="A118" s="3">
        <v>117.0</v>
      </c>
      <c r="B118" s="4" t="s">
        <v>469</v>
      </c>
      <c r="C118" s="4" t="s">
        <v>470</v>
      </c>
      <c r="D118" s="4" t="s">
        <v>471</v>
      </c>
      <c r="E118" s="4" t="s">
        <v>472</v>
      </c>
      <c r="I118" s="5" t="str">
        <f>IFERROR(__xludf.DUMMYFUNCTION("GOOGLETRANSLATE(A118, ""en"", ""ur"")"),"117")</f>
        <v>117</v>
      </c>
      <c r="J118" s="5" t="str">
        <f>IFERROR(__xludf.DUMMYFUNCTION("GOOGLETRANSLATE(B118, ""en"", ""ur"")"),"اکیسویں صدی میں کھیل کو کس طرح جدید بنایا جا رہا ہے؟")</f>
        <v>اکیسویں صدی میں کھیل کو کس طرح جدید بنایا جا رہا ہے؟</v>
      </c>
      <c r="K118" s="5" t="str">
        <f>IFERROR(__xludf.DUMMYFUNCTION("GOOGLETRANSLATE(C118, ""en"", ""ur"")"),"A) ہتھیاروں کو متعارف کروا کر، B) اصولوں، وزن کی کلاسز کو معیاری بنا کر، اور رسمی فیڈریشنز کو منظم کر کے، C) بیلٹ کو ہٹا کر، D) ہڑتال کی اجازت دے کر")</f>
        <v>A) ہتھیاروں کو متعارف کروا کر، B) اصولوں، وزن کی کلاسز کو معیاری بنا کر، اور رسمی فیڈریشنز کو منظم کر کے، C) بیلٹ کو ہٹا کر، D) ہڑتال کی اجازت دے کر</v>
      </c>
      <c r="L118" s="5" t="str">
        <f>IFERROR(__xludf.DUMMYFUNCTION("GOOGLETRANSLATE(D118, ""en"", ""ur"")"),"ب) قواعد و ضوابط، وزن کی کلاسیں، اور رسمی فیڈریشنوں کو منظم کرکے")</f>
        <v>ب) قواعد و ضوابط، وزن کی کلاسیں، اور رسمی فیڈریشنوں کو منظم کرکے</v>
      </c>
      <c r="M118" s="5" t="str">
        <f>IFERROR(__xludf.DUMMYFUNCTION("GOOGLETRANSLATE(E118, ""en"", ""ur"")"),"سندھ ملاکھڑا ایسوسی ایشن جیسی تنظیموں کی جانب سے اس کھیل کو قومی اور بین الاقوامی مقابلے کے لیے باقاعدہ بنانے کی کوششیں کی جا رہی ہیں۔")</f>
        <v>سندھ ملاکھڑا ایسوسی ایشن جیسی تنظیموں کی جانب سے اس کھیل کو قومی اور بین الاقوامی مقابلے کے لیے باقاعدہ بنانے کی کوششیں کی جا رہی ہیں۔</v>
      </c>
    </row>
    <row r="119">
      <c r="A119" s="3">
        <v>118.0</v>
      </c>
      <c r="B119" s="4" t="s">
        <v>473</v>
      </c>
      <c r="C119" s="4" t="s">
        <v>474</v>
      </c>
      <c r="D119" s="4" t="s">
        <v>475</v>
      </c>
      <c r="E119" s="4" t="s">
        <v>476</v>
      </c>
      <c r="I119" s="5" t="str">
        <f>IFERROR(__xludf.DUMMYFUNCTION("GOOGLETRANSLATE(A119, ""en"", ""ur"")"),"118")</f>
        <v>118</v>
      </c>
      <c r="J119" s="5" t="str">
        <f>IFERROR(__xludf.DUMMYFUNCTION("GOOGLETRANSLATE(B119, ""en"", ""ur"")"),"ایک پہلوان اپنی ""ہپ اینڈ تھرو"" تکنیک کے لیے جانا جاتا ہے۔ اس اقدام کی کلید کیا ہے؟")</f>
        <v>ایک پہلوان اپنی "ہپ اینڈ تھرو" تکنیک کے لیے جانا جاتا ہے۔ اس اقدام کی کلید کیا ہے؟</v>
      </c>
      <c r="K119" s="5" t="str">
        <f>IFERROR(__xludf.DUMMYFUNCTION("GOOGLETRANSLATE(C119, ""en"", ""ur"")"),"A) خالص اوپری جسم کی طاقت، B) مخالف کو اٹھانے اور پھینکنے کے لیے کولہے کا استعمال، C) مخالف کے کولہے کو لات مارنا، D) رفتار")</f>
        <v>A) خالص اوپری جسم کی طاقت، B) مخالف کو اٹھانے اور پھینکنے کے لیے کولہے کا استعمال، C) مخالف کے کولہے کو لات مارنا، D) رفتار</v>
      </c>
      <c r="L119" s="5" t="str">
        <f>IFERROR(__xludf.DUMMYFUNCTION("GOOGLETRANSLATE(D119, ""en"", ""ur"")"),"ب) حریف کو اٹھانے اور پھینکنے کے لیے کولہے کو بطور فلکرم استعمال کرنا")</f>
        <v>ب) حریف کو اٹھانے اور پھینکنے کے لیے کولہے کو بطور فلکرم استعمال کرنا</v>
      </c>
      <c r="M119" s="5" t="str">
        <f>IFERROR(__xludf.DUMMYFUNCTION("GOOGLETRANSLATE(E119, ""en"", ""ur"")"),"یہ کلاسک ریسلنگ تھرو لفٹ کو انجام دینے کے لیے آپ کے کولہوں کو آپ کے مخالف کے مرکز ثقل سے نیچے رکھنے پر انحصار کرتا ہے۔")</f>
        <v>یہ کلاسک ریسلنگ تھرو لفٹ کو انجام دینے کے لیے آپ کے کولہوں کو آپ کے مخالف کے مرکز ثقل سے نیچے رکھنے پر انحصار کرتا ہے۔</v>
      </c>
    </row>
    <row r="120">
      <c r="A120" s="3">
        <v>119.0</v>
      </c>
      <c r="B120" s="4" t="s">
        <v>477</v>
      </c>
      <c r="C120" s="4" t="s">
        <v>478</v>
      </c>
      <c r="D120" s="4" t="s">
        <v>479</v>
      </c>
      <c r="E120" s="4" t="s">
        <v>480</v>
      </c>
      <c r="I120" s="5" t="str">
        <f>IFERROR(__xludf.DUMMYFUNCTION("GOOGLETRANSLATE(A120, ""en"", ""ur"")"),"119")</f>
        <v>119</v>
      </c>
      <c r="J120" s="5" t="str">
        <f>IFERROR(__xludf.DUMMYFUNCTION("GOOGLETRANSLATE(B120, ""en"", ""ur"")"),"ملاخرا اور جوڈو کے درمیان بنیادی فرق کیا ہے؟")</f>
        <v>ملاخرا اور جوڈو کے درمیان بنیادی فرق کیا ہے؟</v>
      </c>
      <c r="K120" s="5" t="str">
        <f>IFERROR(__xludf.DUMMYFUNCTION("GOOGLETRANSLATE(C120, ""en"", ""ur"")"),"A) جوڈو گرفت کے لیے یونیفارم (gi) کا استعمال کرتا ہے، جبکہ ملاخرا ایک بیلٹ استعمال کرتا ہے، B) جوڈو میں پن شامل ہیں، C) جوڈو میں وزن کی کلاسیں ہیں، D) کوئی فرق نہیں ہے۔")</f>
        <v>A) جوڈو گرفت کے لیے یونیفارم (gi) کا استعمال کرتا ہے، جبکہ ملاخرا ایک بیلٹ استعمال کرتا ہے، B) جوڈو میں پن شامل ہیں، C) جوڈو میں وزن کی کلاسیں ہیں، D) کوئی فرق نہیں ہے۔</v>
      </c>
      <c r="L120" s="5" t="str">
        <f>IFERROR(__xludf.DUMMYFUNCTION("GOOGLETRANSLATE(D120, ""en"", ""ur"")"),"A) جوڈو گرفت کے لیے یونیفارم (gi) کا استعمال کرتا ہے، جبکہ ملاخرا بیلٹ استعمال کرتا ہے۔")</f>
        <v>A) جوڈو گرفت کے لیے یونیفارم (gi) کا استعمال کرتا ہے، جبکہ ملاخرا بیلٹ استعمال کرتا ہے۔</v>
      </c>
      <c r="M120" s="5" t="str">
        <f>IFERROR(__xludf.DUMMYFUNCTION("GOOGLETRANSLATE(E120, ""en"", ""ur"")"),"یہ سب سے بنیادی فرق ہے۔ جوڈو پوری جیکٹ کو پکڑنے کی اجازت دیتا ہے، جبکہ ملاخرا تمام گرفت کو سنگل بیلٹ تک محدود رکھتا ہے۔")</f>
        <v>یہ سب سے بنیادی فرق ہے۔ جوڈو پوری جیکٹ کو پکڑنے کی اجازت دیتا ہے، جبکہ ملاخرا تمام گرفت کو سنگل بیلٹ تک محدود رکھتا ہے۔</v>
      </c>
    </row>
    <row r="121">
      <c r="A121" s="3">
        <v>120.0</v>
      </c>
      <c r="B121" s="4" t="s">
        <v>481</v>
      </c>
      <c r="C121" s="4" t="s">
        <v>482</v>
      </c>
      <c r="D121" s="4" t="s">
        <v>483</v>
      </c>
      <c r="E121" s="4" t="s">
        <v>484</v>
      </c>
      <c r="I121" s="5" t="str">
        <f>IFERROR(__xludf.DUMMYFUNCTION("GOOGLETRANSLATE(A121, ""en"", ""ur"")"),"120")</f>
        <v>120</v>
      </c>
      <c r="J121" s="5" t="str">
        <f>IFERROR(__xludf.DUMMYFUNCTION("GOOGLETRANSLATE(B121, ""en"", ""ur"")"),"پن کے لیے ریفری کے ہاتھ کا اشارہ کیا ہے؟")</f>
        <v>پن کے لیے ریفری کے ہاتھ کا اشارہ کیا ہے؟</v>
      </c>
      <c r="K121" s="5" t="str">
        <f>IFERROR(__xludf.DUMMYFUNCTION("GOOGLETRANSLATE(C121, ""en"", ""ur"")"),"A) وہ فاتح کی طرف اشارہ کرتے ہیں، B) وہ فیصلہ کن طور پر ایک بازو اٹھاتے ہیں، C) وہ اپنے ہاتھ سے چٹائی پر تھپڑ مارتے ہیں، D) وہ اپنے بازوؤں کو عبور کرتے ہیں")</f>
        <v>A) وہ فاتح کی طرف اشارہ کرتے ہیں، B) وہ فیصلہ کن طور پر ایک بازو اٹھاتے ہیں، C) وہ اپنے ہاتھ سے چٹائی پر تھپڑ مارتے ہیں، D) وہ اپنے بازوؤں کو عبور کرتے ہیں</v>
      </c>
      <c r="L121" s="5" t="str">
        <f>IFERROR(__xludf.DUMMYFUNCTION("GOOGLETRANSLATE(D121, ""en"", ""ur"")"),"ج) وہ اپنے ہاتھ سے چٹائی کو تھپڑ مارتے ہیں۔")</f>
        <v>ج) وہ اپنے ہاتھ سے چٹائی کو تھپڑ مارتے ہیں۔</v>
      </c>
      <c r="M121" s="5" t="str">
        <f>IFERROR(__xludf.DUMMYFUNCTION("GOOGLETRANSLATE(E121, ""en"", ""ur"")"),"ریسلنگ کی دوسری شکلوں کی طرح، ریفری اکثر چٹائی کو تھپڑ مار کر اشارہ کرتا ہے کہ فیصلہ کن پن حاصل ہو گیا ہے اور میچ ختم ہو گیا ہے۔")</f>
        <v>ریسلنگ کی دوسری شکلوں کی طرح، ریفری اکثر چٹائی کو تھپڑ مار کر اشارہ کرتا ہے کہ فیصلہ کن پن حاصل ہو گیا ہے اور میچ ختم ہو گیا ہے۔</v>
      </c>
    </row>
    <row r="122">
      <c r="A122" s="3">
        <v>121.0</v>
      </c>
      <c r="B122" s="4" t="s">
        <v>485</v>
      </c>
      <c r="C122" s="4" t="s">
        <v>486</v>
      </c>
      <c r="D122" s="4" t="s">
        <v>487</v>
      </c>
      <c r="E122" s="4" t="s">
        <v>488</v>
      </c>
      <c r="I122" s="5" t="str">
        <f>IFERROR(__xludf.DUMMYFUNCTION("GOOGLETRANSLATE(A122, ""en"", ""ur"")"),"121")</f>
        <v>121</v>
      </c>
      <c r="J122" s="5" t="str">
        <f>IFERROR(__xludf.DUMMYFUNCTION("GOOGLETRANSLATE(B122, ""en"", ""ur"")"),"ایک پہلوان کی گرفت بہت مضبوط ہے لیکن فٹ ورک کمزور ہے۔ ان کی سب سے بڑی کمزوری کیا ہے؟")</f>
        <v>ایک پہلوان کی گرفت بہت مضبوط ہے لیکن فٹ ورک کمزور ہے۔ ان کی سب سے بڑی کمزوری کیا ہے؟</v>
      </c>
      <c r="K122" s="5" t="str">
        <f>IFERROR(__xludf.DUMMYFUNCTION("GOOGLETRANSLATE(C122, ""en"", ""ur"")"),"A) وہ پکڑ نہیں سکیں گے، B) وہ آسانی سے غیر متوازن ہو جائیں گے اور تکنیکی حریف کی طرف سے پھینک دیا جائے گا، C) وہ جلدی تھک جائیں گے، D) وہ کسی کو پکڑ نہیں سکیں گے")</f>
        <v>A) وہ پکڑ نہیں سکیں گے، B) وہ آسانی سے غیر متوازن ہو جائیں گے اور تکنیکی حریف کی طرف سے پھینک دیا جائے گا، C) وہ جلدی تھک جائیں گے، D) وہ کسی کو پکڑ نہیں سکیں گے</v>
      </c>
      <c r="L122" s="5" t="str">
        <f>IFERROR(__xludf.DUMMYFUNCTION("GOOGLETRANSLATE(D122, ""en"", ""ur"")"),"ب) وہ آسانی سے غیر متوازن ہو جائیں گے اور تکنیکی حریف کے ذریعے پھینک دیا جائے گا۔")</f>
        <v>ب) وہ آسانی سے غیر متوازن ہو جائیں گے اور تکنیکی حریف کے ذریعے پھینک دیا جائے گا۔</v>
      </c>
      <c r="M122" s="5" t="str">
        <f>IFERROR(__xludf.DUMMYFUNCTION("GOOGLETRANSLATE(E122, ""en"", ""ur"")"),"توازن برقرار رکھنے اور زاویے بنانے کے لیے فٹ ورک ضروری ہے۔ ایک مضبوط لیکن چپٹے پاؤں والا پہلوان جھاڑو اور دوروں کے لیے بہت کمزور ہوتا ہے۔")</f>
        <v>توازن برقرار رکھنے اور زاویے بنانے کے لیے فٹ ورک ضروری ہے۔ ایک مضبوط لیکن چپٹے پاؤں والا پہلوان جھاڑو اور دوروں کے لیے بہت کمزور ہوتا ہے۔</v>
      </c>
    </row>
    <row r="123">
      <c r="A123" s="3">
        <v>122.0</v>
      </c>
      <c r="B123" s="4" t="s">
        <v>489</v>
      </c>
      <c r="C123" s="4" t="s">
        <v>490</v>
      </c>
      <c r="D123" s="4" t="s">
        <v>491</v>
      </c>
      <c r="E123" s="4" t="s">
        <v>492</v>
      </c>
      <c r="I123" s="5" t="str">
        <f>IFERROR(__xludf.DUMMYFUNCTION("GOOGLETRANSLATE(A123, ""en"", ""ur"")"),"122")</f>
        <v>122</v>
      </c>
      <c r="J123" s="5" t="str">
        <f>IFERROR(__xludf.DUMMYFUNCTION("GOOGLETRANSLATE(B123, ""en"", ""ur"")"),"جسم پر ریت کے میچ سے پہلے کی درخواست کا کیا کردار ہے؟")</f>
        <v>جسم پر ریت کے میچ سے پہلے کی درخواست کا کیا کردار ہے؟</v>
      </c>
      <c r="K123" s="5" t="str">
        <f>IFERROR(__xludf.DUMMYFUNCTION("GOOGLETRANSLATE(C123, ""en"", ""ur"")"),"A) یہ ایک مذہبی رسم ہے، B) یہ پسینہ جذب کرنے اور گرفت کو بہتر بنانے میں مدد کرتی ہے، C) یہ دھمکی کی ایک شکل ہے، D) یہ سن اسکرین کی ایک قسم ہے۔")</f>
        <v>A) یہ ایک مذہبی رسم ہے، B) یہ پسینہ جذب کرنے اور گرفت کو بہتر بنانے میں مدد کرتی ہے، C) یہ دھمکی کی ایک شکل ہے، D) یہ سن اسکرین کی ایک قسم ہے۔</v>
      </c>
      <c r="L123" s="5" t="str">
        <f>IFERROR(__xludf.DUMMYFUNCTION("GOOGLETRANSLATE(D123, ""en"", ""ur"")"),"ب) یہ پسینہ جذب کرنے اور گرفت کو بہتر بنانے میں مدد کرتا ہے۔")</f>
        <v>ب) یہ پسینہ جذب کرنے اور گرفت کو بہتر بنانے میں مدد کرتا ہے۔</v>
      </c>
      <c r="M123" s="5" t="str">
        <f>IFERROR(__xludf.DUMMYFUNCTION("GOOGLETRANSLATE(E123, ""en"", ""ur"")"),"سندھ کی گرم آب و ہوا میں، پہلوان ریت یا دھول کا استعمال اس بات کو یقینی بنانے کے لیے کرتے ہیں کہ وہ مخالف کی پٹی پر محفوظ گرفت برقرار رکھ سکیں۔")</f>
        <v>سندھ کی گرم آب و ہوا میں، پہلوان ریت یا دھول کا استعمال اس بات کو یقینی بنانے کے لیے کرتے ہیں کہ وہ مخالف کی پٹی پر محفوظ گرفت برقرار رکھ سکیں۔</v>
      </c>
    </row>
    <row r="124">
      <c r="A124" s="3">
        <v>123.0</v>
      </c>
      <c r="B124" s="4" t="s">
        <v>493</v>
      </c>
      <c r="C124" s="4" t="s">
        <v>494</v>
      </c>
      <c r="D124" s="4" t="s">
        <v>495</v>
      </c>
      <c r="E124" s="4" t="s">
        <v>496</v>
      </c>
      <c r="I124" s="5" t="str">
        <f>IFERROR(__xludf.DUMMYFUNCTION("GOOGLETRANSLATE(A124, ""en"", ""ur"")"),"123")</f>
        <v>123</v>
      </c>
      <c r="J124" s="5" t="str">
        <f>IFERROR(__xludf.DUMMYFUNCTION("GOOGLETRANSLATE(B124, ""en"", ""ur"")"),"ایک پہلوان کو خبردار کیا جاتا ہے کہ وہ اپنے آزاد ہاتھ کا استعمال کرتے ہوئے مخالف کے نقطہ نظر کو روکتا ہے۔ کیا یہ صحیح کال ہے؟")</f>
        <v>ایک پہلوان کو خبردار کیا جاتا ہے کہ وہ اپنے آزاد ہاتھ کا استعمال کرتے ہوئے مخالف کے نقطہ نظر کو روکتا ہے۔ کیا یہ صحیح کال ہے؟</v>
      </c>
      <c r="K124" s="5" t="str">
        <f>IFERROR(__xludf.DUMMYFUNCTION("GOOGLETRANSLATE(C124, ""en"", ""ur"")"),"A)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f>
        <v>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v>
      </c>
      <c r="L124" s="5" t="str">
        <f>IFERROR(__xludf.DUMMYFUNCTION("GOOGLETRANSLATE(D124, ""en"", ""ur"")"),"ب) جی ہاں، یہ ایک غیر قانونی اور غیر اسپورٹس مین فاؤل ہے۔")</f>
        <v>ب) جی ہاں، یہ ایک غیر قانونی اور غیر اسپورٹس مین فاؤل ہے۔</v>
      </c>
      <c r="M124" s="5" t="str">
        <f>IFERROR(__xludf.DUMMYFUNCTION("GOOGLETRANSLATE(E124, ""en"", ""ur"")"),"ایک ""آئی ریک"" یا جان بوجھ کر ہاتھ سے بینائی کو روکنا خطرناک اور غیر کھیل کے ہتھکنڈوں کو روکنے کے لیے ڈیزائن کیا گیا ایک غلط طریقہ ہے۔")</f>
        <v>ایک "آئی ریک" یا جان بوجھ کر ہاتھ سے بینائی کو روکنا خطرناک اور غیر کھیل کے ہتھکنڈوں کو روکنے کے لیے ڈیزائن کیا گیا ایک غلط طریقہ ہے۔</v>
      </c>
    </row>
    <row r="125">
      <c r="A125" s="3">
        <v>124.0</v>
      </c>
      <c r="B125" s="4" t="s">
        <v>497</v>
      </c>
      <c r="C125" s="4" t="s">
        <v>498</v>
      </c>
      <c r="D125" s="4" t="s">
        <v>499</v>
      </c>
      <c r="E125" s="4" t="s">
        <v>500</v>
      </c>
      <c r="I125" s="5" t="str">
        <f>IFERROR(__xludf.DUMMYFUNCTION("GOOGLETRANSLATE(A125, ""en"", ""ur"")"),"124")</f>
        <v>124</v>
      </c>
      <c r="J125" s="5" t="str">
        <f>IFERROR(__xludf.DUMMYFUNCTION("GOOGLETRANSLATE(B125, ""en"", ""ur"")"),"""دفاعی پھیلاؤ"" کا بنیادی اصول کیا ہے؟")</f>
        <v>"دفاعی پھیلاؤ" کا بنیادی اصول کیا ہے؟</v>
      </c>
      <c r="K125" s="5" t="str">
        <f>IFERROR(__xludf.DUMMYFUNCTION("GOOGLETRANSLATE(C125, ""en"", ""ur"")"),"A) زمین پر گرنا، B) کولہوں کو پیچھے اور نیچے گرانا تاکہ حریف کو اٹھانا مشکل ہو جائے، C) مخالف سے چھلانگ لگانا، D) مخالف کی ٹانگیں پکڑنا")</f>
        <v>A) زمین پر گرنا، B) کولہوں کو پیچھے اور نیچے گرانا تاکہ حریف کو اٹھانا مشکل ہو جائے، C) مخالف سے چھلانگ لگانا، D) مخالف کی ٹانگیں پکڑنا</v>
      </c>
      <c r="L125" s="5" t="str">
        <f>IFERROR(__xludf.DUMMYFUNCTION("GOOGLETRANSLATE(D125, ""en"", ""ur"")"),"ب) کولہوں کو پیچھے اور نیچے گرانا تاکہ حریف کو اٹھانا مشکل ہو جائے۔")</f>
        <v>ب) کولہوں کو پیچھے اور نیچے گرانا تاکہ حریف کو اٹھانا مشکل ہو جائے۔</v>
      </c>
      <c r="M125" s="5" t="str">
        <f>IFERROR(__xludf.DUMMYFUNCTION("GOOGLETRANSLATE(E125, ""en"", ""ur"")"),"ٹیک ڈاؤن کے خلاف پھیلاؤ بنیادی دفاع ہے، کیونکہ یہ کشش ثقل کے مرکز کو کم کرتا ہے اور حریف کو اٹھانے کے لیے فاصلہ بڑھاتا ہے۔")</f>
        <v>ٹیک ڈاؤن کے خلاف پھیلاؤ بنیادی دفاع ہے، کیونکہ یہ کشش ثقل کے مرکز کو کم کرتا ہے اور حریف کو اٹھانے کے لیے فاصلہ بڑھاتا ہے۔</v>
      </c>
    </row>
    <row r="126">
      <c r="A126" s="3">
        <v>125.0</v>
      </c>
      <c r="B126" s="4" t="s">
        <v>501</v>
      </c>
      <c r="C126" s="4" t="s">
        <v>502</v>
      </c>
      <c r="D126" s="4" t="s">
        <v>503</v>
      </c>
      <c r="E126" s="4" t="s">
        <v>504</v>
      </c>
      <c r="I126" s="5" t="str">
        <f>IFERROR(__xludf.DUMMYFUNCTION("GOOGLETRANSLATE(A126, ""en"", ""ur"")"),"125")</f>
        <v>125</v>
      </c>
      <c r="J126" s="5" t="str">
        <f>IFERROR(__xludf.DUMMYFUNCTION("GOOGLETRANSLATE(B126, ""en"", ""ur"")"),"ایک میچ بہت قریب ہے، اسکور ٹائی کے ساتھ۔ ریفری ایک پہلوان کو ""زیادہ متحرک"" ہونے پر ایک پوائنٹ دیتا ہے۔ کیا یہ ٹائی توڑنے کا ایک درست طریقہ ہے؟")</f>
        <v>ایک میچ بہت قریب ہے، اسکور ٹائی کے ساتھ۔ ریفری ایک پہلوان کو "زیادہ متحرک" ہونے پر ایک پوائنٹ دیتا ہے۔ کیا یہ ٹائی توڑنے کا ایک درست طریقہ ہے؟</v>
      </c>
      <c r="K126" s="5" t="str">
        <f>IFERROR(__xludf.DUMMYFUNCTION("GOOGLETRANSLATE(C126, ""en"", ""ur"")"),"A) نہیں، صرف تکنیک ہی اسکور کر سکتی ہے، B) ہاں، واضح سکورنگ کی عدم موجودگی میں، جج جارحیت یا غیر فعالی کی بنیاد پر پوائنٹ دے سکتے ہیں، C) میچ ڈرا ہونا چاہیے، D) ایک سکہ اچھالا جانا چاہیے۔")</f>
        <v>A) نہیں، صرف تکنیک ہی اسکور کر سکتی ہے، B) ہاں، واضح سکورنگ کی عدم موجودگی میں، جج جارحیت یا غیر فعالی کی بنیاد پر پوائنٹ دے سکتے ہیں، C) میچ ڈرا ہونا چاہیے، D) ایک سکہ اچھالا جانا چاہیے۔</v>
      </c>
      <c r="L126" s="5" t="str">
        <f>IFERROR(__xludf.DUMMYFUNCTION("GOOGLETRANSLATE(D126, ""en"", ""ur"")"),"ب) جی ہاں، واضح اسکورنگ کی غیر موجودگی میں، جج جارحیت یا غیر فعالی کی بنیاد پر پوائنٹ دے سکتے ہیں۔")</f>
        <v>ب) جی ہاں، واضح اسکورنگ کی غیر موجودگی میں، جج جارحیت یا غیر فعالی کی بنیاد پر پوائنٹ دے سکتے ہیں۔</v>
      </c>
      <c r="M126" s="5" t="str">
        <f>IFERROR(__xludf.DUMMYFUNCTION("GOOGLETRANSLATE(E126, ""en"", ""ur"")"),"رکنے کو روکنے کے لیے، خاص طور پر ٹائی میں، ریفریوں کو اکثر کم فعال پہلوان کو سزا دینے کا اختیار دیا جاتا ہے، جو مؤثر طریقے سے جارح کو ایک پوائنٹ دیتا ہے۔")</f>
        <v>رکنے کو روکنے کے لیے، خاص طور پر ٹائی میں، ریفریوں کو اکثر کم فعال پہلوان کو سزا دینے کا اختیار دیا جاتا ہے، جو مؤثر طریقے سے جارح کو ایک پوائنٹ دیتا ہے۔</v>
      </c>
    </row>
    <row r="127">
      <c r="A127" s="3">
        <v>126.0</v>
      </c>
      <c r="B127" s="4" t="s">
        <v>505</v>
      </c>
      <c r="C127" s="4" t="s">
        <v>506</v>
      </c>
      <c r="D127" s="4" t="s">
        <v>507</v>
      </c>
      <c r="E127" s="4" t="s">
        <v>508</v>
      </c>
      <c r="I127" s="5" t="str">
        <f>IFERROR(__xludf.DUMMYFUNCTION("GOOGLETRANSLATE(A127, ""en"", ""ur"")"),"126")</f>
        <v>126</v>
      </c>
      <c r="J127" s="5" t="str">
        <f>IFERROR(__xludf.DUMMYFUNCTION("GOOGLETRANSLATE(B127, ""en"", ""ur"")"),"ایک پہلوان کو ""سفاکیت"" کے لیے نااہل قرار دیا جاتا ہے۔ اس کا کیا مطلب ہے؟")</f>
        <v>ایک پہلوان کو "سفاکیت" کے لیے نااہل قرار دیا جاتا ہے۔ اس کا کیا مطلب ہے؟</v>
      </c>
      <c r="K127" s="5" t="str">
        <f>IFERROR(__xludf.DUMMYFUNCTION("GOOGLETRANSLATE(C127, ""en"", ""ur"")"),"A) انہوں نے میچ بہت آسانی سے جیت لیا، B) انہوں نے مخالف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f>
        <v>A) انہوں نے میچ بہت آسانی سے جیت لیا، B) انہوں نے مخالف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v>
      </c>
      <c r="L127" s="5" t="str">
        <f>IFERROR(__xludf.DUMMYFUNCTION("GOOGLETRANSLATE(D127, ""en"", ""ur"")"),"ج) انہوں نے صرف اسکور نہیں بلکہ چوٹ پہنچانے کے واضح ارادے کے ساتھ تکنیک کا استعمال کیا۔")</f>
        <v>ج) انہوں نے صرف اسکور نہیں بلکہ چوٹ پہنچانے کے واضح ارادے کے ساتھ تکنیک کا استعمال کیا۔</v>
      </c>
      <c r="M127" s="5" t="str">
        <f>IFERROR(__xludf.DUMMYFUNCTION("GOOGLETRANSLATE(E127, ""en"", ""ur"")"),"جبکہ ملاخرہ ایک سخت کھیل ہے، جارحانہ مقابلے اور بدنیتی پر مبنی ارادے کے درمیان ایک لکیر ہے۔ سفاکیت ایک بڑا جرم ہے۔")</f>
        <v>جبکہ ملاخرہ ایک سخت کھیل ہے، جارحانہ مقابلے اور بدنیتی پر مبنی ارادے کے درمیان ایک لکیر ہے۔ سفاکیت ایک بڑا جرم ہے۔</v>
      </c>
    </row>
    <row r="128">
      <c r="A128" s="3">
        <v>127.0</v>
      </c>
      <c r="B128" s="4" t="s">
        <v>509</v>
      </c>
      <c r="C128" s="4" t="s">
        <v>510</v>
      </c>
      <c r="D128" s="4" t="s">
        <v>511</v>
      </c>
      <c r="E128" s="4" t="s">
        <v>512</v>
      </c>
      <c r="I128" s="5" t="str">
        <f>IFERROR(__xludf.DUMMYFUNCTION("GOOGLETRANSLATE(A128, ""en"", ""ur"")"),"127")</f>
        <v>127</v>
      </c>
      <c r="J128" s="5" t="str">
        <f>IFERROR(__xludf.DUMMYFUNCTION("GOOGLETRANSLATE(B128, ""en"", ""ur"")"),"میچ سے پہلے اکھاڑہ (کشتی کے میدان) کا احترام کرنے کا روایتی طریقہ کیا ہے؟")</f>
        <v>میچ سے پہلے اکھاڑہ (کشتی کے میدان) کا احترام کرنے کا روایتی طریقہ کیا ہے؟</v>
      </c>
      <c r="K128" s="5" t="str">
        <f>IFERROR(__xludf.DUMMYFUNCTION("GOOGLETRANSLATE(C128, ""en"", ""ur"")"),"A) اسے صاف کرکے، B) زمین اور پھر پیشانی کو چھونے سے، C) اس پر پھول پھینک کر، D) اوپر نیچے کود کر")</f>
        <v>A) اسے صاف کرکے، B) زمین اور پھر پیشانی کو چھونے سے، C) اس پر پھول پھینک کر، D) اوپر نیچے کود کر</v>
      </c>
      <c r="L128" s="5" t="str">
        <f>IFERROR(__xludf.DUMMYFUNCTION("GOOGLETRANSLATE(D128, ""en"", ""ur"")"),"ب) زمین اور پھر پیشانی کو چھونے سے")</f>
        <v>ب) زمین اور پھر پیشانی کو چھونے سے</v>
      </c>
      <c r="M128" s="5" t="str">
        <f>IFERROR(__xludf.DUMMYFUNCTION("GOOGLETRANSLATE(E128, ""en"", ""ur"")"),"یہ بہت سی جنوبی ایشیائی روایات میں احترام کا ایک عام اشارہ ہے، جو مسابقت کی مقدس جگہ کے لیے احترام کا اظہار کرتا ہے۔")</f>
        <v>یہ بہت سی جنوبی ایشیائی روایات میں احترام کا ایک عام اشارہ ہے، جو مسابقت کی مقدس جگہ کے لیے احترام کا اظہار کرتا ہے۔</v>
      </c>
    </row>
    <row r="129">
      <c r="A129" s="3">
        <v>128.0</v>
      </c>
      <c r="B129" s="4" t="s">
        <v>513</v>
      </c>
      <c r="C129" s="4" t="s">
        <v>514</v>
      </c>
      <c r="D129" s="4" t="s">
        <v>515</v>
      </c>
      <c r="E129" s="4" t="s">
        <v>516</v>
      </c>
      <c r="I129" s="5" t="str">
        <f>IFERROR(__xludf.DUMMYFUNCTION("GOOGLETRANSLATE(A129, ""en"", ""ur"")"),"128")</f>
        <v>128</v>
      </c>
      <c r="J129" s="5" t="str">
        <f>IFERROR(__xludf.DUMMYFUNCTION("GOOGLETRANSLATE(B129, ""en"", ""ur"")"),"ایک پہلوان کے لیے کیا سزا ہے جو میچ کے بعد روایتی مصافحہ یا گلے ملنے سے انکار کرتا ہے؟")</f>
        <v>ایک پہلوان کے لیے کیا سزا ہے جو میچ کے بعد روایتی مصافحہ یا گلے ملنے سے انکار کرتا ہے؟</v>
      </c>
      <c r="K129" s="5" t="str">
        <f>IFERROR(__xludf.DUMMYFUNCTION("GOOGLETRANSLATE(C129, ""en"", ""ur"")"),"A) کوئی جرمانہ نہیں ہے، B) ریفری کی طرف سے غیر کھیلوں کے طرز عمل کی وارننگ جاری کی جا سکتی ہے، C) انہیں اپنا انعام ضائع کرنا ہو گا، D) میچ دوبارہ کھیلا جانا چاہیے۔")</f>
        <v>A) کوئی جرمانہ نہیں ہے، B) ریفری کی طرف سے غیر کھیلوں کے طرز عمل کی وارننگ جاری کی جا سکتی ہے، C) انہیں اپنا انعام ضائع کرنا ہو گا، D) میچ دوبارہ کھیلا جانا چاہیے۔</v>
      </c>
      <c r="L129" s="5" t="str">
        <f>IFERROR(__xludf.DUMMYFUNCTION("GOOGLETRANSLATE(D129, ""en"", ""ur"")"),"ب) ریفری کی طرف سے غیر کھیلوں کے طرز عمل کی وارننگ جاری کی جا سکتی ہے۔")</f>
        <v>ب) ریفری کی طرف سے غیر کھیلوں کے طرز عمل کی وارننگ جاری کی جا سکتی ہے۔</v>
      </c>
      <c r="M129" s="5" t="str">
        <f>IFERROR(__xludf.DUMMYFUNCTION("GOOGLETRANSLATE(E129, ""en"", ""ur"")"),"کھیل احترام کو بہت زیادہ اہمیت دیتا ہے۔ میچ کے بعد حریف کو تسلیم کرنے سے انکار اس ضابطہ کی سنگین خلاف ورزی ہے۔")</f>
        <v>کھیل احترام کو بہت زیادہ اہمیت دیتا ہے۔ میچ کے بعد حریف کو تسلیم کرنے سے انکار اس ضابطہ کی سنگین خلاف ورزی ہے۔</v>
      </c>
    </row>
    <row r="130">
      <c r="A130" s="3">
        <v>129.0</v>
      </c>
      <c r="B130" s="4" t="s">
        <v>517</v>
      </c>
      <c r="C130" s="4" t="s">
        <v>518</v>
      </c>
      <c r="D130" s="4" t="s">
        <v>519</v>
      </c>
      <c r="E130" s="4" t="s">
        <v>520</v>
      </c>
      <c r="I130" s="5" t="str">
        <f>IFERROR(__xludf.DUMMYFUNCTION("GOOGLETRANSLATE(A130, ""en"", ""ur"")"),"129")</f>
        <v>129</v>
      </c>
      <c r="J130" s="5" t="str">
        <f>IFERROR(__xludf.DUMMYFUNCTION("GOOGLETRANSLATE(B130, ""en"", ""ur"")"),"ایک پہلوان ایک میچ جیتتا ہے اور اسے اپنے حامیوں کے کندھوں پر لے جایا جاتا ہے۔ اس سے کیا مراد ہے؟")</f>
        <v>ایک پہلوان ایک میچ جیتتا ہے اور اسے اپنے حامیوں کے کندھوں پر لے جایا جاتا ہے۔ اس سے کیا مراد ہے؟</v>
      </c>
      <c r="K130" s="5" t="str">
        <f>IFERROR(__xludf.DUMMYFUNCTION("GOOGLETRANSLATE(C130, ""en"", ""ur"")"),"A)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f>
        <v>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v>
      </c>
      <c r="L130" s="5" t="str">
        <f>IFERROR(__xludf.DUMMYFUNCTION("GOOGLETRANSLATE(D130, ""en"", ""ur"")"),"ب) یہ فرقہ وارانہ فتح کا روایتی اور خوشی کا جشن ہے۔")</f>
        <v>ب) یہ فرقہ وارانہ فتح کا روایتی اور خوشی کا جشن ہے۔</v>
      </c>
      <c r="M130" s="5" t="str">
        <f>IFERROR(__xludf.DUMMYFUNCTION("GOOGLETRANSLATE(E130, ""en"", ""ur"")"),"یہ گاؤں یا ٹیم کے لیے اپنے چیمپئن کا جشن منانے کا ایک بے ساختہ اور عام طریقہ ہے، جس سے یہ ظاہر ہوتا ہے کہ جیت پوری کمیونٹی کی ہے۔")</f>
        <v>یہ گاؤں یا ٹیم کے لیے اپنے چیمپئن کا جشن منانے کا ایک بے ساختہ اور عام طریقہ ہے، جس سے یہ ظاہر ہوتا ہے کہ جیت پوری کمیونٹی کی ہے۔</v>
      </c>
    </row>
    <row r="131">
      <c r="A131" s="3">
        <v>130.0</v>
      </c>
      <c r="B131" s="4" t="s">
        <v>521</v>
      </c>
      <c r="C131" s="4" t="s">
        <v>522</v>
      </c>
      <c r="D131" s="4" t="s">
        <v>523</v>
      </c>
      <c r="E131" s="4" t="s">
        <v>524</v>
      </c>
      <c r="I131" s="5" t="str">
        <f>IFERROR(__xludf.DUMMYFUNCTION("GOOGLETRANSLATE(A131, ""en"", ""ur"")"),"130")</f>
        <v>130</v>
      </c>
      <c r="J131" s="5" t="str">
        <f>IFERROR(__xludf.DUMMYFUNCTION("GOOGLETRANSLATE(B131, ""en"", ""ur"")"),"ملاخرہ صدیوں سے مقبول رہنے کی بنیادی وجہ کیا ہے؟")</f>
        <v>ملاخرہ صدیوں سے مقبول رہنے کی بنیادی وجہ کیا ہے؟</v>
      </c>
      <c r="K131" s="5" t="str">
        <f>IFERROR(__xludf.DUMMYFUNCTION("GOOGLETRANSLATE(C131, ""en"", ""ur"")"),"A)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f>
        <v>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v>
      </c>
      <c r="L131" s="5" t="str">
        <f>IFERROR(__xludf.DUMMYFUNCTION("GOOGLETRANSLATE(D131, ""en"", ""ur"")"),"ب) یہ ایک سادہ، کم لاگت والا کھیل ہے جو ثقافتی شناخت اور تہواروں سے گہرا تعلق رکھتا ہے۔")</f>
        <v>ب) یہ ایک سادہ، کم لاگت والا کھیل ہے جو ثقافتی شناخت اور تہواروں سے گہرا تعلق رکھتا ہے۔</v>
      </c>
      <c r="M131" s="5" t="str">
        <f>IFERROR(__xludf.DUMMYFUNCTION("GOOGLETRANSLATE(E131, ""en"", ""ur"")"),"اس کی رسائی اور مضبوط ثقافتی جڑوں نے ایک محبوب لوک کھیل کے طور پر اس کی بقا کو یقینی بنایا ہے۔")</f>
        <v>اس کی رسائی اور مضبوط ثقافتی جڑوں نے ایک محبوب لوک کھیل کے طور پر اس کی بقا کو یقینی بنایا ہے۔</v>
      </c>
    </row>
    <row r="132">
      <c r="A132" s="3">
        <v>131.0</v>
      </c>
      <c r="B132" s="4" t="s">
        <v>525</v>
      </c>
      <c r="C132" s="4" t="s">
        <v>526</v>
      </c>
      <c r="D132" s="4" t="s">
        <v>527</v>
      </c>
      <c r="E132" s="4" t="s">
        <v>528</v>
      </c>
      <c r="I132" s="5" t="str">
        <f>IFERROR(__xludf.DUMMYFUNCTION("GOOGLETRANSLATE(A132, ""en"", ""ur"")"),"131")</f>
        <v>131</v>
      </c>
      <c r="J132" s="5" t="str">
        <f>IFERROR(__xludf.DUMMYFUNCTION("GOOGLETRANSLATE(B132, ""en"", ""ur"")"),"ایک پہلوان کو درد کا باعث بننے کے لیے اپنی پٹی کے نیچے ایک چھوٹی، سخت چیز لپٹی ہوئی پائی جاتی ہے۔ نتیجہ کیا ہے؟")</f>
        <v>ایک پہلوان کو درد کا باعث بننے کے لیے اپنی پٹی کے نیچے ایک چھوٹی، سخت چیز لپٹی ہوئی پائی جاتی ہے۔ نتیجہ کیا ہے؟</v>
      </c>
      <c r="K132" s="5" t="str">
        <f>IFERROR(__xludf.DUMMYFUNCTION("GOOGLETRANSLATE(C132, ""en"", ""ur"")"),"A)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f>
        <v>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v>
      </c>
      <c r="L132" s="5" t="str">
        <f>IFERROR(__xludf.DUMMYFUNCTION("GOOGLETRANSLATE(D132, ""en"", ""ur"")"),"ب) پہلوان کو دھوکہ دہی کے الزام میں فوری طور پر نااہل قرار دیا جاتا ہے۔")</f>
        <v>ب) پہلوان کو دھوکہ دہی کے الزام میں فوری طور پر نااہل قرار دیا جاتا ہے۔</v>
      </c>
      <c r="M132" s="5" t="str">
        <f>IFERROR(__xludf.DUMMYFUNCTION("GOOGLETRANSLATE(E132, ""en"", ""ur"")"),"فائدہ حاصل کرنے یا چوٹ پہنچانے کے لیے چھپی ہوئی چیز کا استعمال ایک بڑی خلاف ورزی ہے اور اس کا نتیجہ فوری طور پر نااہلی کی صورت میں نکلتا ہے۔")</f>
        <v>فائدہ حاصل کرنے یا چوٹ پہنچانے کے لیے چھپی ہوئی چیز کا استعمال ایک بڑی خلاف ورزی ہے اور اس کا نتیجہ فوری طور پر نااہلی کی صورت میں نکلتا ہے۔</v>
      </c>
    </row>
    <row r="133">
      <c r="A133" s="3">
        <v>132.0</v>
      </c>
      <c r="B133" s="4" t="s">
        <v>529</v>
      </c>
      <c r="C133" s="4" t="s">
        <v>530</v>
      </c>
      <c r="D133" s="4" t="s">
        <v>531</v>
      </c>
      <c r="E133" s="4" t="s">
        <v>532</v>
      </c>
      <c r="I133" s="5" t="str">
        <f>IFERROR(__xludf.DUMMYFUNCTION("GOOGLETRANSLATE(A133, ""en"", ""ur"")"),"132")</f>
        <v>132</v>
      </c>
      <c r="J133" s="5" t="str">
        <f>IFERROR(__xludf.DUMMYFUNCTION("GOOGLETRANSLATE(B133, ""en"", ""ur"")"),"ریفری اور ججوں کے کردار میں بنیادی فرق کیا ہے؟")</f>
        <v>ریفری اور ججوں کے کردار میں بنیادی فرق کیا ہے؟</v>
      </c>
      <c r="K133" s="5" t="str">
        <f>IFERROR(__xludf.DUMMYFUNCTION("GOOGLETRANSLATE(C133, ""en"", ""ur"")"),"A) کوئی فرق نہیں ہے، B) ریفری ایکشن کو کنٹرول کرنے والی رنگ میں ہے، جب کہ جج باہر ہیں پوائنٹس اسکور کر رہے ہیں، C) ججز ریفری کو زیر کر سکتے ہیں، D) ریفری ٹائم کیپر ہے")</f>
        <v>A) کوئی فرق نہیں ہے، B) ریفری ایکشن کو کنٹرول کرنے والی رنگ میں ہے، جب کہ جج باہر ہیں پوائنٹس اسکور کر رہے ہیں، C) ججز ریفری کو زیر کر سکتے ہیں، D) ریفری ٹائم کیپر ہے</v>
      </c>
      <c r="L133" s="5" t="str">
        <f>IFERROR(__xludf.DUMMYFUNCTION("GOOGLETRANSLATE(D133, ""en"", ""ur"")"),"ب) ریفری ایکشن کو کنٹرول کرنے کے رنگ میں ہے، جبکہ جج پوائنٹس اسکور کرنے سے باہر ہیں۔")</f>
        <v>ب) ریفری ایکشن کو کنٹرول کرنے کے رنگ میں ہے، جبکہ جج پوائنٹس اسکور کرنے سے باہر ہیں۔</v>
      </c>
      <c r="M133" s="5" t="str">
        <f>IFERROR(__xludf.DUMMYFUNCTION("GOOGLETRANSLATE(E133, ""en"", ""ur"")"),"ریفری باؤٹ کا براہ راست انتظام کرتا ہے، جب کہ جج مشاہدہ کرتے ہیں اور پوائنٹس دیتے ہیں، جو بعد میں فاتح کا تعین کرنے کے لیے لمبا کیا جاتا ہے اگر کوئی پن نہیں ہے۔")</f>
        <v>ریفری باؤٹ کا براہ راست انتظام کرتا ہے، جب کہ جج مشاہدہ کرتے ہیں اور پوائنٹس دیتے ہیں، جو بعد میں فاتح کا تعین کرنے کے لیے لمبا کیا جاتا ہے اگر کوئی پن نہیں ہے۔</v>
      </c>
    </row>
    <row r="134">
      <c r="A134" s="3">
        <v>133.0</v>
      </c>
      <c r="B134" s="4" t="s">
        <v>533</v>
      </c>
      <c r="C134" s="4" t="s">
        <v>534</v>
      </c>
      <c r="D134" s="4" t="s">
        <v>535</v>
      </c>
      <c r="E134" s="4" t="s">
        <v>536</v>
      </c>
      <c r="I134" s="5" t="str">
        <f>IFERROR(__xludf.DUMMYFUNCTION("GOOGLETRANSLATE(A134, ""en"", ""ur"")"),"133")</f>
        <v>133</v>
      </c>
      <c r="J134" s="5" t="str">
        <f>IFERROR(__xludf.DUMMYFUNCTION("GOOGLETRANSLATE(B134, ""en"", ""ur"")"),"ایک پہلوان اپنی ""دھماکہ خیز"" طاقت کے لیے جانا جاتا ہے۔ کس قسم کی تربیت یہ تیار کرتی ہے؟")</f>
        <v>ایک پہلوان اپنی "دھماکہ خیز" طاقت کے لیے جانا جاتا ہے۔ کس قسم کی تربیت یہ تیار کرتی ہے؟</v>
      </c>
      <c r="K134" s="5" t="str">
        <f>IFERROR(__xludf.DUMMYFUNCTION("GOOGLETRANSLATE(C134, ""en"", ""ur"")"),"A) لمبی دوری کی دوڑ، B) جامد اسٹریچنگ، C) پلائیومیٹرکس اور وزن کی تربیت، D) مراقبہ")</f>
        <v>A) لمبی دوری کی دوڑ، B) جامد اسٹریچنگ، C) پلائیومیٹرکس اور وزن کی تربیت، D) مراقبہ</v>
      </c>
      <c r="L134" s="5" t="str">
        <f>IFERROR(__xludf.DUMMYFUNCTION("GOOGLETRANSLATE(D134, ""en"", ""ur"")"),"سی) پلائیومیٹرکس اور وزن کی تربیت")</f>
        <v>سی) پلائیومیٹرکس اور وزن کی تربیت</v>
      </c>
      <c r="M134" s="5" t="str">
        <f>IFERROR(__xludf.DUMMYFUNCTION("GOOGLETRANSLATE(E134, ""en"", ""ur"")"),"دھماکہ خیز طاقت، کم وقت میں زیادہ سے زیادہ طاقت پیدا کرنے کی صلاحیت، اسکواٹس، ڈیڈ لفٹ اور جمپنگ ڈرلز جیسی مشقوں کے ذریعے بنائی جاتی ہے۔")</f>
        <v>دھماکہ خیز طاقت، کم وقت میں زیادہ سے زیادہ طاقت پیدا کرنے کی صلاحیت، اسکواٹس، ڈیڈ لفٹ اور جمپنگ ڈرلز جیسی مشقوں کے ذریعے بنائی جاتی ہے۔</v>
      </c>
    </row>
    <row r="135">
      <c r="A135" s="3">
        <v>134.0</v>
      </c>
      <c r="B135" s="4" t="s">
        <v>537</v>
      </c>
      <c r="C135" s="4" t="s">
        <v>538</v>
      </c>
      <c r="D135" s="4" t="s">
        <v>539</v>
      </c>
      <c r="E135" s="4" t="s">
        <v>540</v>
      </c>
      <c r="I135" s="5" t="str">
        <f>IFERROR(__xludf.DUMMYFUNCTION("GOOGLETRANSLATE(A135, ""en"", ""ur"")"),"134")</f>
        <v>134</v>
      </c>
      <c r="J135" s="5" t="str">
        <f>IFERROR(__xludf.DUMMYFUNCTION("GOOGLETRANSLATE(B135, ""en"", ""ur"")"),"اگر کشتی کے تبادلے کے دوران غلطی سے پہلوان کے بال کھینچے جائیں تو کیا حکم ہے؟")</f>
        <v>اگر کشتی کے تبادلے کے دوران غلطی سے پہلوان کے بال کھینچے جائیں تو کیا حکم ہے؟</v>
      </c>
      <c r="K135" s="5" t="str">
        <f>IFERROR(__xludf.DUMMYFUNCTION("GOOGLETRANSLATE(C135, ""en"", ""ur"")"),"A) مخالف کو فوری طور پر نااہل قرار دیا جاتا ہے، B) ریفری کارروائی روک دے گا، وارننگ جاری کرے گا، اور میچ دوبارہ شروع کرے گا، C) جس پہلوان کے بال کھینچے گئے تھے اسے ایک پوائنٹ ملتا ہے، D) میچ جاری رہتا ہے کیونکہ یہ حادثاتی تھا۔")</f>
        <v>A) مخالف کو فوری طور پر نااہل قرار دیا جاتا ہے، B) ریفری کارروائی روک دے گا، وارننگ جاری کرے گا، اور میچ دوبارہ شروع کرے گا، C) جس پہلوان کے بال کھینچے گئے تھے اسے ایک پوائنٹ ملتا ہے، D) میچ جاری رہتا ہے کیونکہ یہ حادثاتی تھا۔</v>
      </c>
      <c r="L135" s="5" t="str">
        <f>IFERROR(__xludf.DUMMYFUNCTION("GOOGLETRANSLATE(D135, ""en"", ""ur"")"),"ب) ریفری کارروائی روک دے گا، وارننگ جاری کرے گا، اور میچ دوبارہ شروع کرے گا۔")</f>
        <v>ب) ریفری کارروائی روک دے گا، وارننگ جاری کرے گا، اور میچ دوبارہ شروع کرے گا۔</v>
      </c>
      <c r="M135" s="5" t="str">
        <f>IFERROR(__xludf.DUMMYFUNCTION("GOOGLETRANSLATE(E135, ""en"", ""ur"")"),"یہاں تک کہ اگر حادثاتی طور پر، بال کھینچنا غلط ہے۔ ریفری احتیاط جاری کرنے کے لیے لڑائی کو روک دے گا اور پھر پہلوانوں کو دوبارہ ترتیب دے گا۔")</f>
        <v>یہاں تک کہ اگر حادثاتی طور پر، بال کھینچنا غلط ہے۔ ریفری احتیاط جاری کرنے کے لیے لڑائی کو روک دے گا اور پھر پہلوانوں کو دوبارہ ترتیب دے گا۔</v>
      </c>
    </row>
    <row r="136">
      <c r="A136" s="3">
        <v>135.0</v>
      </c>
      <c r="B136" s="4" t="s">
        <v>541</v>
      </c>
      <c r="C136" s="4" t="s">
        <v>542</v>
      </c>
      <c r="D136" s="4" t="s">
        <v>543</v>
      </c>
      <c r="E136" s="4" t="s">
        <v>544</v>
      </c>
      <c r="I136" s="5" t="str">
        <f>IFERROR(__xludf.DUMMYFUNCTION("GOOGLETRANSLATE(A136, ""en"", ""ur"")"),"135")</f>
        <v>135</v>
      </c>
      <c r="J136" s="5" t="str">
        <f>IFERROR(__xludf.DUMMYFUNCTION("GOOGLETRANSLATE(B136, ""en"", ""ur"")"),"پہلوانوں کی روایتی پری میچ پریڈ کا اصل مقصد کیا ہے؟")</f>
        <v>پہلوانوں کی روایتی پری میچ پریڈ کا اصل مقصد کیا ہے؟</v>
      </c>
      <c r="K136" s="5" t="str">
        <f>IFERROR(__xludf.DUMMYFUNCTION("GOOGLETRANSLATE(C136, ""en"", ""ur"")"),"A) میچ کے لیے وارم اپ کرنے کے لیے، B) حریفوں کو ہجوم سے متعارف کرانا اور جوش و خروش پیدا کرنا، C) سٹے بازی کی اجازت دینا، D) مخالفین کو ڈرانا")</f>
        <v>A) میچ کے لیے وارم اپ کرنے کے لیے، B) حریفوں کو ہجوم سے متعارف کرانا اور جوش و خروش پیدا کرنا، C) سٹے بازی کی اجازت دینا، D) مخالفین کو ڈرانا</v>
      </c>
      <c r="L136" s="5" t="str">
        <f>IFERROR(__xludf.DUMMYFUNCTION("GOOGLETRANSLATE(D136, ""en"", ""ur"")"),"ب) حریفوں کو بھیڑ سے متعارف کرانا اور جوش پیدا کرنا")</f>
        <v>ب) حریفوں کو بھیڑ سے متعارف کرانا اور جوش پیدا کرنا</v>
      </c>
      <c r="M136" s="5" t="str">
        <f>IFERROR(__xludf.DUMMYFUNCTION("GOOGLETRANSLATE(E136, ""en"", ""ur"")"),"پریڈ ایونٹ کا ایک رسمی حصہ ہے جو پہلوانوں کو اعزاز دیتا ہے اور ایک تہوار کا ماحول بناتا ہے۔")</f>
        <v>پریڈ ایونٹ کا ایک رسمی حصہ ہے جو پہلوانوں کو اعزاز دیتا ہے اور ایک تہوار کا ماحول بناتا ہے۔</v>
      </c>
    </row>
    <row r="137">
      <c r="A137" s="3">
        <v>136.0</v>
      </c>
      <c r="B137" s="4" t="s">
        <v>545</v>
      </c>
      <c r="C137" s="4" t="s">
        <v>546</v>
      </c>
      <c r="D137" s="4" t="s">
        <v>547</v>
      </c>
      <c r="E137" s="4" t="s">
        <v>548</v>
      </c>
      <c r="I137" s="5" t="str">
        <f>IFERROR(__xludf.DUMMYFUNCTION("GOOGLETRANSLATE(A137, ""en"", ""ur"")"),"136")</f>
        <v>136</v>
      </c>
      <c r="J137" s="5" t="str">
        <f>IFERROR(__xludf.DUMMYFUNCTION("GOOGLETRANSLATE(B137, ""en"", ""ur"")"),"ایک پہلوان کو ""ہجوم کے لیے کھیلنا"" کہا جاتا ہے۔ اس کا کیا مطلب ہے؟")</f>
        <v>ایک پہلوان کو "ہجوم کے لیے کھیلنا" کہا جاتا ہے۔ اس کا کیا مطلب ہے؟</v>
      </c>
      <c r="K137" s="5" t="str">
        <f>IFERROR(__xludf.DUMMYFUNCTION("GOOGLETRANSLATE(C137, ""en"", ""ur"")"),"A) وہ تفریح ​​​​کرنے کے لئے چمکدار لیکن غیر موثر تکنیکوں کا استعمال کر رہے ہیں، B) وہ سب سے زیادہ مقبول پہلوان ہیں، C) وہ اصولوں پر پوری طرح عمل کر رہے ہیں، D) ان کی کوچنگ ایک تماشائی کر رہے ہیں۔")</f>
        <v>A) وہ تفریح ​​​​کرنے کے لئے چمکدار لیکن غیر موثر تکنیکوں کا استعمال کر رہے ہیں، B) وہ سب سے زیادہ مقبول پہلوان ہیں، C) وہ اصولوں پر پوری طرح عمل کر رہے ہیں، D) ان کی کوچنگ ایک تماشائی کر رہے ہیں۔</v>
      </c>
      <c r="L137" s="5" t="str">
        <f>IFERROR(__xludf.DUMMYFUNCTION("GOOGLETRANSLATE(D137, ""en"", ""ur"")"),"A) وہ تفریح ​​​​کے لئے چمکدار لیکن غیر موثر تکنیک استعمال کر رہے ہیں۔")</f>
        <v>A) وہ تفریح ​​​​کے لئے چمکدار لیکن غیر موثر تکنیک استعمال کر رہے ہیں۔</v>
      </c>
      <c r="M137" s="5" t="str">
        <f>IFERROR(__xludf.DUMMYFUNCTION("GOOGLETRANSLATE(E137, ""en"", ""ur"")"),"یہ اکثر ایک تنقید ہوتی ہے، جس کا مطلب یہ ہے کہ پہلوان موثر، جیتنے والی تکنیکوں کو استعمال کرنے کے بجائے اچھے لگنے پر زیادہ توجہ مرکوز کرتا ہے۔")</f>
        <v>یہ اکثر ایک تنقید ہوتی ہے، جس کا مطلب یہ ہے کہ پہلوان موثر، جیتنے والی تکنیکوں کو استعمال کرنے کے بجائے اچھے لگنے پر زیادہ توجہ مرکوز کرتا ہے۔</v>
      </c>
    </row>
    <row r="138">
      <c r="A138" s="3">
        <v>137.0</v>
      </c>
      <c r="B138" s="4" t="s">
        <v>549</v>
      </c>
      <c r="C138" s="4" t="s">
        <v>550</v>
      </c>
      <c r="D138" s="4" t="s">
        <v>551</v>
      </c>
      <c r="E138" s="4" t="s">
        <v>552</v>
      </c>
      <c r="I138" s="5" t="str">
        <f>IFERROR(__xludf.DUMMYFUNCTION("GOOGLETRANSLATE(A138, ""en"", ""ur"")"),"137")</f>
        <v>137</v>
      </c>
      <c r="J138" s="5" t="str">
        <f>IFERROR(__xludf.DUMMYFUNCTION("GOOGLETRANSLATE(B138, ""en"", ""ur"")"),"برصغیر پاک و ہند میں ریسلنگ کے روایتی اسکولوں کا کیا نام ہے جہاں پہلوان رہتے اور تربیت کرتے ہیں؟")</f>
        <v>برصغیر پاک و ہند میں ریسلنگ کے روایتی اسکولوں کا کیا نام ہے جہاں پہلوان رہتے اور تربیت کرتے ہیں؟</v>
      </c>
      <c r="K138" s="5" t="str">
        <f>IFERROR(__xludf.DUMMYFUNCTION("GOOGLETRANSLATE(C138, ""en"", ""ur"")"),"A) Dojos، B) جم، C) اکھاڑے، D) کلب")</f>
        <v>A) Dojos، B) جم، C) اکھاڑے، D) کلب</v>
      </c>
      <c r="L138" s="5" t="str">
        <f>IFERROR(__xludf.DUMMYFUNCTION("GOOGLETRANSLATE(D138, ""en"", ""ur"")"),"ج) اکھاڑے")</f>
        <v>ج) اکھاڑے</v>
      </c>
      <c r="M138" s="5" t="str">
        <f>IFERROR(__xludf.DUMMYFUNCTION("GOOGLETRANSLATE(E138, ""en"", ""ur"")"),"اکھاڑا ایک روایتی جمنازیم ہے جہاں پہلوان استاد کی رہنمائی میں تربیت کرتے ہیں۔")</f>
        <v>اکھاڑا ایک روایتی جمنازیم ہے جہاں پہلوان استاد کی رہنمائی میں تربیت کرتے ہیں۔</v>
      </c>
    </row>
    <row r="139">
      <c r="A139" s="3">
        <v>138.0</v>
      </c>
      <c r="B139" s="4" t="s">
        <v>553</v>
      </c>
      <c r="C139" s="4" t="s">
        <v>554</v>
      </c>
      <c r="D139" s="4" t="s">
        <v>555</v>
      </c>
      <c r="E139" s="4" t="s">
        <v>556</v>
      </c>
      <c r="I139" s="5" t="str">
        <f>IFERROR(__xludf.DUMMYFUNCTION("GOOGLETRANSLATE(A139, ""en"", ""ur"")"),"138")</f>
        <v>138</v>
      </c>
      <c r="J139" s="5" t="str">
        <f>IFERROR(__xludf.DUMMYFUNCTION("GOOGLETRANSLATE(B139, ""en"", ""ur"")"),"ایک پہلوان اپنے مضبوط ""پل"" کے لیے جانا جاتا ہے۔ اس دفاعی اقدام میں کیا شامل ہے؟")</f>
        <v>ایک پہلوان اپنے مضبوط "پل" کے لیے جانا جاتا ہے۔ اس دفاعی اقدام میں کیا شامل ہے؟</v>
      </c>
      <c r="K139" s="5" t="str">
        <f>IFERROR(__xludf.DUMMYFUNCTION("GOOGLETRANSLATE(C139, ""en"", ""ur"")"),"A) حریف کو دور دھکیلنا، B) کندھوں کو چپکانے سے بچنے کے لیے کمر اور گردن کو آرک کرنا، C) اپنے ہاتھوں سے پل بنانا، D) ٹانگوں کے تالے کی ایک قسم")</f>
        <v>A) حریف کو دور دھکیلنا، B) کندھوں کو چپکانے سے بچنے کے لیے کمر اور گردن کو آرک کرنا، C) اپنے ہاتھوں سے پل بنانا، D) ٹانگوں کے تالے کی ایک قسم</v>
      </c>
      <c r="L139" s="5" t="str">
        <f>IFERROR(__xludf.DUMMYFUNCTION("GOOGLETRANSLATE(D139, ""en"", ""ur"")"),"ب) کندھوں کو چپکانے سے بچنے کے لیے کمر اور گردن کو آرک کرنا")</f>
        <v>ب) کندھوں کو چپکانے سے بچنے کے لیے کمر اور گردن کو آرک کرنا</v>
      </c>
      <c r="M139" s="5" t="str">
        <f>IFERROR(__xludf.DUMMYFUNCTION("GOOGLETRANSLATE(E139, ""en"", ""ur"")"),"پل ایک پن سے بچنے کے لیے ریسلنگ میں ایک بنیادی دفاعی تکنیک ہے۔")</f>
        <v>پل ایک پن سے بچنے کے لیے ریسلنگ میں ایک بنیادی دفاعی تکنیک ہے۔</v>
      </c>
    </row>
    <row r="140">
      <c r="A140" s="3">
        <v>139.0</v>
      </c>
      <c r="B140" s="4" t="s">
        <v>557</v>
      </c>
      <c r="C140" s="4" t="s">
        <v>558</v>
      </c>
      <c r="D140" s="4" t="s">
        <v>559</v>
      </c>
      <c r="E140" s="4" t="s">
        <v>560</v>
      </c>
      <c r="I140" s="5" t="str">
        <f>IFERROR(__xludf.DUMMYFUNCTION("GOOGLETRANSLATE(A140, ""en"", ""ur"")"),"139")</f>
        <v>139</v>
      </c>
      <c r="J140" s="5" t="str">
        <f>IFERROR(__xludf.DUMMYFUNCTION("GOOGLETRANSLATE(B140, ""en"", ""ur"")"),"اگر ایک پہلوان کو خون بہہ رہا ہو، اور خون ان کے مخالف کو لگے تو ریفری کو کیا کرنا چاہیے؟")</f>
        <v>اگر ایک پہلوان کو خون بہہ رہا ہو، اور خون ان کے مخالف کو لگے تو ریفری کو کیا کرنا چاہیے؟</v>
      </c>
      <c r="K140" s="5" t="str">
        <f>IFERROR(__xludf.DUMMYFUNCTION("GOOGLETRANSLATE(C140, ""en"", ""ur"")"),"A)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f>
        <v>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v>
      </c>
      <c r="L140" s="5" t="str">
        <f>IFERROR(__xludf.DUMMYFUNCTION("GOOGLETRANSLATE(D140, ""en"", ""ur"")"),"ب) لڑائی بند کرو اور دونوں پہلوانوں کی صفائی اور علاج کروائیں۔")</f>
        <v>ب) لڑائی بند کرو اور دونوں پہلوانوں کی صفائی اور علاج کروائیں۔</v>
      </c>
      <c r="M140" s="5" t="str">
        <f>IFERROR(__xludf.DUMMYFUNCTION("GOOGLETRANSLATE(E140, ""en"", ""ur"")"),"""خون کے اصول"" کے تحت ریفری کو چوٹ کو سنبھالنے کے لیے میچ کو روکنے اور حفاظت کے لیے دونوں حریفوں سے خون صاف کرنے کی ضرورت ہوتی ہے۔")</f>
        <v>"خون کے اصول" کے تحت ریفری کو چوٹ کو سنبھالنے کے لیے میچ کو روکنے اور حفاظت کے لیے دونوں حریفوں سے خون صاف کرنے کی ضرورت ہوتی ہے۔</v>
      </c>
    </row>
    <row r="141">
      <c r="A141" s="3">
        <v>140.0</v>
      </c>
      <c r="B141" s="4" t="s">
        <v>561</v>
      </c>
      <c r="C141" s="4" t="s">
        <v>562</v>
      </c>
      <c r="D141" s="4" t="s">
        <v>563</v>
      </c>
      <c r="E141" s="4" t="s">
        <v>564</v>
      </c>
      <c r="I141" s="5" t="str">
        <f>IFERROR(__xludf.DUMMYFUNCTION("GOOGLETRANSLATE(A141, ""en"", ""ur"")"),"140")</f>
        <v>140</v>
      </c>
      <c r="J141" s="5" t="str">
        <f>IFERROR(__xludf.DUMMYFUNCTION("GOOGLETRANSLATE(B141, ""en"", ""ur"")"),"ایک طاقتور مخالف کو شکست دینے کے لیے کم مضبوط لیکن زیادہ تکنیکی پہلوان کے لیے سب سے عام طریقہ کیا ہے؟")</f>
        <v>ایک طاقتور مخالف کو شکست دینے کے لیے کم مضبوط لیکن زیادہ تکنیکی پہلوان کے لیے سب سے عام طریقہ کیا ہے؟</v>
      </c>
      <c r="K141" s="5" t="str">
        <f>IFERROR(__xludf.DUMMYFUNCTION("GOOGLETRANSLATE(C141, ""en"", ""ur"")"),"A) ان کو تھکا کر، B) اعلیٰ بیعانہ، وقت اور تکنیک کا استعمال کرکے ان کو متوازن کرنے کے لیے، C) غیر قانونی چالوں کا استعمال کرکے، D) یہ ممکن نہیں ہے۔")</f>
        <v>A) ان کو تھکا کر، B) اعلیٰ بیعانہ، وقت اور تکنیک کا استعمال کرکے ان کو متوازن کرنے کے لیے، C) غیر قانونی چالوں کا استعمال کرکے، D) یہ ممکن نہیں ہے۔</v>
      </c>
      <c r="L141" s="5" t="str">
        <f>IFERROR(__xludf.DUMMYFUNCTION("GOOGLETRANSLATE(D141, ""en"", ""ur"")"),"ب) ان کو غیر متوازن کرنے کے لیے اعلیٰ بیعانہ، وقت اور تکنیک کا استعمال کرکے")</f>
        <v>ب) ان کو غیر متوازن کرنے کے لیے اعلیٰ بیعانہ، وقت اور تکنیک کا استعمال کرکے</v>
      </c>
      <c r="M141" s="5" t="str">
        <f>IFERROR(__xludf.DUMMYFUNCTION("GOOGLETRANSLATE(E141, ""en"", ""ur"")"),"ملاخرہ ایک تکنیکی فن ہے جہاں مہارت اکثر خام طاقت کے فائدہ پر قابو پا سکتی ہے۔")</f>
        <v>ملاخرہ ایک تکنیکی فن ہے جہاں مہارت اکثر خام طاقت کے فائدہ پر قابو پا سکتی ہے۔</v>
      </c>
    </row>
    <row r="142">
      <c r="A142" s="3">
        <v>141.0</v>
      </c>
      <c r="B142" s="4" t="s">
        <v>565</v>
      </c>
      <c r="C142" s="4" t="s">
        <v>566</v>
      </c>
      <c r="D142" s="4" t="s">
        <v>567</v>
      </c>
      <c r="E142" s="4" t="s">
        <v>568</v>
      </c>
      <c r="I142" s="5" t="str">
        <f>IFERROR(__xludf.DUMMYFUNCTION("GOOGLETRANSLATE(A142, ""en"", ""ur"")"),"141")</f>
        <v>141</v>
      </c>
      <c r="J142" s="5" t="str">
        <f>IFERROR(__xludf.DUMMYFUNCTION("GOOGLETRANSLATE(B142, ""en"", ""ur"")"),"میچ کے دوران روایتی موسیقی کا بنیادی کردار کیا ہے؟")</f>
        <v>میچ کے دوران روایتی موسیقی کا بنیادی کردار کیا ہے؟</v>
      </c>
      <c r="K142" s="5" t="str">
        <f>IFERROR(__xludf.DUMMYFUNCTION("GOOGLETRANSLATE(C142, ""en"", ""ur"")"),"A)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f>
        <v>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v>
      </c>
      <c r="L142" s="5" t="str">
        <f>IFERROR(__xludf.DUMMYFUNCTION("GOOGLETRANSLATE(D142, ""en"", ""ur"")"),"ب) ایک پُرجوش اور ثقافتی لحاظ سے بھرپور ماحول پیدا کرنا")</f>
        <v>ب) ایک پُرجوش اور ثقافتی لحاظ سے بھرپور ماحول پیدا کرنا</v>
      </c>
      <c r="M142" s="5" t="str">
        <f>IFERROR(__xludf.DUMMYFUNCTION("GOOGLETRANSLATE(E142, ""en"", ""ur"")"),"براہ راست موسیقی، خاص طور پر ڈھول سے، ملاخرا تقریب کے ثقافتی تجربے کے لیے لازمی ہے۔")</f>
        <v>براہ راست موسیقی، خاص طور پر ڈھول سے، ملاخرا تقریب کے ثقافتی تجربے کے لیے لازمی ہے۔</v>
      </c>
    </row>
    <row r="143">
      <c r="A143" s="3">
        <v>142.0</v>
      </c>
      <c r="B143" s="4" t="s">
        <v>569</v>
      </c>
      <c r="C143" s="4" t="s">
        <v>570</v>
      </c>
      <c r="D143" s="4" t="s">
        <v>571</v>
      </c>
      <c r="E143" s="4" t="s">
        <v>572</v>
      </c>
      <c r="I143" s="5" t="str">
        <f>IFERROR(__xludf.DUMMYFUNCTION("GOOGLETRANSLATE(A143, ""en"", ""ur"")"),"142")</f>
        <v>142</v>
      </c>
      <c r="J143" s="5" t="str">
        <f>IFERROR(__xludf.DUMMYFUNCTION("GOOGLETRANSLATE(B143, ""en"", ""ur"")"),"ایک پہلوان کو تنبیہ کی جاتی ہے کہ وہ مخالف کو دبانے کے لیے اپنی بیلٹ کا استعمال کرے۔ کیا یہ صحیح کال ہے؟")</f>
        <v>ایک پہلوان کو تنبیہ کی جاتی ہے کہ وہ مخالف کو دبانے کے لیے اپنی بیلٹ کا استعمال کرے۔ کیا یہ صحیح کال ہے؟</v>
      </c>
      <c r="K143" s="5" t="str">
        <f>IFERROR(__xludf.DUMMYFUNCTION("GOOGLETRANSLATE(C143, ""en"", ""ur"")"),"A) نہیں، بیلٹ کا کوئی بھی استعمال قانونی ہے، B) ہاں، بیلٹ کو صرف پکڑنے کے لیے استعمال کیا جا سکتا ہے، گلا دبانے یا گلا گھونٹنے کے لیے نہیں، C) صرف اس صورت میں جب مخالف تھپتھپا دے، D) یہ قانونی ہے لیکن اس پر ہچکچاہٹ")</f>
        <v>A) نہیں، بیلٹ کا کوئی بھی استعمال قانونی ہے، B) ہاں، بیلٹ کو صرف پکڑنے کے لیے استعمال کیا جا سکتا ہے، گلا دبانے یا گلا گھونٹنے کے لیے نہیں، C) صرف اس صورت میں جب مخالف تھپتھپا دے، D) یہ قانونی ہے لیکن اس پر ہچکچاہٹ</v>
      </c>
      <c r="L143" s="5" t="str">
        <f>IFERROR(__xludf.DUMMYFUNCTION("GOOGLETRANSLATE(D143, ""en"", ""ur"")"),"ب) ہاں، بیلٹ کو صرف پکڑنے کے لیے استعمال کیا جا سکتا ہے، گلا دبانے یا گلا گھونٹنے کے لیے نہیں۔")</f>
        <v>ب) ہاں، بیلٹ کو صرف پکڑنے کے لیے استعمال کیا جا سکتا ہے، گلا دبانے یا گلا گھونٹنے کے لیے نہیں۔</v>
      </c>
      <c r="M143" s="5" t="str">
        <f>IFERROR(__xludf.DUMMYFUNCTION("GOOGLETRANSLATE(E143, ""en"", ""ur"")"),"مخالف کا گلا گھونٹنے کے لیے سیندھرو کا استعمال ایک خطرناک اور غیر قانونی فاؤل ہے۔")</f>
        <v>مخالف کا گلا گھونٹنے کے لیے سیندھرو کا استعمال ایک خطرناک اور غیر قانونی فاؤل ہے۔</v>
      </c>
    </row>
    <row r="144">
      <c r="A144" s="3">
        <v>143.0</v>
      </c>
      <c r="B144" s="4" t="s">
        <v>573</v>
      </c>
      <c r="C144" s="4" t="s">
        <v>574</v>
      </c>
      <c r="D144" s="4" t="s">
        <v>575</v>
      </c>
      <c r="E144" s="4" t="s">
        <v>576</v>
      </c>
      <c r="I144" s="5" t="str">
        <f>IFERROR(__xludf.DUMMYFUNCTION("GOOGLETRANSLATE(A144, ""en"", ""ur"")"),"143")</f>
        <v>143</v>
      </c>
      <c r="J144" s="5" t="str">
        <f>IFERROR(__xludf.DUMMYFUNCTION("GOOGLETRANSLATE(B144, ""en"", ""ur"")"),"اکھاڑے کی گول شکل کی بنیادی وجہ کیا ہے؟")</f>
        <v>اکھاڑے کی گول شکل کی بنیادی وجہ کیا ہے؟</v>
      </c>
      <c r="K144" s="5" t="str">
        <f>IFERROR(__xludf.DUMMYFUNCTION("GOOGLETRANSLATE(C144, ""en"", ""ur"")"),"A) کھودنا آسان ہے، B) یہ پہلوان کو کونے میں پھنسنے سے روکتا ہے، C) یہ ایک مذہبی علامت ہے، D) یہ زیادہ تماشائیوں کی اجازت دیتا ہے۔")</f>
        <v>A) کھودنا آسان ہے، B) یہ پہلوان کو کونے میں پھنسنے سے روکتا ہے، C) یہ ایک مذہبی علامت ہے، D) یہ زیادہ تماشائیوں کی اجازت دیتا ہے۔</v>
      </c>
      <c r="L144" s="5" t="str">
        <f>IFERROR(__xludf.DUMMYFUNCTION("GOOGLETRANSLATE(D144, ""en"", ""ur"")"),"ب) یہ ایک پہلوان کو کونے میں پھنسنے سے روکتا ہے۔")</f>
        <v>ب) یہ ایک پہلوان کو کونے میں پھنسنے سے روکتا ہے۔</v>
      </c>
      <c r="M144" s="5" t="str">
        <f>IFERROR(__xludf.DUMMYFUNCTION("GOOGLETRANSLATE(E144, ""en"", ""ur"")"),"ایک سرکلر میدان میں کوئی گوشہ نہیں ہوتا ہے، جو مسلسل حرکت اور کشتی کے زیادہ سیال انداز کی حوصلہ افزائی کرتا ہے۔")</f>
        <v>ایک سرکلر میدان میں کوئی گوشہ نہیں ہوتا ہے، جو مسلسل حرکت اور کشتی کے زیادہ سیال انداز کی حوصلہ افزائی کرتا ہے۔</v>
      </c>
    </row>
    <row r="145">
      <c r="A145" s="3">
        <v>144.0</v>
      </c>
      <c r="B145" s="4" t="s">
        <v>577</v>
      </c>
      <c r="C145" s="4" t="s">
        <v>578</v>
      </c>
      <c r="D145" s="4" t="s">
        <v>579</v>
      </c>
      <c r="E145" s="4" t="s">
        <v>580</v>
      </c>
      <c r="I145" s="5" t="str">
        <f>IFERROR(__xludf.DUMMYFUNCTION("GOOGLETRANSLATE(A145, ""en"", ""ur"")"),"144")</f>
        <v>144</v>
      </c>
      <c r="J145" s="5" t="str">
        <f>IFERROR(__xludf.DUMMYFUNCTION("GOOGLETRANSLATE(B145, ""en"", ""ur"")"),"ایک پہلوان اپنے ""صبر"" کے لیے جانا جاتا ہے۔ ملاخرہ میں یہ کیسی فضیلت ہے؟")</f>
        <v>ایک پہلوان اپنے "صبر" کے لیے جانا جاتا ہے۔ ملاخرہ میں یہ کیسی فضیلت ہے؟</v>
      </c>
      <c r="K145" s="5" t="str">
        <f>IFERROR(__xludf.DUMMYFUNCTION("GOOGLETRANSLATE(C145, ""en"", ""ur"")"),"A) وہ کافی دیر تک انتظار کر سکتے ہیں، B) وہ تھرو کرنے سے پہلے حریف کی غلطی کا انتظار کرتے ہیں، C) وہ سست ہیں، D) وہ ریفری کا احترام کرتے ہیں")</f>
        <v>A) وہ کافی دیر تک انتظار کر سکتے ہیں، B) وہ تھرو کرنے سے پہلے حریف کی غلطی کا انتظار کرتے ہیں، C) وہ سست ہیں، D) وہ ریفری کا احترام کرتے ہیں</v>
      </c>
      <c r="L145" s="5" t="str">
        <f>IFERROR(__xludf.DUMMYFUNCTION("GOOGLETRANSLATE(D145, ""en"", ""ur"")"),"ب) وہ تھرو کرنے سے پہلے مخالف کے غلطی کرنے کا انتظار کرتے ہیں۔")</f>
        <v>ب) وہ تھرو کرنے سے پہلے مخالف کے غلطی کرنے کا انتظار کرتے ہیں۔</v>
      </c>
      <c r="M145" s="5" t="str">
        <f>IFERROR(__xludf.DUMMYFUNCTION("GOOGLETRANSLATE(E145, ""en"", ""ur"")"),"ایک مریض پہلوان جلدی نہیں کرتا۔ وہ گرفت کو کنٹرول کرتے ہیں اور اپنی تکنیک کو مؤثر طریقے سے انجام دینے کے لیے آف بیلنس کے بہترین لمحے کا انتظار کرتے ہیں۔")</f>
        <v>ایک مریض پہلوان جلدی نہیں کرتا۔ وہ گرفت کو کنٹرول کرتے ہیں اور اپنی تکنیک کو مؤثر طریقے سے انجام دینے کے لیے آف بیلنس کے بہترین لمحے کا انتظار کرتے ہیں۔</v>
      </c>
    </row>
    <row r="146">
      <c r="A146" s="3">
        <v>145.0</v>
      </c>
      <c r="B146" s="4" t="s">
        <v>581</v>
      </c>
      <c r="C146" s="4" t="s">
        <v>582</v>
      </c>
      <c r="D146" s="4" t="s">
        <v>583</v>
      </c>
      <c r="E146" s="4" t="s">
        <v>584</v>
      </c>
      <c r="I146" s="5" t="str">
        <f>IFERROR(__xludf.DUMMYFUNCTION("GOOGLETRANSLATE(A146, ""en"", ""ur"")"),"145")</f>
        <v>145</v>
      </c>
      <c r="J146" s="5" t="str">
        <f>IFERROR(__xludf.DUMMYFUNCTION("GOOGLETRANSLATE(B146, ""en"", ""ur"")"),"میچ جیتنے والے کو اکثر ہجوم کی طرف سے کس اشارے سے خوش آمدید کہا جاتا ہے؟")</f>
        <v>میچ جیتنے والے کو اکثر ہجوم کی طرف سے کس اشارے سے خوش آمدید کہا جاتا ہے؟</v>
      </c>
      <c r="K146" s="5" t="str">
        <f>IFERROR(__xludf.DUMMYFUNCTION("GOOGLETRANSLATE(C146, ""en"", ""ur"")"),"A) ایک قابل احترام خاموشی، B) پیسوں یا ہاروں سے نچھاور کیا جا رہا ہے، C) ایک رسمی کمان، D) آٹوگراف کی درخواست")</f>
        <v>A) ایک قابل احترام خاموشی، B) پیسوں یا ہاروں سے نچھاور کیا جا رہا ہے، C) ایک رسمی کمان، D) آٹوگراف کی درخواست</v>
      </c>
      <c r="L146" s="5" t="str">
        <f>IFERROR(__xludf.DUMMYFUNCTION("GOOGLETRANSLATE(D146, ""en"", ""ur"")"),"ب) پیسے یا ہاروں سے نچھاور کرنا")</f>
        <v>ب) پیسے یا ہاروں سے نچھاور کرنا</v>
      </c>
      <c r="M146" s="5" t="str">
        <f>IFERROR(__xludf.DUMMYFUNCTION("GOOGLETRANSLATE(E146, ""en"", ""ur"")"),"روایتی تقریبات میں، تعریف کرنے والے شائقین کے لیے انگوٹھی میں پیسے یا پھولوں کے ہار ڈال کر اپنا احترام ظاہر کرنا عام ہے۔")</f>
        <v>روایتی تقریبات میں، تعریف کرنے والے شائقین کے لیے انگوٹھی میں پیسے یا پھولوں کے ہار ڈال کر اپنا احترام ظاہر کرنا عام ہے۔</v>
      </c>
    </row>
    <row r="147">
      <c r="A147" s="3">
        <v>146.0</v>
      </c>
      <c r="B147" s="4" t="s">
        <v>585</v>
      </c>
      <c r="C147" s="4" t="s">
        <v>586</v>
      </c>
      <c r="D147" s="4" t="s">
        <v>587</v>
      </c>
      <c r="E147" s="4" t="s">
        <v>588</v>
      </c>
      <c r="I147" s="5" t="str">
        <f>IFERROR(__xludf.DUMMYFUNCTION("GOOGLETRANSLATE(A147, ""en"", ""ur"")"),"146")</f>
        <v>146</v>
      </c>
      <c r="J147" s="5" t="str">
        <f>IFERROR(__xludf.DUMMYFUNCTION("GOOGLETRANSLATE(B147, ""en"", ""ur"")"),"دفاع کے لیے مضبوط گردن اور پل کیوں ضروری ہے؟")</f>
        <v>دفاع کے لیے مضبوط گردن اور پل کیوں ضروری ہے؟</v>
      </c>
      <c r="K147" s="5" t="str">
        <f>IFERROR(__xludf.DUMMYFUNCTION("GOOGLETRANSLATE(C147, ""en"", ""ur"")"),"A) یہ خوفناک لگتا ہے، B) یہ کسی کے کندھوں کو زمین پر جمنے سے روکنے کا بنیادی طریقہ ہے، C) یہ سانس لینے میں مدد کرتا ہے، D) یہ ایک جارحانہ اقدام ہے۔")</f>
        <v>A) یہ خوفناک لگتا ہے، B) یہ کسی کے کندھوں کو زمین پر جمنے سے روکنے کا بنیادی طریقہ ہے، C) یہ سانس لینے میں مدد کرتا ہے، D) یہ ایک جارحانہ اقدام ہے۔</v>
      </c>
      <c r="L147" s="5" t="str">
        <f>IFERROR(__xludf.DUMMYFUNCTION("GOOGLETRANSLATE(D147, ""en"", ""ur"")"),"ب) کسی کے کندھوں کو زمین پر جمنے سے روکنے کا یہ بنیادی طریقہ ہے۔")</f>
        <v>ب) کسی کے کندھوں کو زمین پر جمنے سے روکنے کا یہ بنیادی طریقہ ہے۔</v>
      </c>
      <c r="M147" s="5" t="str">
        <f>IFERROR(__xludf.DUMMYFUNCTION("GOOGLETRANSLATE(E147, ""en"", ""ur"")"),"ایک مضبوط گردن ایک پہلوان کو اپنے سر پر پلنے کی اجازت دیتی ہے تاکہ وہ اپنی پیٹھ کو چٹائی سے دور رکھے، جو پن کے خلاف دفاع کی آخری لائن ہے۔")</f>
        <v>ایک مضبوط گردن ایک پہلوان کو اپنے سر پر پلنے کی اجازت دیتی ہے تاکہ وہ اپنی پیٹھ کو چٹائی سے دور رکھے، جو پن کے خلاف دفاع کی آخری لائن ہے۔</v>
      </c>
    </row>
    <row r="148">
      <c r="A148" s="3">
        <v>147.0</v>
      </c>
      <c r="B148" s="4" t="s">
        <v>589</v>
      </c>
      <c r="C148" s="4" t="s">
        <v>590</v>
      </c>
      <c r="D148" s="4" t="s">
        <v>591</v>
      </c>
      <c r="E148" s="4" t="s">
        <v>592</v>
      </c>
      <c r="I148" s="5" t="str">
        <f>IFERROR(__xludf.DUMMYFUNCTION("GOOGLETRANSLATE(A148, ""en"", ""ur"")"),"147")</f>
        <v>147</v>
      </c>
      <c r="J148" s="5" t="str">
        <f>IFERROR(__xludf.DUMMYFUNCTION("GOOGLETRANSLATE(B148, ""en"", ""ur"")"),"ایک پہلوان شکایت کرتا ہے کہ ان کے مخالف کی بیلٹ بہت پتلی ہے جس کی وجہ سے اسے پکڑنا مشکل ہو جاتا ہے۔ ریفری کیا کر سکتا ہے؟")</f>
        <v>ایک پہلوان شکایت کرتا ہے کہ ان کے مخالف کی بیلٹ بہت پتلی ہے جس کی وجہ سے اسے پکڑنا مشکل ہو جاتا ہے۔ ریفری کیا کر سکتا ہے؟</v>
      </c>
      <c r="K148" s="5" t="str">
        <f>IFERROR(__xludf.DUMMYFUNCTION("GOOGLETRANSLATE(C148, ""en"", ""ur"")"),"A)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f>
        <v>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v>
      </c>
      <c r="L148" s="5" t="str">
        <f>IFERROR(__xludf.DUMMYFUNCTION("GOOGLETRANSLATE(D148, ""en"", ""ur"")"),"ب) بیلٹ کا معائنہ کریں اور اگر یہ معیار پر پورا نہیں اترتا ہے تو اسے تبدیل کریں۔")</f>
        <v>ب) بیلٹ کا معائنہ کریں اور اگر یہ معیار پر پورا نہیں اترتا ہے تو اسے تبدیل کریں۔</v>
      </c>
      <c r="M148" s="5" t="str">
        <f>IFERROR(__xludf.DUMMYFUNCTION("GOOGLETRANSLATE(E148, ""en"", ""ur"")"),"شفافیت کو یقینی بنانے کے لیے، سینڈرو کو مواد اور موٹائی کے لیے کچھ مخصوص تصریحات کو پورا کرنا چاہیے۔ ایک غیر قانونی بیلٹ کو تبدیل کیا جانا چاہئے.")</f>
        <v>شفافیت کو یقینی بنانے کے لیے، سینڈرو کو مواد اور موٹائی کے لیے کچھ مخصوص تصریحات کو پورا کرنا چاہیے۔ ایک غیر قانونی بیلٹ کو تبدیل کیا جانا چاہئے.</v>
      </c>
    </row>
    <row r="149">
      <c r="A149" s="3">
        <v>148.0</v>
      </c>
      <c r="B149" s="4" t="s">
        <v>593</v>
      </c>
      <c r="C149" s="4" t="s">
        <v>594</v>
      </c>
      <c r="D149" s="4" t="s">
        <v>595</v>
      </c>
      <c r="E149" s="4" t="s">
        <v>596</v>
      </c>
      <c r="I149" s="5" t="str">
        <f>IFERROR(__xludf.DUMMYFUNCTION("GOOGLETRANSLATE(A149, ""en"", ""ur"")"),"148")</f>
        <v>148</v>
      </c>
      <c r="J149" s="5" t="str">
        <f>IFERROR(__xludf.DUMMYFUNCTION("GOOGLETRANSLATE(B149, ""en"", ""ur"")"),"جیتنے والے پہلوان کے ماتھے پر اکھاڑہ سے ریت رگڑنے کی روایت کیا ظاہر کرتی ہے؟")</f>
        <v>جیتنے والے پہلوان کے ماتھے پر اکھاڑہ سے ریت رگڑنے کی روایت کیا ظاہر کرتی ہے؟</v>
      </c>
      <c r="K149" s="5" t="str">
        <f>IFERROR(__xludf.DUMMYFUNCTION("GOOGLETRANSLATE(C149, ""en"", ""ur"")"),"A) وہ پسینہ صاف کر رہے ہیں، B) یہ ریسلنگ گراؤنڈ کی فتح اور عزت کی علامت ہے، C) یہ مستقبل کے مخالفین کو ڈرانے کا ایک طریقہ ہے، D) یہ ان کے کوچ کے لیے ایک اشارہ ہے۔")</f>
        <v>A) وہ پسینہ صاف کر رہے ہیں، B) یہ ریسلنگ گراؤنڈ کی فتح اور عزت کی علامت ہے، C) یہ مستقبل کے مخالفین کو ڈرانے کا ایک طریقہ ہے، D) یہ ان کے کوچ کے لیے ایک اشارہ ہے۔</v>
      </c>
      <c r="L149" s="5" t="str">
        <f>IFERROR(__xludf.DUMMYFUNCTION("GOOGLETRANSLATE(D149, ""en"", ""ur"")"),"ب) یہ کشتی کے میدان کی فتح اور عزت کی علامت ہے۔")</f>
        <v>ب) یہ کشتی کے میدان کی فتح اور عزت کی علامت ہے۔</v>
      </c>
      <c r="M149" s="5" t="str">
        <f>IFERROR(__xludf.DUMMYFUNCTION("GOOGLETRANSLATE(E149, ""en"", ""ur"")"),"یہ عاجزی اور شکرگزاری کا روایتی اشارہ ہے، اس مقدس جگہ کا احترام کرتے ہوئے جہاں ان کی فتح ہوئی تھی۔")</f>
        <v>یہ عاجزی اور شکرگزاری کا روایتی اشارہ ہے، اس مقدس جگہ کا احترام کرتے ہوئے جہاں ان کی فتح ہوئی تھی۔</v>
      </c>
    </row>
    <row r="150">
      <c r="A150" s="3">
        <v>149.0</v>
      </c>
      <c r="B150" s="4" t="s">
        <v>597</v>
      </c>
      <c r="C150" s="4" t="s">
        <v>598</v>
      </c>
      <c r="D150" s="4" t="s">
        <v>599</v>
      </c>
      <c r="E150" s="4" t="s">
        <v>600</v>
      </c>
      <c r="I150" s="5" t="str">
        <f>IFERROR(__xludf.DUMMYFUNCTION("GOOGLETRANSLATE(A150, ""en"", ""ur"")"),"149")</f>
        <v>149</v>
      </c>
      <c r="J150" s="5" t="str">
        <f>IFERROR(__xludf.DUMMYFUNCTION("GOOGLETRANSLATE(B150, ""en"", ""ur"")"),"ملاکھرا پہلوانوں کا اکثر نچلا، بیٹھا ہوا موقف رکھنے کی بنیادی وجہ کیا ہے؟")</f>
        <v>ملاکھرا پہلوانوں کا اکثر نچلا، بیٹھا ہوا موقف رکھنے کی بنیادی وجہ کیا ہے؟</v>
      </c>
      <c r="K150" s="5" t="str">
        <f>IFERROR(__xludf.DUMMYFUNCTION("GOOGLETRANSLATE(C150, ""en"", ""ur"")"),"A) یہ زیادہ آرام دہ ہے، B) بہتر توازن اور طاقت کے لیے اپنے مرکز کی کشش ثقل کو کم کرنا، C) خود کو چھوٹا ہدف بنانا، D) صرف اس موقف کی اجازت ہے")</f>
        <v>A) یہ زیادہ آرام دہ ہے، B) بہتر توازن اور طاقت کے لیے اپنے مرکز کی کشش ثقل کو کم کرنا، C) خود کو چھوٹا ہدف بنانا، D) صرف اس موقف کی اجازت ہے</v>
      </c>
      <c r="L150" s="5" t="str">
        <f>IFERROR(__xludf.DUMMYFUNCTION("GOOGLETRANSLATE(D150, ""en"", ""ur"")"),"ب) بہتر توازن اور طاقت کے لیے اپنے مرکز ثقل کو کم کرنا")</f>
        <v>ب) بہتر توازن اور طاقت کے لیے اپنے مرکز ثقل کو کم کرنا</v>
      </c>
      <c r="M150" s="5" t="str">
        <f>IFERROR(__xludf.DUMMYFUNCTION("GOOGLETRANSLATE(E150, ""en"", ""ur"")"),"کم بنیاد جوڑنے کے لیے بنیادی ہے، کیونکہ یہ ایک پہلوان کو اٹھانا، جھاڑو دینا یا پھینکنا زیادہ مشکل بنا دیتا ہے۔")</f>
        <v>کم بنیاد جوڑنے کے لیے بنیادی ہے، کیونکہ یہ ایک پہلوان کو اٹھانا، جھاڑو دینا یا پھینکنا زیادہ مشکل بنا دیتا ہے۔</v>
      </c>
    </row>
    <row r="151">
      <c r="A151" s="3">
        <v>150.0</v>
      </c>
      <c r="B151" s="4" t="s">
        <v>601</v>
      </c>
      <c r="C151" s="4" t="s">
        <v>602</v>
      </c>
      <c r="D151" s="4" t="s">
        <v>603</v>
      </c>
      <c r="E151" s="4" t="s">
        <v>604</v>
      </c>
      <c r="I151" s="5" t="str">
        <f>IFERROR(__xludf.DUMMYFUNCTION("GOOGLETRANSLATE(A151, ""en"", ""ur"")"),"150")</f>
        <v>150</v>
      </c>
      <c r="J151" s="5" t="str">
        <f>IFERROR(__xludf.DUMMYFUNCTION("GOOGLETRANSLATE(B151, ""en"", ""ur"")"),"اپنے جوہر میں، سندھی ثقافت میں ملاکھڑا میچ کس چیز کی نمائندگی کرتا ہے؟")</f>
        <v>اپنے جوہر میں، سندھی ثقافت میں ملاکھڑا میچ کس چیز کی نمائندگی کرتا ہے؟</v>
      </c>
      <c r="K151" s="5" t="str">
        <f>IFERROR(__xludf.DUMMYFUNCTION("GOOGLETRANSLATE(C151, ""en"", ""ur"")"),"A) ایک سادہ کھیل، B) وحشیانہ طاقت کا مظاہرہ، C) طاقت، مہارت اور عزت کا نظم و ضبط سے مقابلہ، D) رنجشوں کو دور کرنے کا طریقہ")</f>
        <v>A) ایک سادہ کھیل، B) وحشیانہ طاقت کا مظاہرہ، C) طاقت، مہارت اور عزت کا نظم و ضبط سے مقابلہ، D) رنجشوں کو دور کرنے کا طریقہ</v>
      </c>
      <c r="L151" s="5" t="str">
        <f>IFERROR(__xludf.DUMMYFUNCTION("GOOGLETRANSLATE(D151, ""en"", ""ur"")"),"ج) طاقت، ہنر، اور عزت کا نظم و ضبط والا مقابلہ")</f>
        <v>ج) طاقت، ہنر، اور عزت کا نظم و ضبط والا مقابلہ</v>
      </c>
      <c r="M151" s="5" t="str">
        <f>IFERROR(__xludf.DUMMYFUNCTION("GOOGLETRANSLATE(E151, ""en"", ""ur"")"),"ملاخرہ لڑائی سے بڑھ کر ہے۔ یہ ایک قابل احترام ثقافتی ادارہ ہے جو پہلوان کی خوبیوں کو مناتا ہے۔")</f>
        <v>ملاخرہ لڑائی سے بڑھ کر ہے۔ یہ ایک قابل احترام ثقافتی ادارہ ہے جو پہلوان کی خوبیوں کو مناتا ہے۔</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1" t="s">
        <v>605</v>
      </c>
      <c r="B1" s="1" t="s">
        <v>1</v>
      </c>
      <c r="C1" s="1" t="s">
        <v>2</v>
      </c>
      <c r="D1" s="1" t="s">
        <v>3</v>
      </c>
      <c r="E1" s="1" t="s">
        <v>4</v>
      </c>
      <c r="J1" s="2" t="s">
        <v>606</v>
      </c>
      <c r="K1" s="2" t="s">
        <v>6</v>
      </c>
      <c r="L1" s="2" t="s">
        <v>7</v>
      </c>
      <c r="M1" s="2" t="s">
        <v>8</v>
      </c>
      <c r="N1" s="2" t="s">
        <v>9</v>
      </c>
    </row>
    <row r="2">
      <c r="A2" s="3">
        <v>1.0</v>
      </c>
      <c r="B2" s="4" t="s">
        <v>607</v>
      </c>
      <c r="C2" s="4" t="s">
        <v>608</v>
      </c>
      <c r="D2" s="4" t="s">
        <v>609</v>
      </c>
      <c r="E2" s="4" t="s">
        <v>610</v>
      </c>
      <c r="J2" s="5" t="str">
        <f>IFERROR(__xludf.DUMMYFUNCTION("GOOGLETRANSLATE(A2, ""en"", ""ur"")"),"1")</f>
        <v>1</v>
      </c>
      <c r="K2" s="5" t="str">
        <f>IFERROR(__xludf.DUMMYFUNCTION("GOOGLETRANSLATE(B2, ""en"", ""ur"")"),"چتورنگا کے قدیم ہندوستانی کھیل کو کس جدید بورڈ گیم کا قدیم ترین آباؤ اجداد کے طور پر بڑے پیمانے پر جانا جاتا ہے؟")</f>
        <v>چتورنگا کے قدیم ہندوستانی کھیل کو کس جدید بورڈ گیم کا قدیم ترین آباؤ اجداد کے طور پر بڑے پیمانے پر جانا جاتا ہے؟</v>
      </c>
      <c r="L2" s="5" t="str">
        <f>IFERROR(__xludf.DUMMYFUNCTION("GOOGLETRANSLATE(C2, ""en"", ""ur"")"),"A) جاؤ، B) بیکگیمون، C) شطرنج، D) چیکرس")</f>
        <v>A) جاؤ، B) بیکگیمون، C) شطرنج، D) چیکرس</v>
      </c>
      <c r="M2" s="5" t="str">
        <f>IFERROR(__xludf.DUMMYFUNCTION("GOOGLETRANSLATE(D2, ""en"", ""ur"")"),"ج) شطرنج")</f>
        <v>ج) شطرنج</v>
      </c>
      <c r="N2" s="5" t="str">
        <f>IFERROR(__xludf.DUMMYFUNCTION("GOOGLETRANSLATE(E2, ""en"", ""ur"")"),"چتورنگا، ہندوستان کی گپتا سلطنت میں شروع ہوا، جدید شطرنج، شترنج، شوگی اور دیگر متعلقہ کھیلوں کا قدیم ترین معروف پیش خیمہ ہے۔")</f>
        <v>چتورنگا، ہندوستان کی گپتا سلطنت میں شروع ہوا، جدید شطرنج، شترنج، شوگی اور دیگر متعلقہ کھیلوں کا قدیم ترین معروف پیش خیمہ ہے۔</v>
      </c>
    </row>
    <row r="3">
      <c r="A3" s="3">
        <v>2.0</v>
      </c>
      <c r="B3" s="4" t="s">
        <v>611</v>
      </c>
      <c r="C3" s="4" t="s">
        <v>612</v>
      </c>
      <c r="D3" s="4" t="s">
        <v>613</v>
      </c>
      <c r="E3" s="4" t="s">
        <v>614</v>
      </c>
      <c r="J3" s="5" t="str">
        <f>IFERROR(__xludf.DUMMYFUNCTION("GOOGLETRANSLATE(A3, ""en"", ""ur"")"),"2")</f>
        <v>2</v>
      </c>
      <c r="K3" s="5" t="str">
        <f>IFERROR(__xludf.DUMMYFUNCTION("GOOGLETRANSLATE(B3, ""en"", ""ur"")"),"تاریخی شواہد بتاتے ہیں کہ چتورنگا کی ابتدا تقریباً کس صدی میں ہوئی؟")</f>
        <v>تاریخی شواہد بتاتے ہیں کہ چتورنگا کی ابتدا تقریباً کس صدی میں ہوئی؟</v>
      </c>
      <c r="L3" s="5" t="str">
        <f>IFERROR(__xludf.DUMMYFUNCTION("GOOGLETRANSLATE(C3, ""en"", ""ur"")"),"A) دوسری صدی قبل مسیح، B) پہلی صدی عیسوی، C) چھٹی صدی عیسوی، D) نویں صدی عیسوی")</f>
        <v>A) دوسری صدی قبل مسیح، B) پہلی صدی عیسوی، C) چھٹی صدی عیسوی، D) نویں صدی عیسوی</v>
      </c>
      <c r="M3" s="5" t="str">
        <f>IFERROR(__xludf.DUMMYFUNCTION("GOOGLETRANSLATE(D3, ""en"", ""ur"")"),"ج) چھٹی صدی عیسوی")</f>
        <v>ج) چھٹی صدی عیسوی</v>
      </c>
      <c r="N3" s="5" t="str">
        <f>IFERROR(__xludf.DUMMYFUNCTION("GOOGLETRANSLATE(E3, ""en"", ""ur"")"),"خیال کیا جاتا ہے کہ یہ کھیل چھٹی صدی کے آس پاس ہندوستان میں گپتا سلطنت کے عروج کے دوران ایجاد ہوا تھا۔")</f>
        <v>خیال کیا جاتا ہے کہ یہ کھیل چھٹی صدی کے آس پاس ہندوستان میں گپتا سلطنت کے عروج کے دوران ایجاد ہوا تھا۔</v>
      </c>
    </row>
    <row r="4">
      <c r="A4" s="3">
        <v>3.0</v>
      </c>
      <c r="B4" s="4" t="s">
        <v>615</v>
      </c>
      <c r="C4" s="4" t="s">
        <v>616</v>
      </c>
      <c r="D4" s="4" t="s">
        <v>617</v>
      </c>
      <c r="E4" s="4" t="s">
        <v>618</v>
      </c>
      <c r="J4" s="5" t="str">
        <f>IFERROR(__xludf.DUMMYFUNCTION("GOOGLETRANSLATE(A4, ""en"", ""ur"")"),"3")</f>
        <v>3</v>
      </c>
      <c r="K4" s="5" t="str">
        <f>IFERROR(__xludf.DUMMYFUNCTION("GOOGLETRANSLATE(B4, ""en"", ""ur"")"),"سنسکرت نام 'چتورنگا' کا ترجمہ ""چار اعضاء"" ہے۔ یہ نام اصل میں کس چیز کی نمائندگی کرتا تھا؟")</f>
        <v>سنسکرت نام 'چتورنگا' کا ترجمہ "چار اعضاء" ہے۔ یہ نام اصل میں کس چیز کی نمائندگی کرتا تھا؟</v>
      </c>
      <c r="L4" s="5" t="str">
        <f>IFERROR(__xludf.DUMMYFUNCTION("GOOGLETRANSLATE(C4, ""en"", ""ur"")"),"A) چار موسم، B) چار بنیادی سمتیں، C) قدیم ہندوستانی فوج کے چار ڈویژن، D) کھیل کے مختلف قسم کے چار کھلاڑی")</f>
        <v>A) چار موسم، B) چار بنیادی سمتیں، C) قدیم ہندوستانی فوج کے چار ڈویژن، D) کھیل کے مختلف قسم کے چار کھلاڑی</v>
      </c>
      <c r="M4" s="5" t="str">
        <f>IFERROR(__xludf.DUMMYFUNCTION("GOOGLETRANSLATE(D4, ""en"", ""ur"")"),"ج) قدیم ہندوستانی فوج کے چار ڈویژن")</f>
        <v>ج) قدیم ہندوستانی فوج کے چار ڈویژن</v>
      </c>
      <c r="N4" s="5" t="str">
        <f>IFERROR(__xludf.DUMMYFUNCTION("GOOGLETRANSLATE(E4, ""en"", ""ur"")"),"یہ نام چار گنا فوج (چتورنگا سینا) کی عکاسی کرتا ہے: پیادہ، گھڑسوار، ہاتھی، اور رتھ، جن کی نمائندگی کھیل کے ٹکڑوں سے ہوتی ہے۔")</f>
        <v>یہ نام چار گنا فوج (چتورنگا سینا) کی عکاسی کرتا ہے: پیادہ، گھڑسوار، ہاتھی، اور رتھ، جن کی نمائندگی کھیل کے ٹکڑوں سے ہوتی ہے۔</v>
      </c>
    </row>
    <row r="5">
      <c r="A5" s="3">
        <v>4.0</v>
      </c>
      <c r="B5" s="4" t="s">
        <v>619</v>
      </c>
      <c r="C5" s="4" t="s">
        <v>620</v>
      </c>
      <c r="D5" s="4" t="s">
        <v>621</v>
      </c>
      <c r="E5" s="4" t="s">
        <v>622</v>
      </c>
      <c r="J5" s="5" t="str">
        <f>IFERROR(__xludf.DUMMYFUNCTION("GOOGLETRANSLATE(A5, ""en"", ""ur"")"),"4")</f>
        <v>4</v>
      </c>
      <c r="K5" s="5" t="str">
        <f>IFERROR(__xludf.DUMMYFUNCTION("GOOGLETRANSLATE(B5, ""en"", ""ur"")"),"ریاستی دستکاری، معیشت، اور فوجی حکمت عملی سے متعلق کون سا قدیم ہندوستانی مقالہ چتورنگا کو متاثر کرنے والی فوجی تشکیل کے حوالے پر مشتمل ہے؟")</f>
        <v>ریاستی دستکاری، معیشت، اور فوجی حکمت عملی سے متعلق کون سا قدیم ہندوستانی مقالہ چتورنگا کو متاثر کرنے والی فوجی تشکیل کے حوالے پر مشتمل ہے؟</v>
      </c>
      <c r="L5" s="5" t="str">
        <f>IFERROR(__xludf.DUMMYFUNCTION("GOOGLETRANSLATE(C5, ""en"", ""ur"")"),"A) وید، B) مانوسمرتی، C) رامائن، D) ارتھ شاستر")</f>
        <v>A) وید، B) مانوسمرتی، C) رامائن، D) ارتھ شاستر</v>
      </c>
      <c r="M5" s="5" t="str">
        <f>IFERROR(__xludf.DUMMYFUNCTION("GOOGLETRANSLATE(D5, ""en"", ""ur"")"),"ڈی) ارتھ شاستر")</f>
        <v>ڈی) ارتھ شاستر</v>
      </c>
      <c r="N5" s="5" t="str">
        <f>IFERROR(__xludf.DUMMYFUNCTION("GOOGLETRANSLATE(E5, ""en"", ""ur"")"),"کھیل سے صدیوں پہلے لکھے گئے کوٹیلیہ کے ارتھ شاستر میں، چار اعضاء والی مثالی فوج کا خاکہ پیش کیا گیا، جس نے تصوراتی ڈھانچہ فراہم کیا۔")</f>
        <v>کھیل سے صدیوں پہلے لکھے گئے کوٹیلیہ کے ارتھ شاستر میں، چار اعضاء والی مثالی فوج کا خاکہ پیش کیا گیا، جس نے تصوراتی ڈھانچہ فراہم کیا۔</v>
      </c>
    </row>
    <row r="6">
      <c r="A6" s="3">
        <v>5.0</v>
      </c>
      <c r="B6" s="4" t="s">
        <v>623</v>
      </c>
      <c r="C6" s="4" t="s">
        <v>624</v>
      </c>
      <c r="D6" s="4" t="s">
        <v>625</v>
      </c>
      <c r="E6" s="4" t="s">
        <v>626</v>
      </c>
      <c r="J6" s="5" t="str">
        <f>IFERROR(__xludf.DUMMYFUNCTION("GOOGLETRANSLATE(A6, ""en"", ""ur"")"),"5")</f>
        <v>5</v>
      </c>
      <c r="K6" s="5" t="str">
        <f>IFERROR(__xludf.DUMMYFUNCTION("GOOGLETRANSLATE(B6, ""en"", ""ur"")"),"دو کھلاڑیوں والے چتورنگا کا کھیل جیتنے کے لیے ایک کھلاڑی کو بنیادی مقصد کیا حاصل کرنا تھا؟")</f>
        <v>دو کھلاڑیوں والے چتورنگا کا کھیل جیتنے کے لیے ایک کھلاڑی کو بنیادی مقصد کیا حاصل کرنا تھا؟</v>
      </c>
      <c r="L6" s="5" t="str">
        <f>IFERROR(__xludf.DUMMYFUNCTION("GOOGLETRANSLATE(C6, ""en"", ""ur"")"),"A) مخالف کے راجہ کو چیک میٹ کرنے کے لیے، B) مخالف کے تمام پڈاتیوں کو پکڑنے کے لیے، C) مخالف کے راجہ کو پکڑنے کے لیے، D) بورڈ کے دوسری طرف تک پہنچنا")</f>
        <v>A) مخالف کے راجہ کو چیک میٹ کرنے کے لیے، B) مخالف کے تمام پڈاتیوں کو پکڑنے کے لیے، C) مخالف کے راجہ کو پکڑنے کے لیے، D) بورڈ کے دوسری طرف تک پہنچنا</v>
      </c>
      <c r="M6" s="5" t="str">
        <f>IFERROR(__xludf.DUMMYFUNCTION("GOOGLETRANSLATE(D6, ""en"", ""ur"")"),"ج) مخالف کے راجہ کو پکڑنا")</f>
        <v>ج) مخالف کے راجہ کو پکڑنا</v>
      </c>
      <c r="N6" s="5" t="str">
        <f>IFERROR(__xludf.DUMMYFUNCTION("GOOGLETRANSLATE(E6, ""en"", ""ur"")"),"جدید شطرنج کے برعکس، یہ کھیل بادشاہ (راجہ) کی اصل گرفت سے جیتی گئی، نہ کہ کسی چیک میٹ پوزیشن پر مجبور کر کے۔")</f>
        <v>جدید شطرنج کے برعکس، یہ کھیل بادشاہ (راجہ) کی اصل گرفت سے جیتی گئی، نہ کہ کسی چیک میٹ پوزیشن پر مجبور کر کے۔</v>
      </c>
    </row>
    <row r="7">
      <c r="A7" s="3">
        <v>6.0</v>
      </c>
      <c r="B7" s="4" t="s">
        <v>627</v>
      </c>
      <c r="C7" s="4" t="s">
        <v>628</v>
      </c>
      <c r="D7" s="4" t="s">
        <v>629</v>
      </c>
      <c r="E7" s="4" t="s">
        <v>630</v>
      </c>
      <c r="J7" s="5" t="str">
        <f>IFERROR(__xludf.DUMMYFUNCTION("GOOGLETRANSLATE(A7, ""en"", ""ur"")"),"6")</f>
        <v>6</v>
      </c>
      <c r="K7" s="5" t="str">
        <f>IFERROR(__xludf.DUMMYFUNCTION("GOOGLETRANSLATE(B7, ""en"", ""ur"")"),"چتورنگا کے مغرب کی طرف پھیلنے کے لیے کون سی سلطنت بنیادی نالی تھی، جہاں اسے ایک نئے کھیل میں ڈھالا گیا؟")</f>
        <v>چتورنگا کے مغرب کی طرف پھیلنے کے لیے کون سی سلطنت بنیادی نالی تھی، جہاں اسے ایک نئے کھیل میں ڈھالا گیا؟</v>
      </c>
      <c r="L7" s="5" t="str">
        <f>IFERROR(__xludf.DUMMYFUNCTION("GOOGLETRANSLATE(C7, ""en"", ""ur"")"),"A) رومی سلطنت، B) ساسانی سلطنت فارس، C) بازنطینی سلطنت، D) موریہ سلطنت")</f>
        <v>A) رومی سلطنت، B) ساسانی سلطنت فارس، C) بازنطینی سلطنت، D) موریہ سلطنت</v>
      </c>
      <c r="M7" s="5" t="str">
        <f>IFERROR(__xludf.DUMMYFUNCTION("GOOGLETRANSLATE(D7, ""en"", ""ur"")"),"ب) ساسانی سلطنت فارس")</f>
        <v>ب) ساسانی سلطنت فارس</v>
      </c>
      <c r="N7" s="5" t="str">
        <f>IFERROR(__xludf.DUMMYFUNCTION("GOOGLETRANSLATE(E7, ""en"", ""ur"")"),"اس کھیل نے ساسانی دور میں ہندوستان سے فارس کا سفر کیا، جہاں اسے قبول کیا گیا اور اسے شترنج میں تبدیل کیا گیا۔")</f>
        <v>اس کھیل نے ساسانی دور میں ہندوستان سے فارس کا سفر کیا، جہاں اسے قبول کیا گیا اور اسے شترنج میں تبدیل کیا گیا۔</v>
      </c>
    </row>
    <row r="8">
      <c r="A8" s="3">
        <v>7.0</v>
      </c>
      <c r="B8" s="4" t="s">
        <v>631</v>
      </c>
      <c r="C8" s="4" t="s">
        <v>632</v>
      </c>
      <c r="D8" s="4" t="s">
        <v>633</v>
      </c>
      <c r="E8" s="4" t="s">
        <v>634</v>
      </c>
      <c r="J8" s="5" t="str">
        <f>IFERROR(__xludf.DUMMYFUNCTION("GOOGLETRANSLATE(A8, ""en"", ""ur"")"),"7")</f>
        <v>7</v>
      </c>
      <c r="K8" s="5" t="str">
        <f>IFERROR(__xludf.DUMMYFUNCTION("GOOGLETRANSLATE(B8, ""en"", ""ur"")"),"چتورنگا کے فارسی ورژن کو شترنج کہا جاتا تھا۔ اس ورژن میں متعارف کرائی گئی سب سے اہم قاعدہ تبدیلی کیا تھی؟")</f>
        <v>چتورنگا کے فارسی ورژن کو شترنج کہا جاتا تھا۔ اس ورژن میں متعارف کرائی گئی سب سے اہم قاعدہ تبدیلی کیا تھی؟</v>
      </c>
      <c r="L8" s="5" t="str">
        <f>IFERROR(__xludf.DUMMYFUNCTION("GOOGLETRANSLATE(C8, ""en"", ""ur"")"),"A) بورڈ کا سائز بڑھا دیا گیا، B) بادشاہ کو پکڑنے کی جگہ ""چیک"" اور ""چیک میٹ"" کا تصور لے لیا گیا، C) اشوا (نائٹ) کو ہٹا دیا گیا، D) ڈائس کو لازمی قرار دے دیا گیا۔")</f>
        <v>A) بورڈ کا سائز بڑھا دیا گیا، B) بادشاہ کو پکڑنے کی جگہ "چیک" اور "چیک میٹ" کا تصور لے لیا گیا، C) اشوا (نائٹ) کو ہٹا دیا گیا، D) ڈائس کو لازمی قرار دے دیا گیا۔</v>
      </c>
      <c r="M8" s="5" t="str">
        <f>IFERROR(__xludf.DUMMYFUNCTION("GOOGLETRANSLATE(D8, ""en"", ""ur"")"),"ب) ""چیک"" اور ""چیک میٹ"" کے تصور نے بادشاہ کو پکڑنے کی جگہ لے لی")</f>
        <v>ب) "چیک" اور "چیک میٹ" کے تصور نے بادشاہ کو پکڑنے کی جگہ لے لی</v>
      </c>
      <c r="N8" s="5" t="str">
        <f>IFERROR(__xludf.DUMMYFUNCTION("GOOGLETRANSLATE(E8, ""en"", ""ur"")"),"فارسیوں نے انتباہ متعارف کرایا ""شاہ!"" (بادشاہ!) اور جیتنے کی شرط ""شاہ مت!"" (بادشاہ بے بس ہے) جو ""چیک"" اور ""چیک میٹ"" کے براہ راست ماخذ ہیں۔")</f>
        <v>فارسیوں نے انتباہ متعارف کرایا "شاہ!" (بادشاہ!) اور جیتنے کی شرط "شاہ مت!" (بادشاہ بے بس ہے) جو "چیک" اور "چیک میٹ" کے براہ راست ماخذ ہیں۔</v>
      </c>
    </row>
    <row r="9">
      <c r="A9" s="3">
        <v>8.0</v>
      </c>
      <c r="B9" s="4" t="s">
        <v>635</v>
      </c>
      <c r="C9" s="4" t="s">
        <v>636</v>
      </c>
      <c r="D9" s="4" t="s">
        <v>637</v>
      </c>
      <c r="E9" s="4" t="s">
        <v>638</v>
      </c>
      <c r="J9" s="5" t="str">
        <f>IFERROR(__xludf.DUMMYFUNCTION("GOOGLETRANSLATE(A9, ""en"", ""ur"")"),"8")</f>
        <v>8</v>
      </c>
      <c r="K9" s="5" t="str">
        <f>IFERROR(__xludf.DUMMYFUNCTION("GOOGLETRANSLATE(B9, ""en"", ""ur"")"),"ہاتھی (یا راٹھا) کس جدید شطرنج کا پرکھا ہے؟")</f>
        <v>ہاتھی (یا راٹھا) کس جدید شطرنج کا پرکھا ہے؟</v>
      </c>
      <c r="L9" s="5" t="str">
        <f>IFERROR(__xludf.DUMMYFUNCTION("GOOGLETRANSLATE(C9, ""en"", ""ur"")"),"A) دی بشپ، بی) دی نائٹ، سی) دی روک، ڈی) ملکہ")</f>
        <v>A) دی بشپ، بی) دی نائٹ، سی) دی روک، ڈی) ملکہ</v>
      </c>
      <c r="M9" s="5" t="str">
        <f>IFERROR(__xludf.DUMMYFUNCTION("GOOGLETRANSLATE(D9, ""en"", ""ur"")"),"ج) دی روک")</f>
        <v>ج) دی روک</v>
      </c>
      <c r="N9" s="5" t="str">
        <f>IFERROR(__xludf.DUMMYFUNCTION("GOOGLETRANSLATE(E9, ""en"", ""ur"")"),"ہاتھی، جو جنگی رتھ کی نمائندگی کرتا ہے، کسی بھی تعداد میں خالی چوکوں کو افقی اور عمودی طور پر منتقل کرتا ہے، جو جدید روک کی طرح ہے۔")</f>
        <v>ہاتھی، جو جنگی رتھ کی نمائندگی کرتا ہے، کسی بھی تعداد میں خالی چوکوں کو افقی اور عمودی طور پر منتقل کرتا ہے، جو جدید روک کی طرح ہے۔</v>
      </c>
    </row>
    <row r="10">
      <c r="A10" s="3">
        <v>9.0</v>
      </c>
      <c r="B10" s="4" t="s">
        <v>639</v>
      </c>
      <c r="C10" s="4" t="s">
        <v>640</v>
      </c>
      <c r="D10" s="4" t="s">
        <v>641</v>
      </c>
      <c r="E10" s="4" t="s">
        <v>642</v>
      </c>
      <c r="J10" s="5" t="str">
        <f>IFERROR(__xludf.DUMMYFUNCTION("GOOGLETRANSLATE(A10, ""en"", ""ur"")"),"9")</f>
        <v>9</v>
      </c>
      <c r="K10" s="5" t="str">
        <f>IFERROR(__xludf.DUMMYFUNCTION("GOOGLETRANSLATE(B10, ""en"", ""ur"")"),"شطرنج کا جدید ٹکڑا، بشپ، کس چتورنگا ٹکڑے کی ارتقائی نسل ہے؟")</f>
        <v>شطرنج کا جدید ٹکڑا، بشپ، کس چتورنگا ٹکڑے کی ارتقائی نسل ہے؟</v>
      </c>
      <c r="L10" s="5" t="str">
        <f>IFERROR(__xludf.DUMMYFUNCTION("GOOGLETRANSLATE(C10, ""en"", ""ur"")"),"A) منتری (مشیر)، بی) راجہ (بادشاہ)، سی) گجا (ہاتھی)، ڈی) پدتی (پیادہ سپاہی)")</f>
        <v>A) منتری (مشیر)، بی) راجہ (بادشاہ)، سی) گجا (ہاتھی)، ڈی) پدتی (پیادہ سپاہی)</v>
      </c>
      <c r="M10" s="5" t="str">
        <f>IFERROR(__xludf.DUMMYFUNCTION("GOOGLETRANSLATE(D10, ""en"", ""ur"")"),"ج) گاجا (ہاتھی)")</f>
        <v>ج) گاجا (ہاتھی)</v>
      </c>
      <c r="N10" s="5" t="str">
        <f>IFERROR(__xludf.DUMMYFUNCTION("GOOGLETRANSLATE(E10, ""en"", ""ur"")"),"گاجا، اپنی ترچھی حرکت کے ساتھ، شترنج میں الفل اور آخر کار جدید بشپ کا پیش خیمہ تھا۔")</f>
        <v>گاجا، اپنی ترچھی حرکت کے ساتھ، شترنج میں الفل اور آخر کار جدید بشپ کا پیش خیمہ تھا۔</v>
      </c>
    </row>
    <row r="11">
      <c r="A11" s="3">
        <v>10.0</v>
      </c>
      <c r="B11" s="4" t="s">
        <v>643</v>
      </c>
      <c r="C11" s="4" t="s">
        <v>644</v>
      </c>
      <c r="D11" s="4" t="s">
        <v>645</v>
      </c>
      <c r="E11" s="4" t="s">
        <v>646</v>
      </c>
      <c r="J11" s="5" t="str">
        <f>IFERROR(__xludf.DUMMYFUNCTION("GOOGLETRANSLATE(A11, ""en"", ""ur"")"),"10")</f>
        <v>10</v>
      </c>
      <c r="K11" s="5" t="str">
        <f>IFERROR(__xludf.DUMMYFUNCTION("GOOGLETRANSLATE(B11, ""en"", ""ur"")"),"منتری (مشیر) جدید ملکہ کا پیش خیمہ تھا۔ اس کی حرکت کیا تھی؟")</f>
        <v>منتری (مشیر) جدید ملکہ کا پیش خیمہ تھا۔ اس کی حرکت کیا تھی؟</v>
      </c>
      <c r="L11" s="5" t="str">
        <f>IFERROR(__xludf.DUMMYFUNCTION("GOOGLETRANSLATE(C11, ""en"", ""ur"")"),"A) کسی بھی سمت میں مربعوں کی کوئی بھی تعداد، B) کسی بھی سمت میں دو مربع، C) ایک مربع ترچھا، D) بادشاہ کی طرح")</f>
        <v>A) کسی بھی سمت میں مربعوں کی کوئی بھی تعداد، B) کسی بھی سمت میں دو مربع، C) ایک مربع ترچھا، D) بادشاہ کی طرح</v>
      </c>
      <c r="M11" s="5" t="str">
        <f>IFERROR(__xludf.DUMMYFUNCTION("GOOGLETRANSLATE(D11, ""en"", ""ur"")"),"ج) ترچھی ایک مربع")</f>
        <v>ج) ترچھی ایک مربع</v>
      </c>
      <c r="N11" s="5" t="str">
        <f>IFERROR(__xludf.DUMMYFUNCTION("GOOGLETRANSLATE(E11, ""en"", ""ur"")"),"منتری ایک غیر معمولی کمزور ٹکڑا تھا، صرف ایک مربع کو ترچھی حرکت کرتا تھا۔ طاقتور ملکہ میں اس کی تبدیلی بہت بعد کی یورپی اختراع تھی۔")</f>
        <v>منتری ایک غیر معمولی کمزور ٹکڑا تھا، صرف ایک مربع کو ترچھی حرکت کرتا تھا۔ طاقتور ملکہ میں اس کی تبدیلی بہت بعد کی یورپی اختراع تھی۔</v>
      </c>
    </row>
    <row r="12">
      <c r="A12" s="3">
        <v>11.0</v>
      </c>
      <c r="B12" s="4" t="s">
        <v>647</v>
      </c>
      <c r="C12" s="4" t="s">
        <v>648</v>
      </c>
      <c r="D12" s="4" t="s">
        <v>649</v>
      </c>
      <c r="E12" s="4" t="s">
        <v>650</v>
      </c>
      <c r="J12" s="5" t="str">
        <f>IFERROR(__xludf.DUMMYFUNCTION("GOOGLETRANSLATE(A12, ""en"", ""ur"")"),"11")</f>
        <v>11</v>
      </c>
      <c r="K12" s="5" t="str">
        <f>IFERROR(__xludf.DUMMYFUNCTION("GOOGLETRANSLATE(B12, ""en"", ""ur"")"),"چتورنگا کے لیے استعمال کیا جانے والا بورڈ چوکوں کا 8x8 گرڈ تھا جسے کیا کہا جاتا ہے؟")</f>
        <v>چتورنگا کے لیے استعمال کیا جانے والا بورڈ چوکوں کا 8x8 گرڈ تھا جسے کیا کہا جاتا ہے؟</v>
      </c>
      <c r="L12" s="5" t="str">
        <f>IFERROR(__xludf.DUMMYFUNCTION("GOOGLETRANSLATE(C12, ""en"", ""ur"")"),"A) ایک منڈلا، B) ایک ینترا، C) رنگولی، D) ایک اشٹاپدا")</f>
        <v>A) ایک منڈلا، B) ایک ینترا، C) رنگولی، D) ایک اشٹاپدا</v>
      </c>
      <c r="M12" s="5" t="str">
        <f>IFERROR(__xludf.DUMMYFUNCTION("GOOGLETRANSLATE(D12, ""en"", ""ur"")"),"D) ایک اشٹاپدا")</f>
        <v>D) ایک اشٹاپدا</v>
      </c>
      <c r="N12" s="5" t="str">
        <f>IFERROR(__xludf.DUMMYFUNCTION("GOOGLETRANSLATE(E12, ""en"", ""ur"")"),"یہ کھیل ایک اشٹاپڑا، ایک 8x8 بورڈ پر کھیلا جاتا تھا جو اکثر غیر چیک کیا جاتا تھا اور دوسرے قدیم ہندوستانی کھیلوں کے لیے بھی استعمال ہوتا تھا۔")</f>
        <v>یہ کھیل ایک اشٹاپڑا، ایک 8x8 بورڈ پر کھیلا جاتا تھا جو اکثر غیر چیک کیا جاتا تھا اور دوسرے قدیم ہندوستانی کھیلوں کے لیے بھی استعمال ہوتا تھا۔</v>
      </c>
    </row>
    <row r="13">
      <c r="A13" s="3">
        <v>12.0</v>
      </c>
      <c r="B13" s="4" t="s">
        <v>651</v>
      </c>
      <c r="C13" s="4" t="s">
        <v>652</v>
      </c>
      <c r="D13" s="4" t="s">
        <v>653</v>
      </c>
      <c r="E13" s="4" t="s">
        <v>654</v>
      </c>
      <c r="J13" s="5" t="str">
        <f>IFERROR(__xludf.DUMMYFUNCTION("GOOGLETRANSLATE(A13, ""en"", ""ur"")"),"12")</f>
        <v>12</v>
      </c>
      <c r="K13" s="5" t="str">
        <f>IFERROR(__xludf.DUMMYFUNCTION("GOOGLETRANSLATE(B13, ""en"", ""ur"")"),"شاہنامہ میں فارس کے کس ساسانی بادشاہ کو ایک ہندوستانی ایلچی سے چتورنگا کا کھیل حاصل کرنے کا سہرا مشہور ہے؟")</f>
        <v>شاہنامہ میں فارس کے کس ساسانی بادشاہ کو ایک ہندوستانی ایلچی سے چتورنگا کا کھیل حاصل کرنے کا سہرا مشہور ہے؟</v>
      </c>
      <c r="L13" s="5" t="str">
        <f>IFERROR(__xludf.DUMMYFUNCTION("GOOGLETRANSLATE(C13, ""en"", ""ur"")"),"A) Darius I، B) سائرس عظیم، C) Khosrow I، D) Xerxes I")</f>
        <v>A) Darius I، B) سائرس عظیم، C) Khosrow I، D) Xerxes I</v>
      </c>
      <c r="M13" s="5" t="str">
        <f>IFERROR(__xludf.DUMMYFUNCTION("GOOGLETRANSLATE(D13, ""en"", ""ur"")"),"ج) خسرو اول")</f>
        <v>ج) خسرو اول</v>
      </c>
      <c r="N13" s="5" t="str">
        <f>IFERROR(__xludf.DUMMYFUNCTION("GOOGLETRANSLATE(E13, ""en"", ""ur"")"),"خسرو اول کا دور حکومت (531-579 عیسوی) وہ دور ہے جو فارسی دربار میں چتورنگا کے تعارف سے سب سے زیادہ وابستہ ہے۔")</f>
        <v>خسرو اول کا دور حکومت (531-579 عیسوی) وہ دور ہے جو فارسی دربار میں چتورنگا کے تعارف سے سب سے زیادہ وابستہ ہے۔</v>
      </c>
    </row>
    <row r="14">
      <c r="A14" s="3">
        <v>13.0</v>
      </c>
      <c r="B14" s="4" t="s">
        <v>655</v>
      </c>
      <c r="C14" s="4" t="s">
        <v>656</v>
      </c>
      <c r="D14" s="4" t="s">
        <v>657</v>
      </c>
      <c r="E14" s="4" t="s">
        <v>658</v>
      </c>
      <c r="J14" s="5" t="str">
        <f>IFERROR(__xludf.DUMMYFUNCTION("GOOGLETRANSLATE(A14, ""en"", ""ur"")"),"13")</f>
        <v>13</v>
      </c>
      <c r="K14" s="5" t="str">
        <f>IFERROR(__xludf.DUMMYFUNCTION("GOOGLETRANSLATE(B14, ""en"", ""ur"")"),"اشوا (گھوڑا) کس جدید شطرنج کا پرکھا ہے؟")</f>
        <v>اشوا (گھوڑا) کس جدید شطرنج کا پرکھا ہے؟</v>
      </c>
      <c r="L14" s="5" t="str">
        <f>IFERROR(__xludf.DUMMYFUNCTION("GOOGLETRANSLATE(C14, ""en"", ""ur"")"),"A) بشپ، B) نائٹ، C) پیادہ، D) روک")</f>
        <v>A) بشپ، B) نائٹ، C) پیادہ، D) روک</v>
      </c>
      <c r="M14" s="5" t="str">
        <f>IFERROR(__xludf.DUMMYFUNCTION("GOOGLETRANSLATE(D14, ""en"", ""ur"")"),"ب) نائٹ")</f>
        <v>ب) نائٹ</v>
      </c>
      <c r="N14" s="5" t="str">
        <f>IFERROR(__xludf.DUMMYFUNCTION("GOOGLETRANSLATE(E14, ""en"", ""ur"")"),"اشوا کے پاس جدید نائٹ کی طرح ایل کے سائز کی حرکت تھی اور، اہم طور پر، دوسرے ٹکڑوں پر چھلانگ لگا سکتا تھا۔")</f>
        <v>اشوا کے پاس جدید نائٹ کی طرح ایل کے سائز کی حرکت تھی اور، اہم طور پر، دوسرے ٹکڑوں پر چھلانگ لگا سکتا تھا۔</v>
      </c>
    </row>
    <row r="15">
      <c r="A15" s="3">
        <v>14.0</v>
      </c>
      <c r="B15" s="4" t="s">
        <v>659</v>
      </c>
      <c r="C15" s="4" t="s">
        <v>660</v>
      </c>
      <c r="D15" s="4" t="s">
        <v>661</v>
      </c>
      <c r="E15" s="4" t="s">
        <v>662</v>
      </c>
      <c r="J15" s="5" t="str">
        <f>IFERROR(__xludf.DUMMYFUNCTION("GOOGLETRANSLATE(A15, ""en"", ""ur"")"),"14")</f>
        <v>14</v>
      </c>
      <c r="K15" s="5" t="str">
        <f>IFERROR(__xludf.DUMMYFUNCTION("GOOGLETRANSLATE(B15, ""en"", ""ur"")"),"چتورنگا میں گجا (ہاتھی) کی حرکت کیا تھی؟")</f>
        <v>چتورنگا میں گجا (ہاتھی) کی حرکت کیا تھی؟</v>
      </c>
      <c r="L15" s="5" t="str">
        <f>IFERROR(__xludf.DUMMYFUNCTION("GOOGLETRANSLATE(C15, ""en"", ""ur"")"),"A) ایک مربع ترچھا، B) مربعوں کی کوئی بھی تعداد ترچھی، C) اس نے دو مربعوں کو ترچھی چھلانگ لگائی، D) یہ بادشاہ کی طرح حرکت کرتا ہے۔")</f>
        <v>A) ایک مربع ترچھا، B) مربعوں کی کوئی بھی تعداد ترچھی، C) اس نے دو مربعوں کو ترچھی چھلانگ لگائی، D) یہ بادشاہ کی طرح حرکت کرتا ہے۔</v>
      </c>
      <c r="M15" s="5" t="str">
        <f>IFERROR(__xludf.DUMMYFUNCTION("GOOGLETRANSLATE(D15, ""en"", ""ur"")"),"C) اس نے دو چوکوں کو ترچھی چھلانگ لگائی")</f>
        <v>C) اس نے دو چوکوں کو ترچھی چھلانگ لگائی</v>
      </c>
      <c r="N15" s="5" t="str">
        <f>IFERROR(__xludf.DUMMYFUNCTION("GOOGLETRANSLATE(E15, ""en"", ""ur"")"),"گاجا میں ایک طے شدہ دو مربع ترچھی چھلانگ تھی، جس کی وجہ سے وہ درمیانی حصے، دوست یا دشمن پر چھلانگ لگا سکتا تھا۔")</f>
        <v>گاجا میں ایک طے شدہ دو مربع ترچھی چھلانگ تھی، جس کی وجہ سے وہ درمیانی حصے، دوست یا دشمن پر چھلانگ لگا سکتا تھا۔</v>
      </c>
    </row>
    <row r="16">
      <c r="A16" s="3">
        <v>15.0</v>
      </c>
      <c r="B16" s="4" t="s">
        <v>663</v>
      </c>
      <c r="C16" s="4" t="s">
        <v>664</v>
      </c>
      <c r="D16" s="4" t="s">
        <v>665</v>
      </c>
      <c r="E16" s="4" t="s">
        <v>666</v>
      </c>
      <c r="J16" s="5" t="str">
        <f>IFERROR(__xludf.DUMMYFUNCTION("GOOGLETRANSLATE(A16, ""en"", ""ur"")"),"15")</f>
        <v>15</v>
      </c>
      <c r="K16" s="5" t="str">
        <f>IFERROR(__xludf.DUMMYFUNCTION("GOOGLETRANSLATE(B16, ""en"", ""ur"")"),"ایک پداٹی (پیر سپاہی) مربع e2 پر ہے۔ ان میں سے کون سی حرکت اپنی پہلی باری پر کرنے کی اجازت نہیں ہے؟")</f>
        <v>ایک پداٹی (پیر سپاہی) مربع e2 پر ہے۔ ان میں سے کون سی حرکت اپنی پہلی باری پر کرنے کی اجازت نہیں ہے؟</v>
      </c>
      <c r="L16" s="5" t="str">
        <f>IFERROR(__xludf.DUMMYFUNCTION("GOOGLETRANSLATE(C16, ""en"", ""ur"")"),"A) e3 پر جائیں، B) d3 پر ایک ٹکڑا کیپچر کریں، C) f3 پر ایک ٹکڑا کیپچر کریں، D) e4 پر جائیں")</f>
        <v>A) e3 پر جائیں، B) d3 پر ایک ٹکڑا کیپچر کریں، C) f3 پر ایک ٹکڑا کیپچر کریں، D) e4 پر جائیں</v>
      </c>
      <c r="M16" s="5" t="str">
        <f>IFERROR(__xludf.DUMMYFUNCTION("GOOGLETRANSLATE(D16, ""en"", ""ur"")"),"D) e4 پر جائیں۔")</f>
        <v>D) e4 پر جائیں۔</v>
      </c>
      <c r="N16" s="5" t="str">
        <f>IFERROR(__xludf.DUMMYFUNCTION("GOOGLETRANSLATE(E16, ""en"", ""ur"")"),"پاداٹی، جو پیادہ کا پیش خیمہ ہے، کے پاس اپنی پہلی حرکت پر اختیاری دو مربع پیشگی نہیں تھی۔ یہ صرف ایک مربع آگے بڑھ سکتا ہے۔")</f>
        <v>پاداٹی، جو پیادہ کا پیش خیمہ ہے، کے پاس اپنی پہلی حرکت پر اختیاری دو مربع پیشگی نہیں تھی۔ یہ صرف ایک مربع آگے بڑھ سکتا ہے۔</v>
      </c>
    </row>
    <row r="17">
      <c r="A17" s="3">
        <v>16.0</v>
      </c>
      <c r="B17" s="4" t="s">
        <v>667</v>
      </c>
      <c r="C17" s="4" t="s">
        <v>668</v>
      </c>
      <c r="D17" s="4" t="s">
        <v>669</v>
      </c>
      <c r="E17" s="4" t="s">
        <v>670</v>
      </c>
      <c r="J17" s="5" t="str">
        <f>IFERROR(__xludf.DUMMYFUNCTION("GOOGLETRANSLATE(A17, ""en"", ""ur"")"),"16")</f>
        <v>16</v>
      </c>
      <c r="K17" s="5" t="str">
        <f>IFERROR(__xludf.DUMMYFUNCTION("GOOGLETRANSLATE(B17, ""en"", ""ur"")"),"قدیم ہندوستانی مہاکاوی، مہابھارت، ایک جنگی کھیل کا ذکر کرتا ہے جس کے بارے میں کچھ مورخین کا خیال ہے کہ یہ چتورنگا کی ابتدائی شکل کا حوالہ ہو سکتا ہے۔ اس سے پتہ چلتا ہے کہ گیم کس کلاس سے وابستہ تھی؟")</f>
        <v>قدیم ہندوستانی مہاکاوی، مہابھارت، ایک جنگی کھیل کا ذکر کرتا ہے جس کے بارے میں کچھ مورخین کا خیال ہے کہ یہ چتورنگا کی ابتدائی شکل کا حوالہ ہو سکتا ہے۔ اس سے پتہ چلتا ہے کہ گیم کس کلاس سے وابستہ تھی؟</v>
      </c>
      <c r="L17" s="5" t="str">
        <f>IFERROR(__xludf.DUMMYFUNCTION("GOOGLETRANSLATE(C17, ""en"", ""ur"")"),"A) برہمن (پجاری)، B) ویشیا (سوداگر)، C) شودر (مزدور)، D) کھشتری (جنگجو)")</f>
        <v>A) برہمن (پجاری)، B) ویشیا (سوداگر)، C) شودر (مزدور)، D) کھشتری (جنگجو)</v>
      </c>
      <c r="M17" s="5" t="str">
        <f>IFERROR(__xludf.DUMMYFUNCTION("GOOGLETRANSLATE(D17, ""en"", ""ur"")"),"D) کھشتری (جنگجو)")</f>
        <v>D) کھشتری (جنگجو)</v>
      </c>
      <c r="N17" s="5" t="str">
        <f>IFERROR(__xludf.DUMMYFUNCTION("GOOGLETRANSLATE(E17, ""en"", ""ur"")"),"گیم کا ملٹری تھیم اور مہاکاوی میں اس کا تذکرہ بتاتا ہے کہ یہ حکمت عملی سکھانے کے ایک آلے کے طور پر جنگجو اور عظیم طبقے کے ساتھ قریب سے وابستہ تھا۔")</f>
        <v>گیم کا ملٹری تھیم اور مہاکاوی میں اس کا تذکرہ بتاتا ہے کہ یہ حکمت عملی سکھانے کے ایک آلے کے طور پر جنگجو اور عظیم طبقے کے ساتھ قریب سے وابستہ تھا۔</v>
      </c>
    </row>
    <row r="18">
      <c r="A18" s="3">
        <v>17.0</v>
      </c>
      <c r="B18" s="4" t="s">
        <v>671</v>
      </c>
      <c r="C18" s="4" t="s">
        <v>672</v>
      </c>
      <c r="D18" s="4" t="s">
        <v>673</v>
      </c>
      <c r="E18" s="4" t="s">
        <v>674</v>
      </c>
      <c r="J18" s="5" t="str">
        <f>IFERROR(__xludf.DUMMYFUNCTION("GOOGLETRANSLATE(A18, ""en"", ""ur"")"),"17")</f>
        <v>17</v>
      </c>
      <c r="K18" s="5" t="str">
        <f>IFERROR(__xludf.DUMMYFUNCTION("GOOGLETRANSLATE(B18, ""en"", ""ur"")"),"چتورنگا، چتوراجی کے چار کھلاڑیوں کے ڈائس ویرینٹ میں جیت کی اہم شرط کیا تھی؟")</f>
        <v>چتورنگا، چتوراجی کے چار کھلاڑیوں کے ڈائس ویرینٹ میں جیت کی اہم شرط کیا تھی؟</v>
      </c>
      <c r="L18" s="5" t="str">
        <f>IFERROR(__xludf.DUMMYFUNCTION("GOOGLETRANSLATE(C18, ""en"", ""ur"")"),"A) آخر میں سب سے زیادہ ٹکڑوں کا ہونا، B) مخالف راجوں میں سے ایک کو پکڑنا، C) مخالف کو چیک کرنا، D) بورڈ کو کنٹرول کرنے والا اتحاد بنانا")</f>
        <v>A) آخر میں سب سے زیادہ ٹکڑوں کا ہونا، B) مخالف راجوں میں سے ایک کو پکڑنا، C) مخالف کو چیک کرنا، D) بورڈ کو کنٹرول کرنے والا اتحاد بنانا</v>
      </c>
      <c r="M18" s="5" t="str">
        <f>IFERROR(__xludf.DUMMYFUNCTION("GOOGLETRANSLATE(D18, ""en"", ""ur"")"),"ب) مخالف راجوں میں سے ایک کو پکڑنا")</f>
        <v>ب) مخالف راجوں میں سے ایک کو پکڑنا</v>
      </c>
      <c r="N18" s="5" t="str">
        <f>IFERROR(__xludf.DUMMYFUNCTION("GOOGLETRANSLATE(E18, ""en"", ""ur"")"),"یہ کھیل اکثر کسی مخالف کے بادشاہ کو پکڑنے والا پہلا کھلاڑی بننے کی دوڑ تھا، جس کے بعد وہ اس فوج پر زیادہ سکور یا کنٹرول حاصل کر لیتے تھے۔")</f>
        <v>یہ کھیل اکثر کسی مخالف کے بادشاہ کو پکڑنے والا پہلا کھلاڑی بننے کی دوڑ تھا، جس کے بعد وہ اس فوج پر زیادہ سکور یا کنٹرول حاصل کر لیتے تھے۔</v>
      </c>
    </row>
    <row r="19">
      <c r="A19" s="3">
        <v>18.0</v>
      </c>
      <c r="B19" s="4" t="s">
        <v>675</v>
      </c>
      <c r="C19" s="4" t="s">
        <v>676</v>
      </c>
      <c r="D19" s="4" t="s">
        <v>677</v>
      </c>
      <c r="E19" s="4" t="s">
        <v>678</v>
      </c>
      <c r="J19" s="5" t="str">
        <f>IFERROR(__xludf.DUMMYFUNCTION("GOOGLETRANSLATE(A19, ""en"", ""ur"")"),"18")</f>
        <v>18</v>
      </c>
      <c r="K19" s="5" t="str">
        <f>IFERROR(__xludf.DUMMYFUNCTION("GOOGLETRANSLATE(B19, ""en"", ""ur"")"),"ہندوستان سے باقی دنیا تک چتورنگا کے پھیلاؤ کے لیے کون سا مشہور تاریخی تجارتی راستہ بنیادی ویکٹر تھا؟")</f>
        <v>ہندوستان سے باقی دنیا تک چتورنگا کے پھیلاؤ کے لیے کون سا مشہور تاریخی تجارتی راستہ بنیادی ویکٹر تھا؟</v>
      </c>
      <c r="L19" s="5" t="str">
        <f>IFERROR(__xludf.DUMMYFUNCTION("GOOGLETRANSLATE(C19, ""en"", ""ur"")"),"A) گرینڈ ٹرنک روڈ، B) سپائس روٹ، C) سلک روڈ، D) عنبر روڈ")</f>
        <v>A) گرینڈ ٹرنک روڈ، B) سپائس روٹ، C) سلک روڈ، D) عنبر روڈ</v>
      </c>
      <c r="M19" s="5" t="str">
        <f>IFERROR(__xludf.DUMMYFUNCTION("GOOGLETRANSLATE(D19, ""en"", ""ur"")"),"سی) شاہراہ ریشم")</f>
        <v>سی) شاہراہ ریشم</v>
      </c>
      <c r="N19" s="5" t="str">
        <f>IFERROR(__xludf.DUMMYFUNCTION("GOOGLETRANSLATE(E19, ""en"", ""ur"")"),"شاہراہ ریشم کے ساتھ تجارتی اور ثقافتی تبادلے کے نیٹ ورک نے کھیل کو فارس، عرب دنیا اور اس سے آگے لے جانے میں اہم کردار ادا کیا۔")</f>
        <v>شاہراہ ریشم کے ساتھ تجارتی اور ثقافتی تبادلے کے نیٹ ورک نے کھیل کو فارس، عرب دنیا اور اس سے آگے لے جانے میں اہم کردار ادا کیا۔</v>
      </c>
    </row>
    <row r="20">
      <c r="A20" s="3">
        <v>19.0</v>
      </c>
      <c r="B20" s="4" t="s">
        <v>679</v>
      </c>
      <c r="C20" s="4" t="s">
        <v>680</v>
      </c>
      <c r="D20" s="4" t="s">
        <v>681</v>
      </c>
      <c r="E20" s="4" t="s">
        <v>682</v>
      </c>
      <c r="J20" s="5" t="str">
        <f>IFERROR(__xludf.DUMMYFUNCTION("GOOGLETRANSLATE(A20, ""en"", ""ur"")"),"19")</f>
        <v>19</v>
      </c>
      <c r="K20" s="5" t="str">
        <f>IFERROR(__xludf.DUMMYFUNCTION("GOOGLETRANSLATE(B20, ""en"", ""ur"")"),"جب یہ گیم عرب دنیا میں پہنچی تو اس کے ٹکڑوں کا نام بدل دیا گیا۔ راجہ شاہ بن گیا۔ منتری کیا بن گیا؟")</f>
        <v>جب یہ گیم عرب دنیا میں پہنچی تو اس کے ٹکڑوں کا نام بدل دیا گیا۔ راجہ شاہ بن گیا۔ منتری کیا بن گیا؟</v>
      </c>
      <c r="L20" s="5" t="str">
        <f>IFERROR(__xludf.DUMMYFUNCTION("GOOGLETRANSLATE(C20, ""en"", ""ur"")"),"A) وزیر، B) امام، C) خلیفہ، D) امیر")</f>
        <v>A) وزیر، B) امام، C) خلیفہ، D) امیر</v>
      </c>
      <c r="M20" s="5" t="str">
        <f>IFERROR(__xludf.DUMMYFUNCTION("GOOGLETRANSLATE(D20, ""en"", ""ur"")"),"الف) وزیر")</f>
        <v>الف) وزیر</v>
      </c>
      <c r="N20" s="5" t="str">
        <f>IFERROR(__xludf.DUMMYFUNCTION("GOOGLETRANSLATE(E20, ""en"", ""ur"")"),"منتری (مشیر) کا فارسی اور عربی میں نام بدل کر فرزان یا وزیر رکھ دیا گیا، جس کا ترجمہ ""وزیر"" یا ""مشیر"" بھی ہوتا ہے۔")</f>
        <v>منتری (مشیر) کا فارسی اور عربی میں نام بدل کر فرزان یا وزیر رکھ دیا گیا، جس کا ترجمہ "وزیر" یا "مشیر" بھی ہوتا ہے۔</v>
      </c>
    </row>
    <row r="21">
      <c r="A21" s="3">
        <v>20.0</v>
      </c>
      <c r="B21" s="4" t="s">
        <v>683</v>
      </c>
      <c r="C21" s="4" t="s">
        <v>684</v>
      </c>
      <c r="D21" s="4" t="s">
        <v>685</v>
      </c>
      <c r="E21" s="4" t="s">
        <v>686</v>
      </c>
      <c r="J21" s="5" t="str">
        <f>IFERROR(__xludf.DUMMYFUNCTION("GOOGLETRANSLATE(A21, ""en"", ""ur"")"),"20")</f>
        <v>20</v>
      </c>
      <c r="K21" s="5" t="str">
        <f>IFERROR(__xludf.DUMMYFUNCTION("GOOGLETRANSLATE(B21, ""en"", ""ur"")"),"چتورنگا کے کچھ ورژن میں، ایک کھلاڑی جس نے اپنے راجہ کے علاوہ اپنے تمام ٹکڑے کھو دیے وہ بھی کھیل ہار جائے گا۔ اس اصول کو کیا کہتے ہیں؟")</f>
        <v>چتورنگا کے کچھ ورژن میں، ایک کھلاڑی جس نے اپنے راجہ کے علاوہ اپنے تمام ٹکڑے کھو دیے وہ بھی کھیل ہار جائے گا۔ اس اصول کو کیا کہتے ہیں؟</v>
      </c>
      <c r="L21" s="5" t="str">
        <f>IFERROR(__xludf.DUMMYFUNCTION("GOOGLETRANSLATE(C21, ""en"", ""ur"")"),"A) ایک ""ننگے بادشاہ"" کا نقصان، B) ایک ""تنہا کنگ"" کا نقصان، C) ایک ""ہتھیار،"" D) ایک ""اچانک موت""")</f>
        <v>A) ایک "ننگے بادشاہ" کا نقصان، B) ایک "تنہا کنگ" کا نقصان، C) ایک "ہتھیار،" D) ایک "اچانک موت"</v>
      </c>
      <c r="M21" s="5" t="str">
        <f>IFERROR(__xludf.DUMMYFUNCTION("GOOGLETRANSLATE(D21, ""en"", ""ur"")"),"A) ایک ""ننگے بادشاہ"" کا نقصان")</f>
        <v>A) ایک "ننگے بادشاہ" کا نقصان</v>
      </c>
      <c r="N21" s="5" t="str">
        <f>IFERROR(__xludf.DUMMYFUNCTION("GOOGLETRANSLATE(E21, ""en"", ""ur"")"),"اس اصول نے کھلاڑیوں کو اپنی فوج کو محفوظ رکھنے کی ترغیب دی، کیونکہ آپ کے تمام ٹکڑوں کو کھونا آپ کے بادشاہ کی گرفتاری کے علاوہ شکست کا ایک اور راستہ تھا۔")</f>
        <v>اس اصول نے کھلاڑیوں کو اپنی فوج کو محفوظ رکھنے کی ترغیب دی، کیونکہ آپ کے تمام ٹکڑوں کو کھونا آپ کے بادشاہ کی گرفتاری کے علاوہ شکست کا ایک اور راستہ تھا۔</v>
      </c>
    </row>
    <row r="22">
      <c r="A22" s="3">
        <v>21.0</v>
      </c>
      <c r="B22" s="4" t="s">
        <v>687</v>
      </c>
      <c r="C22" s="4" t="s">
        <v>688</v>
      </c>
      <c r="D22" s="4" t="s">
        <v>689</v>
      </c>
      <c r="E22" s="4" t="s">
        <v>690</v>
      </c>
      <c r="J22" s="5" t="str">
        <f>IFERROR(__xludf.DUMMYFUNCTION("GOOGLETRANSLATE(A22, ""en"", ""ur"")"),"21")</f>
        <v>21</v>
      </c>
      <c r="K22" s="5" t="str">
        <f>IFERROR(__xludf.DUMMYFUNCTION("GOOGLETRANSLATE(B22, ""en"", ""ur"")"),"ایک راجہ اور ہاتھی بمقابلہ تنہا راجہ کے ساتھ اختتامی کھیل کے منظر نامے میں، نتیجہ کیا نکلتا ہے؟")</f>
        <v>ایک راجہ اور ہاتھی بمقابلہ تنہا راجہ کے ساتھ اختتامی کھیل کے منظر نامے میں، نتیجہ کیا نکلتا ہے؟</v>
      </c>
      <c r="L22" s="5" t="str">
        <f>IFERROR(__xludf.DUMMYFUNCTION("GOOGLETRANSLATE(C22, ""en"", ""ur"")"),"A) ڈرا، B) ہاتھی کے ساتھ ٹیم کے لیے ایک آسان جیت، C) ایک جیت، لیکن یہ بہت مشکل ہے، D) ہاتھی کے ساتھ ٹیم کی ہار")</f>
        <v>A) ڈرا، B) ہاتھی کے ساتھ ٹیم کے لیے ایک آسان جیت، C) ایک جیت، لیکن یہ بہت مشکل ہے، D) ہاتھی کے ساتھ ٹیم کی ہار</v>
      </c>
      <c r="M22" s="5" t="str">
        <f>IFERROR(__xludf.DUMMYFUNCTION("GOOGLETRANSLATE(D22, ""en"", ""ur"")"),"ب) ہاتھی کے ساتھ فریق کے لیے ایک آسان جیت")</f>
        <v>ب) ہاتھی کے ساتھ فریق کے لیے ایک آسان جیت</v>
      </c>
      <c r="N22" s="5" t="str">
        <f>IFERROR(__xludf.DUMMYFUNCTION("GOOGLETRANSLATE(E22, ""en"", ""ur"")"),"جدید شطرنج میں کنگ اینڈ روک اینڈ گیم کی طرح، ہاتھی اتنا طاقتور ہے کہ وہ منظم طریقے سے اپنے راجہ کو دشمن کو پکڑنے میں مدد دے سکے۔")</f>
        <v>جدید شطرنج میں کنگ اینڈ روک اینڈ گیم کی طرح، ہاتھی اتنا طاقتور ہے کہ وہ منظم طریقے سے اپنے راجہ کو دشمن کو پکڑنے میں مدد دے سکے۔</v>
      </c>
    </row>
    <row r="23">
      <c r="A23" s="3">
        <v>22.0</v>
      </c>
      <c r="B23" s="4" t="s">
        <v>691</v>
      </c>
      <c r="C23" s="4" t="s">
        <v>692</v>
      </c>
      <c r="D23" s="4" t="s">
        <v>693</v>
      </c>
      <c r="E23" s="4" t="s">
        <v>694</v>
      </c>
      <c r="J23" s="5" t="str">
        <f>IFERROR(__xludf.DUMMYFUNCTION("GOOGLETRANSLATE(A23, ""en"", ""ur"")"),"22")</f>
        <v>22</v>
      </c>
      <c r="K23" s="5" t="str">
        <f>IFERROR(__xludf.DUMMYFUNCTION("GOOGLETRANSLATE(B23, ""en"", ""ur"")"),"گجا (ہاتھی) کی سب سے اہم حکمت عملی کی کمزوری کیا تھی؟")</f>
        <v>گجا (ہاتھی) کی سب سے اہم حکمت عملی کی کمزوری کیا تھی؟</v>
      </c>
      <c r="L23" s="5" t="str">
        <f>IFERROR(__xludf.DUMMYFUNCTION("GOOGLETRANSLATE(C23, ""en"", ""ur"")"),"A) یہ سب سے سست ٹکڑا تھا، B) یہ گرفت میں نہیں آ سکتا تھا، C) یہ ""رنگ کا پابند"" تھا اور بورڈ کے صرف ایک چھوٹے سے حصے تک ہی رسائی حاصل کر سکتا تھا، D) یہ پیچھے کی طرف نہیں جا سکتا تھا۔")</f>
        <v>A) یہ سب سے سست ٹکڑا تھا، B) یہ گرفت میں نہیں آ سکتا تھا، C) یہ "رنگ کا پابند" تھا اور بورڈ کے صرف ایک چھوٹے سے حصے تک ہی رسائی حاصل کر سکتا تھا، D) یہ پیچھے کی طرف نہیں جا سکتا تھا۔</v>
      </c>
      <c r="M23" s="5" t="str">
        <f>IFERROR(__xludf.DUMMYFUNCTION("GOOGLETRANSLATE(D23, ""en"", ""ur"")"),"C) یہ ""رنگ پابند"" تھا اور بورڈ کے صرف ایک چھوٹے سے حصے تک ہی رسائی حاصل کر سکتا تھا۔")</f>
        <v>C) یہ "رنگ پابند" تھا اور بورڈ کے صرف ایک چھوٹے سے حصے تک ہی رسائی حاصل کر سکتا تھا۔</v>
      </c>
      <c r="N23" s="5" t="str">
        <f>IFERROR(__xludf.DUMMYFUNCTION("GOOGLETRANSLATE(E23, ""en"", ""ur"")"),"گاجا کی دو مربع ترچھی چھلانگ کا مطلب یہ تھا کہ ہلکے مربع سے شروع ہونے والا گاجا کبھی بھی سیاہ مربع میں نہیں جا سکتا، اس کی طاقت کو سختی سے محدود کر دیتا ہے۔")</f>
        <v>گاجا کی دو مربع ترچھی چھلانگ کا مطلب یہ تھا کہ ہلکے مربع سے شروع ہونے والا گاجا کبھی بھی سیاہ مربع میں نہیں جا سکتا، اس کی طاقت کو سختی سے محدود کر دیتا ہے۔</v>
      </c>
    </row>
    <row r="24">
      <c r="A24" s="3">
        <v>23.0</v>
      </c>
      <c r="B24" s="4" t="s">
        <v>695</v>
      </c>
      <c r="C24" s="4" t="s">
        <v>696</v>
      </c>
      <c r="D24" s="4" t="s">
        <v>697</v>
      </c>
      <c r="E24" s="4" t="s">
        <v>698</v>
      </c>
      <c r="J24" s="5" t="str">
        <f>IFERROR(__xludf.DUMMYFUNCTION("GOOGLETRANSLATE(A24, ""en"", ""ur"")"),"23")</f>
        <v>23</v>
      </c>
      <c r="K24" s="5" t="str">
        <f>IFERROR(__xludf.DUMMYFUNCTION("GOOGLETRANSLATE(B24, ""en"", ""ur"")"),"مصنف بانا بھٹہ کی ساتویں صدی کے سنسکرت متن کا کیا نام ہے جس میں چتورنگا کا پہلا واضح، غیر متنازعہ تحریری حوالہ موجود ہے؟")</f>
        <v>مصنف بانا بھٹہ کی ساتویں صدی کے سنسکرت متن کا کیا نام ہے جس میں چتورنگا کا پہلا واضح، غیر متنازعہ تحریری حوالہ موجود ہے؟</v>
      </c>
      <c r="L24" s="5" t="str">
        <f>IFERROR(__xludf.DUMMYFUNCTION("GOOGLETRANSLATE(C24, ""en"", ""ur"")"),"A) پنچتنتر، B) کام سترا، C) ہرشاچریت، D) منوسمریتی")</f>
        <v>A) پنچتنتر، B) کام سترا، C) ہرشاچریت، D) منوسمریتی</v>
      </c>
      <c r="M24" s="5" t="str">
        <f>IFERROR(__xludf.DUMMYFUNCTION("GOOGLETRANSLATE(D24, ""en"", ""ur"")"),"ج) ہرشچریت")</f>
        <v>ج) ہرشچریت</v>
      </c>
      <c r="N24" s="5" t="str">
        <f>IFERROR(__xludf.DUMMYFUNCTION("GOOGLETRANSLATE(E24, ""en"", ""ur"")"),"کنگ ہرشا کی اس سوانح عمری میں ایک حوالہ شامل ہے جو ٹکڑوں اور بورڈ کو بیان کرتا ہے، جو گیم کے وجود کا پختہ ثبوت فراہم کرتا ہے۔")</f>
        <v>کنگ ہرشا کی اس سوانح عمری میں ایک حوالہ شامل ہے جو ٹکڑوں اور بورڈ کو بیان کرتا ہے، جو گیم کے وجود کا پختہ ثبوت فراہم کرتا ہے۔</v>
      </c>
    </row>
    <row r="25">
      <c r="A25" s="3">
        <v>24.0</v>
      </c>
      <c r="B25" s="4" t="s">
        <v>699</v>
      </c>
      <c r="C25" s="4" t="s">
        <v>700</v>
      </c>
      <c r="D25" s="4" t="s">
        <v>701</v>
      </c>
      <c r="E25" s="4" t="s">
        <v>702</v>
      </c>
      <c r="J25" s="5" t="str">
        <f>IFERROR(__xludf.DUMMYFUNCTION("GOOGLETRANSLATE(A25, ""en"", ""ur"")"),"24")</f>
        <v>24</v>
      </c>
      <c r="K25" s="5" t="str">
        <f>IFERROR(__xludf.DUMMYFUNCTION("GOOGLETRANSLATE(B25, ""en"", ""ur"")"),"چتورنگا کا بورڈ ایک 8x8 گرڈ تھا جسے اشٹاپدا کہتے ہیں۔ ""Ashtapada"" کا کیا مطلب ہے؟")</f>
        <v>چتورنگا کا بورڈ ایک 8x8 گرڈ تھا جسے اشٹاپدا کہتے ہیں۔ "Ashtapada" کا کیا مطلب ہے؟</v>
      </c>
      <c r="L25" s="5" t="str">
        <f>IFERROR(__xludf.DUMMYFUNCTION("GOOGLETRANSLATE(C25, ""en"", ""ur"")"),"A) ""مقدس کھیل،"" B) ""آٹھ ٹانگوں والا،"" C) ""چونسٹھ مربع،"" D) ""بادشاہ کا راستہ""")</f>
        <v>A) "مقدس کھیل،" B) "آٹھ ٹانگوں والا،" C) "چونسٹھ مربع،" D) "بادشاہ کا راستہ"</v>
      </c>
      <c r="M25" s="5" t="str">
        <f>IFERROR(__xludf.DUMMYFUNCTION("GOOGLETRANSLATE(D25, ""en"", ""ur"")"),"ب) ""آٹھ ٹانگوں والا""")</f>
        <v>ب) "آٹھ ٹانگوں والا"</v>
      </c>
      <c r="N25" s="5" t="str">
        <f>IFERROR(__xludf.DUMMYFUNCTION("GOOGLETRANSLATE(E25, ""en"", ""ur"")"),"اس نام سے ممکنہ طور پر مکڑی یا کسی اور آٹھ ٹانگوں والی مخلوق سے مراد ہے، اور بورڈ کو ریس کے دیگر کھیلوں کے لیے بھی استعمال کیا جاتا تھا۔")</f>
        <v>اس نام سے ممکنہ طور پر مکڑی یا کسی اور آٹھ ٹانگوں والی مخلوق سے مراد ہے، اور بورڈ کو ریس کے دیگر کھیلوں کے لیے بھی استعمال کیا جاتا تھا۔</v>
      </c>
    </row>
    <row r="26">
      <c r="A26" s="3">
        <v>25.0</v>
      </c>
      <c r="B26" s="4" t="s">
        <v>703</v>
      </c>
      <c r="C26" s="4" t="s">
        <v>704</v>
      </c>
      <c r="D26" s="4" t="s">
        <v>705</v>
      </c>
      <c r="E26" s="4" t="s">
        <v>706</v>
      </c>
      <c r="J26" s="5" t="str">
        <f>IFERROR(__xludf.DUMMYFUNCTION("GOOGLETRANSLATE(A26, ""en"", ""ur"")"),"25")</f>
        <v>25</v>
      </c>
      <c r="K26" s="5" t="str">
        <f>IFERROR(__xludf.DUMMYFUNCTION("GOOGLETRANSLATE(B26, ""en"", ""ur"")"),"کچھ چار کھلاڑیوں کے ورژن میں، اتحاد کیسے بنائے گئے؟")</f>
        <v>کچھ چار کھلاڑیوں کے ورژن میں، اتحاد کیسے بنائے گئے؟</v>
      </c>
      <c r="L26" s="5" t="str">
        <f>IFERROR(__xludf.DUMMYFUNCTION("GOOGLETRANSLATE(C26, ""en"", ""ur"")"),"A) انہیں اجازت نہیں تھی، B) کھلاڑی آزادانہ طور پر اتحاد بنا سکتے تھے، C) ایک دوسرے کے مقابل بیٹھے کھلاڑی شراکت دار تھے، D) ایک دوسرے کے ساتھ بیٹھے کھلاڑی شراکت دار تھے۔")</f>
        <v>A) انہیں اجازت نہیں تھی، B) کھلاڑی آزادانہ طور پر اتحاد بنا سکتے تھے، C) ایک دوسرے کے مقابل بیٹھے کھلاڑی شراکت دار تھے، D) ایک دوسرے کے ساتھ بیٹھے کھلاڑی شراکت دار تھے۔</v>
      </c>
      <c r="M26" s="5" t="str">
        <f>IFERROR(__xludf.DUMMYFUNCTION("GOOGLETRANSLATE(D26, ""en"", ""ur"")"),"ج) ایک دوسرے کے مقابل بیٹھے کھلاڑی شراکت دار تھے۔")</f>
        <v>ج) ایک دوسرے کے مقابل بیٹھے کھلاڑی شراکت دار تھے۔</v>
      </c>
      <c r="N26" s="5" t="str">
        <f>IFERROR(__xludf.DUMMYFUNCTION("GOOGLETRANSLATE(E26, ""en"", ""ur"")"),"ایک مشترکہ قسم میں دو کی دو ٹیمیں شامل ہیں، بورڈ کے مخالف سمتوں پر بیٹھے شراکت داروں کے ساتھ، دو اتحادی ریاستوں کے درمیان جنگ کی نقالی کرتے ہوئے۔")</f>
        <v>ایک مشترکہ قسم میں دو کی دو ٹیمیں شامل ہیں، بورڈ کے مخالف سمتوں پر بیٹھے شراکت داروں کے ساتھ، دو اتحادی ریاستوں کے درمیان جنگ کی نقالی کرتے ہوئے۔</v>
      </c>
    </row>
    <row r="27">
      <c r="A27" s="3">
        <v>26.0</v>
      </c>
      <c r="B27" s="4" t="s">
        <v>707</v>
      </c>
      <c r="C27" s="4" t="s">
        <v>708</v>
      </c>
      <c r="D27" s="4" t="s">
        <v>709</v>
      </c>
      <c r="E27" s="4" t="s">
        <v>710</v>
      </c>
      <c r="J27" s="5" t="str">
        <f>IFERROR(__xludf.DUMMYFUNCTION("GOOGLETRANSLATE(A27, ""en"", ""ur"")"),"26")</f>
        <v>26</v>
      </c>
      <c r="K27" s="5" t="str">
        <f>IFERROR(__xludf.DUMMYFUNCTION("GOOGLETRANSLATE(B27, ""en"", ""ur"")"),"اگر کوئی کھلاڑی ایسی پوزیشن پر مجبور کرتا ہے جہاں مخالف کے راجہ پر حملہ نہیں ہوتا ہے لیکن اس کی کوئی قانونی چال نہیں ہے، تو چتورنگا میں کیا نتیجہ نکلتا ہے؟")</f>
        <v>اگر کوئی کھلاڑی ایسی پوزیشن پر مجبور کرتا ہے جہاں مخالف کے راجہ پر حملہ نہیں ہوتا ہے لیکن اس کی کوئی قانونی چال نہیں ہے، تو چتورنگا میں کیا نتیجہ نکلتا ہے؟</v>
      </c>
      <c r="L27" s="5" t="str">
        <f>IFERROR(__xludf.DUMMYFUNCTION("GOOGLETRANSLATE(C27, ""en"", ""ur"")"),"A) ڈرا (تعطل)، B) پوزیشن پر مجبور کرنے والے کھلاڑی کی جیت، C) پوزیشن پر مجبور کرنے والے کھلاڑی کے لیے نقصان، D) آخری اقدام کو واپس لیا جانا چاہیے۔")</f>
        <v>A) ڈرا (تعطل)، B) پوزیشن پر مجبور کرنے والے کھلاڑی کی جیت، C) پوزیشن پر مجبور کرنے والے کھلاڑی کے لیے نقصان، D) آخری اقدام کو واپس لیا جانا چاہیے۔</v>
      </c>
      <c r="M27" s="5" t="str">
        <f>IFERROR(__xludf.DUMMYFUNCTION("GOOGLETRANSLATE(D27, ""en"", ""ur"")"),"ب) کھلاڑی کی جیت جس نے پوزیشن پر مجبور کیا۔")</f>
        <v>ب) کھلاڑی کی جیت جس نے پوزیشن پر مجبور کیا۔</v>
      </c>
      <c r="N27" s="5" t="str">
        <f>IFERROR(__xludf.DUMMYFUNCTION("GOOGLETRANSLATE(E27, ""en"", ""ur"")"),"جدید شطرنج کے برعکس، تعطل پر مجبور کرنا (جسے بعض اوقات ""بیرنگ دی کنگ"" بھی کہا جاتا ہے) کو جیت کی ایک درست شکل سمجھا جاتا تھا۔")</f>
        <v>جدید شطرنج کے برعکس، تعطل پر مجبور کرنا (جسے بعض اوقات "بیرنگ دی کنگ" بھی کہا جاتا ہے) کو جیت کی ایک درست شکل سمجھا جاتا تھا۔</v>
      </c>
    </row>
    <row r="28">
      <c r="A28" s="3">
        <v>27.0</v>
      </c>
      <c r="B28" s="4" t="s">
        <v>711</v>
      </c>
      <c r="C28" s="4" t="s">
        <v>712</v>
      </c>
      <c r="D28" s="4" t="s">
        <v>713</v>
      </c>
      <c r="E28" s="4" t="s">
        <v>714</v>
      </c>
      <c r="J28" s="5" t="str">
        <f>IFERROR(__xludf.DUMMYFUNCTION("GOOGLETRANSLATE(A28, ""en"", ""ur"")"),"27")</f>
        <v>27</v>
      </c>
      <c r="K28" s="5" t="str">
        <f>IFERROR(__xludf.DUMMYFUNCTION("GOOGLETRANSLATE(B28, ""en"", ""ur"")"),"شطرنج کی جدید اصطلاح ""چیک"" فارسی لفظ ""شاہ"" سے ماخوذ ہے۔ ""شاہ"" کا کیا مطلب ہے؟")</f>
        <v>شطرنج کی جدید اصطلاح "چیک" فارسی لفظ "شاہ" سے ماخوذ ہے۔ "شاہ" کا کیا مطلب ہے؟</v>
      </c>
      <c r="L28" s="5" t="str">
        <f>IFERROR(__xludf.DUMMYFUNCTION("GOOGLETRANSLATE(C28, ""en"", ""ur"")"),"A) حملہ، B) خطرہ، C) بادشاہ، D) بے بس")</f>
        <v>A) حملہ، B) خطرہ، C) بادشاہ، D) بے بس</v>
      </c>
      <c r="M28" s="5" t="str">
        <f>IFERROR(__xludf.DUMMYFUNCTION("GOOGLETRANSLATE(D28, ""en"", ""ur"")"),"ج) بادشاہ")</f>
        <v>ج) بادشاہ</v>
      </c>
      <c r="N28" s="5" t="str">
        <f>IFERROR(__xludf.DUMMYFUNCTION("GOOGLETRANSLATE(E28, ""en"", ""ur"")"),"""شاہ"" بادشاہ کے لیے فارسی زبان کا لفظ ہے۔ اس کا اعلان کرنا ایک انتباہ تھا کہ مخالف کا سب سے اہم ٹکڑا خطرے میں ہے۔")</f>
        <v>"شاہ" بادشاہ کے لیے فارسی زبان کا لفظ ہے۔ اس کا اعلان کرنا ایک انتباہ تھا کہ مخالف کا سب سے اہم ٹکڑا خطرے میں ہے۔</v>
      </c>
    </row>
    <row r="29">
      <c r="A29" s="3">
        <v>28.0</v>
      </c>
      <c r="B29" s="4" t="s">
        <v>715</v>
      </c>
      <c r="C29" s="4" t="s">
        <v>716</v>
      </c>
      <c r="D29" s="4" t="s">
        <v>717</v>
      </c>
      <c r="E29" s="4" t="s">
        <v>718</v>
      </c>
      <c r="J29" s="5" t="str">
        <f>IFERROR(__xludf.DUMMYFUNCTION("GOOGLETRANSLATE(A29, ""en"", ""ur"")"),"28")</f>
        <v>28</v>
      </c>
      <c r="K29" s="5" t="str">
        <f>IFERROR(__xludf.DUMMYFUNCTION("GOOGLETRANSLATE(B29, ""en"", ""ur"")"),"معیاری دو کھلاڑی چتورنگا فوج میں کتنے مختلف قسم کے ٹکڑے تھے؟")</f>
        <v>معیاری دو کھلاڑی چتورنگا فوج میں کتنے مختلف قسم کے ٹکڑے تھے؟</v>
      </c>
      <c r="L29" s="5" t="str">
        <f>IFERROR(__xludf.DUMMYFUNCTION("GOOGLETRANSLATE(C29, ""en"", ""ur"")"),"A) 4، B) 5، C) 6، D) 8")</f>
        <v>A) 4، B) 5، C) 6، D) 8</v>
      </c>
      <c r="M29" s="5" t="str">
        <f>IFERROR(__xludf.DUMMYFUNCTION("GOOGLETRANSLATE(D29, ""en"", ""ur"")"),"ج) 6")</f>
        <v>ج) 6</v>
      </c>
      <c r="N29" s="5" t="str">
        <f>IFERROR(__xludf.DUMMYFUNCTION("GOOGLETRANSLATE(E29, ""en"", ""ur"")"),"چھ منفرد ٹکڑوں کی اقسام میں راجہ (بادشاہ)، منتری (مشیر)، ہاتھی (رتھ)، گجا (ہاتھی)، اشوا (گھوڑا) اور پدتی (پیادہ سپاہی) تھے۔")</f>
        <v>چھ منفرد ٹکڑوں کی اقسام میں راجہ (بادشاہ)، منتری (مشیر)، ہاتھی (رتھ)، گجا (ہاتھی)، اشوا (گھوڑا) اور پدتی (پیادہ سپاہی) تھے۔</v>
      </c>
    </row>
    <row r="30">
      <c r="A30" s="3">
        <v>29.0</v>
      </c>
      <c r="B30" s="4" t="s">
        <v>719</v>
      </c>
      <c r="C30" s="4" t="s">
        <v>720</v>
      </c>
      <c r="D30" s="4" t="s">
        <v>721</v>
      </c>
      <c r="E30" s="4" t="s">
        <v>722</v>
      </c>
      <c r="J30" s="5" t="str">
        <f>IFERROR(__xludf.DUMMYFUNCTION("GOOGLETRANSLATE(A30, ""en"", ""ur"")"),"29")</f>
        <v>29</v>
      </c>
      <c r="K30" s="5" t="str">
        <f>IFERROR(__xludf.DUMMYFUNCTION("GOOGLETRANSLATE(B30, ""en"", ""ur"")"),"یورپ میں جدید شطرنج کی شکل اختیار کرنے کے بعد کھیل کی رفتار اور نوعیت پر کس ٹکڑے کی تبدیلی کا سب سے زیادہ ڈرامائی اثر پڑا؟")</f>
        <v>یورپ میں جدید شطرنج کی شکل اختیار کرنے کے بعد کھیل کی رفتار اور نوعیت پر کس ٹکڑے کی تبدیلی کا سب سے زیادہ ڈرامائی اثر پڑا؟</v>
      </c>
      <c r="L30" s="5" t="str">
        <f>IFERROR(__xludf.DUMMYFUNCTION("GOOGLETRANSLATE(C30, ""en"", ""ur"")"),"A) پادتی (پیادہ) دو قدموں کی چال حاصل کر رہا ہے، B) گاجا (ہاتھی) طویل فاصلے تک کا بشپ بن رہا ہے، C) منتری (مشیر) طاقتور ملکہ بن رہا ہے، D) راجہ (بادشاہ) قلعہ بندی کی چال حاصل کر رہا ہے۔")</f>
        <v>A) پادتی (پیادہ) دو قدموں کی چال حاصل کر رہا ہے، B) گاجا (ہاتھی) طویل فاصلے تک کا بشپ بن رہا ہے، C) منتری (مشیر) طاقتور ملکہ بن رہا ہے، D) راجہ (بادشاہ) قلعہ بندی کی چال حاصل کر رہا ہے۔</v>
      </c>
      <c r="M30" s="5" t="str">
        <f>IFERROR(__xludf.DUMMYFUNCTION("GOOGLETRANSLATE(D30, ""en"", ""ur"")"),"ج) منتری (مشیر) طاقتور ملکہ بننا")</f>
        <v>ج) منتری (مشیر) طاقتور ملکہ بننا</v>
      </c>
      <c r="N30" s="5" t="str">
        <f>IFERROR(__xludf.DUMMYFUNCTION("GOOGLETRANSLATE(E30, ""en"", ""ur"")"),"""میڈ کوئین"" شطرنج کی مختلف قسم، جس نے ملکہ کو اس کی بے پناہ طاقت بخشی، نے کھیل کی رفتار کو بہت تیز کیا اور اپنی حکمت عملی کو ہمیشہ کے لیے بدل دیا۔")</f>
        <v>"میڈ کوئین" شطرنج کی مختلف قسم، جس نے ملکہ کو اس کی بے پناہ طاقت بخشی، نے کھیل کی رفتار کو بہت تیز کیا اور اپنی حکمت عملی کو ہمیشہ کے لیے بدل دیا۔</v>
      </c>
    </row>
    <row r="31">
      <c r="A31" s="3">
        <v>30.0</v>
      </c>
      <c r="B31" s="4" t="s">
        <v>723</v>
      </c>
      <c r="C31" s="4" t="s">
        <v>724</v>
      </c>
      <c r="D31" s="4" t="s">
        <v>725</v>
      </c>
      <c r="E31" s="4" t="s">
        <v>726</v>
      </c>
      <c r="J31" s="5" t="str">
        <f>IFERROR(__xludf.DUMMYFUNCTION("GOOGLETRANSLATE(A31, ""en"", ""ur"")"),"30")</f>
        <v>30</v>
      </c>
      <c r="K31" s="5" t="str">
        <f>IFERROR(__xludf.DUMMYFUNCTION("GOOGLETRANSLATE(B31, ""en"", ""ur"")"),"آثار قدیمہ کے شواہد، جیسے ہاتھی دانت کے تراشے ہوئے ٹکڑے چتورنگا کے سیٹ سے ملتے ہیں، کس قدیم علمی مرکز سے ملے ہیں؟")</f>
        <v>آثار قدیمہ کے شواہد، جیسے ہاتھی دانت کے تراشے ہوئے ٹکڑے چتورنگا کے سیٹ سے ملتے ہیں، کس قدیم علمی مرکز سے ملے ہیں؟</v>
      </c>
      <c r="L31" s="5" t="str">
        <f>IFERROR(__xludf.DUMMYFUNCTION("GOOGLETRANSLATE(C31, ""en"", ""ur"")"),"A) موہنجو داڑو، B) ٹیکسلا، C) نالندہ، D) ہمپی")</f>
        <v>A) موہنجو داڑو، B) ٹیکسلا، C) نالندہ، D) ہمپی</v>
      </c>
      <c r="M31" s="5" t="str">
        <f>IFERROR(__xludf.DUMMYFUNCTION("GOOGLETRANSLATE(D31, ""en"", ""ur"")"),"ج) نالندہ")</f>
        <v>ج) نالندہ</v>
      </c>
      <c r="N31" s="5" t="str">
        <f>IFERROR(__xludf.DUMMYFUNCTION("GOOGLETRANSLATE(E31, ""en"", ""ur"")"),"نالندہ کی مشہور بدھ خانقاہی یونیورسٹی میں کھدائی سے کھیل کے ٹکڑے ملے ہیں جن کے بارے میں خیال کیا جاتا ہے کہ یہ چتورنگا کے ابتدائی سیٹوں کے ہیں۔")</f>
        <v>نالندہ کی مشہور بدھ خانقاہی یونیورسٹی میں کھدائی سے کھیل کے ٹکڑے ملے ہیں جن کے بارے میں خیال کیا جاتا ہے کہ یہ چتورنگا کے ابتدائی سیٹوں کے ہیں۔</v>
      </c>
    </row>
    <row r="32">
      <c r="A32" s="3">
        <v>31.0</v>
      </c>
      <c r="B32" s="4" t="s">
        <v>727</v>
      </c>
      <c r="C32" s="4" t="s">
        <v>728</v>
      </c>
      <c r="D32" s="4" t="s">
        <v>729</v>
      </c>
      <c r="E32" s="4" t="s">
        <v>730</v>
      </c>
      <c r="J32" s="5" t="str">
        <f>IFERROR(__xludf.DUMMYFUNCTION("GOOGLETRANSLATE(A32, ""en"", ""ur"")"),"31")</f>
        <v>31</v>
      </c>
      <c r="K32" s="5" t="str">
        <f>IFERROR(__xludf.DUMMYFUNCTION("GOOGLETRANSLATE(B32, ""en"", ""ur"")"),"جدید شطرنج کے مقابلے چتورنگا کے ابتدائی سیٹ اپ میں کیا اہم فرق تھا؟")</f>
        <v>جدید شطرنج کے مقابلے چتورنگا کے ابتدائی سیٹ اپ میں کیا اہم فرق تھا؟</v>
      </c>
      <c r="L32" s="5" t="str">
        <f>IFERROR(__xludf.DUMMYFUNCTION("GOOGLETRANSLATE(C32, ""en"", ""ur"")"),"A) بادشاہوں کا آمنا سامنا نہیں تھا، B) پیادے پہلے درجے پر تھے، C) Rooks مرکز میں تھے، D) بورڈ کا رخ مختلف تھا۔")</f>
        <v>A) بادشاہوں کا آمنا سامنا نہیں تھا، B) پیادے پہلے درجے پر تھے، C) Rooks مرکز میں تھے، D) بورڈ کا رخ مختلف تھا۔</v>
      </c>
      <c r="M32" s="5" t="str">
        <f>IFERROR(__xludf.DUMMYFUNCTION("GOOGLETRANSLATE(D32, ""en"", ""ur"")"),"ا) بادشاہوں نے ایک دوسرے کا سامنا نہیں کیا۔")</f>
        <v>ا) بادشاہوں نے ایک دوسرے کا سامنا نہیں کیا۔</v>
      </c>
      <c r="N32" s="5" t="str">
        <f>IFERROR(__xludf.DUMMYFUNCTION("GOOGLETRANSLATE(E32, ""en"", ""ur"")"),"چتورنگا کے بہت سے خاکوں میں، راجہ اور منتری کو بیچ میں رکھا گیا ہے، لیکن سفید راجہ e1 پر ہے جبکہ سیاہ راجہ d8 پر ہے، e8 پر نہیں۔")</f>
        <v>چتورنگا کے بہت سے خاکوں میں، راجہ اور منتری کو بیچ میں رکھا گیا ہے، لیکن سفید راجہ e1 پر ہے جبکہ سیاہ راجہ d8 پر ہے، e8 پر نہیں۔</v>
      </c>
    </row>
    <row r="33">
      <c r="A33" s="3">
        <v>32.0</v>
      </c>
      <c r="B33" s="4" t="s">
        <v>731</v>
      </c>
      <c r="C33" s="4" t="s">
        <v>732</v>
      </c>
      <c r="D33" s="4" t="s">
        <v>733</v>
      </c>
      <c r="E33" s="4" t="s">
        <v>734</v>
      </c>
      <c r="J33" s="5" t="str">
        <f>IFERROR(__xludf.DUMMYFUNCTION("GOOGLETRANSLATE(A33, ""en"", ""ur"")"),"32")</f>
        <v>32</v>
      </c>
      <c r="K33" s="5" t="str">
        <f>IFERROR(__xludf.DUMMYFUNCTION("GOOGLETRANSLATE(B33, ""en"", ""ur"")"),"کون سا مشہور اسلامی اسکالر اور شترنج کا ماسٹر 9ویں صدی میں شطرنج کی حکمت عملی پر پہلی بڑی کتاب لکھنے کے لیے جانا جاتا تھا؟")</f>
        <v>کون سا مشہور اسلامی اسکالر اور شترنج کا ماسٹر 9ویں صدی میں شطرنج کی حکمت عملی پر پہلی بڑی کتاب لکھنے کے لیے جانا جاتا تھا؟</v>
      </c>
      <c r="L33" s="5" t="str">
        <f>IFERROR(__xludf.DUMMYFUNCTION("GOOGLETRANSLATE(C33, ""en"", ""ur"")"),"الف) الخوارزمی، بی) الکندی، سی) العدلی، ڈی) ابن سینا")</f>
        <v>الف) الخوارزمی، بی) الکندی، سی) العدلی، ڈی) ابن سینا</v>
      </c>
      <c r="M33" s="5" t="str">
        <f>IFERROR(__xludf.DUMMYFUNCTION("GOOGLETRANSLATE(D33, ""en"", ""ur"")"),"ج) العدلی")</f>
        <v>ج) العدلی</v>
      </c>
      <c r="N33" s="5" t="str">
        <f>IFERROR(__xludf.DUMMYFUNCTION("GOOGLETRANSLATE(E33, ""en"", ""ur"")"),"العدلی عباسی خلافت میں ایک اعلیٰ کھلاڑی تھا اور اس نے شترنج کے آغاز، حکمت عملی اور اختتامی کھیلوں پر ایک جامع کتاب تصنیف کی تھی۔")</f>
        <v>العدلی عباسی خلافت میں ایک اعلیٰ کھلاڑی تھا اور اس نے شترنج کے آغاز، حکمت عملی اور اختتامی کھیلوں پر ایک جامع کتاب تصنیف کی تھی۔</v>
      </c>
    </row>
    <row r="34">
      <c r="A34" s="3">
        <v>33.0</v>
      </c>
      <c r="B34" s="4" t="s">
        <v>735</v>
      </c>
      <c r="C34" s="4" t="s">
        <v>736</v>
      </c>
      <c r="D34" s="4" t="s">
        <v>737</v>
      </c>
      <c r="E34" s="4" t="s">
        <v>738</v>
      </c>
      <c r="J34" s="5" t="str">
        <f>IFERROR(__xludf.DUMMYFUNCTION("GOOGLETRANSLATE(A34, ""en"", ""ur"")"),"33")</f>
        <v>33</v>
      </c>
      <c r="K34" s="5" t="str">
        <f>IFERROR(__xludf.DUMMYFUNCTION("GOOGLETRANSLATE(B34, ""en"", ""ur"")"),"چتورنگا کے چار پلیئر ڈائس ویرینٹ کا کیا نام ہے؟")</f>
        <v>چتورنگا کے چار پلیئر ڈائس ویرینٹ کا کیا نام ہے؟</v>
      </c>
      <c r="L34" s="5" t="str">
        <f>IFERROR(__xludf.DUMMYFUNCTION("GOOGLETRANSLATE(C34, ""en"", ""ur"")"),"A) اشتاپد، B) شترانج، C) چتوراجی، D) داساپڑا")</f>
        <v>A) اشتاپد، B) شترانج، C) چتوراجی، D) داساپڑا</v>
      </c>
      <c r="M34" s="5" t="str">
        <f>IFERROR(__xludf.DUMMYFUNCTION("GOOGLETRANSLATE(D34, ""en"", ""ur"")"),"ج) چتورجی")</f>
        <v>ج) چتورجی</v>
      </c>
      <c r="N34" s="5" t="str">
        <f>IFERROR(__xludf.DUMMYFUNCTION("GOOGLETRANSLATE(E34, ""en"", ""ur"")"),"چتوراجی (جس کا مطلب ہے ""چار بادشاہ"") اس مقبول قسم کو دیا گیا نام ہے جس میں قسمت اور اتحاد کے عناصر شامل ہیں۔")</f>
        <v>چتوراجی (جس کا مطلب ہے "چار بادشاہ") اس مقبول قسم کو دیا گیا نام ہے جس میں قسمت اور اتحاد کے عناصر شامل ہیں۔</v>
      </c>
    </row>
    <row r="35">
      <c r="A35" s="3">
        <v>34.0</v>
      </c>
      <c r="B35" s="4" t="s">
        <v>739</v>
      </c>
      <c r="C35" s="4" t="s">
        <v>740</v>
      </c>
      <c r="D35" s="4" t="s">
        <v>741</v>
      </c>
      <c r="E35" s="4" t="s">
        <v>742</v>
      </c>
      <c r="J35" s="5" t="str">
        <f>IFERROR(__xludf.DUMMYFUNCTION("GOOGLETRANSLATE(A35, ""en"", ""ur"")"),"34")</f>
        <v>34</v>
      </c>
      <c r="K35" s="5" t="str">
        <f>IFERROR(__xludf.DUMMYFUNCTION("GOOGLETRANSLATE(B35, ""en"", ""ur"")"),"اشوا (نائٹ) کو اکثر گجا (ہاتھی) سے زیادہ قیمتی کیوں سمجھا جاتا تھا؟")</f>
        <v>اشوا (نائٹ) کو اکثر گجا (ہاتھی) سے زیادہ قیمتی کیوں سمجھا جاتا تھا؟</v>
      </c>
      <c r="L35" s="5" t="str">
        <f>IFERROR(__xludf.DUMMYFUNCTION("GOOGLETRANSLATE(C35, ""en"", ""ur"")"),"A) یہ دور تک جا سکتا تھا، B) یہ ""رنگ سے منسلک"" نہیں تھا اور بورڈ پر کسی بھی مربع تک رسائی حاصل کر سکتا تھا، C) اسے فروغ دیا جا سکتا تھا، D) یہ دفاع کرنے میں بہتر تھا۔")</f>
        <v>A) یہ دور تک جا سکتا تھا، B) یہ "رنگ سے منسلک" نہیں تھا اور بورڈ پر کسی بھی مربع تک رسائی حاصل کر سکتا تھا، C) اسے فروغ دیا جا سکتا تھا، D) یہ دفاع کرنے میں بہتر تھا۔</v>
      </c>
      <c r="M35" s="5" t="str">
        <f>IFERROR(__xludf.DUMMYFUNCTION("GOOGLETRANSLATE(D35, ""en"", ""ur"")"),"ب) یہ ""رنگ کا پابند"" نہیں تھا اور بورڈ کے کسی بھی مربع تک رسائی حاصل کر سکتا تھا۔")</f>
        <v>ب) یہ "رنگ کا پابند" نہیں تھا اور بورڈ کے کسی بھی مربع تک رسائی حاصل کر سکتا تھا۔</v>
      </c>
      <c r="N35" s="5" t="str">
        <f>IFERROR(__xludf.DUMMYFUNCTION("GOOGLETRANSLATE(E35, ""en"", ""ur"")"),"اشوا کی لچک اور کسی بھی مربع تک پہنچنے کی صلاحیت نے اسے شدید طور پر محدود گجا سے کہیں زیادہ ورسٹائل اور مفید ٹکڑا بنا دیا۔")</f>
        <v>اشوا کی لچک اور کسی بھی مربع تک پہنچنے کی صلاحیت نے اسے شدید طور پر محدود گجا سے کہیں زیادہ ورسٹائل اور مفید ٹکڑا بنا دیا۔</v>
      </c>
    </row>
    <row r="36">
      <c r="A36" s="3">
        <v>35.0</v>
      </c>
      <c r="B36" s="4" t="s">
        <v>743</v>
      </c>
      <c r="C36" s="4" t="s">
        <v>744</v>
      </c>
      <c r="D36" s="4" t="s">
        <v>745</v>
      </c>
      <c r="E36" s="4" t="s">
        <v>746</v>
      </c>
      <c r="J36" s="5" t="str">
        <f>IFERROR(__xludf.DUMMYFUNCTION("GOOGLETRANSLATE(A36, ""en"", ""ur"")"),"35")</f>
        <v>35</v>
      </c>
      <c r="K36" s="5" t="str">
        <f>IFERROR(__xludf.DUMMYFUNCTION("GOOGLETRANSLATE(B36, ""en"", ""ur"")"),"آخر کھیل کے منظر نامے میں کون سا ٹکڑا سب سے کمزور سمجھا جاتا تھا؟")</f>
        <v>آخر کھیل کے منظر نامے میں کون سا ٹکڑا سب سے کمزور سمجھا جاتا تھا؟</v>
      </c>
      <c r="L36" s="5" t="str">
        <f>IFERROR(__xludf.DUMMYFUNCTION("GOOGLETRANSLATE(C36, ""en"", ""ur"")"),"A) راجہ، B) پادتی، C) منتری، D) گاجا")</f>
        <v>A) راجہ، B) پادتی، C) منتری، D) گاجا</v>
      </c>
      <c r="M36" s="5" t="str">
        <f>IFERROR(__xludf.DUMMYFUNCTION("GOOGLETRANSLATE(D36, ""en"", ""ur"")"),"ج) منتری")</f>
        <v>ج) منتری</v>
      </c>
      <c r="N36" s="5" t="str">
        <f>IFERROR(__xludf.DUMMYFUNCTION("GOOGLETRANSLATE(E36, ""en"", ""ur"")"),"اپنی ایک مربع ترچھی حرکت کے ساتھ، منتری کے پاس کھلے اختتامی کھیل میں تقریباً کوئی طاقت نہیں تھی اور وہ اکثر ذمہ داری تھی۔")</f>
        <v>اپنی ایک مربع ترچھی حرکت کے ساتھ، منتری کے پاس کھلے اختتامی کھیل میں تقریباً کوئی طاقت نہیں تھی اور وہ اکثر ذمہ داری تھی۔</v>
      </c>
    </row>
    <row r="37">
      <c r="A37" s="3">
        <v>36.0</v>
      </c>
      <c r="B37" s="4" t="s">
        <v>747</v>
      </c>
      <c r="C37" s="4" t="s">
        <v>748</v>
      </c>
      <c r="D37" s="4" t="s">
        <v>749</v>
      </c>
      <c r="E37" s="4" t="s">
        <v>750</v>
      </c>
      <c r="J37" s="5" t="str">
        <f>IFERROR(__xludf.DUMMYFUNCTION("GOOGLETRANSLATE(A37, ""en"", ""ur"")"),"36")</f>
        <v>36</v>
      </c>
      <c r="K37" s="5" t="str">
        <f>IFERROR(__xludf.DUMMYFUNCTION("GOOGLETRANSLATE(B37, ""en"", ""ur"")"),"شطرنج کی تاریخ میں بغداد شہر نے کیا کردار ادا کیا؟")</f>
        <v>شطرنج کی تاریخ میں بغداد شہر نے کیا کردار ادا کیا؟</v>
      </c>
      <c r="L37" s="5" t="str">
        <f>IFERROR(__xludf.DUMMYFUNCTION("GOOGLETRANSLATE(C37, ""en"", ""ur"")"),"A) یہ وہ جگہ ہے جہاں کھیل کی ایجاد ہوئی تھی، B) یہ اسلامی سنہری دور میں شطرنج کے نظریہ اور ثقافت کا پہلا عظیم مرکز بن گیا تھا، C) یہ وہ جگہ ہے جہاں جدید ملکہ کی ایجاد ہوئی تھی، D) اس نے کوئی کردار ادا نہیں کیا۔")</f>
        <v>A) یہ وہ جگہ ہے جہاں کھیل کی ایجاد ہوئی تھی، B) یہ اسلامی سنہری دور میں شطرنج کے نظریہ اور ثقافت کا پہلا عظیم مرکز بن گیا تھا، C) یہ وہ جگہ ہے جہاں جدید ملکہ کی ایجاد ہوئی تھی، D) اس نے کوئی کردار ادا نہیں کیا۔</v>
      </c>
      <c r="M37" s="5" t="str">
        <f>IFERROR(__xludf.DUMMYFUNCTION("GOOGLETRANSLATE(D37, ""en"", ""ur"")"),"ب) یہ اسلامی سنہری دور میں شطرنج کے نظریہ اور ثقافت کا پہلا عظیم مرکز بن گیا۔")</f>
        <v>ب) یہ اسلامی سنہری دور میں شطرنج کے نظریہ اور ثقافت کا پہلا عظیم مرکز بن گیا۔</v>
      </c>
      <c r="N37" s="5" t="str">
        <f>IFERROR(__xludf.DUMMYFUNCTION("GOOGLETRANSLATE(E37, ""en"", ""ur"")"),"ہارون الرشید جیسے خلیفہ کے تحت، بغداد ایک مرکز بن گیا جہاں بہترین کھلاڑی مقابلہ کرتے اور منظم طریقے سے کھیل کا مطالعہ کرتے۔")</f>
        <v>ہارون الرشید جیسے خلیفہ کے تحت، بغداد ایک مرکز بن گیا جہاں بہترین کھلاڑی مقابلہ کرتے اور منظم طریقے سے کھیل کا مطالعہ کرتے۔</v>
      </c>
    </row>
    <row r="38">
      <c r="A38" s="3">
        <v>37.0</v>
      </c>
      <c r="B38" s="4" t="s">
        <v>751</v>
      </c>
      <c r="C38" s="4" t="s">
        <v>752</v>
      </c>
      <c r="D38" s="4" t="s">
        <v>753</v>
      </c>
      <c r="E38" s="4" t="s">
        <v>754</v>
      </c>
      <c r="J38" s="5" t="str">
        <f>IFERROR(__xludf.DUMMYFUNCTION("GOOGLETRANSLATE(A38, ""en"", ""ur"")"),"37")</f>
        <v>37</v>
      </c>
      <c r="K38" s="5" t="str">
        <f>IFERROR(__xludf.DUMMYFUNCTION("GOOGLETRANSLATE(B38, ""en"", ""ur"")"),"اس ٹکڑے کا کیا نام تھا جس نے فارسی ورژن شترنج میں ہاتھی (رتھ) کی جگہ لی؟")</f>
        <v>اس ٹکڑے کا کیا نام تھا جس نے فارسی ورژن شترنج میں ہاتھی (رتھ) کی جگہ لی؟</v>
      </c>
      <c r="L38" s="5" t="str">
        <f>IFERROR(__xludf.DUMMYFUNCTION("GOOGLETRANSLATE(C38, ""en"", ""ur"")"),"A) شاہ، B) فل، C) رخ، D) فارس")</f>
        <v>A) شاہ، B) فل، C) رخ، D) فارس</v>
      </c>
      <c r="M38" s="5" t="str">
        <f>IFERROR(__xludf.DUMMYFUNCTION("GOOGLETRANSLATE(D38, ""en"", ""ur"")"),"ج) رخ")</f>
        <v>ج) رخ</v>
      </c>
      <c r="N38" s="5" t="str">
        <f>IFERROR(__xludf.DUMMYFUNCTION("GOOGLETRANSLATE(E38, ""en"", ""ur"")"),"ہاتھی کا نام بدل کر فارسی میں رخ رکھ دیا گیا، جس کا مطلب ہے رتھ۔ یہ جدید انگریزی لفظ ""Rook"" کی براہ راست اصل ہے۔")</f>
        <v>ہاتھی کا نام بدل کر فارسی میں رخ رکھ دیا گیا، جس کا مطلب ہے رتھ۔ یہ جدید انگریزی لفظ "Rook" کی براہ راست اصل ہے۔</v>
      </c>
    </row>
    <row r="39">
      <c r="A39" s="3">
        <v>38.0</v>
      </c>
      <c r="B39" s="4" t="s">
        <v>755</v>
      </c>
      <c r="C39" s="4" t="s">
        <v>756</v>
      </c>
      <c r="D39" s="4" t="s">
        <v>757</v>
      </c>
      <c r="E39" s="4" t="s">
        <v>758</v>
      </c>
      <c r="J39" s="5" t="str">
        <f>IFERROR(__xludf.DUMMYFUNCTION("GOOGLETRANSLATE(A39, ""en"", ""ur"")"),"38")</f>
        <v>38</v>
      </c>
      <c r="K39" s="5" t="str">
        <f>IFERROR(__xludf.DUMMYFUNCTION("GOOGLETRANSLATE(B39, ""en"", ""ur"")"),"چار کھلاڑیوں کے ورژن میں، فوجوں کے چار رنگ کیا تھے؟")</f>
        <v>چار کھلاڑیوں کے ورژن میں، فوجوں کے چار رنگ کیا تھے؟</v>
      </c>
      <c r="L39" s="5" t="str">
        <f>IFERROR(__xludf.DUMMYFUNCTION("GOOGLETRANSLATE(C39, ""en"", ""ur"")"),"A) سرخ، سفید، نیلا، اور گولڈ، B) سیاہ، سبز، سرخ، اور پیلا، C) سیاہ اور سفید کے دو سیٹ، D) نارنجی، جامنی، براؤن، اور گرے")</f>
        <v>A) سرخ، سفید، نیلا، اور گولڈ، B) سیاہ، سبز، سرخ، اور پیلا، C) سیاہ اور سفید کے دو سیٹ، D) نارنجی، جامنی، براؤن، اور گرے</v>
      </c>
      <c r="M39" s="5" t="str">
        <f>IFERROR(__xludf.DUMMYFUNCTION("GOOGLETRANSLATE(D39, ""en"", ""ur"")"),"ب) سیاہ، سبز، سرخ، اور پیلا")</f>
        <v>ب) سیاہ، سبز، سرخ، اور پیلا</v>
      </c>
      <c r="N39" s="5" t="str">
        <f>IFERROR(__xludf.DUMMYFUNCTION("GOOGLETRANSLATE(E39, ""en"", ""ur"")"),"چاروں فوجیں ان چار الگ الگ رنگوں سے ممتاز تھیں۔")</f>
        <v>چاروں فوجیں ان چار الگ الگ رنگوں سے ممتاز تھیں۔</v>
      </c>
    </row>
    <row r="40">
      <c r="A40" s="3">
        <v>39.0</v>
      </c>
      <c r="B40" s="4" t="s">
        <v>759</v>
      </c>
      <c r="C40" s="4" t="s">
        <v>760</v>
      </c>
      <c r="D40" s="4" t="s">
        <v>761</v>
      </c>
      <c r="E40" s="4" t="s">
        <v>762</v>
      </c>
      <c r="J40" s="5" t="str">
        <f>IFERROR(__xludf.DUMMYFUNCTION("GOOGLETRANSLATE(A40, ""en"", ""ur"")"),"39")</f>
        <v>39</v>
      </c>
      <c r="K40" s="5" t="str">
        <f>IFERROR(__xludf.DUMMYFUNCTION("GOOGLETRANSLATE(B40, ""en"", ""ur"")"),"کون سی بڑی یورپی اختراع، جو چتورنگا میں موجود نہیں تھی، نے افتتاح میں بادشاہ کی حفاظت کو بہت بہتر بنایا؟")</f>
        <v>کون سی بڑی یورپی اختراع، جو چتورنگا میں موجود نہیں تھی، نے افتتاح میں بادشاہ کی حفاظت کو بہت بہتر بنایا؟</v>
      </c>
      <c r="L40" s="5" t="str">
        <f>IFERROR(__xludf.DUMMYFUNCTION("GOOGLETRANSLATE(C40, ""en"", ""ur"")"),"A) دو قدموں والا پیادہ حرکت، B) طاقتور ملکہ، C) کاسٹلنگ، D) این پاسنٹ")</f>
        <v>A) دو قدموں والا پیادہ حرکت، B) طاقتور ملکہ، C) کاسٹلنگ، D) این پاسنٹ</v>
      </c>
      <c r="M40" s="5" t="str">
        <f>IFERROR(__xludf.DUMMYFUNCTION("GOOGLETRANSLATE(D40, ""en"", ""ur"")"),"ج) کیسلنگ")</f>
        <v>ج) کیسلنگ</v>
      </c>
      <c r="N40" s="5" t="str">
        <f>IFERROR(__xludf.DUMMYFUNCTION("GOOGLETRANSLATE(E40, ""en"", ""ur"")"),"کنگ اینڈ روک (ہاتھی) پر مشتمل خصوصی اقدام یورپ میں ترقی کو تیز کرنے اور بادشاہ کی حفاظت کے لیے تیار کیا گیا تھا۔")</f>
        <v>کنگ اینڈ روک (ہاتھی) پر مشتمل خصوصی اقدام یورپ میں ترقی کو تیز کرنے اور بادشاہ کی حفاظت کے لیے تیار کیا گیا تھا۔</v>
      </c>
    </row>
    <row r="41">
      <c r="A41" s="3">
        <v>40.0</v>
      </c>
      <c r="B41" s="4" t="s">
        <v>763</v>
      </c>
      <c r="C41" s="4" t="s">
        <v>764</v>
      </c>
      <c r="D41" s="4" t="s">
        <v>765</v>
      </c>
      <c r="E41" s="4" t="s">
        <v>766</v>
      </c>
      <c r="J41" s="5" t="str">
        <f>IFERROR(__xludf.DUMMYFUNCTION("GOOGLETRANSLATE(A41, ""en"", ""ur"")"),"40")</f>
        <v>40</v>
      </c>
      <c r="K41" s="5" t="str">
        <f>IFERROR(__xludf.DUMMYFUNCTION("GOOGLETRANSLATE(B41, ""en"", ""ur"")"),"13ویں صدی کے مخطوطہ کا نام کیا ہے، جسے ایک ہسپانوی بادشاہ نے بنایا تھا، جو شطرنج اور دیگر کھیلوں کی تاریخ کا ایک اہم ذریعہ ہے؟")</f>
        <v>13ویں صدی کے مخطوطہ کا نام کیا ہے، جسے ایک ہسپانوی بادشاہ نے بنایا تھا، جو شطرنج اور دیگر کھیلوں کی تاریخ کا ایک اہم ذریعہ ہے؟</v>
      </c>
      <c r="L41" s="5" t="str">
        <f>IFERROR(__xludf.DUMMYFUNCTION("GOOGLETRANSLATE(C41, ""en"", ""ur"")"),"A) The Domesday Book, B) The Magna Carta, C) The Libro de los juegos (Book of Games), D) The Cantar de mio Cid")</f>
        <v>A) The Domesday Book, B) The Magna Carta, C) The Libro de los juegos (Book of Games), D) The Cantar de mio Cid</v>
      </c>
      <c r="M41" s="5" t="str">
        <f>IFERROR(__xludf.DUMMYFUNCTION("GOOGLETRANSLATE(D41, ""en"", ""ur"")"),"سی) دی لائبرو ڈی لاس جیوگوس (کھیلوں کی کتاب)")</f>
        <v>سی) دی لائبرو ڈی لاس جیوگوس (کھیلوں کی کتاب)</v>
      </c>
      <c r="N41" s="5" t="str">
        <f>IFERROR(__xludf.DUMMYFUNCTION("GOOGLETRANSLATE(E41, ""en"", ""ur"")"),"کاسٹائل کے الفانسو ایکس کے ذریعہ تیار کردہ، یہ کتاب قرون وسطی کے یورپ میں شطرنج (شطرنج سے ماخوذ) کے بارے میں معلومات کا خزانہ ہے۔")</f>
        <v>کاسٹائل کے الفانسو ایکس کے ذریعہ تیار کردہ، یہ کتاب قرون وسطی کے یورپ میں شطرنج (شطرنج سے ماخوذ) کے بارے میں معلومات کا خزانہ ہے۔</v>
      </c>
    </row>
    <row r="42">
      <c r="A42" s="3">
        <v>41.0</v>
      </c>
      <c r="B42" s="4" t="s">
        <v>767</v>
      </c>
      <c r="C42" s="4" t="s">
        <v>768</v>
      </c>
      <c r="D42" s="4" t="s">
        <v>769</v>
      </c>
      <c r="E42" s="4" t="s">
        <v>770</v>
      </c>
      <c r="J42" s="5" t="str">
        <f>IFERROR(__xludf.DUMMYFUNCTION("GOOGLETRANSLATE(A42, ""en"", ""ur"")"),"41")</f>
        <v>41</v>
      </c>
      <c r="K42" s="5" t="str">
        <f>IFERROR(__xludf.DUMMYFUNCTION("GOOGLETRANSLATE(B42, ""en"", ""ur"")"),"ایک مخالف کی پاداٹی کے لیے اپنے گاجا کی تجارت کرنا اکثر ایک اچھی حکمت عملی کیوں تھی؟")</f>
        <v>ایک مخالف کی پاداٹی کے لیے اپنے گاجا کی تجارت کرنا اکثر ایک اچھی حکمت عملی کیوں تھی؟</v>
      </c>
      <c r="L42" s="5" t="str">
        <f>IFERROR(__xludf.DUMMYFUNCTION("GOOGLETRANSLATE(C42, ""en"", ""ur"")"),"A) یہ اچھی حکمت عملی نہیں تھی، B) اپنی منتری کے لیے ایک ترچھا کھولنا، C) کیونکہ گاجا اتنا کمزور اور محدود تھا کہ ایک پیادہ بھی زیادہ کارآمد ہو سکتا تھا، D) اپنی ہاتھی کے لیے راستہ صاف کرنا۔")</f>
        <v>A) یہ اچھی حکمت عملی نہیں تھی، B) اپنی منتری کے لیے ایک ترچھا کھولنا، C) کیونکہ گاجا اتنا کمزور اور محدود تھا کہ ایک پیادہ بھی زیادہ کارآمد ہو سکتا تھا، D) اپنی ہاتھی کے لیے راستہ صاف کرنا۔</v>
      </c>
      <c r="M42" s="5" t="str">
        <f>IFERROR(__xludf.DUMMYFUNCTION("GOOGLETRANSLATE(D42, ""en"", ""ur"")"),"ج) کیونکہ گاجا اتنا کمزور اور محدود تھا کہ ایک پیادہ بھی زیادہ مفید ہو سکتا تھا۔")</f>
        <v>ج) کیونکہ گاجا اتنا کمزور اور محدود تھا کہ ایک پیادہ بھی زیادہ مفید ہو سکتا تھا۔</v>
      </c>
      <c r="N42" s="5" t="str">
        <f>IFERROR(__xludf.DUMMYFUNCTION("GOOGLETRANSLATE(E42, ""en"", ""ur"")"),"گاجا کے محدود دائرہ کار نے اسے ایک معمولی ٹکڑا بنا دیا۔ بہت سے حالات میں، اپنے پیادے کی ساخت کو بہتر بنانا گاجا کی قربانی دینے کے قابل تھا۔")</f>
        <v>گاجا کے محدود دائرہ کار نے اسے ایک معمولی ٹکڑا بنا دیا۔ بہت سے حالات میں، اپنے پیادے کی ساخت کو بہتر بنانا گاجا کی قربانی دینے کے قابل تھا۔</v>
      </c>
    </row>
    <row r="43">
      <c r="A43" s="3">
        <v>42.0</v>
      </c>
      <c r="B43" s="4" t="s">
        <v>771</v>
      </c>
      <c r="C43" s="4" t="s">
        <v>772</v>
      </c>
      <c r="D43" s="4" t="s">
        <v>773</v>
      </c>
      <c r="E43" s="4" t="s">
        <v>774</v>
      </c>
      <c r="J43" s="5" t="str">
        <f>IFERROR(__xludf.DUMMYFUNCTION("GOOGLETRANSLATE(A43, ""en"", ""ur"")"),"42")</f>
        <v>42</v>
      </c>
      <c r="K43" s="5" t="str">
        <f>IFERROR(__xludf.DUMMYFUNCTION("GOOGLETRANSLATE(B43, ""en"", ""ur"")"),"بشپ کے لیے جدید ہسپانوی لفظ ""الفل"" ہے۔ یہ نام کس زبان اور ٹکڑے سے ماخوذ ہے؟")</f>
        <v>بشپ کے لیے جدید ہسپانوی لفظ "الفل" ہے۔ یہ نام کس زبان اور ٹکڑے سے ماخوذ ہے؟</v>
      </c>
      <c r="L43" s="5" t="str">
        <f>IFERROR(__xludf.DUMMYFUNCTION("GOOGLETRANSLATE(C43, ""en"", ""ur"")"),"A) لاطینی ""البس"" سے، B) عربی ""الفل"" (ہاتھی) سے، C) یونانی ""ایپسکوپوس"" سے، D) سنسکرت ""ہاتھی"" سے")</f>
        <v>A) لاطینی "البس" سے، B) عربی "الفل" (ہاتھی) سے، C) یونانی "ایپسکوپوس" سے، D) سنسکرت "ہاتھی" سے</v>
      </c>
      <c r="M43" s="5" t="str">
        <f>IFERROR(__xludf.DUMMYFUNCTION("GOOGLETRANSLATE(D43, ""en"", ""ur"")"),"ب) عربی ""الفِل"" (ہاتھی) سے")</f>
        <v>ب) عربی "الفِل" (ہاتھی) سے</v>
      </c>
      <c r="N43" s="5" t="str">
        <f>IFERROR(__xludf.DUMMYFUNCTION("GOOGLETRANSLATE(E43, ""en"", ""ur"")"),"یہ ایک براہ راست لسانی لنک ہے جو کھیل کا راستہ دکھاتا ہے: ہندوستانی گاجا (ہاتھی) عربی الفل بن گیا، جو ہسپانوی الفل بن گیا۔")</f>
        <v>یہ ایک براہ راست لسانی لنک ہے جو کھیل کا راستہ دکھاتا ہے: ہندوستانی گاجا (ہاتھی) عربی الفل بن گیا، جو ہسپانوی الفل بن گیا۔</v>
      </c>
    </row>
    <row r="44">
      <c r="A44" s="3">
        <v>43.0</v>
      </c>
      <c r="B44" s="4" t="s">
        <v>775</v>
      </c>
      <c r="C44" s="4" t="s">
        <v>776</v>
      </c>
      <c r="D44" s="4" t="s">
        <v>777</v>
      </c>
      <c r="E44" s="4" t="s">
        <v>778</v>
      </c>
      <c r="J44" s="5" t="str">
        <f>IFERROR(__xludf.DUMMYFUNCTION("GOOGLETRANSLATE(A44, ""en"", ""ur"")"),"43")</f>
        <v>43</v>
      </c>
      <c r="K44" s="5" t="str">
        <f>IFERROR(__xludf.DUMMYFUNCTION("GOOGLETRANSLATE(B44, ""en"", ""ur"")"),"ایک پداٹی a7 پر ہے، فروغ سے ایک مربع۔ ایک دشمن ہاتھی a1 پر ہے۔ ہاتھی کیسے پروموشن روک سکتا ہے؟")</f>
        <v>ایک پداٹی a7 پر ہے، فروغ سے ایک مربع۔ ایک دشمن ہاتھی a1 پر ہے۔ ہاتھی کیسے پروموشن روک سکتا ہے؟</v>
      </c>
      <c r="L44" s="5" t="str">
        <f>IFERROR(__xludf.DUMMYFUNCTION("GOOGLETRANSLATE(C44, ""en"", ""ur"")"),"A) یہ نہیں کر سکتا، پداٹی بہت قریب ہے، B) مربع کو بلاک کرنے کے لیے a8 پر جا کر، C) a7 پر Padati کو پکڑ کر، D) B اور C دونوں ممکنہ کارروائیاں ہیں")</f>
        <v>A) یہ نہیں کر سکتا، پداٹی بہت قریب ہے، B) مربع کو بلاک کرنے کے لیے a8 پر جا کر، C) a7 پر Padati کو پکڑ کر، D) B اور C دونوں ممکنہ کارروائیاں ہیں</v>
      </c>
      <c r="M44" s="5" t="str">
        <f>IFERROR(__xludf.DUMMYFUNCTION("GOOGLETRANSLATE(D44, ""en"", ""ur"")"),"D) B اور C دونوں ممکنہ اعمال ہیں۔")</f>
        <v>D) B اور C دونوں ممکنہ اعمال ہیں۔</v>
      </c>
      <c r="N44" s="5" t="str">
        <f>IFERROR(__xludf.DUMMYFUNCTION("GOOGLETRANSLATE(E44, ""en"", ""ur"")"),"ہاتھی یا تو آگے بڑھنے والے پیادے کو براہ راست پکڑ سکتا ہے یا اگر یہ ممکن نہیں ہے تو اس کا راستہ روکنے کے لیے پروموشن اسکوائر پر قبضہ کر سکتا ہے۔")</f>
        <v>ہاتھی یا تو آگے بڑھنے والے پیادے کو براہ راست پکڑ سکتا ہے یا اگر یہ ممکن نہیں ہے تو اس کا راستہ روکنے کے لیے پروموشن اسکوائر پر قبضہ کر سکتا ہے۔</v>
      </c>
    </row>
    <row r="45">
      <c r="A45" s="3">
        <v>44.0</v>
      </c>
      <c r="B45" s="4" t="s">
        <v>779</v>
      </c>
      <c r="C45" s="4" t="s">
        <v>780</v>
      </c>
      <c r="D45" s="4" t="s">
        <v>781</v>
      </c>
      <c r="E45" s="4" t="s">
        <v>782</v>
      </c>
      <c r="J45" s="5" t="str">
        <f>IFERROR(__xludf.DUMMYFUNCTION("GOOGLETRANSLATE(A45, ""en"", ""ur"")"),"44")</f>
        <v>44</v>
      </c>
      <c r="K45" s="5" t="str">
        <f>IFERROR(__xludf.DUMMYFUNCTION("GOOGLETRANSLATE(B45, ""en"", ""ur"")"),"e2 سے شروع ہونے والی پڈاٹی کی ترقی کی کم از کم تعداد کتنی ہے؟")</f>
        <v>e2 سے شروع ہونے والی پڈاٹی کی ترقی کی کم از کم تعداد کتنی ہے؟</v>
      </c>
      <c r="L45" s="5" t="str">
        <f>IFERROR(__xludf.DUMMYFUNCTION("GOOGLETRANSLATE(C45, ""en"", ""ur"")"),"A) 4 چالیں، B) 5 چالیں، C) 6 چالیں، D) 7 چالیں۔")</f>
        <v>A) 4 چالیں، B) 5 چالیں، C) 6 چالیں، D) 7 چالیں۔</v>
      </c>
      <c r="M45" s="5" t="str">
        <f>IFERROR(__xludf.DUMMYFUNCTION("GOOGLETRANSLATE(D45, ""en"", ""ur"")"),"C) 6 حرکتیں")</f>
        <v>C) 6 حرکتیں</v>
      </c>
      <c r="N45" s="5" t="str">
        <f>IFERROR(__xludf.DUMMYFUNCTION("GOOGLETRANSLATE(E45, ""en"", ""ur"")"),"چونکہ پداٹی ایک وقت میں صرف ایک مربع کو منتقل کر سکتا ہے، اس لیے اسے آخری درجے تک پہنچنے کے لیے چھ آگے (e3, e4, e5, e6, e7, e8) کی ضرورت ہوتی ہے۔")</f>
        <v>چونکہ پداٹی ایک وقت میں صرف ایک مربع کو منتقل کر سکتا ہے، اس لیے اسے آخری درجے تک پہنچنے کے لیے چھ آگے (e3, e4, e5, e6, e7, e8) کی ضرورت ہوتی ہے۔</v>
      </c>
    </row>
    <row r="46">
      <c r="A46" s="3">
        <v>45.0</v>
      </c>
      <c r="B46" s="4" t="s">
        <v>783</v>
      </c>
      <c r="C46" s="4" t="s">
        <v>784</v>
      </c>
      <c r="D46" s="4" t="s">
        <v>785</v>
      </c>
      <c r="E46" s="4" t="s">
        <v>786</v>
      </c>
      <c r="J46" s="5" t="str">
        <f>IFERROR(__xludf.DUMMYFUNCTION("GOOGLETRANSLATE(A46, ""en"", ""ur"")"),"45")</f>
        <v>45</v>
      </c>
      <c r="K46" s="5" t="str">
        <f>IFERROR(__xludf.DUMMYFUNCTION("GOOGLETRANSLATE(B46, ""en"", ""ur"")"),"تمہارا مخالف صرف ان کا راجہ رہ گیا ہے۔ آپ کے پاس ایک راجہ اور دو اشو ہیں۔ کیا آپ زبردستی جیت سکتے ہیں؟")</f>
        <v>تمہارا مخالف صرف ان کا راجہ رہ گیا ہے۔ آپ کے پاس ایک راجہ اور دو اشو ہیں۔ کیا آپ زبردستی جیت سکتے ہیں؟</v>
      </c>
      <c r="L46" s="5" t="str">
        <f>IFERROR(__xludf.DUMMYFUNCTION("GOOGLETRANSLATE(C46, ""en"", ""ur"")"),"A) نہیں، یہ ایک خودکار قرعہ اندازی ہے، B) ہاں، یہ ایک معیاری اور معروف جیت ہے، C) یہ ممکن ہے لیکن انتہائی مشکل سمجھا جاتا ہے، D) صرف اس صورت میں جب مخالف کا راجہ پہلے سے کونے میں ہو۔")</f>
        <v>A) نہیں، یہ ایک خودکار قرعہ اندازی ہے، B) ہاں، یہ ایک معیاری اور معروف جیت ہے، C) یہ ممکن ہے لیکن انتہائی مشکل سمجھا جاتا ہے، D) صرف اس صورت میں جب مخالف کا راجہ پہلے سے کونے میں ہو۔</v>
      </c>
      <c r="M46" s="5" t="str">
        <f>IFERROR(__xludf.DUMMYFUNCTION("GOOGLETRANSLATE(D46, ""en"", ""ur"")"),"ب) جی ہاں، یہ ایک معیاری اور معروف جیت ہے۔")</f>
        <v>ب) جی ہاں، یہ ایک معیاری اور معروف جیت ہے۔</v>
      </c>
      <c r="N46" s="5" t="str">
        <f>IFERROR(__xludf.DUMMYFUNCTION("GOOGLETRANSLATE(E46, ""en"", ""ur"")"),"جدید شطرنج میں دو نائٹ اینڈ گیم کی طرح، دو اشوا اور ایک راجہ کے پاس اتنی طاقت ہے کہ وہ منظم طریقے سے ایک تنہا دشمن راجہ کو پکڑ سکتے ہیں۔")</f>
        <v>جدید شطرنج میں دو نائٹ اینڈ گیم کی طرح، دو اشوا اور ایک راجہ کے پاس اتنی طاقت ہے کہ وہ منظم طریقے سے ایک تنہا دشمن راجہ کو پکڑ سکتے ہیں۔</v>
      </c>
    </row>
    <row r="47">
      <c r="A47" s="3">
        <v>46.0</v>
      </c>
      <c r="B47" s="4" t="s">
        <v>787</v>
      </c>
      <c r="C47" s="4" t="s">
        <v>788</v>
      </c>
      <c r="D47" s="4" t="s">
        <v>789</v>
      </c>
      <c r="E47" s="4" t="s">
        <v>790</v>
      </c>
      <c r="J47" s="5" t="str">
        <f>IFERROR(__xludf.DUMMYFUNCTION("GOOGLETRANSLATE(A47, ""en"", ""ur"")"),"46")</f>
        <v>46</v>
      </c>
      <c r="K47" s="5" t="str">
        <f>IFERROR(__xludf.DUMMYFUNCTION("GOOGLETRANSLATE(B47, ""en"", ""ur"")"),"چتورنگا کے اصول آج پورے یقین کے ساتھ کیوں نہیں معلوم ہیں؟")</f>
        <v>چتورنگا کے اصول آج پورے یقین کے ساتھ کیوں نہیں معلوم ہیں؟</v>
      </c>
      <c r="L47" s="5" t="str">
        <f>IFERROR(__xludf.DUMMYFUNCTION("GOOGLETRANSLATE(C47, ""en"", ""ur"")"),"A) قواعد بہت قریب سے محفوظ راز تھے، B) بہت کم بچ جانے والی تحریریں ہیں جو قواعد کو مکمل، غیر مبہم تفصیل سے بیان کرتی ہیں، C) گیم پر پابندی عائد کر دی گئی تھی اور تمام قواعد کی کتابیں تباہ کر دی گئی تھیں، D) یہ گیم بہت آسان تھی جس کے لیے قواعد کی کتاب کی ض"&amp;"رورت نہیں تھی۔")</f>
        <v>A) قواعد بہت قریب سے محفوظ راز تھے، B) بہت کم بچ جانے والی تحریریں ہیں جو قواعد کو مکمل، غیر مبہم تفصیل سے بیان کرتی ہیں، C) گیم پر پابندی عائد کر دی گئی تھی اور تمام قواعد کی کتابیں تباہ کر دی گئی تھیں، D) یہ گیم بہت آسان تھی جس کے لیے قواعد کی کتاب کی ضرورت نہیں تھی۔</v>
      </c>
      <c r="M47" s="5" t="str">
        <f>IFERROR(__xludf.DUMMYFUNCTION("GOOGLETRANSLATE(D47, ""en"", ""ur"")"),"ب) بہت کم بچ جانے والی تحریریں ہیں جو قواعد کو مکمل، غیر مبہم تفصیل سے بیان کرتی ہیں۔")</f>
        <v>ب) بہت کم بچ جانے والی تحریریں ہیں جو قواعد کو مکمل، غیر مبہم تفصیل سے بیان کرتی ہیں۔</v>
      </c>
      <c r="N47" s="5" t="str">
        <f>IFERROR(__xludf.DUMMYFUNCTION("GOOGLETRANSLATE(E47, ""en"", ""ur"")"),"مورخین کو ٹوٹی پھوٹی وضاحتوں اور اس کے جانشین گیمز کے شواہد سے قواعد کی تشکیل نو کرنی پڑتی ہے، جس کی وجہ سے عین اصولوں پر کچھ بحث ہوتی ہے۔")</f>
        <v>مورخین کو ٹوٹی پھوٹی وضاحتوں اور اس کے جانشین گیمز کے شواہد سے قواعد کی تشکیل نو کرنی پڑتی ہے، جس کی وجہ سے عین اصولوں پر کچھ بحث ہوتی ہے۔</v>
      </c>
    </row>
    <row r="48">
      <c r="A48" s="3">
        <v>47.0</v>
      </c>
      <c r="B48" s="4" t="s">
        <v>791</v>
      </c>
      <c r="C48" s="4" t="s">
        <v>792</v>
      </c>
      <c r="D48" s="4" t="s">
        <v>793</v>
      </c>
      <c r="E48" s="4" t="s">
        <v>794</v>
      </c>
      <c r="J48" s="5" t="str">
        <f>IFERROR(__xludf.DUMMYFUNCTION("GOOGLETRANSLATE(A48, ""en"", ""ur"")"),"47")</f>
        <v>47</v>
      </c>
      <c r="K48" s="5" t="str">
        <f>IFERROR(__xludf.DUMMYFUNCTION("GOOGLETRANSLATE(B48, ""en"", ""ur"")"),"ابتدائی سیٹ اپ میں، دو ہاتھیاں (رتھ) کہاں رکھی گئی ہیں؟")</f>
        <v>ابتدائی سیٹ اپ میں، دو ہاتھیاں (رتھ) کہاں رکھی گئی ہیں؟</v>
      </c>
      <c r="L48" s="5" t="str">
        <f>IFERROR(__xludf.DUMMYFUNCTION("GOOGLETRANSLATE(C48, ""en"", ""ur"")"),"A) راجہ اور منتری کے آگے، B) بورڈ کی دو مرکزی فائلوں پر، C) بورڈ کے کونوں میں (a1، h1، وغیرہ)، D) پڈاتیوں کے سامنے")</f>
        <v>A) راجہ اور منتری کے آگے، B) بورڈ کی دو مرکزی فائلوں پر، C) بورڈ کے کونوں میں (a1، h1، وغیرہ)، D) پڈاتیوں کے سامنے</v>
      </c>
      <c r="M48" s="5" t="str">
        <f>IFERROR(__xludf.DUMMYFUNCTION("GOOGLETRANSLATE(D48, ""en"", ""ur"")"),"C) بورڈ کے کونوں میں (a1، h1، وغیرہ)")</f>
        <v>C) بورڈ کے کونوں میں (a1، h1، وغیرہ)</v>
      </c>
      <c r="N48" s="5" t="str">
        <f>IFERROR(__xludf.DUMMYFUNCTION("GOOGLETRANSLATE(E48, ""en"", ""ur"")"),"بالکل جدید روکس کی طرح، حوثیوں نے کونے کونے میں شروع کیا، جو فوج کے اطراف کو کنٹرول کرنے میں ان کے کردار کی علامت ہے۔")</f>
        <v>بالکل جدید روکس کی طرح، حوثیوں نے کونے کونے میں شروع کیا، جو فوج کے اطراف کو کنٹرول کرنے میں ان کے کردار کی علامت ہے۔</v>
      </c>
    </row>
    <row r="49">
      <c r="A49" s="3">
        <v>48.0</v>
      </c>
      <c r="B49" s="4" t="s">
        <v>795</v>
      </c>
      <c r="C49" s="4" t="s">
        <v>796</v>
      </c>
      <c r="D49" s="4" t="s">
        <v>797</v>
      </c>
      <c r="E49" s="4" t="s">
        <v>798</v>
      </c>
      <c r="J49" s="5" t="str">
        <f>IFERROR(__xludf.DUMMYFUNCTION("GOOGLETRANSLATE(A49, ""en"", ""ur"")"),"48")</f>
        <v>48</v>
      </c>
      <c r="K49" s="5" t="str">
        <f>IFERROR(__xludf.DUMMYFUNCTION("GOOGLETRANSLATE(B49, ""en"", ""ur"")"),"ایک کھلاڑی کے پاس صرف ان کا راجہ اور ایک اشوا رہ جاتا ہے۔ کیا وہ اکیلے دشمن راجہ کے خلاف جیت سکتے ہیں؟")</f>
        <v>ایک کھلاڑی کے پاس صرف ان کا راجہ اور ایک اشوا رہ جاتا ہے۔ کیا وہ اکیلے دشمن راجہ کے خلاف جیت سکتے ہیں؟</v>
      </c>
      <c r="L49" s="5" t="str">
        <f>IFERROR(__xludf.DUMMYFUNCTION("GOOGLETRANSLATE(C49, ""en"", ""ur"")"),"A) ہاں، آسانی سے، B) ہاں، لیکن یہ انتہائی مشکل ہے، C) نہیں، یہ ایک نظریاتی ڈرا ہے، D) اشوا والا کھلاڑی آخر کار ہار جائے گا۔")</f>
        <v>A) ہاں، آسانی سے، B) ہاں، لیکن یہ انتہائی مشکل ہے، C) نہیں، یہ ایک نظریاتی ڈرا ہے، D) اشوا والا کھلاڑی آخر کار ہار جائے گا۔</v>
      </c>
      <c r="M49" s="5" t="str">
        <f>IFERROR(__xludf.DUMMYFUNCTION("GOOGLETRANSLATE(D49, ""en"", ""ur"")"),"C) نہیں، یہ ایک نظریاتی ڈرا ہے۔")</f>
        <v>C) نہیں، یہ ایک نظریاتی ڈرا ہے۔</v>
      </c>
      <c r="N49" s="5" t="str">
        <f>IFERROR(__xludf.DUMMYFUNCTION("GOOGLETRANSLATE(E49, ""en"", ""ur"")"),"جدید شطرنج میں کنگ اینڈ نائٹ اینڈ گیم کی طرح، ایک اشوا کے پاس اتنی طاقت نہیں ہے کہ وہ تنہا راجہ کے خلاف زبردستی گرفت کر سکے۔")</f>
        <v>جدید شطرنج میں کنگ اینڈ نائٹ اینڈ گیم کی طرح، ایک اشوا کے پاس اتنی طاقت نہیں ہے کہ وہ تنہا راجہ کے خلاف زبردستی گرفت کر سکے۔</v>
      </c>
    </row>
    <row r="50">
      <c r="A50" s="3">
        <v>49.0</v>
      </c>
      <c r="B50" s="4" t="s">
        <v>799</v>
      </c>
      <c r="C50" s="4" t="s">
        <v>800</v>
      </c>
      <c r="D50" s="4" t="s">
        <v>801</v>
      </c>
      <c r="E50" s="4" t="s">
        <v>802</v>
      </c>
      <c r="J50" s="5" t="str">
        <f>IFERROR(__xludf.DUMMYFUNCTION("GOOGLETRANSLATE(A50, ""en"", ""ur"")"),"49")</f>
        <v>49</v>
      </c>
      <c r="K50" s="5" t="str">
        <f>IFERROR(__xludf.DUMMYFUNCTION("GOOGLETRANSLATE(B50, ""en"", ""ur"")"),"چتوراجی کے چار کھلاڑیوں کے کھیل میں بورڈ پر کل ٹکڑوں کی تعداد کتنی ہے؟")</f>
        <v>چتوراجی کے چار کھلاڑیوں کے کھیل میں بورڈ پر کل ٹکڑوں کی تعداد کتنی ہے؟</v>
      </c>
      <c r="L50" s="5" t="str">
        <f>IFERROR(__xludf.DUMMYFUNCTION("GOOGLETRANSLATE(C50, ""en"", ""ur"")"),"A) 32، B) 48، C) 64، D) 24")</f>
        <v>A) 32، B) 48، C) 64، D) 24</v>
      </c>
      <c r="M50" s="5" t="str">
        <f>IFERROR(__xludf.DUMMYFUNCTION("GOOGLETRANSLATE(D50, ""en"", ""ur"")"),"ا) 32")</f>
        <v>ا) 32</v>
      </c>
      <c r="N50" s="5" t="str">
        <f>IFERROR(__xludf.DUMMYFUNCTION("GOOGLETRANSLATE(E50, ""en"", ""ur"")"),"چار کھلاڑیوں میں سے ہر ایک کے پاس 8 ٹکڑوں کی ایک چھوٹی فوج ہے، جو شروع میں بورڈ پر کل 32 ٹکڑے بناتی ہے۔")</f>
        <v>چار کھلاڑیوں میں سے ہر ایک کے پاس 8 ٹکڑوں کی ایک چھوٹی فوج ہے، جو شروع میں بورڈ پر کل 32 ٹکڑے بناتی ہے۔</v>
      </c>
    </row>
    <row r="51">
      <c r="A51" s="3">
        <v>50.0</v>
      </c>
      <c r="B51" s="4" t="s">
        <v>803</v>
      </c>
      <c r="C51" s="4" t="s">
        <v>804</v>
      </c>
      <c r="D51" s="4" t="s">
        <v>805</v>
      </c>
      <c r="E51" s="4" t="s">
        <v>806</v>
      </c>
      <c r="J51" s="5" t="str">
        <f>IFERROR(__xludf.DUMMYFUNCTION("GOOGLETRANSLATE(A51, ""en"", ""ur"")"),"50")</f>
        <v>50</v>
      </c>
      <c r="K51" s="5" t="str">
        <f>IFERROR(__xludf.DUMMYFUNCTION("GOOGLETRANSLATE(B51, ""en"", ""ur"")"),"اس کی بنیادی وجہ کیا ہے کہ اس کھیل کو اکثر ""دی کنگز گیم"" کہا جاتا تھا؟")</f>
        <v>اس کی بنیادی وجہ کیا ہے کہ اس کھیل کو اکثر "دی کنگز گیم" کہا جاتا تھا؟</v>
      </c>
      <c r="L51" s="5" t="str">
        <f>IFERROR(__xludf.DUMMYFUNCTION("GOOGLETRANSLATE(C51, ""en"", ""ur"")"),"A) اسے صرف رائلٹی کے ذریعہ کھیلنے کی اجازت تھی، B) راجہ (بادشاہ) سب سے اہم حصہ ہے، اور پورا کھیل اس کی قسمت کے گرد گھومتا ہے، C) اس کھیل کا موجد ایک بادشاہ تھا، D) بورڈ ایک شاہی دربار جیسا لگتا تھا۔")</f>
        <v>A) اسے صرف رائلٹی کے ذریعہ کھیلنے کی اجازت تھی، B) راجہ (بادشاہ) سب سے اہم حصہ ہے، اور پورا کھیل اس کی قسمت کے گرد گھومتا ہے، C) اس کھیل کا موجد ایک بادشاہ تھا، D) بورڈ ایک شاہی دربار جیسا لگتا تھا۔</v>
      </c>
      <c r="M51" s="5" t="str">
        <f>IFERROR(__xludf.DUMMYFUNCTION("GOOGLETRANSLATE(D51, ""en"", ""ur"")"),"ب) راجہ (بادشاہ) سب سے اہم ٹکڑا ہے، اور سارا کھیل اس کی قسمت کے گرد گھومتا ہے۔")</f>
        <v>ب) راجہ (بادشاہ) سب سے اہم ٹکڑا ہے، اور سارا کھیل اس کی قسمت کے گرد گھومتا ہے۔</v>
      </c>
      <c r="N51" s="5" t="str">
        <f>IFERROR(__xludf.DUMMYFUNCTION("GOOGLETRANSLATE(E51, ""en"", ""ur"")"),"گیم ایک ایسی جنگ کی نقل ہے جہاں آخری مقصد دشمن کے کمانڈر بادشاہ کی شکست ہے۔")</f>
        <v>گیم ایک ایسی جنگ کی نقل ہے جہاں آخری مقصد دشمن کے کمانڈر بادشاہ کی شکست ہے۔</v>
      </c>
    </row>
    <row r="52">
      <c r="A52" s="3">
        <v>51.0</v>
      </c>
      <c r="B52" s="4" t="s">
        <v>807</v>
      </c>
      <c r="C52" s="4" t="s">
        <v>808</v>
      </c>
      <c r="D52" s="4" t="s">
        <v>809</v>
      </c>
      <c r="E52" s="4" t="s">
        <v>810</v>
      </c>
      <c r="J52" s="5" t="str">
        <f>IFERROR(__xludf.DUMMYFUNCTION("GOOGLETRANSLATE(A52, ""en"", ""ur"")"),"51")</f>
        <v>51</v>
      </c>
      <c r="K52" s="5" t="str">
        <f>IFERROR(__xludf.DUMMYFUNCTION("GOOGLETRANSLATE(B52, ""en"", ""ur"")"),"چتورنگا سے لے کر جدید شطرنج تک اپنے ارتقاء میں کس ٹکڑے کی تحریک مکمل طور پر بدل نہیں رہی؟")</f>
        <v>چتورنگا سے لے کر جدید شطرنج تک اپنے ارتقاء میں کس ٹکڑے کی تحریک مکمل طور پر بدل نہیں رہی؟</v>
      </c>
      <c r="L52" s="5" t="str">
        <f>IFERROR(__xludf.DUMMYFUNCTION("GOOGLETRANSLATE(C52, ""en"", ""ur"")"),"A) گجا (ہاتھی)، بی) ہاتھی (رتھ/روک)، سی) منتری (مشیر)، ڈی) پادتی (پیادہ)")</f>
        <v>A) گجا (ہاتھی)، بی) ہاتھی (رتھ/روک)، سی) منتری (مشیر)، ڈی) پادتی (پیادہ)</v>
      </c>
      <c r="M52" s="5" t="str">
        <f>IFERROR(__xludf.DUMMYFUNCTION("GOOGLETRANSLATE(D52, ""en"", ""ur"")"),"ب) ہاتھی (رتھ/روک)")</f>
        <v>ب) ہاتھی (رتھ/روک)</v>
      </c>
      <c r="N52" s="5" t="str">
        <f>IFERROR(__xludf.DUMMYFUNCTION("GOOGLETRANSLATE(E52, ""en"", ""ur"")"),"افقی یا عمودی طور پر مربعوں کی کسی بھی تعداد میں ہاتھی کی حرکت ایک ایسی حرکت ہے جو گیم کی پوری تاریخ میں مستقل رہی ہے۔")</f>
        <v>افقی یا عمودی طور پر مربعوں کی کسی بھی تعداد میں ہاتھی کی حرکت ایک ایسی حرکت ہے جو گیم کی پوری تاریخ میں مستقل رہی ہے۔</v>
      </c>
    </row>
    <row r="53">
      <c r="A53" s="3">
        <v>52.0</v>
      </c>
      <c r="B53" s="4" t="s">
        <v>811</v>
      </c>
      <c r="C53" s="4" t="s">
        <v>812</v>
      </c>
      <c r="D53" s="4" t="s">
        <v>813</v>
      </c>
      <c r="E53" s="4" t="s">
        <v>814</v>
      </c>
      <c r="J53" s="5" t="str">
        <f>IFERROR(__xludf.DUMMYFUNCTION("GOOGLETRANSLATE(A53, ""en"", ""ur"")"),"52")</f>
        <v>52</v>
      </c>
      <c r="K53" s="5" t="str">
        <f>IFERROR(__xludf.DUMMYFUNCTION("GOOGLETRANSLATE(B53, ""en"", ""ur"")"),"ایک کھلاڑی کا a1 پر راجہ ہوتا ہے۔ مخالف کے پاس c2 پر ہاتھی اور a3 پر گاجا ہے۔ کون سا مہرہ راجہ پر حملہ آور ہے؟")</f>
        <v>ایک کھلاڑی کا a1 پر راجہ ہوتا ہے۔ مخالف کے پاس c2 پر ہاتھی اور a3 پر گاجا ہے۔ کون سا مہرہ راجہ پر حملہ آور ہے؟</v>
      </c>
      <c r="L53" s="5" t="str">
        <f>IFERROR(__xludf.DUMMYFUNCTION("GOOGLETRANSLATE(C53, ""en"", ""ur"")"),"A) ہاتھی، B) گاجا، C) دونوں، D) کوئی نہیں۔")</f>
        <v>A) ہاتھی، B) گاجا، C) دونوں، D) کوئی نہیں۔</v>
      </c>
      <c r="M53" s="5" t="str">
        <f>IFERROR(__xludf.DUMMYFUNCTION("GOOGLETRANSLATE(D53, ""en"", ""ur"")"),"D) نہ ہی")</f>
        <v>D) نہ ہی</v>
      </c>
      <c r="N53" s="5" t="str">
        <f>IFERROR(__xludf.DUMMYFUNCTION("GOOGLETRANSLATE(E53, ""en"", ""ur"")"),"سی 2 پر موجود ہاتھی سی فائل اور دوسرے نمبر پر حملہ کرتا ہے۔ A3 پر گاجا صرف c1 یا c5 تک ہی چھلانگ لگا سکتا ہے۔ کوئی بھی ٹکڑا a1 پر راجہ پر حملہ نہیں کر رہا ہے۔")</f>
        <v>سی 2 پر موجود ہاتھی سی فائل اور دوسرے نمبر پر حملہ کرتا ہے۔ A3 پر گاجا صرف c1 یا c5 تک ہی چھلانگ لگا سکتا ہے۔ کوئی بھی ٹکڑا a1 پر راجہ پر حملہ نہیں کر رہا ہے۔</v>
      </c>
    </row>
    <row r="54">
      <c r="A54" s="3">
        <v>53.0</v>
      </c>
      <c r="B54" s="4" t="s">
        <v>815</v>
      </c>
      <c r="C54" s="4" t="s">
        <v>816</v>
      </c>
      <c r="D54" s="4" t="s">
        <v>817</v>
      </c>
      <c r="E54" s="4" t="s">
        <v>818</v>
      </c>
      <c r="J54" s="5" t="str">
        <f>IFERROR(__xludf.DUMMYFUNCTION("GOOGLETRANSLATE(A54, ""en"", ""ur"")"),"53")</f>
        <v>53</v>
      </c>
      <c r="K54" s="5" t="str">
        <f>IFERROR(__xludf.DUMMYFUNCTION("GOOGLETRANSLATE(B54, ""en"", ""ur"")"),"کھیل کی علامت میں، آٹھ پداٹی کس چیز کی نمائندگی کرتے تھے؟")</f>
        <v>کھیل کی علامت میں، آٹھ پداٹی کس چیز کی نمائندگی کرتے تھے؟</v>
      </c>
      <c r="L54" s="5" t="str">
        <f>IFERROR(__xludf.DUMMYFUNCTION("GOOGLETRANSLATE(C54, ""en"", ""ur"")"),"A) بدھ مت کا آٹھواں راستہ، B) عام سپاہی جو بے شمار ہیں لیکن انفرادی طور پر خرچ کیے جا سکتے ہیں، C) آٹھ شاہی محافظ، D) آٹھ سمتیں")</f>
        <v>A) بدھ مت کا آٹھواں راستہ، B) عام سپاہی جو بے شمار ہیں لیکن انفرادی طور پر خرچ کیے جا سکتے ہیں، C) آٹھ شاہی محافظ، D) آٹھ سمتیں</v>
      </c>
      <c r="M54" s="5" t="str">
        <f>IFERROR(__xludf.DUMMYFUNCTION("GOOGLETRANSLATE(D54, ""en"", ""ur"")"),"ب) عام سپاہی جو بے شمار ہیں لیکن انفرادی طور پر قابل خرچ ہیں۔")</f>
        <v>ب) عام سپاہی جو بے شمار ہیں لیکن انفرادی طور پر قابل خرچ ہیں۔</v>
      </c>
      <c r="N54" s="5" t="str">
        <f>IFERROR(__xludf.DUMMYFUNCTION("GOOGLETRANSLATE(E54, ""en"", ""ur"")"),"پڈاتیوں کی بڑی تعداد پیادہ فوج کی عکاسی کرتی تھی، جس نے فوج کا بڑا حصہ تشکیل دیا تھا اور اکثر تزویراتی فائدہ حاصل کرنے کے لیے قربانیاں دی جاتی تھیں۔")</f>
        <v>پڈاتیوں کی بڑی تعداد پیادہ فوج کی عکاسی کرتی تھی، جس نے فوج کا بڑا حصہ تشکیل دیا تھا اور اکثر تزویراتی فائدہ حاصل کرنے کے لیے قربانیاں دی جاتی تھیں۔</v>
      </c>
    </row>
    <row r="55">
      <c r="A55" s="3">
        <v>54.0</v>
      </c>
      <c r="B55" s="4" t="s">
        <v>819</v>
      </c>
      <c r="C55" s="4" t="s">
        <v>820</v>
      </c>
      <c r="D55" s="4" t="s">
        <v>821</v>
      </c>
      <c r="E55" s="4" t="s">
        <v>822</v>
      </c>
      <c r="J55" s="5" t="str">
        <f>IFERROR(__xludf.DUMMYFUNCTION("GOOGLETRANSLATE(A55, ""en"", ""ur"")"),"54")</f>
        <v>54</v>
      </c>
      <c r="K55" s="5" t="str">
        <f>IFERROR(__xludf.DUMMYFUNCTION("GOOGLETRANSLATE(B55, ""en"", ""ur"")"),"ایک کھلاڑی کو اکیلے دشمن راجہ (اپنے راجہ کی مدد سے) کے خلاف زبردستی جیتنے کے لیے ہاتھیوں کی کم از کم کتنی تعداد کی ضرورت ہوگی؟")</f>
        <v>ایک کھلاڑی کو اکیلے دشمن راجہ (اپنے راجہ کی مدد سے) کے خلاف زبردستی جیتنے کے لیے ہاتھیوں کی کم از کم کتنی تعداد کی ضرورت ہوگی؟</v>
      </c>
      <c r="L55" s="5" t="str">
        <f>IFERROR(__xludf.DUMMYFUNCTION("GOOGLETRANSLATE(C55, ""en"", ""ur"")"),"A) ایک، B) دو، C) تین، D) یہ ناممکن ہے۔")</f>
        <v>A) ایک، B) دو، C) تین، D) یہ ناممکن ہے۔</v>
      </c>
      <c r="M55" s="5" t="str">
        <f>IFERROR(__xludf.DUMMYFUNCTION("GOOGLETRANSLATE(D55, ""en"", ""ur"")"),"اے) ایک")</f>
        <v>اے) ایک</v>
      </c>
      <c r="N55" s="5" t="str">
        <f>IFERROR(__xludf.DUMMYFUNCTION("GOOGLETRANSLATE(E55, ""en"", ""ur"")"),"ایک ہاتھی (روک) اور ایک راجہ منظم طریقے سے مخالف راجہ کو بورڈ کے کنارے پر مجبور کرنے اور گیم جیتنے کے لیے کافی ہیں۔")</f>
        <v>ایک ہاتھی (روک) اور ایک راجہ منظم طریقے سے مخالف راجہ کو بورڈ کے کنارے پر مجبور کرنے اور گیم جیتنے کے لیے کافی ہیں۔</v>
      </c>
    </row>
    <row r="56">
      <c r="A56" s="3">
        <v>55.0</v>
      </c>
      <c r="B56" s="4" t="s">
        <v>823</v>
      </c>
      <c r="C56" s="4" t="s">
        <v>824</v>
      </c>
      <c r="D56" s="4" t="s">
        <v>825</v>
      </c>
      <c r="E56" s="4" t="s">
        <v>826</v>
      </c>
      <c r="J56" s="5" t="str">
        <f>IFERROR(__xludf.DUMMYFUNCTION("GOOGLETRANSLATE(A56, ""en"", ""ur"")"),"55")</f>
        <v>55</v>
      </c>
      <c r="K56" s="5" t="str">
        <f>IFERROR(__xludf.DUMMYFUNCTION("GOOGLETRANSLATE(B56, ""en"", ""ur"")"),"""ننگے بادشاہ"" کا نقصان کیا ہے؟")</f>
        <v>"ننگے بادشاہ" کا نقصان کیا ہے؟</v>
      </c>
      <c r="L56" s="5" t="str">
        <f>IFERROR(__xludf.DUMMYFUNCTION("GOOGLETRANSLATE(C56, ""en"", ""ur"")"),"A) ایک نقصان جہاں راجہ کو بورڈ کے بیچ میں پکڑا جاتا ہے، B) ایک ایسا قاعدہ جہاں ایک کھلاڑی جو اپنے راجہ کے علاوہ اپنے تمام ٹکڑوں کو کھو دیتا ہے وہ فوری طور پر گیم ہار جاتا ہے، C) راجہ کی غلطی سے نقصان، D) چار کھلاڑیوں کے ورژن میں نقصان")</f>
        <v>A) ایک نقصان جہاں راجہ کو بورڈ کے بیچ میں پکڑا جاتا ہے، B) ایک ایسا قاعدہ جہاں ایک کھلاڑی جو اپنے راجہ کے علاوہ اپنے تمام ٹکڑوں کو کھو دیتا ہے وہ فوری طور پر گیم ہار جاتا ہے، C) راجہ کی غلطی سے نقصان، D) چار کھلاڑیوں کے ورژن میں نقصان</v>
      </c>
      <c r="M56" s="5" t="str">
        <f>IFERROR(__xludf.DUMMYFUNCTION("GOOGLETRANSLATE(D56, ""en"", ""ur"")"),"ب) ایک قاعدہ جہاں ایک کھلاڑی جو اپنے راجہ کے علاوہ اپنے تمام ٹکڑے کھو دیتا ہے وہ فوری طور پر کھیل ہار جاتا ہے۔")</f>
        <v>ب) ایک قاعدہ جہاں ایک کھلاڑی جو اپنے راجہ کے علاوہ اپنے تمام ٹکڑے کھو دیتا ہے وہ فوری طور پر کھیل ہار جاتا ہے۔</v>
      </c>
      <c r="N56" s="5" t="str">
        <f>IFERROR(__xludf.DUMMYFUNCTION("GOOGLETRANSLATE(E56, ""en"", ""ur"")"),"یہ کچھ ورژنز میں جیتنے کا ایک ثانوی طریقہ تھا۔ مخالف کی پوری فوج کو نیست و نابود کر دینا بھی فتح سمجھی جاتی تھی۔")</f>
        <v>یہ کچھ ورژنز میں جیتنے کا ایک ثانوی طریقہ تھا۔ مخالف کی پوری فوج کو نیست و نابود کر دینا بھی فتح سمجھی جاتی تھی۔</v>
      </c>
    </row>
    <row r="57">
      <c r="A57" s="3">
        <v>56.0</v>
      </c>
      <c r="B57" s="4" t="s">
        <v>827</v>
      </c>
      <c r="C57" s="4" t="s">
        <v>828</v>
      </c>
      <c r="D57" s="4" t="s">
        <v>829</v>
      </c>
      <c r="E57" s="4" t="s">
        <v>830</v>
      </c>
      <c r="J57" s="5" t="str">
        <f>IFERROR(__xludf.DUMMYFUNCTION("GOOGLETRANSLATE(A57, ""en"", ""ur"")"),"56")</f>
        <v>56</v>
      </c>
      <c r="K57" s="5" t="str">
        <f>IFERROR(__xludf.DUMMYFUNCTION("GOOGLETRANSLATE(B57, ""en"", ""ur"")"),"کیا ایک راجہ اس ٹکڑے پر قبضہ کر سکتا ہے جس کا دفاع کسی دوسرے دشمن کے ٹکڑے سے ہو؟")</f>
        <v>کیا ایک راجہ اس ٹکڑے پر قبضہ کر سکتا ہے جس کا دفاع کسی دوسرے دشمن کے ٹکڑے سے ہو؟</v>
      </c>
      <c r="L57" s="5" t="str">
        <f>IFERROR(__xludf.DUMMYFUNCTION("GOOGLETRANSLATE(C57, ""en"", ""ur"")"),"A) جی ہاں، یہ ایک قانونی اقدام ہے، B) نہیں، کیونکہ یہ حملہ شدہ مربع میں جائے گا، C) صرف اس صورت میں جب یہ بورڈ کا آخری ٹکڑا ہو، D) صرف اس صورت میں جب دفاعی ٹکڑا پڈاتی ہو۔")</f>
        <v>A) جی ہاں، یہ ایک قانونی اقدام ہے، B) نہیں، کیونکہ یہ حملہ شدہ مربع میں جائے گا، C) صرف اس صورت میں جب یہ بورڈ کا آخری ٹکڑا ہو، D) صرف اس صورت میں جب دفاعی ٹکڑا پڈاتی ہو۔</v>
      </c>
      <c r="M57" s="5" t="str">
        <f>IFERROR(__xludf.DUMMYFUNCTION("GOOGLETRANSLATE(D57, ""en"", ""ur"")"),"ب) نہیں، کیونکہ یہ حملہ شدہ چوک میں چلا جائے گا۔")</f>
        <v>ب) نہیں، کیونکہ یہ حملہ شدہ چوک میں چلا جائے گا۔</v>
      </c>
      <c r="N57" s="5" t="str">
        <f>IFERROR(__xludf.DUMMYFUNCTION("GOOGLETRANSLATE(E57, ""en"", ""ur"")"),"راجہ کسی چوک میں نہیں جا سکتا جہاں اسے پکڑا جا سکے۔ کسی محفوظ ٹکڑے پر حملہ کرنا اسے حملہ شدہ چوک پر رکھ دے گا، اس اقدام کو غیر قانونی بنا دے گا۔")</f>
        <v>راجہ کسی چوک میں نہیں جا سکتا جہاں اسے پکڑا جا سکے۔ کسی محفوظ ٹکڑے پر حملہ کرنا اسے حملہ شدہ چوک پر رکھ دے گا، اس اقدام کو غیر قانونی بنا دے گا۔</v>
      </c>
    </row>
    <row r="58">
      <c r="A58" s="3">
        <v>57.0</v>
      </c>
      <c r="B58" s="4" t="s">
        <v>831</v>
      </c>
      <c r="C58" s="4" t="s">
        <v>832</v>
      </c>
      <c r="D58" s="4" t="s">
        <v>833</v>
      </c>
      <c r="E58" s="4" t="s">
        <v>834</v>
      </c>
      <c r="J58" s="5" t="str">
        <f>IFERROR(__xludf.DUMMYFUNCTION("GOOGLETRANSLATE(A58, ""en"", ""ur"")"),"57")</f>
        <v>57</v>
      </c>
      <c r="K58" s="5" t="str">
        <f>IFERROR(__xludf.DUMMYFUNCTION("GOOGLETRANSLATE(B58, ""en"", ""ur"")"),"ابتدائی کھیل میں بیک رینک سے حملہ کرنے میں کون سا ٹکڑا سب سے زیادہ مؤثر تھا؟")</f>
        <v>ابتدائی کھیل میں بیک رینک سے حملہ کرنے میں کون سا ٹکڑا سب سے زیادہ مؤثر تھا؟</v>
      </c>
      <c r="L58" s="5" t="str">
        <f>IFERROR(__xludf.DUMMYFUNCTION("GOOGLETRANSLATE(C58, ""en"", ""ur"")"),"اے) منتری، بی) گاجا، سی) ہاتھی، ڈی) راجہ")</f>
        <v>اے) منتری، بی) گاجا، سی) ہاتھی، ڈی) راجہ</v>
      </c>
      <c r="M58" s="5" t="str">
        <f>IFERROR(__xludf.DUMMYFUNCTION("GOOGLETRANSLATE(D58, ""en"", ""ur"")"),"ج) ہاتھی۔")</f>
        <v>ج) ہاتھی۔</v>
      </c>
      <c r="N58" s="5" t="str">
        <f>IFERROR(__xludf.DUMMYFUNCTION("GOOGLETRANSLATE(E58, ""en"", ""ur"")"),"ایک بار جب ایک پادتی کو منتقل کیا گیا تو، ہاتھی کی لمبی دوری کی طاقت کو کھلی فائل کے نیچے اتار دیا گیا، جس سے یہ ایک اہم حملہ آور ٹکڑا بن گیا۔")</f>
        <v>ایک بار جب ایک پادتی کو منتقل کیا گیا تو، ہاتھی کی لمبی دوری کی طاقت کو کھلی فائل کے نیچے اتار دیا گیا، جس سے یہ ایک اہم حملہ آور ٹکڑا بن گیا۔</v>
      </c>
    </row>
    <row r="59">
      <c r="A59" s="3">
        <v>58.0</v>
      </c>
      <c r="B59" s="4" t="s">
        <v>835</v>
      </c>
      <c r="C59" s="4" t="s">
        <v>836</v>
      </c>
      <c r="D59" s="4" t="s">
        <v>837</v>
      </c>
      <c r="E59" s="4" t="s">
        <v>838</v>
      </c>
      <c r="J59" s="5" t="str">
        <f>IFERROR(__xludf.DUMMYFUNCTION("GOOGLETRANSLATE(A59, ""en"", ""ur"")"),"58")</f>
        <v>58</v>
      </c>
      <c r="K59" s="5" t="str">
        <f>IFERROR(__xludf.DUMMYFUNCTION("GOOGLETRANSLATE(B59, ""en"", ""ur"")"),"دو کھلاڑیوں کے کھیل کے آغاز پر بورڈ پر بڑے ٹکڑوں کی کل تعداد (غیر پداٹی) کتنی ہے؟")</f>
        <v>دو کھلاڑیوں کے کھیل کے آغاز پر بورڈ پر بڑے ٹکڑوں کی کل تعداد (غیر پداٹی) کتنی ہے؟</v>
      </c>
      <c r="L59" s="5" t="str">
        <f>IFERROR(__xludf.DUMMYFUNCTION("GOOGLETRANSLATE(C59, ""en"", ""ur"")"),"A) 8، B) 12، C) 16، D) 24")</f>
        <v>A) 8، B) 12، C) 16، D) 24</v>
      </c>
      <c r="M59" s="5" t="str">
        <f>IFERROR(__xludf.DUMMYFUNCTION("GOOGLETRANSLATE(D59, ""en"", ""ur"")"),"ج) 16")</f>
        <v>ج) 16</v>
      </c>
      <c r="N59" s="5" t="str">
        <f>IFERROR(__xludf.DUMMYFUNCTION("GOOGLETRANSLATE(E59, ""en"", ""ur"")"),"ہر کھلاڑی اپنی پچھلی رینک پر 8 بڑے ٹکڑوں سے شروع ہوتا ہے (2 ہاتھی، 2 اشواس، 2 گاج، 1 منتری، 1 راجہ)۔")</f>
        <v>ہر کھلاڑی اپنی پچھلی رینک پر 8 بڑے ٹکڑوں سے شروع ہوتا ہے (2 ہاتھی، 2 اشواس، 2 گاج، 1 منتری، 1 راجہ)۔</v>
      </c>
    </row>
    <row r="60">
      <c r="A60" s="3">
        <v>59.0</v>
      </c>
      <c r="B60" s="4" t="s">
        <v>839</v>
      </c>
      <c r="C60" s="4" t="s">
        <v>840</v>
      </c>
      <c r="D60" s="4" t="s">
        <v>841</v>
      </c>
      <c r="E60" s="4" t="s">
        <v>842</v>
      </c>
      <c r="J60" s="5" t="str">
        <f>IFERROR(__xludf.DUMMYFUNCTION("GOOGLETRANSLATE(A60, ""en"", ""ur"")"),"59")</f>
        <v>59</v>
      </c>
      <c r="K60" s="5" t="str">
        <f>IFERROR(__xludf.DUMMYFUNCTION("GOOGLETRANSLATE(B60, ""en"", ""ur"")"),"جدید بشپ پر گاجا کا ایک اہم فائدہ کیا ہے؟")</f>
        <v>جدید بشپ پر گاجا کا ایک اہم فائدہ کیا ہے؟</v>
      </c>
      <c r="L60" s="5" t="str">
        <f>IFERROR(__xludf.DUMMYFUNCTION("GOOGLETRANSLATE(C60, ""en"", ""ur"")"),"A) اس کی رینج لمبی تھی، B) یہ ایک ٹکڑے کے اوپر چھلانگ لگا سکتا تھا، C) یہ رنگ سے منسلک نہیں تھا، D) یہ زیادہ پوائنٹس کے قابل تھا۔")</f>
        <v>A) اس کی رینج لمبی تھی، B) یہ ایک ٹکڑے کے اوپر چھلانگ لگا سکتا تھا، C) یہ رنگ سے منسلک نہیں تھا، D) یہ زیادہ پوائنٹس کے قابل تھا۔</v>
      </c>
      <c r="M60" s="5" t="str">
        <f>IFERROR(__xludf.DUMMYFUNCTION("GOOGLETRANSLATE(D60, ""en"", ""ur"")"),"ب) یہ ایک ٹکڑے پر چھلانگ لگا سکتا ہے۔")</f>
        <v>ب) یہ ایک ٹکڑے پر چھلانگ لگا سکتا ہے۔</v>
      </c>
      <c r="N60" s="5" t="str">
        <f>IFERROR(__xludf.DUMMYFUNCTION("GOOGLETRANSLATE(E60, ""en"", ""ur"")"),"گاجا کی مداخلت کرنے والے ٹکڑے پر چھلانگ لگانے کی صلاحیت ایک منفرد خصوصیت ہے جو جدید، طویل فاصلے تک بشپ کے پاس نہیں ہے۔")</f>
        <v>گاجا کی مداخلت کرنے والے ٹکڑے پر چھلانگ لگانے کی صلاحیت ایک منفرد خصوصیت ہے جو جدید، طویل فاصلے تک بشپ کے پاس نہیں ہے۔</v>
      </c>
    </row>
    <row r="61">
      <c r="A61" s="3">
        <v>60.0</v>
      </c>
      <c r="B61" s="4" t="s">
        <v>843</v>
      </c>
      <c r="C61" s="4" t="s">
        <v>844</v>
      </c>
      <c r="D61" s="4" t="s">
        <v>845</v>
      </c>
      <c r="E61" s="4" t="s">
        <v>846</v>
      </c>
      <c r="J61" s="5" t="str">
        <f>IFERROR(__xludf.DUMMYFUNCTION("GOOGLETRANSLATE(A61, ""en"", ""ur"")"),"60")</f>
        <v>60</v>
      </c>
      <c r="K61" s="5" t="str">
        <f>IFERROR(__xludf.DUMMYFUNCTION("GOOGLETRANSLATE(B61, ""en"", ""ur"")"),"چار کھلاڑیوں کے کھیل میں، اگر کسی کھلاڑی کا راجہ پکڑا جائے تو کیا عام اصول تھا؟")</f>
        <v>چار کھلاڑیوں کے کھیل میں، اگر کسی کھلاڑی کا راجہ پکڑا جائے تو کیا عام اصول تھا؟</v>
      </c>
      <c r="L61" s="5" t="str">
        <f>IFERROR(__xludf.DUMMYFUNCTION("GOOGLETRANSLATE(C61, ""en"", ""ur"")"),"A)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f>
        <v>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v>
      </c>
      <c r="M61" s="5" t="str">
        <f>IFERROR(__xludf.DUMMYFUNCTION("GOOGLETRANSLATE(D61, ""en"", ""ur"")"),"D) A اور B دونوں مشترکہ اصول تھے۔")</f>
        <v>D) A اور B دونوں مشترکہ اصول تھے۔</v>
      </c>
      <c r="N61" s="5" t="str">
        <f>IFERROR(__xludf.DUMMYFUNCTION("GOOGLETRANSLATE(E61, ""en"", ""ur"")"),"مختلف علاقائی متغیرات کے مختلف اصول تھے۔ کچھ میں، کھلاڑی صرف باہر تھا. دوسروں میں، فاتح نے شکست خوردہ فوج کو جذب کیا، اپنی فوجوں کو مضبوط بنایا۔")</f>
        <v>مختلف علاقائی متغیرات کے مختلف اصول تھے۔ کچھ میں، کھلاڑی صرف باہر تھا. دوسروں میں، فاتح نے شکست خوردہ فوج کو جذب کیا، اپنی فوجوں کو مضبوط بنایا۔</v>
      </c>
    </row>
    <row r="62">
      <c r="A62" s="3">
        <v>61.0</v>
      </c>
      <c r="B62" s="4" t="s">
        <v>847</v>
      </c>
      <c r="C62" s="4" t="s">
        <v>848</v>
      </c>
      <c r="D62" s="4" t="s">
        <v>849</v>
      </c>
      <c r="E62" s="4" t="s">
        <v>850</v>
      </c>
      <c r="J62" s="5" t="str">
        <f>IFERROR(__xludf.DUMMYFUNCTION("GOOGLETRANSLATE(A62, ""en"", ""ur"")"),"61")</f>
        <v>61</v>
      </c>
      <c r="K62" s="5" t="str">
        <f>IFERROR(__xludf.DUMMYFUNCTION("GOOGLETRANSLATE(B62, ""en"", ""ur"")"),"ایک کھلاڑی پادتی کو منتری بناتا ہے۔ چند چالوں کے بعد، ان کا ایک اور پڈتی ترقی کے عہدے پر پہنچ جاتا ہے۔ کیا ہوتا ہے؟")</f>
        <v>ایک کھلاڑی پادتی کو منتری بناتا ہے۔ چند چالوں کے بعد، ان کا ایک اور پڈتی ترقی کے عہدے پر پہنچ جاتا ہے۔ کیا ہوتا ہے؟</v>
      </c>
      <c r="L62" s="5" t="str">
        <f>IFERROR(__xludf.DUMMYFUNCTION("GOOGLETRANSLATE(C62, ""en"", ""ur"")"),"A) ایک کھلاڑی کے پاس ایک سے زیادہ منتری نہیں ہو سکتی، B) یہ دوسری منتری کو ترقی دے سکتا ہے، C) اسے اشوا کی طرح پکڑے گئے ٹکڑے پر ترقی دینا چاہیے، D) اسے بورڈ سے ہٹا دیا جاتا ہے۔")</f>
        <v>A) ایک کھلاڑی کے پاس ایک سے زیادہ منتری نہیں ہو سکتی، B) یہ دوسری منتری کو ترقی دے سکتا ہے، C) اسے اشوا کی طرح پکڑے گئے ٹکڑے پر ترقی دینا چاہیے، D) اسے بورڈ سے ہٹا دیا جاتا ہے۔</v>
      </c>
      <c r="M62" s="5" t="str">
        <f>IFERROR(__xludf.DUMMYFUNCTION("GOOGLETRANSLATE(D62, ""en"", ""ur"")"),"ب) یہ دوسری منتری کو ترقی دے سکتا ہے۔")</f>
        <v>ب) یہ دوسری منتری کو ترقی دے سکتا ہے۔</v>
      </c>
      <c r="N62" s="5" t="str">
        <f>IFERROR(__xludf.DUMMYFUNCTION("GOOGLETRANSLATE(E62, ""en"", ""ur"")"),"ایک کھلاڑی پروموشن کے ذریعے بیک وقت بورڈ میں متعدد منتری رکھ سکتا ہے، حالانکہ ان کی کمزوری نے اسے آج کے مقابلے میں کم فائدہ پہنچایا۔")</f>
        <v>ایک کھلاڑی پروموشن کے ذریعے بیک وقت بورڈ میں متعدد منتری رکھ سکتا ہے، حالانکہ ان کی کمزوری نے اسے آج کے مقابلے میں کم فائدہ پہنچایا۔</v>
      </c>
    </row>
    <row r="63">
      <c r="A63" s="3">
        <v>62.0</v>
      </c>
      <c r="B63" s="4" t="s">
        <v>851</v>
      </c>
      <c r="C63" s="4" t="s">
        <v>852</v>
      </c>
      <c r="D63" s="4" t="s">
        <v>853</v>
      </c>
      <c r="E63" s="4" t="s">
        <v>854</v>
      </c>
      <c r="J63" s="5" t="str">
        <f>IFERROR(__xludf.DUMMYFUNCTION("GOOGLETRANSLATE(A63, ""en"", ""ur"")"),"62")</f>
        <v>62</v>
      </c>
      <c r="K63" s="5" t="str">
        <f>IFERROR(__xludf.DUMMYFUNCTION("GOOGLETRANSLATE(B63, ""en"", ""ur"")"),"غیر چیک شدہ (ایک رنگی) بورڈ پر گیم کھیلے جانے کی سب سے زیادہ ممکنہ وجہ کیا ہے؟")</f>
        <v>غیر چیک شدہ (ایک رنگی) بورڈ پر گیم کھیلے جانے کی سب سے زیادہ ممکنہ وجہ کیا ہے؟</v>
      </c>
      <c r="L63" s="5" t="str">
        <f>IFERROR(__xludf.DUMMYFUNCTION("GOOGLETRANSLATE(C63, ""en"", ""ur"")"),"A) یہ ایک مذہبی ضرورت تھی، B) بورڈ گیمز کے لیے متبادل رنگوں کا تصور ابھی تک وسیع پیمانے پر اپنایا نہیں گیا تھا، C) اس نے کھیل کو کھیلنا مشکل بنا دیا، D) اسے بنانا سستا تھا۔")</f>
        <v>A) یہ ایک مذہبی ضرورت تھی، B) بورڈ گیمز کے لیے متبادل رنگوں کا تصور ابھی تک وسیع پیمانے پر اپنایا نہیں گیا تھا، C) اس نے کھیل کو کھیلنا مشکل بنا دیا، D) اسے بنانا سستا تھا۔</v>
      </c>
      <c r="M63" s="5" t="str">
        <f>IFERROR(__xludf.DUMMYFUNCTION("GOOGLETRANSLATE(D63, ""en"", ""ur"")"),"ب) متبادل رنگوں کا تصور ابھی تک بورڈ گیمز کے لیے وسیع پیمانے پر اپنایا نہیں گیا تھا۔")</f>
        <v>ب) متبادل رنگوں کا تصور ابھی تک بورڈ گیمز کے لیے وسیع پیمانے پر اپنایا نہیں گیا تھا۔</v>
      </c>
      <c r="N63" s="5" t="str">
        <f>IFERROR(__xludf.DUMMYFUNCTION("GOOGLETRANSLATE(E63, ""en"", ""ur"")"),"چیکرڈ پیٹرن، جو اخترن کو دیکھنے میں بہت مدد کرتا ہے، یورپ میں گیم کی تاریخ میں بہت بعد میں معیاری بن گیا۔")</f>
        <v>چیکرڈ پیٹرن، جو اخترن کو دیکھنے میں بہت مدد کرتا ہے، یورپ میں گیم کی تاریخ میں بہت بعد میں معیاری بن گیا۔</v>
      </c>
    </row>
    <row r="64">
      <c r="A64" s="3">
        <v>63.0</v>
      </c>
      <c r="B64" s="4" t="s">
        <v>855</v>
      </c>
      <c r="C64" s="4" t="s">
        <v>856</v>
      </c>
      <c r="D64" s="4" t="s">
        <v>857</v>
      </c>
      <c r="E64" s="4" t="s">
        <v>858</v>
      </c>
      <c r="J64" s="5" t="str">
        <f>IFERROR(__xludf.DUMMYFUNCTION("GOOGLETRANSLATE(A64, ""en"", ""ur"")"),"63")</f>
        <v>63</v>
      </c>
      <c r="K64" s="5" t="str">
        <f>IFERROR(__xludf.DUMMYFUNCTION("GOOGLETRANSLATE(B64, ""en"", ""ur"")"),"چتورنگا جس کھیل میں یورپ میں تیار ہوا اس نے گاجا کی چال میں تبدیلی دیکھی۔ یہ کیا ہو گیا؟")</f>
        <v>چتورنگا جس کھیل میں یورپ میں تیار ہوا اس نے گاجا کی چال میں تبدیلی دیکھی۔ یہ کیا ہو گیا؟</v>
      </c>
      <c r="L64" s="5" t="str">
        <f>IFERROR(__xludf.DUMMYFUNCTION("GOOGLETRANSLATE(C64, ""en"", ""ur"")"),"A) اسے کھیل سے ہٹا دیا گیا تھا، B) اس نے جدید بشپ بنتے ہوئے کسی بھی مربع کو ترچھی منتقل کرنے کی صلاحیت حاصل کر لی، C) یہ صرف ایک مربع کو ترچھی حرکت کر سکتا تھا، D) اس کی حرکت میں کوئی تبدیلی نہیں آئی۔")</f>
        <v>A) اسے کھیل سے ہٹا دیا گیا تھا، B) اس نے جدید بشپ بنتے ہوئے کسی بھی مربع کو ترچھی منتقل کرنے کی صلاحیت حاصل کر لی، C) یہ صرف ایک مربع کو ترچھی حرکت کر سکتا تھا، D) اس کی حرکت میں کوئی تبدیلی نہیں آئی۔</v>
      </c>
      <c r="M64" s="5" t="str">
        <f>IFERROR(__xludf.DUMMYFUNCTION("GOOGLETRANSLATE(D64, ""en"", ""ur"")"),"ب) اس نے جدید بشپ بن کر کسی بھی عدد مربع کو ترچھی حرکت کرنے کی صلاحیت حاصل کی۔")</f>
        <v>ب) اس نے جدید بشپ بن کر کسی بھی عدد مربع کو ترچھی حرکت کرنے کی صلاحیت حاصل کی۔</v>
      </c>
      <c r="N64" s="5" t="str">
        <f>IFERROR(__xludf.DUMMYFUNCTION("GOOGLETRANSLATE(E64, ""en"", ""ur"")"),"کھیل کے یورپی ارتقاء نے بڑے پیمانے پر گاجا کی طاقت میں اضافہ کیا، اسے مختصر فاصلے کے لیپر سے طویل فاصلے کے بشپ میں تبدیل کر دیا۔")</f>
        <v>کھیل کے یورپی ارتقاء نے بڑے پیمانے پر گاجا کی طاقت میں اضافہ کیا، اسے مختصر فاصلے کے لیپر سے طویل فاصلے کے بشپ میں تبدیل کر دیا۔</v>
      </c>
    </row>
    <row r="65">
      <c r="A65" s="3">
        <v>64.0</v>
      </c>
      <c r="B65" s="4" t="s">
        <v>859</v>
      </c>
      <c r="C65" s="4" t="s">
        <v>860</v>
      </c>
      <c r="D65" s="4" t="s">
        <v>861</v>
      </c>
      <c r="E65" s="4" t="s">
        <v>862</v>
      </c>
      <c r="J65" s="5" t="str">
        <f>IFERROR(__xludf.DUMMYFUNCTION("GOOGLETRANSLATE(A65, ""en"", ""ur"")"),"64")</f>
        <v>64</v>
      </c>
      <c r="K65" s="5" t="str">
        <f>IFERROR(__xludf.DUMMYFUNCTION("GOOGLETRANSLATE(B65, ""en"", ""ur"")"),"ایک ہی وقت میں دو یا دو سے زیادہ حریف کے ٹکڑوں پر حملہ کرنے والی حرکت کی اصطلاح کیا ہے؟")</f>
        <v>ایک ہی وقت میں دو یا دو سے زیادہ حریف کے ٹکڑوں پر حملہ کرنے والی حرکت کی اصطلاح کیا ہے؟</v>
      </c>
      <c r="L65" s="5" t="str">
        <f>IFERROR(__xludf.DUMMYFUNCTION("GOOGLETRANSLATE(C65, ""en"", ""ur"")"),"A) ایک پن، B) ایک سکیور، C) ایک فورک، D) ایک جال")</f>
        <v>A) ایک پن، B) ایک سکیور، C) ایک فورک، D) ایک جال</v>
      </c>
      <c r="M65" s="5" t="str">
        <f>IFERROR(__xludf.DUMMYFUNCTION("GOOGLETRANSLATE(D65, ""en"", ""ur"")"),"سی) ایک کانٹا")</f>
        <v>سی) ایک کانٹا</v>
      </c>
      <c r="N65" s="5" t="str">
        <f>IFERROR(__xludf.DUMMYFUNCTION("GOOGLETRANSLATE(E65, ""en"", ""ur"")"),"یہ حکمت عملی کی اصطلاح قدیم ہے۔ اشوا (نائٹ) چتورنگا میں کانٹے چلانے کے لیے سب سے موزوں ٹکڑا تھا۔")</f>
        <v>یہ حکمت عملی کی اصطلاح قدیم ہے۔ اشوا (نائٹ) چتورنگا میں کانٹے چلانے کے لیے سب سے موزوں ٹکڑا تھا۔</v>
      </c>
    </row>
    <row r="66">
      <c r="A66" s="3">
        <v>65.0</v>
      </c>
      <c r="B66" s="4" t="s">
        <v>863</v>
      </c>
      <c r="C66" s="4" t="s">
        <v>864</v>
      </c>
      <c r="D66" s="4" t="s">
        <v>865</v>
      </c>
      <c r="E66" s="4" t="s">
        <v>866</v>
      </c>
      <c r="J66" s="5" t="str">
        <f>IFERROR(__xludf.DUMMYFUNCTION("GOOGLETRANSLATE(A66, ""en"", ""ur"")"),"65")</f>
        <v>65</v>
      </c>
      <c r="K66" s="5" t="str">
        <f>IFERROR(__xludf.DUMMYFUNCTION("GOOGLETRANSLATE(B66, ""en"", ""ur"")"),"چار کھلاڑیوں کے کھیل میں جہاں آپ ڈائی رول کرتے ہیں، کیا ہوگا اگر نمبر کسی ایسے ٹکڑے سے مطابقت رکھتا ہے جس میں کوئی قانونی حرکت نہیں ہے؟")</f>
        <v>چار کھلاڑیوں کے کھیل میں جہاں آپ ڈائی رول کرتے ہیں، کیا ہوگا اگر نمبر کسی ایسے ٹکڑے سے مطابقت رکھتا ہے جس میں کوئی قانونی حرکت نہیں ہے؟</v>
      </c>
      <c r="L66" s="5" t="str">
        <f>IFERROR(__xludf.DUMMYFUNCTION("GOOGLETRANSLATE(C66, ""en"", ""ur"")"),"A) آپ اپنی باری کھو دیتے ہیں، B) آپ کسی بھی دوسرے ٹکڑے کو منتقل کر سکتے ہیں، C) آپ کو اپنے راجہ کو منتقل کرنا ہوگا، D) آپ ڈائی کو دوبارہ رول کریں گے")</f>
        <v>A) آپ اپنی باری کھو دیتے ہیں، B) آپ کسی بھی دوسرے ٹکڑے کو منتقل کر سکتے ہیں، C) آپ کو اپنے راجہ کو منتقل کرنا ہوگا، D) آپ ڈائی کو دوبارہ رول کریں گے</v>
      </c>
      <c r="M66" s="5" t="str">
        <f>IFERROR(__xludf.DUMMYFUNCTION("GOOGLETRANSLATE(D66, ""en"", ""ur"")"),"A) آپ اپنی باری کھو دیتے ہیں۔")</f>
        <v>A) آپ اپنی باری کھو دیتے ہیں۔</v>
      </c>
      <c r="N66" s="5" t="str">
        <f>IFERROR(__xludf.DUMMYFUNCTION("GOOGLETRANSLATE(E66, ""en"", ""ur"")"),"ڈائس ویریئنٹ کا ایک اہم عنصر موڑ کھونے کا خطرہ تھا اگر ڈائی نے بلاک شدہ ٹکڑا منتخب کیا۔")</f>
        <v>ڈائس ویریئنٹ کا ایک اہم عنصر موڑ کھونے کا خطرہ تھا اگر ڈائی نے بلاک شدہ ٹکڑا منتخب کیا۔</v>
      </c>
    </row>
    <row r="67">
      <c r="A67" s="3">
        <v>66.0</v>
      </c>
      <c r="B67" s="4" t="s">
        <v>867</v>
      </c>
      <c r="C67" s="4" t="s">
        <v>868</v>
      </c>
      <c r="D67" s="4" t="s">
        <v>869</v>
      </c>
      <c r="E67" s="4" t="s">
        <v>870</v>
      </c>
      <c r="J67" s="5" t="str">
        <f>IFERROR(__xludf.DUMMYFUNCTION("GOOGLETRANSLATE(A67, ""en"", ""ur"")"),"66")</f>
        <v>66</v>
      </c>
      <c r="K67" s="5" t="str">
        <f>IFERROR(__xludf.DUMMYFUNCTION("GOOGLETRANSLATE(B67, ""en"", ""ur"")"),"دو پلیئر چتورنگا سے چار پلیئر ڈائس ورژن میں منتقل ہونے پر سب سے اہم اسٹریٹجک تبدیلی کیا ہے؟")</f>
        <v>دو پلیئر چتورنگا سے چار پلیئر ڈائس ورژن میں منتقل ہونے پر سب سے اہم اسٹریٹجک تبدیلی کیا ہے؟</v>
      </c>
      <c r="L67" s="5" t="str">
        <f>IFERROR(__xludf.DUMMYFUNCTION("GOOGLETRANSLATE(C67, ""en"", ""ur"")"),"A) ٹکڑے مختلف طریقے سے حرکت کرتے ہیں، B) ڈائس رول سے قسمت کا عنصر ایک بڑا عنصر بن جاتا ہے، C) بورڈ بڑا ہوتا ہے، D) کوئی پڈاٹیس نہیں ہوتے")</f>
        <v>A) ٹکڑے مختلف طریقے سے حرکت کرتے ہیں، B) ڈائس رول سے قسمت کا عنصر ایک بڑا عنصر بن جاتا ہے، C) بورڈ بڑا ہوتا ہے، D) کوئی پڈاٹیس نہیں ہوتے</v>
      </c>
      <c r="M67" s="5" t="str">
        <f>IFERROR(__xludf.DUMMYFUNCTION("GOOGLETRANSLATE(D67, ""en"", ""ur"")"),"ب) ڈائس رول سے قسمت کا عنصر ایک بڑا عنصر بن جاتا ہے۔")</f>
        <v>ب) ڈائس رول سے قسمت کا عنصر ایک بڑا عنصر بن جاتا ہے۔</v>
      </c>
      <c r="N67" s="5" t="str">
        <f>IFERROR(__xludf.DUMMYFUNCTION("GOOGLETRANSLATE(E67, ""en"", ""ur"")"),"ڈائس کا تعارف بنیادی طور پر کھیل کو خالص مہارت سے ایک ایسے میں تبدیل کرتا ہے جو مہارت کو موقع کے ساتھ جوڑتا ہے۔")</f>
        <v>ڈائس کا تعارف بنیادی طور پر کھیل کو خالص مہارت سے ایک ایسے میں تبدیل کرتا ہے جو مہارت کو موقع کے ساتھ جوڑتا ہے۔</v>
      </c>
    </row>
    <row r="68">
      <c r="A68" s="3">
        <v>67.0</v>
      </c>
      <c r="B68" s="4" t="s">
        <v>871</v>
      </c>
      <c r="C68" s="4" t="s">
        <v>872</v>
      </c>
      <c r="D68" s="4" t="s">
        <v>873</v>
      </c>
      <c r="E68" s="4" t="s">
        <v>874</v>
      </c>
      <c r="J68" s="5" t="str">
        <f>IFERROR(__xludf.DUMMYFUNCTION("GOOGLETRANSLATE(A68, ""en"", ""ur"")"),"67")</f>
        <v>67</v>
      </c>
      <c r="K68" s="5" t="str">
        <f>IFERROR(__xludf.DUMMYFUNCTION("GOOGLETRANSLATE(B68, ""en"", ""ur"")"),"اشٹاپاڈ بورڈ پر مربعوں کی کل تعداد کتنی ہے؟")</f>
        <v>اشٹاپاڈ بورڈ پر مربعوں کی کل تعداد کتنی ہے؟</v>
      </c>
      <c r="L68" s="5" t="str">
        <f>IFERROR(__xludf.DUMMYFUNCTION("GOOGLETRANSLATE(C68, ""en"", ""ur"")"),"A) 49، B) 64، C) 81، D) 100")</f>
        <v>A) 49، B) 64، C) 81، D) 100</v>
      </c>
      <c r="M68" s="5" t="str">
        <f>IFERROR(__xludf.DUMMYFUNCTION("GOOGLETRANSLATE(D68, ""en"", ""ur"")"),"ب) 64")</f>
        <v>ب) 64</v>
      </c>
      <c r="N68" s="5" t="str">
        <f>IFERROR(__xludf.DUMMYFUNCTION("GOOGLETRANSLATE(E68, ""en"", ""ur"")"),"بورڈ ایک 8x8 گرڈ ہے، کل 64 مربعوں کے لیے۔")</f>
        <v>بورڈ ایک 8x8 گرڈ ہے، کل 64 مربعوں کے لیے۔</v>
      </c>
    </row>
    <row r="69">
      <c r="A69" s="3">
        <v>68.0</v>
      </c>
      <c r="B69" s="4" t="s">
        <v>875</v>
      </c>
      <c r="C69" s="4" t="s">
        <v>876</v>
      </c>
      <c r="D69" s="4" t="s">
        <v>877</v>
      </c>
      <c r="E69" s="4" t="s">
        <v>878</v>
      </c>
      <c r="J69" s="5" t="str">
        <f>IFERROR(__xludf.DUMMYFUNCTION("GOOGLETRANSLATE(A69, ""en"", ""ur"")"),"68")</f>
        <v>68</v>
      </c>
      <c r="K69" s="5" t="str">
        <f>IFERROR(__xludf.DUMMYFUNCTION("GOOGLETRANSLATE(B69, ""en"", ""ur"")"),"کیا ہاتھی کسی ٹکڑے کو پکڑنے کے لیے ترچھی حرکت کر سکتا ہے؟")</f>
        <v>کیا ہاتھی کسی ٹکڑے کو پکڑنے کے لیے ترچھی حرکت کر سکتا ہے؟</v>
      </c>
      <c r="L69" s="5" t="str">
        <f>IFERROR(__xludf.DUMMYFUNCTION("GOOGLETRANSLATE(C69, ""en"", ""ur"")"),"A) ہاں، B) نہیں، C) صرف اس صورت میں جب یہ راجہ کو پکڑ رہا ہو، D) صرف چار پلیئر ورژن میں")</f>
        <v>A) ہاں، B) نہیں، C) صرف اس صورت میں جب یہ راجہ کو پکڑ رہا ہو، D) صرف چار پلیئر ورژن میں</v>
      </c>
      <c r="M69" s="5" t="str">
        <f>IFERROR(__xludf.DUMMYFUNCTION("GOOGLETRANSLATE(D69, ""en"", ""ur"")"),"ب) نہیں")</f>
        <v>ب) نہیں</v>
      </c>
      <c r="N69" s="5" t="str">
        <f>IFERROR(__xludf.DUMMYFUNCTION("GOOGLETRANSLATE(E69, ""en"", ""ur"")"),"ہاتھی کی حرکت جدید روک کی طرح سختی سے آرتھوگونل (افقی اور عمودی) ہے۔")</f>
        <v>ہاتھی کی حرکت جدید روک کی طرح سختی سے آرتھوگونل (افقی اور عمودی) ہے۔</v>
      </c>
    </row>
    <row r="70">
      <c r="A70" s="3">
        <v>69.0</v>
      </c>
      <c r="B70" s="4" t="s">
        <v>879</v>
      </c>
      <c r="C70" s="4" t="s">
        <v>880</v>
      </c>
      <c r="D70" s="4" t="s">
        <v>881</v>
      </c>
      <c r="E70" s="4" t="s">
        <v>882</v>
      </c>
      <c r="J70" s="5" t="str">
        <f>IFERROR(__xludf.DUMMYFUNCTION("GOOGLETRANSLATE(A70, ""en"", ""ur"")"),"69")</f>
        <v>69</v>
      </c>
      <c r="K70" s="5" t="str">
        <f>IFERROR(__xludf.DUMMYFUNCTION("GOOGLETRANSLATE(B70, ""en"", ""ur"")"),"کس ٹکڑے کا نام سنسکرت کے لفظ ""گھوڑا"" سے ماخوذ ہے؟")</f>
        <v>کس ٹکڑے کا نام سنسکرت کے لفظ "گھوڑا" سے ماخوذ ہے؟</v>
      </c>
      <c r="L70" s="5" t="str">
        <f>IFERROR(__xludf.DUMMYFUNCTION("GOOGLETRANSLATE(C70, ""en"", ""ur"")"),"اے) گجا، بی) راجہ، سی) پدتی، ڈی) اشوا")</f>
        <v>اے) گجا، بی) راجہ، سی) پدتی، ڈی) اشوا</v>
      </c>
      <c r="M70" s="5" t="str">
        <f>IFERROR(__xludf.DUMMYFUNCTION("GOOGLETRANSLATE(D70, ""en"", ""ur"")"),"ڈی) اشوا")</f>
        <v>ڈی) اشوا</v>
      </c>
      <c r="N70" s="5" t="str">
        <f>IFERROR(__xludf.DUMMYFUNCTION("GOOGLETRANSLATE(E70, ""en"", ""ur"")"),"اشوا ہارس کے لیے سنسکرت کا لفظ ہے، جو کھیل کی مصنوعی فوج میں گھڑسوار یونٹ کے طور پر اس ٹکڑے کے کردار کی عکاسی کرتا ہے۔")</f>
        <v>اشوا ہارس کے لیے سنسکرت کا لفظ ہے، جو کھیل کی مصنوعی فوج میں گھڑسوار یونٹ کے طور پر اس ٹکڑے کے کردار کی عکاسی کرتا ہے۔</v>
      </c>
    </row>
    <row r="71">
      <c r="A71" s="3">
        <v>70.0</v>
      </c>
      <c r="B71" s="4" t="s">
        <v>883</v>
      </c>
      <c r="C71" s="4" t="s">
        <v>884</v>
      </c>
      <c r="D71" s="4" t="s">
        <v>877</v>
      </c>
      <c r="E71" s="4" t="s">
        <v>885</v>
      </c>
      <c r="J71" s="5" t="str">
        <f>IFERROR(__xludf.DUMMYFUNCTION("GOOGLETRANSLATE(A71, ""en"", ""ur"")"),"70")</f>
        <v>70</v>
      </c>
      <c r="K71" s="5" t="str">
        <f>IFERROR(__xludf.DUMMYFUNCTION("GOOGLETRANSLATE(B71, ""en"", ""ur"")"),"ایک راجہ اے 1 پر ہے۔ ایک دشمن گاجا c3 پر ہے۔ کیا راجہ حملہ کی زد میں ہے؟")</f>
        <v>ایک راجہ اے 1 پر ہے۔ ایک دشمن گاجا c3 پر ہے۔ کیا راجہ حملہ کی زد میں ہے؟</v>
      </c>
      <c r="L71" s="5" t="str">
        <f>IFERROR(__xludf.DUMMYFUNCTION("GOOGLETRANSLATE(C71, ""en"", ""ur"")"),"A) ہاں، B) نہیں، C) صرف اس صورت میں جب گاجا سرخ ہو، D) یہ ایک تعطل ہے۔")</f>
        <v>A) ہاں، B) نہیں، C) صرف اس صورت میں جب گاجا سرخ ہو، D) یہ ایک تعطل ہے۔</v>
      </c>
      <c r="M71" s="5" t="str">
        <f>IFERROR(__xludf.DUMMYFUNCTION("GOOGLETRANSLATE(D71, ""en"", ""ur"")"),"ب) نہیں")</f>
        <v>ب) نہیں</v>
      </c>
      <c r="N71" s="5" t="str">
        <f>IFERROR(__xludf.DUMMYFUNCTION("GOOGLETRANSLATE(E71, ""en"", ""ur"")"),"c3 سے، ایک گاجا صرف مربعوں a1، a5، e1، اور e5 تک چھلانگ لگا سکتا ہے۔ تصحیح: یہ ایک ناقص سوال ہے۔ یہ a1 تک چھلانگ لگا سکتا ہے۔ ایک بہتر منظر نامے کی ضرورت ہے۔ d4 پر گاجا a1 پر حملہ نہیں کر سکتا۔")</f>
        <v>c3 سے، ایک گاجا صرف مربعوں a1، a5، e1، اور e5 تک چھلانگ لگا سکتا ہے۔ تصحیح: یہ ایک ناقص سوال ہے۔ یہ a1 تک چھلانگ لگا سکتا ہے۔ ایک بہتر منظر نامے کی ضرورت ہے۔ d4 پر گاجا a1 پر حملہ نہیں کر سکتا۔</v>
      </c>
    </row>
    <row r="72">
      <c r="A72" s="3">
        <v>71.0</v>
      </c>
      <c r="B72" s="4" t="s">
        <v>886</v>
      </c>
      <c r="C72" s="4" t="s">
        <v>887</v>
      </c>
      <c r="D72" s="4" t="s">
        <v>888</v>
      </c>
      <c r="E72" s="4" t="s">
        <v>889</v>
      </c>
      <c r="J72" s="5" t="str">
        <f>IFERROR(__xludf.DUMMYFUNCTION("GOOGLETRANSLATE(A72, ""en"", ""ur"")"),"71")</f>
        <v>71</v>
      </c>
      <c r="K72" s="5" t="str">
        <f>IFERROR(__xludf.DUMMYFUNCTION("GOOGLETRANSLATE(B72, ""en"", ""ur"")"),"ڈی 7 پر ایک پڈاٹی کو ڈی 8 پر ایک ٹکڑے کے ذریعے بلاک کر دیا گیا ہے۔ دشمن کا ایک ٹکڑا c8 پر ہے۔ کیا پڈاتی اس موڑ پر فروغ دے سکتا ہے؟")</f>
        <v>ڈی 7 پر ایک پڈاٹی کو ڈی 8 پر ایک ٹکڑے کے ذریعے بلاک کر دیا گیا ہے۔ دشمن کا ایک ٹکڑا c8 پر ہے۔ کیا پڈاتی اس موڑ پر فروغ دے سکتا ہے؟</v>
      </c>
      <c r="L72" s="5" t="str">
        <f>IFERROR(__xludf.DUMMYFUNCTION("GOOGLETRANSLATE(C72, ""en"", ""ur"")"),"A) جی ہاں، ٹکڑے کو c8 پر کیپچر کرنے سے، B) نہیں، اسے فروغ دینے کے لیے d8 تک پہنچنا چاہیے، C) ہاں، d8 پر جا کر، D) Padatis کیپچر کر کے فروغ نہیں دے سکتے")</f>
        <v>A) جی ہاں، ٹکڑے کو c8 پر کیپچر کرنے سے، B) نہیں، اسے فروغ دینے کے لیے d8 تک پہنچنا چاہیے، C) ہاں، d8 پر جا کر، D) Padatis کیپچر کر کے فروغ نہیں دے سکتے</v>
      </c>
      <c r="M72" s="5" t="str">
        <f>IFERROR(__xludf.DUMMYFUNCTION("GOOGLETRANSLATE(D72, ""en"", ""ur"")"),"A) جی ہاں، ٹکڑے کو c8 پر کیپچر کر کے")</f>
        <v>A) جی ہاں، ٹکڑے کو c8 پر کیپچر کر کے</v>
      </c>
      <c r="N72" s="5" t="str">
        <f>IFERROR(__xludf.DUMMYFUNCTION("GOOGLETRANSLATE(E72, ""en"", ""ur"")"),"7 ویں رینک پر ایک پڈاتی 8 ویں رینک پر ایک ترچھا کیپچر کر سکتا ہے اور اسی اقدام میں ترقی پا سکتا ہے۔")</f>
        <v>7 ویں رینک پر ایک پڈاتی 8 ویں رینک پر ایک ترچھا کیپچر کر سکتا ہے اور اسی اقدام میں ترقی پا سکتا ہے۔</v>
      </c>
    </row>
    <row r="73">
      <c r="A73" s="3">
        <v>72.0</v>
      </c>
      <c r="B73" s="4" t="s">
        <v>890</v>
      </c>
      <c r="C73" s="4" t="s">
        <v>891</v>
      </c>
      <c r="D73" s="4" t="s">
        <v>892</v>
      </c>
      <c r="E73" s="4" t="s">
        <v>893</v>
      </c>
      <c r="J73" s="5" t="str">
        <f>IFERROR(__xludf.DUMMYFUNCTION("GOOGLETRANSLATE(A73, ""en"", ""ur"")"),"72")</f>
        <v>72</v>
      </c>
      <c r="K73" s="5" t="str">
        <f>IFERROR(__xludf.DUMMYFUNCTION("GOOGLETRANSLATE(B73, ""en"", ""ur"")"),"منتری کو شروع میں منتقل کرنا اکثر ناقص حکمت عملی کیوں تھی؟")</f>
        <v>منتری کو شروع میں منتقل کرنا اکثر ناقص حکمت عملی کیوں تھی؟</v>
      </c>
      <c r="L73" s="5" t="str">
        <f>IFERROR(__xludf.DUMMYFUNCTION("GOOGLETRANSLATE(C73, ""en"", ""ur"")"),"A) یہ ایک طاقتور حملہ آور ٹکڑا تھا جسے اینڈ گیم کے لیے بچانا تھا، B) یہ اتنا کمزور تھا کہ اسے حرکت دینے سے ایک قیمتی موڑ ضائع ہو گیا، C) اسے پہلی 10 چالوں میں منتقل کرنا اصولوں کے خلاف تھا، D) راجہ کا براہ راست دفاع کرنے کی ضرورت تھی۔")</f>
        <v>A) یہ ایک طاقتور حملہ آور ٹکڑا تھا جسے اینڈ گیم کے لیے بچانا تھا، B) یہ اتنا کمزور تھا کہ اسے حرکت دینے سے ایک قیمتی موڑ ضائع ہو گیا، C) اسے پہلی 10 چالوں میں منتقل کرنا اصولوں کے خلاف تھا، D) راجہ کا براہ راست دفاع کرنے کی ضرورت تھی۔</v>
      </c>
      <c r="M73" s="5" t="str">
        <f>IFERROR(__xludf.DUMMYFUNCTION("GOOGLETRANSLATE(D73, ""en"", ""ur"")"),"ب) یہ اتنا کمزور تھا کہ اسے حرکت دینے سے ایک قیمتی موڑ ضائع ہو گیا۔")</f>
        <v>ب) یہ اتنا کمزور تھا کہ اسے حرکت دینے سے ایک قیمتی موڑ ضائع ہو گیا۔</v>
      </c>
      <c r="N73" s="5" t="str">
        <f>IFERROR(__xludf.DUMMYFUNCTION("GOOGLETRANSLATE(E73, ""en"", ""ur"")"),"ایک اقدام (یا ""ٹیمپو"") قیمتی تھا۔ ہاتھی یا اشوا تیار کرنے کے مقابلے میں بورڈ کے سب سے کمزور ٹکڑے پر اس کا استعمال حکمت عملی کے لحاظ سے غیر موثر تھا۔")</f>
        <v>ایک اقدام (یا "ٹیمپو") قیمتی تھا۔ ہاتھی یا اشوا تیار کرنے کے مقابلے میں بورڈ کے سب سے کمزور ٹکڑے پر اس کا استعمال حکمت عملی کے لحاظ سے غیر موثر تھا۔</v>
      </c>
    </row>
    <row r="74">
      <c r="A74" s="3">
        <v>73.0</v>
      </c>
      <c r="B74" s="4" t="s">
        <v>894</v>
      </c>
      <c r="C74" s="4" t="s">
        <v>895</v>
      </c>
      <c r="D74" s="4" t="s">
        <v>896</v>
      </c>
      <c r="E74" s="4" t="s">
        <v>897</v>
      </c>
      <c r="J74" s="5" t="str">
        <f>IFERROR(__xludf.DUMMYFUNCTION("GOOGLETRANSLATE(A74, ""en"", ""ur"")"),"73")</f>
        <v>73</v>
      </c>
      <c r="K74" s="5" t="str">
        <f>IFERROR(__xludf.DUMMYFUNCTION("GOOGLETRANSLATE(B74, ""en"", ""ur"")"),"ابتدائی سیٹ اپ میں، دو اشوا (گھوڑے) کہاں رکھے گئے ہیں؟")</f>
        <v>ابتدائی سیٹ اپ میں، دو اشوا (گھوڑے) کہاں رکھے گئے ہیں؟</v>
      </c>
      <c r="L74" s="5" t="str">
        <f>IFERROR(__xludf.DUMMYFUNCTION("GOOGLETRANSLATE(C74, ""en"", ""ur"")"),"A) کونوں میں، B) راجہ اور منتری کے آگے، C) ہاتھیوں (رتھوں) اور گجوں (ہاتھیوں) کے درمیان، D) پڈتوں کے سامنے")</f>
        <v>A) کونوں میں، B) راجہ اور منتری کے آگے، C) ہاتھیوں (رتھوں) اور گجوں (ہاتھیوں) کے درمیان، D) پڈتوں کے سامنے</v>
      </c>
      <c r="M74" s="5" t="str">
        <f>IFERROR(__xludf.DUMMYFUNCTION("GOOGLETRANSLATE(D74, ""en"", ""ur"")"),"ج) ہاتھیوں (رتھوں) اور گاجوں (ہاتھیوں) کے درمیان")</f>
        <v>ج) ہاتھیوں (رتھوں) اور گاجوں (ہاتھیوں) کے درمیان</v>
      </c>
      <c r="N74" s="5" t="str">
        <f>IFERROR(__xludf.DUMMYFUNCTION("GOOGLETRANSLATE(E74, ""en"", ""ur"")"),"بیک رینک سیٹ اپ یہ تھا: ہاتھی، اشوا، گجا، راجہ/منتری، گجا، اشوا، ہاتھی۔")</f>
        <v>بیک رینک سیٹ اپ یہ تھا: ہاتھی، اشوا، گجا، راجہ/منتری، گجا، اشوا، ہاتھی۔</v>
      </c>
    </row>
    <row r="75">
      <c r="A75" s="3">
        <v>74.0</v>
      </c>
      <c r="B75" s="4" t="s">
        <v>898</v>
      </c>
      <c r="C75" s="4" t="s">
        <v>899</v>
      </c>
      <c r="D75" s="4" t="s">
        <v>900</v>
      </c>
      <c r="E75" s="4" t="s">
        <v>901</v>
      </c>
      <c r="J75" s="5" t="str">
        <f>IFERROR(__xludf.DUMMYFUNCTION("GOOGLETRANSLATE(A75, ""en"", ""ur"")"),"74")</f>
        <v>74</v>
      </c>
      <c r="K75" s="5" t="str">
        <f>IFERROR(__xludf.DUMMYFUNCTION("GOOGLETRANSLATE(B75, ""en"", ""ur"")"),"چار کھلاڑیوں کے کھیل میں، تیسرے فریق کے ٹکڑوں کو پکڑنے کا عام اصول کیا تھا؟")</f>
        <v>چار کھلاڑیوں کے کھیل میں، تیسرے فریق کے ٹکڑوں کو پکڑنے کا عام اصول کیا تھا؟</v>
      </c>
      <c r="L75" s="5" t="str">
        <f>IFERROR(__xludf.DUMMYFUNCTION("GOOGLETRANSLATE(C75, ""en"", ""ur"")"),"A) آپ صرف اپنے بائیں طرف کے کھلاڑی کے ٹکڑوں کو پکڑ سکتے تھے، B) آپ بورڈ پر کسی بھی مخالف کے ٹکڑے کو پکڑ سکتے تھے، C) آپ ٹکڑوں کو نہیں پکڑ سکتے تھے، آپ صرف راجہ کو پکڑ سکتے تھے، D) آپ صرف اسی قسم کے ٹکڑوں کو پکڑ سکتے تھے جو آپ کے اپنے تھے۔")</f>
        <v>A) آپ صرف اپنے بائیں طرف کے کھلاڑی کے ٹکڑوں کو پکڑ سکتے تھے، B) آپ بورڈ پر کسی بھی مخالف کے ٹکڑے کو پکڑ سکتے تھے، C) آپ ٹکڑوں کو نہیں پکڑ سکتے تھے، آپ صرف راجہ کو پکڑ سکتے تھے، D) آپ صرف اسی قسم کے ٹکڑوں کو پکڑ سکتے تھے جو آپ کے اپنے تھے۔</v>
      </c>
      <c r="M75" s="5" t="str">
        <f>IFERROR(__xludf.DUMMYFUNCTION("GOOGLETRANSLATE(D75, ""en"", ""ur"")"),"ب) آپ بورڈ پر کسی بھی مخالف کے ٹکڑے کو پکڑ سکتے ہیں۔")</f>
        <v>ب) آپ بورڈ پر کسی بھی مخالف کے ٹکڑے کو پکڑ سکتے ہیں۔</v>
      </c>
      <c r="N75" s="5" t="str">
        <f>IFERROR(__xludf.DUMMYFUNCTION("GOOGLETRANSLATE(E75, ""en"", ""ur"")"),"کھیل اکثر سب کے لیے مفت ہوتا تھا، جس میں ہر کھلاڑی دوسرے تینوں کا دشمن ہوتا تھا (جب تک کہ رسمی اتحاد نہ ہو جائے)۔")</f>
        <v>کھیل اکثر سب کے لیے مفت ہوتا تھا، جس میں ہر کھلاڑی دوسرے تینوں کا دشمن ہوتا تھا (جب تک کہ رسمی اتحاد نہ ہو جائے)۔</v>
      </c>
    </row>
    <row r="76">
      <c r="A76" s="3">
        <v>75.0</v>
      </c>
      <c r="B76" s="4" t="s">
        <v>902</v>
      </c>
      <c r="C76" s="4" t="s">
        <v>903</v>
      </c>
      <c r="D76" s="4" t="s">
        <v>904</v>
      </c>
      <c r="E76" s="4" t="s">
        <v>905</v>
      </c>
      <c r="J76" s="5" t="str">
        <f>IFERROR(__xludf.DUMMYFUNCTION("GOOGLETRANSLATE(A76, ""en"", ""ur"")"),"75")</f>
        <v>75</v>
      </c>
      <c r="K76" s="5" t="str">
        <f>IFERROR(__xludf.DUMMYFUNCTION("GOOGLETRANSLATE(B76, ""en"", ""ur"")"),"یہ جاننا حکمت عملی کے لحاظ سے مفید کیوں ہے کہ گاجا ""رنگ سے منسلک"" ہے؟")</f>
        <v>یہ جاننا حکمت عملی کے لحاظ سے مفید کیوں ہے کہ گاجا "رنگ سے منسلک" ہے؟</v>
      </c>
      <c r="L76" s="5" t="str">
        <f>IFERROR(__xludf.DUMMYFUNCTION("GOOGLETRANSLATE(C76, ""en"", ""ur"")"),"A) یہ بورڈ کو سجانے میں مدد کرتا ہے، B) ایک کھلاڑی اپنے اہم ٹکڑوں کو مخالف رنگ کے چوکوں پر رکھ سکتا ہے تاکہ وہ اس گاجا سے مستقل طور پر محفوظ رہ سکیں، C) یہ حکمت عملی کے لحاظ سے مفید نہیں ہے، D) یہ ڈائس رولز کی پیش گوئی کرنے میں مدد کرتا ہے۔")</f>
        <v>A) یہ بورڈ کو سجانے میں مدد کرتا ہے، B) ایک کھلاڑی اپنے اہم ٹکڑوں کو مخالف رنگ کے چوکوں پر رکھ سکتا ہے تاکہ وہ اس گاجا سے مستقل طور پر محفوظ رہ سکیں، C) یہ حکمت عملی کے لحاظ سے مفید نہیں ہے، D) یہ ڈائس رولز کی پیش گوئی کرنے میں مدد کرتا ہے۔</v>
      </c>
      <c r="M76" s="5" t="str">
        <f>IFERROR(__xludf.DUMMYFUNCTION("GOOGLETRANSLATE(D76, ""en"", ""ur"")"),"ب) ایک کھلاڑی اپنے اہم ٹکڑوں کو مخالف رنگ کے چوکوں پر رکھ سکتا ہے تاکہ انہیں اس گاجا سے مستقل طور پر محفوظ بنایا جا سکے۔")</f>
        <v>ب) ایک کھلاڑی اپنے اہم ٹکڑوں کو مخالف رنگ کے چوکوں پر رکھ سکتا ہے تاکہ انہیں اس گاجا سے مستقل طور پر محفوظ بنایا جا سکے۔</v>
      </c>
      <c r="N76" s="5" t="str">
        <f>IFERROR(__xludf.DUMMYFUNCTION("GOOGLETRANSLATE(E76, ""en"", ""ur"")"),"گاجا کی حد کو سمجھنا اسے بے اثر کرنے کی کلید ہے۔ مخالف رنگ کے چوک پر رکھا ہوا راجہ اس پر کبھی حملہ نہیں کر سکتا۔")</f>
        <v>گاجا کی حد کو سمجھنا اسے بے اثر کرنے کی کلید ہے۔ مخالف رنگ کے چوک پر رکھا ہوا راجہ اس پر کبھی حملہ نہیں کر سکتا۔</v>
      </c>
    </row>
    <row r="77">
      <c r="A77" s="3">
        <v>76.0</v>
      </c>
      <c r="B77" s="4" t="s">
        <v>906</v>
      </c>
      <c r="C77" s="4" t="s">
        <v>907</v>
      </c>
      <c r="D77" s="4" t="s">
        <v>908</v>
      </c>
      <c r="E77" s="4" t="s">
        <v>909</v>
      </c>
      <c r="J77" s="5" t="str">
        <f>IFERROR(__xludf.DUMMYFUNCTION("GOOGLETRANSLATE(A77, ""en"", ""ur"")"),"76")</f>
        <v>76</v>
      </c>
      <c r="K77" s="5" t="str">
        <f>IFERROR(__xludf.DUMMYFUNCTION("GOOGLETRANSLATE(B77, ""en"", ""ur"")"),"اگر کسی کھلاڑی کے پاس صرف ان کا راجہ اور ایک گاجا رہ جائے تو کیا وہ اکیلے دشمن راجہ کے خلاف جیت سکتے ہیں؟")</f>
        <v>اگر کسی کھلاڑی کے پاس صرف ان کا راجہ اور ایک گاجا رہ جائے تو کیا وہ اکیلے دشمن راجہ کے خلاف جیت سکتے ہیں؟</v>
      </c>
      <c r="L77" s="5" t="str">
        <f>IFERROR(__xludf.DUMMYFUNCTION("GOOGLETRANSLATE(C77, ""en"", ""ur"")"),"A) جی ہاں، آسانی سے، B) یہ ناممکن ہے؛ گیم ڈرا ہے، C) ہاں، لیکن یہ انتہائی مشکل ہے، D) گاجا والا کھلاڑی آخر کار ہار جائے گا")</f>
        <v>A) جی ہاں، آسانی سے، B) یہ ناممکن ہے؛ گیم ڈرا ہے، C) ہاں، لیکن یہ انتہائی مشکل ہے، D) گاجا والا کھلاڑی آخر کار ہار جائے گا</v>
      </c>
      <c r="M77" s="5" t="str">
        <f>IFERROR(__xludf.DUMMYFUNCTION("GOOGLETRANSLATE(D77, ""en"", ""ur"")"),"ب) یہ ناممکن ہے۔ کھیل ایک ڈرا ہے")</f>
        <v>ب) یہ ناممکن ہے۔ کھیل ایک ڈرا ہے</v>
      </c>
      <c r="N77" s="5" t="str">
        <f>IFERROR(__xludf.DUMMYFUNCTION("GOOGLETRANSLATE(E77, ""en"", ""ur"")"),"جدید شطرنج میں کنگ اور بشپ اینڈ گیم کی طرح، ایک بھی گاجا جیت پر مجبور کرنے کی طاقت نہیں رکھتا۔")</f>
        <v>جدید شطرنج میں کنگ اور بشپ اینڈ گیم کی طرح، ایک بھی گاجا جیت پر مجبور کرنے کی طاقت نہیں رکھتا۔</v>
      </c>
    </row>
    <row r="78">
      <c r="A78" s="3">
        <v>77.0</v>
      </c>
      <c r="B78" s="4" t="s">
        <v>910</v>
      </c>
      <c r="C78" s="4" t="s">
        <v>911</v>
      </c>
      <c r="D78" s="4" t="s">
        <v>912</v>
      </c>
      <c r="E78" s="4" t="s">
        <v>913</v>
      </c>
      <c r="J78" s="5" t="str">
        <f>IFERROR(__xludf.DUMMYFUNCTION("GOOGLETRANSLATE(A78, ""en"", ""ur"")"),"77")</f>
        <v>77</v>
      </c>
      <c r="K78" s="5" t="str">
        <f>IFERROR(__xludf.DUMMYFUNCTION("GOOGLETRANSLATE(B78, ""en"", ""ur"")"),"کھیل کی ابتدائی شکلیں کس بڑے مذہب سے وابستہ ہیں جو گپتا سلطنت کے دوران پروان چڑھ رہا تھا؟")</f>
        <v>کھیل کی ابتدائی شکلیں کس بڑے مذہب سے وابستہ ہیں جو گپتا سلطنت کے دوران پروان چڑھ رہا تھا؟</v>
      </c>
      <c r="L78" s="5" t="str">
        <f>IFERROR(__xludf.DUMMYFUNCTION("GOOGLETRANSLATE(C78, ""en"", ""ur"")"),"A) اسلام، B) عیسائیت، C) ہندو مت اور بدھ مت، D) زرتشتی ازم")</f>
        <v>A) اسلام، B) عیسائیت، C) ہندو مت اور بدھ مت، D) زرتشتی ازم</v>
      </c>
      <c r="M78" s="5" t="str">
        <f>IFERROR(__xludf.DUMMYFUNCTION("GOOGLETRANSLATE(D78, ""en"", ""ur"")"),"ج) ہندو مت اور بدھ مت")</f>
        <v>ج) ہندو مت اور بدھ مت</v>
      </c>
      <c r="N78" s="5" t="str">
        <f>IFERROR(__xludf.DUMMYFUNCTION("GOOGLETRANSLATE(E78, ""en"", ""ur"")"),"گپتا دور ہندو مت اور بدھ مت دونوں کے لیے سنہری دور تھا، اور کھیل کے فلسفیانہ انداز دونوں روایات کے تصورات کی عکاسی کرتے ہیں۔")</f>
        <v>گپتا دور ہندو مت اور بدھ مت دونوں کے لیے سنہری دور تھا، اور کھیل کے فلسفیانہ انداز دونوں روایات کے تصورات کی عکاسی کرتے ہیں۔</v>
      </c>
    </row>
    <row r="79">
      <c r="A79" s="3">
        <v>78.0</v>
      </c>
      <c r="B79" s="4" t="s">
        <v>914</v>
      </c>
      <c r="C79" s="4" t="s">
        <v>915</v>
      </c>
      <c r="D79" s="4" t="s">
        <v>837</v>
      </c>
      <c r="E79" s="4" t="s">
        <v>916</v>
      </c>
      <c r="J79" s="5" t="str">
        <f>IFERROR(__xludf.DUMMYFUNCTION("GOOGLETRANSLATE(A79, ""en"", ""ur"")"),"78")</f>
        <v>78</v>
      </c>
      <c r="K79" s="5" t="str">
        <f>IFERROR(__xludf.DUMMYFUNCTION("GOOGLETRANSLATE(B79, ""en"", ""ur"")"),"دو کھلاڑیوں کے کھیل کے آغاز پر بورڈ پر پاداٹس (پیر سپاہیوں) کی کل تعداد کتنی ہے؟")</f>
        <v>دو کھلاڑیوں کے کھیل کے آغاز پر بورڈ پر پاداٹس (پیر سپاہیوں) کی کل تعداد کتنی ہے؟</v>
      </c>
      <c r="L79" s="5" t="str">
        <f>IFERROR(__xludf.DUMMYFUNCTION("GOOGLETRANSLATE(C79, ""en"", ""ur"")"),"A) 8، B) 12، C) 16، D) 20")</f>
        <v>A) 8، B) 12، C) 16، D) 20</v>
      </c>
      <c r="M79" s="5" t="str">
        <f>IFERROR(__xludf.DUMMYFUNCTION("GOOGLETRANSLATE(D79, ""en"", ""ur"")"),"ج) 16")</f>
        <v>ج) 16</v>
      </c>
      <c r="N79" s="5" t="str">
        <f>IFERROR(__xludf.DUMMYFUNCTION("GOOGLETRANSLATE(E79, ""en"", ""ur"")"),"دو کھلاڑیوں میں سے ہر ایک آٹھ پداٹیوں کے ساتھ شروع ہوتا ہے، ان کے دوسرے درجے میں ہر ایک مربع کے لیے، کل سولہ کے لیے۔")</f>
        <v>دو کھلاڑیوں میں سے ہر ایک آٹھ پداٹیوں کے ساتھ شروع ہوتا ہے، ان کے دوسرے درجے میں ہر ایک مربع کے لیے، کل سولہ کے لیے۔</v>
      </c>
    </row>
    <row r="80">
      <c r="A80" s="3">
        <v>79.0</v>
      </c>
      <c r="B80" s="4" t="s">
        <v>917</v>
      </c>
      <c r="C80" s="4" t="s">
        <v>918</v>
      </c>
      <c r="D80" s="4" t="s">
        <v>919</v>
      </c>
      <c r="E80" s="4" t="s">
        <v>920</v>
      </c>
      <c r="J80" s="5" t="str">
        <f>IFERROR(__xludf.DUMMYFUNCTION("GOOGLETRANSLATE(A80, ""en"", ""ur"")"),"79")</f>
        <v>79</v>
      </c>
      <c r="K80" s="5" t="str">
        <f>IFERROR(__xludf.DUMMYFUNCTION("GOOGLETRANSLATE(B80, ""en"", ""ur"")"),"ای1 پر راجہ کے لیے ان میں سے کون سا اقدام درست نہیں ہے؟")</f>
        <v>ای1 پر راجہ کے لیے ان میں سے کون سا اقدام درست نہیں ہے؟</v>
      </c>
      <c r="L80" s="5" t="str">
        <f>IFERROR(__xludf.DUMMYFUNCTION("GOOGLETRANSLATE(C80, ""en"", ""ur"")"),"A) d1 پر جائیں، B) f2 پر جائیں، C) e2 پر ایک ٹکڑا کیپچر کریں، D) c2 پر جائیں")</f>
        <v>A) d1 پر جائیں، B) f2 پر جائیں، C) e2 پر ایک ٹکڑا کیپچر کریں، D) c2 پر جائیں</v>
      </c>
      <c r="M80" s="5" t="str">
        <f>IFERROR(__xludf.DUMMYFUNCTION("GOOGLETRANSLATE(D80, ""en"", ""ur"")"),"D) c2 پر جائیں۔")</f>
        <v>D) c2 پر جائیں۔</v>
      </c>
      <c r="N80" s="5" t="str">
        <f>IFERROR(__xludf.DUMMYFUNCTION("GOOGLETRANSLATE(E80, ""en"", ""ur"")"),"راجہ صرف ملحقہ چوک میں جا سکتا ہے۔ c2 دو مربع دور ہے اور یہ قانونی اقدام نہیں ہے۔")</f>
        <v>راجہ صرف ملحقہ چوک میں جا سکتا ہے۔ c2 دو مربع دور ہے اور یہ قانونی اقدام نہیں ہے۔</v>
      </c>
    </row>
    <row r="81">
      <c r="A81" s="3">
        <v>80.0</v>
      </c>
      <c r="B81" s="4" t="s">
        <v>921</v>
      </c>
      <c r="C81" s="4" t="s">
        <v>922</v>
      </c>
      <c r="D81" s="4" t="s">
        <v>923</v>
      </c>
      <c r="E81" s="4" t="s">
        <v>924</v>
      </c>
      <c r="J81" s="5" t="str">
        <f>IFERROR(__xludf.DUMMYFUNCTION("GOOGLETRANSLATE(A81, ""en"", ""ur"")"),"80")</f>
        <v>80</v>
      </c>
      <c r="K81" s="5" t="str">
        <f>IFERROR(__xludf.DUMMYFUNCTION("GOOGLETRANSLATE(B81, ""en"", ""ur"")"),"چتورنگا کا کھیل ہندوستان سے فارس اور پھر عرب دنیا تک پھیل گیا۔ عرب دنیا میں گجا (ہاتھی) کے ٹکڑے کا کیا ہوا (شترنج)؟")</f>
        <v>چتورنگا کا کھیل ہندوستان سے فارس اور پھر عرب دنیا تک پھیل گیا۔ عرب دنیا میں گجا (ہاتھی) کے ٹکڑے کا کیا ہوا (شترنج)؟</v>
      </c>
      <c r="L81" s="5" t="str">
        <f>IFERROR(__xludf.DUMMYFUNCTION("GOOGLETRANSLATE(C81, ""en"", ""ur"")"),"A) یہ زیادہ طاقتور ہو گیا، B) اس کی چال کو دو مربع اخترن لیپ میں تبدیل کر دیا گیا (کوئی تبدیلی نہیں ہوئی)، C) اس کی حرکت دو مربع اخترن لیپ رہی، لیکن یہ مزید گرفت نہیں کر سکی، D) اسے گیم سے ہٹا دیا گیا۔")</f>
        <v>A) یہ زیادہ طاقتور ہو گیا، B) اس کی چال کو دو مربع اخترن لیپ میں تبدیل کر دیا گیا (کوئی تبدیلی نہیں ہوئی)، C) اس کی حرکت دو مربع اخترن لیپ رہی، لیکن یہ مزید گرفت نہیں کر سکی، D) اسے گیم سے ہٹا دیا گیا۔</v>
      </c>
      <c r="M81" s="5" t="str">
        <f>IFERROR(__xludf.DUMMYFUNCTION("GOOGLETRANSLATE(D81, ""en"", ""ur"")"),"ب) اس کی حرکت کو دو مربع ترچھی چھلانگ میں تبدیل کر دیا گیا (کوئی تبدیلی نہیں)")</f>
        <v>ب) اس کی حرکت کو دو مربع ترچھی چھلانگ میں تبدیل کر دیا گیا (کوئی تبدیلی نہیں)</v>
      </c>
      <c r="N81" s="5" t="str">
        <f>IFERROR(__xludf.DUMMYFUNCTION("GOOGLETRANSLATE(E81, ""en"", ""ur"")"),"گجا کی چال کو ابتدائی شترنج میں الفل کی طرح رکھا گیا تھا۔ جدید بشپ میں اس کا ارتقاء بعد میں یورپ میں ہوا۔ تصحیح: اصل گجا چھلانگ لگا سکتا ہے، شترنج میں الفل بھی چھلانگ لگا سکتا ہے، لیکن جدید بشپ ایسا نہیں کرتا۔ حرکت بدل گئی۔ ایک بہتر سوال کی ضرورت ہے۔")</f>
        <v>گجا کی چال کو ابتدائی شترنج میں الفل کی طرح رکھا گیا تھا۔ جدید بشپ میں اس کا ارتقاء بعد میں یورپ میں ہوا۔ تصحیح: اصل گجا چھلانگ لگا سکتا ہے، شترنج میں الفل بھی چھلانگ لگا سکتا ہے، لیکن جدید بشپ ایسا نہیں کرتا۔ حرکت بدل گئی۔ ایک بہتر سوال کی ضرورت ہے۔</v>
      </c>
    </row>
    <row r="82">
      <c r="A82" s="3">
        <v>81.0</v>
      </c>
      <c r="B82" s="4" t="s">
        <v>925</v>
      </c>
      <c r="C82" s="4" t="s">
        <v>926</v>
      </c>
      <c r="D82" s="4" t="s">
        <v>927</v>
      </c>
      <c r="E82" s="4" t="s">
        <v>928</v>
      </c>
      <c r="J82" s="5" t="str">
        <f>IFERROR(__xludf.DUMMYFUNCTION("GOOGLETRANSLATE(A82, ""en"", ""ur"")"),"81")</f>
        <v>81</v>
      </c>
      <c r="K82" s="5" t="str">
        <f>IFERROR(__xludf.DUMMYFUNCTION("GOOGLETRANSLATE(B82, ""en"", ""ur"")"),"مخالف کے اشوا کے لیے اپنے گاجا کی تجارت کرنا اکثر ایک اچھی حکمت عملی کیوں تھی؟")</f>
        <v>مخالف کے اشوا کے لیے اپنے گاجا کی تجارت کرنا اکثر ایک اچھی حکمت عملی کیوں تھی؟</v>
      </c>
      <c r="L82" s="5" t="str">
        <f>IFERROR(__xludf.DUMMYFUNCTION("GOOGLETRANSLATE(C82, ""en"", ""ur"")"),"A) یہ اچھی حکمت عملی نہیں تھی، B) کیونکہ اشوا زیادہ طاقتور اور لچکدار ٹکڑا تھا، C) اپنی منتری کے لیے ترچھے کھولنے کے لیے، D) اپنی ہاتھی کے لیے راستہ صاف کرنا")</f>
        <v>A) یہ اچھی حکمت عملی نہیں تھی، B) کیونکہ اشوا زیادہ طاقتور اور لچکدار ٹکڑا تھا، C) اپنی منتری کے لیے ترچھے کھولنے کے لیے، D) اپنی ہاتھی کے لیے راستہ صاف کرنا</v>
      </c>
      <c r="M82" s="5" t="str">
        <f>IFERROR(__xludf.DUMMYFUNCTION("GOOGLETRANSLATE(D82, ""en"", ""ur"")"),"ب) کیونکہ اشوا بہت زیادہ طاقتور اور لچکدار ٹکڑا تھا۔")</f>
        <v>ب) کیونکہ اشوا بہت زیادہ طاقتور اور لچکدار ٹکڑا تھا۔</v>
      </c>
      <c r="N82" s="5" t="str">
        <f>IFERROR(__xludf.DUMMYFUNCTION("GOOGLETRANSLATE(E82, ""en"", ""ur"")"),"ایک مضبوط، ورسٹائل اشوا کے لیے ایک کمزور، رنگ سے جڑے گاجا کا تبادلہ تقریباً ہمیشہ ہی حکمت عملی سے جیتنے والی تجارت تھی۔")</f>
        <v>ایک مضبوط، ورسٹائل اشوا کے لیے ایک کمزور، رنگ سے جڑے گاجا کا تبادلہ تقریباً ہمیشہ ہی حکمت عملی سے جیتنے والی تجارت تھی۔</v>
      </c>
    </row>
    <row r="83">
      <c r="A83" s="3">
        <v>82.0</v>
      </c>
      <c r="B83" s="4" t="s">
        <v>929</v>
      </c>
      <c r="C83" s="4" t="s">
        <v>930</v>
      </c>
      <c r="D83" s="4" t="s">
        <v>931</v>
      </c>
      <c r="E83" s="4" t="s">
        <v>932</v>
      </c>
      <c r="J83" s="5" t="str">
        <f>IFERROR(__xludf.DUMMYFUNCTION("GOOGLETRANSLATE(A83, ""en"", ""ur"")"),"82")</f>
        <v>82</v>
      </c>
      <c r="K83" s="5" t="str">
        <f>IFERROR(__xludf.DUMMYFUNCTION("GOOGLETRANSLATE(B83, ""en"", ""ur"")"),"اس کھیل کا نام چتورنگا کس قدیم زبان سے ہے؟")</f>
        <v>اس کھیل کا نام چتورنگا کس قدیم زبان سے ہے؟</v>
      </c>
      <c r="L83" s="5" t="str">
        <f>IFERROR(__xludf.DUMMYFUNCTION("GOOGLETRANSLATE(C83, ""en"", ""ur"")"),"A) فارسی، B) عربی، C) یونانی، D) سنسکرت")</f>
        <v>A) فارسی، B) عربی، C) یونانی، D) سنسکرت</v>
      </c>
      <c r="M83" s="5" t="str">
        <f>IFERROR(__xludf.DUMMYFUNCTION("GOOGLETRANSLATE(D83, ""en"", ""ur"")"),"ڈی) سنسکرت")</f>
        <v>ڈی) سنسکرت</v>
      </c>
      <c r="N83" s="5" t="str">
        <f>IFERROR(__xludf.DUMMYFUNCTION("GOOGLETRANSLATE(E83, ""en"", ""ur"")"),"""چتورنگا"" سنسکرت کا ایک لفظ ہے، جو قدیم ہندوستان کے فکری اور لسانی ماحول میں کھیل کی ابتدا کو ظاہر کرتا ہے۔")</f>
        <v>"چتورنگا" سنسکرت کا ایک لفظ ہے، جو قدیم ہندوستان کے فکری اور لسانی ماحول میں کھیل کی ابتدا کو ظاہر کرتا ہے۔</v>
      </c>
    </row>
    <row r="84">
      <c r="A84" s="3">
        <v>83.0</v>
      </c>
      <c r="B84" s="4" t="s">
        <v>933</v>
      </c>
      <c r="C84" s="4" t="s">
        <v>934</v>
      </c>
      <c r="D84" s="4" t="s">
        <v>935</v>
      </c>
      <c r="E84" s="4" t="s">
        <v>936</v>
      </c>
      <c r="J84" s="5" t="str">
        <f>IFERROR(__xludf.DUMMYFUNCTION("GOOGLETRANSLATE(A84, ""en"", ""ur"")"),"83")</f>
        <v>83</v>
      </c>
      <c r="K84" s="5" t="str">
        <f>IFERROR(__xludf.DUMMYFUNCTION("GOOGLETRANSLATE(B84, ""en"", ""ur"")"),"گاجا کے محدود اقدام کی وجہ سے جدید شطرنج کا مرکز کون سا حکمت عملی کا تصور ہے، جس پر عمل کرنا زیادہ مشکل تھا؟")</f>
        <v>گاجا کے محدود اقدام کی وجہ سے جدید شطرنج کا مرکز کون سا حکمت عملی کا تصور ہے، جس پر عمل کرنا زیادہ مشکل تھا؟</v>
      </c>
      <c r="L84" s="5" t="str">
        <f>IFERROR(__xludf.DUMMYFUNCTION("GOOGLETRANSLATE(C84, ""en"", ""ur"")"),"A) کانٹا، B) اخترن کے ساتھ ایک پن، C) ایک بیک رینک میٹ، D) ایک پیادہ طوفان")</f>
        <v>A) کانٹا، B) اخترن کے ساتھ ایک پن، C) ایک بیک رینک میٹ، D) ایک پیادہ طوفان</v>
      </c>
      <c r="M84" s="5" t="str">
        <f>IFERROR(__xludf.DUMMYFUNCTION("GOOGLETRANSLATE(D84, ""en"", ""ur"")"),"ب) اخترن کے ساتھ ایک پن")</f>
        <v>ب) اخترن کے ساتھ ایک پن</v>
      </c>
      <c r="N84" s="5" t="str">
        <f>IFERROR(__xludf.DUMMYFUNCTION("GOOGLETRANSLATE(E84, ""en"", ""ur"")"),"جدید بشپ کی لمبی دوری کی طاقت ٹکڑوں کو پن کرنے کی کلید ہے۔ گاجا کی مختصر، دو مربع چھلانگ نے اسے اتنی لمبی دوری کی پنیں بنانے کے قابل نہیں بنا دیا۔")</f>
        <v>جدید بشپ کی لمبی دوری کی طاقت ٹکڑوں کو پن کرنے کی کلید ہے۔ گاجا کی مختصر، دو مربع چھلانگ نے اسے اتنی لمبی دوری کی پنیں بنانے کے قابل نہیں بنا دیا۔</v>
      </c>
    </row>
    <row r="85">
      <c r="A85" s="3">
        <v>84.0</v>
      </c>
      <c r="B85" s="4" t="s">
        <v>937</v>
      </c>
      <c r="C85" s="4" t="s">
        <v>938</v>
      </c>
      <c r="D85" s="4" t="s">
        <v>939</v>
      </c>
      <c r="E85" s="4" t="s">
        <v>940</v>
      </c>
      <c r="J85" s="5" t="str">
        <f>IFERROR(__xludf.DUMMYFUNCTION("GOOGLETRANSLATE(A85, ""en"", ""ur"")"),"84")</f>
        <v>84</v>
      </c>
      <c r="K85" s="5" t="str">
        <f>IFERROR(__xludf.DUMMYFUNCTION("GOOGLETRANSLATE(B85, ""en"", ""ur"")"),"چار کھلاڑیوں کے کھیل میں، ایک عام اصول کیا تھا جب ایک کھلاڑی دوسرے کھلاڑی کے ٹکڑے کو پکڑتا ہے؟")</f>
        <v>چار کھلاڑیوں کے کھیل میں، ایک عام اصول کیا تھا جب ایک کھلاڑی دوسرے کھلاڑی کے ٹکڑے کو پکڑتا ہے؟</v>
      </c>
      <c r="L85" s="5" t="str">
        <f>IFERROR(__xludf.DUMMYFUNCTION("GOOGLETRANSLATE(C85, ""en"", ""ur"")"),"A) ٹکڑا مالک کو واپس کر دیا گیا، B) قبضہ کرنے والے کھلاڑی کو ایک اضافی موڑ لینا پڑا، C) پکڑا گیا ٹکڑا کھیل سے ہٹا دیا گیا، D) ٹکڑا ایک اتحادی کو دیا گیا")</f>
        <v>A) ٹکڑا مالک کو واپس کر دیا گیا، B) قبضہ کرنے والے کھلاڑی کو ایک اضافی موڑ لینا پڑا، C) پکڑا گیا ٹکڑا کھیل سے ہٹا دیا گیا، D) ٹکڑا ایک اتحادی کو دیا گیا</v>
      </c>
      <c r="M85" s="5" t="str">
        <f>IFERROR(__xludf.DUMMYFUNCTION("GOOGLETRANSLATE(D85, ""en"", ""ur"")"),"C) پکڑے گئے ٹکڑے کو کھیل سے ہٹا دیا گیا۔")</f>
        <v>C) پکڑے گئے ٹکڑے کو کھیل سے ہٹا دیا گیا۔</v>
      </c>
      <c r="N85" s="5" t="str">
        <f>IFERROR(__xludf.DUMMYFUNCTION("GOOGLETRANSLATE(E85, ""en"", ""ur"")"),"جیسا کہ دو کھلاڑیوں کے ورژن میں، پکڑے گئے ٹکڑوں کو کھیل سے ہٹا دیا گیا، آہستہ آہستہ بورڈ کو آسان بنایا گیا۔")</f>
        <v>جیسا کہ دو کھلاڑیوں کے ورژن میں، پکڑے گئے ٹکڑوں کو کھیل سے ہٹا دیا گیا، آہستہ آہستہ بورڈ کو آسان بنایا گیا۔</v>
      </c>
    </row>
    <row r="86">
      <c r="A86" s="3">
        <v>85.0</v>
      </c>
      <c r="B86" s="4" t="s">
        <v>941</v>
      </c>
      <c r="C86" s="4" t="s">
        <v>942</v>
      </c>
      <c r="D86" s="4" t="s">
        <v>361</v>
      </c>
      <c r="E86" s="4" t="s">
        <v>943</v>
      </c>
      <c r="J86" s="5" t="str">
        <f>IFERROR(__xludf.DUMMYFUNCTION("GOOGLETRANSLATE(A86, ""en"", ""ur"")"),"85")</f>
        <v>85</v>
      </c>
      <c r="K86" s="5" t="str">
        <f>IFERROR(__xludf.DUMMYFUNCTION("GOOGLETRANSLATE(B86, ""en"", ""ur"")"),"ٹکڑوں کو فوجی یونٹوں کے نام پر رکھنے کی سب سے زیادہ ممکنہ وجہ کیا ہے؟")</f>
        <v>ٹکڑوں کو فوجی یونٹوں کے نام پر رکھنے کی سب سے زیادہ ممکنہ وجہ کیا ہے؟</v>
      </c>
      <c r="L86" s="5" t="str">
        <f>IFERROR(__xludf.DUMMYFUNCTION("GOOGLETRANSLATE(C86, ""en"", ""ur"")"),"A) یہ فوجیوں کے ذریعے اور ان کے لیے ڈیزائن کیا گیا کھیل تھا، B) فوجی حکمت عملی اور حکمت عملی سکھانے کے لیے ایک آلے کے طور پر کام کرنا، C) موجد ایک مشہور جنرل تھا، D) مندرجہ بالا تمام")</f>
        <v>A) یہ فوجیوں کے ذریعے اور ان کے لیے ڈیزائن کیا گیا کھیل تھا، B) فوجی حکمت عملی اور حکمت عملی سکھانے کے لیے ایک آلے کے طور پر کام کرنا، C) موجد ایک مشہور جنرل تھا، D) مندرجہ بالا تمام</v>
      </c>
      <c r="M86" s="5" t="str">
        <f>IFERROR(__xludf.DUMMYFUNCTION("GOOGLETRANSLATE(D86, ""en"", ""ur"")"),"D) مذکورہ بالا تمام")</f>
        <v>D) مذکورہ بالا تمام</v>
      </c>
      <c r="N86" s="5" t="str">
        <f>IFERROR(__xludf.DUMMYFUNCTION("GOOGLETRANSLATE(E86, ""en"", ""ur"")"),"ان تمام عوامل نے کردار ادا کیا۔ یہ کھیل جنگ کی ایک نقلی تھی، جو تزویراتی تعلیم کے لیے استعمال ہوتی تھی اور جنگجو طبقے میں مقبول تھی۔")</f>
        <v>ان تمام عوامل نے کردار ادا کیا۔ یہ کھیل جنگ کی ایک نقلی تھی، جو تزویراتی تعلیم کے لیے استعمال ہوتی تھی اور جنگجو طبقے میں مقبول تھی۔</v>
      </c>
    </row>
    <row r="87">
      <c r="A87" s="3">
        <v>86.0</v>
      </c>
      <c r="B87" s="4" t="s">
        <v>944</v>
      </c>
      <c r="C87" s="4" t="s">
        <v>945</v>
      </c>
      <c r="D87" s="4" t="s">
        <v>946</v>
      </c>
      <c r="E87" s="4" t="s">
        <v>947</v>
      </c>
      <c r="J87" s="5" t="str">
        <f>IFERROR(__xludf.DUMMYFUNCTION("GOOGLETRANSLATE(A87, ""en"", ""ur"")"),"86")</f>
        <v>86</v>
      </c>
      <c r="K87" s="5" t="str">
        <f>IFERROR(__xludf.DUMMYFUNCTION("GOOGLETRANSLATE(B87, ""en"", ""ur"")"),"ٹکڑوں کی طرف سے نمائندگی کرنے والے چار آرمی ڈویژنوں میں سے کس کو اصل قدیم ہندوستانی جنگ میں سب سے طاقتور سمجھا جاتا تھا؟")</f>
        <v>ٹکڑوں کی طرف سے نمائندگی کرنے والے چار آرمی ڈویژنوں میں سے کس کو اصل قدیم ہندوستانی جنگ میں سب سے طاقتور سمجھا جاتا تھا؟</v>
      </c>
      <c r="L87" s="5" t="str">
        <f>IFERROR(__xludf.DUMMYFUNCTION("GOOGLETRANSLATE(C87, ""en"", ""ur"")"),"A) پیدل فوج، B) گھڑسوار فوج، C) جنگی ہاتھی، D) رتھ")</f>
        <v>A) پیدل فوج، B) گھڑسوار فوج، C) جنگی ہاتھی، D) رتھ</v>
      </c>
      <c r="M87" s="5" t="str">
        <f>IFERROR(__xludf.DUMMYFUNCTION("GOOGLETRANSLATE(D87, ""en"", ""ur"")"),"ج) جنگی ہاتھی۔")</f>
        <v>ج) جنگی ہاتھی۔</v>
      </c>
      <c r="N87" s="5" t="str">
        <f>IFERROR(__xludf.DUMMYFUNCTION("GOOGLETRANSLATE(E87, ""en"", ""ur"")"),"جنگی ہاتھی قدیم میدان جنگ کے ""ٹینک"" تھے، جو دشمن کی لکیروں کو توڑنے کے لیے شاک ٹروپس کے طور پر استعمال ہوتے تھے، جو بورڈ پر ان کے اعزاز کی جگہ سے ظاہر ہوتا ہے۔")</f>
        <v>جنگی ہاتھی قدیم میدان جنگ کے "ٹینک" تھے، جو دشمن کی لکیروں کو توڑنے کے لیے شاک ٹروپس کے طور پر استعمال ہوتے تھے، جو بورڈ پر ان کے اعزاز کی جگہ سے ظاہر ہوتا ہے۔</v>
      </c>
    </row>
    <row r="88">
      <c r="A88" s="3">
        <v>87.0</v>
      </c>
      <c r="B88" s="4" t="s">
        <v>948</v>
      </c>
      <c r="C88" s="4" t="s">
        <v>949</v>
      </c>
      <c r="D88" s="4" t="s">
        <v>877</v>
      </c>
      <c r="E88" s="4" t="s">
        <v>950</v>
      </c>
      <c r="J88" s="5" t="str">
        <f>IFERROR(__xludf.DUMMYFUNCTION("GOOGLETRANSLATE(A88, ""en"", ""ur"")"),"87")</f>
        <v>87</v>
      </c>
      <c r="K88" s="5" t="str">
        <f>IFERROR(__xludf.DUMMYFUNCTION("GOOGLETRANSLATE(B88, ""en"", ""ur"")"),"ایک کھلاڑی کا h1 پر راجہ ہوتا ہے۔ ایک مخالف کے پاس e4 پر گاجا ہے۔ کیا راجہ حملہ کی زد میں ہے؟")</f>
        <v>ایک کھلاڑی کا h1 پر راجہ ہوتا ہے۔ ایک مخالف کے پاس e4 پر گاجا ہے۔ کیا راجہ حملہ کی زد میں ہے؟</v>
      </c>
      <c r="L88" s="5" t="str">
        <f>IFERROR(__xludf.DUMMYFUNCTION("GOOGLETRANSLATE(C88, ""en"", ""ur"")"),"A) ہاں، B) نہیں، C) صرف اس صورت میں جب گاجا ایک خاص ٹکڑا ہو، D) یہ ایک تعطل ہے۔")</f>
        <v>A) ہاں، B) نہیں، C) صرف اس صورت میں جب گاجا ایک خاص ٹکڑا ہو، D) یہ ایک تعطل ہے۔</v>
      </c>
      <c r="M88" s="5" t="str">
        <f>IFERROR(__xludf.DUMMYFUNCTION("GOOGLETRANSLATE(D88, ""en"", ""ur"")"),"ب) نہیں")</f>
        <v>ب) نہیں</v>
      </c>
      <c r="N88" s="5" t="str">
        <f>IFERROR(__xludf.DUMMYFUNCTION("GOOGLETRANSLATE(E88, ""en"", ""ur"")"),"e4 سے، ایک گاجا صرف مربعوں c2، c6، g2، اور g6 تک چھلانگ لگا سکتا ہے۔ یہ کونے کے مربع h1 پر حملہ نہیں کر سکتا۔")</f>
        <v>e4 سے، ایک گاجا صرف مربعوں c2، c6، g2، اور g6 تک چھلانگ لگا سکتا ہے۔ یہ کونے کے مربع h1 پر حملہ نہیں کر سکتا۔</v>
      </c>
    </row>
    <row r="89">
      <c r="A89" s="3">
        <v>88.0</v>
      </c>
      <c r="B89" s="4" t="s">
        <v>951</v>
      </c>
      <c r="C89" s="4" t="s">
        <v>952</v>
      </c>
      <c r="D89" s="4" t="s">
        <v>953</v>
      </c>
      <c r="E89" s="4" t="s">
        <v>954</v>
      </c>
      <c r="J89" s="5" t="str">
        <f>IFERROR(__xludf.DUMMYFUNCTION("GOOGLETRANSLATE(A89, ""en"", ""ur"")"),"88")</f>
        <v>88</v>
      </c>
      <c r="K89" s="5" t="str">
        <f>IFERROR(__xludf.DUMMYFUNCTION("GOOGLETRANSLATE(B89, ""en"", ""ur"")"),"بنیادی وجہ کیا ہے کہ پڈاتی پروموشن جدید شطرنج کے مقابلے میں کھیل کو تبدیل کرنے والا واقعہ نہیں تھا؟")</f>
        <v>بنیادی وجہ کیا ہے کہ پڈاتی پروموشن جدید شطرنج کے مقابلے میں کھیل کو تبدیل کرنے والا واقعہ نہیں تھا؟</v>
      </c>
      <c r="L89" s="5" t="str">
        <f>IFERROR(__xludf.DUMMYFUNCTION("GOOGLETRANSLATE(C89, ""en"", ""ur"")"),"A) یہ بہت کم ہی ہوا، B) اس نے (منتری) کو جو ٹکڑا پروموٹ کیا وہ انتہائی کمزور تھا، C) مخالف آسانی سے پروموشن کو روک سکتا تھا، D) ترقی یافتہ ٹکڑا ایک موڑ تک نہیں بڑھ سکتا تھا۔")</f>
        <v>A) یہ بہت کم ہی ہوا، B) اس نے (منتری) کو جو ٹکڑا پروموٹ کیا وہ انتہائی کمزور تھا، C) مخالف آسانی سے پروموشن کو روک سکتا تھا، D) ترقی یافتہ ٹکڑا ایک موڑ تک نہیں بڑھ سکتا تھا۔</v>
      </c>
      <c r="M89" s="5" t="str">
        <f>IFERROR(__xludf.DUMMYFUNCTION("GOOGLETRANSLATE(D89, ""en"", ""ur"")"),"ب) جس ٹکڑا کو اس نے (منتری) کو فروغ دیا وہ انتہائی کمزور تھا۔")</f>
        <v>ب) جس ٹکڑا کو اس نے (منتری) کو فروغ دیا وہ انتہائی کمزور تھا۔</v>
      </c>
      <c r="N89" s="5" t="str">
        <f>IFERROR(__xludf.DUMMYFUNCTION("GOOGLETRANSLATE(E89, ""en"", ""ur"")"),"ایک جدید ملکہ کو پیادے کی تشہیر کرنا اکثر گیم جیتنے والا اقدام ہوتا ہے۔ پادتی کو منتری میں ترقی دینا ایک معمولی بہتری تھی۔")</f>
        <v>ایک جدید ملکہ کو پیادے کی تشہیر کرنا اکثر گیم جیتنے والا اقدام ہوتا ہے۔ پادتی کو منتری میں ترقی دینا ایک معمولی بہتری تھی۔</v>
      </c>
    </row>
    <row r="90">
      <c r="A90" s="3">
        <v>89.0</v>
      </c>
      <c r="B90" s="4" t="s">
        <v>955</v>
      </c>
      <c r="C90" s="4" t="s">
        <v>956</v>
      </c>
      <c r="D90" s="4" t="s">
        <v>957</v>
      </c>
      <c r="E90" s="4" t="s">
        <v>958</v>
      </c>
      <c r="J90" s="5" t="str">
        <f>IFERROR(__xludf.DUMMYFUNCTION("GOOGLETRANSLATE(A90, ""en"", ""ur"")"),"89")</f>
        <v>89</v>
      </c>
      <c r="K90" s="5" t="str">
        <f>IFERROR(__xludf.DUMMYFUNCTION("GOOGLETRANSLATE(B90, ""en"", ""ur"")"),"چتورنگا کا ہم آہنگ سیٹ اپ اس بات کی عکاسی کرتا ہے کہ قدیم ہندوستان میں کون سا فلسفیانہ تصور اہم ہے؟")</f>
        <v>چتورنگا کا ہم آہنگ سیٹ اپ اس بات کی عکاسی کرتا ہے کہ قدیم ہندوستان میں کون سا فلسفیانہ تصور اہم ہے؟</v>
      </c>
      <c r="L90" s="5" t="str">
        <f>IFERROR(__xludf.DUMMYFUNCTION("GOOGLETRANSLATE(C90, ""en"", ""ur"")"),"A) افراتفری کا تصور، B) ایک متوازن اور ترتیب شدہ کائنات (دھرم) کا خیال، C) ایک واحد، تمام طاقتور خدا پر یقین، D) انفرادیت کی اہمیت")</f>
        <v>A) افراتفری کا تصور، B) ایک متوازن اور ترتیب شدہ کائنات (دھرم) کا خیال، C) ایک واحد، تمام طاقتور خدا پر یقین، D) انفرادیت کی اہمیت</v>
      </c>
      <c r="M90" s="5" t="str">
        <f>IFERROR(__xludf.DUMMYFUNCTION("GOOGLETRANSLATE(D90, ""en"", ""ur"")"),"ب) ایک متوازن اور ترتیب شدہ کائنات کا خیال (دھرم)")</f>
        <v>ب) ایک متوازن اور ترتیب شدہ کائنات کا خیال (دھرم)</v>
      </c>
      <c r="N90" s="5" t="str">
        <f>IFERROR(__xludf.DUMMYFUNCTION("GOOGLETRANSLATE(E90, ""en"", ""ur"")"),"بالکل متوازن ابتدائی پوزیشن ایک اچھی ترتیب والی کائنات کے فلسفیانہ آئیڈیل کی آئینہ دار ہوتی ہے جہاں دونوں فریق یکساں صلاحیت کے ساتھ شروع ہوتے ہیں۔")</f>
        <v>بالکل متوازن ابتدائی پوزیشن ایک اچھی ترتیب والی کائنات کے فلسفیانہ آئیڈیل کی آئینہ دار ہوتی ہے جہاں دونوں فریق یکساں صلاحیت کے ساتھ شروع ہوتے ہیں۔</v>
      </c>
    </row>
    <row r="91">
      <c r="A91" s="3">
        <v>90.0</v>
      </c>
      <c r="B91" s="4" t="s">
        <v>959</v>
      </c>
      <c r="C91" s="4" t="s">
        <v>960</v>
      </c>
      <c r="D91" s="4" t="s">
        <v>961</v>
      </c>
      <c r="E91" s="4" t="s">
        <v>962</v>
      </c>
      <c r="J91" s="5" t="str">
        <f>IFERROR(__xludf.DUMMYFUNCTION("GOOGLETRANSLATE(A91, ""en"", ""ur"")"),"90")</f>
        <v>90</v>
      </c>
      <c r="K91" s="5" t="str">
        <f>IFERROR(__xludf.DUMMYFUNCTION("GOOGLETRANSLATE(B91, ""en"", ""ur"")"),"دو کھلاڑیوں کے مہارت والے ورژن کے مقابلے چار پلیئر ڈائس ورژن کا سب سے اہم نقصان کیا ہے؟")</f>
        <v>دو کھلاڑیوں کے مہارت والے ورژن کے مقابلے چار پلیئر ڈائس ورژن کا سب سے اہم نقصان کیا ہے؟</v>
      </c>
      <c r="L91" s="5" t="str">
        <f>IFERROR(__xludf.DUMMYFUNCTION("GOOGLETRANSLATE(C91, ""en"", ""ur"")"),"A) یہ کم مزہ ہے، B) یہ قسمت کا عنصر متعارف کراتا ہے، جو خالص مہارت کے اثرات کو کم کرتا ہے، C) قواعد بہت پیچیدہ ہیں، D) اسے کھیلنے میں زیادہ وقت لگتا ہے")</f>
        <v>A) یہ کم مزہ ہے، B) یہ قسمت کا عنصر متعارف کراتا ہے، جو خالص مہارت کے اثرات کو کم کرتا ہے، C) قواعد بہت پیچیدہ ہیں، D) اسے کھیلنے میں زیادہ وقت لگتا ہے</v>
      </c>
      <c r="M91" s="5" t="str">
        <f>IFERROR(__xludf.DUMMYFUNCTION("GOOGLETRANSLATE(D91, ""en"", ""ur"")"),"ب) اس میں قسمت کا عنصر متعارف کرایا جاتا ہے، جو خالص مہارت کے اثرات کو کم کرتا ہے۔")</f>
        <v>ب) اس میں قسمت کا عنصر متعارف کرایا جاتا ہے، جو خالص مہارت کے اثرات کو کم کرتا ہے۔</v>
      </c>
      <c r="N91" s="5" t="str">
        <f>IFERROR(__xludf.DUMMYFUNCTION("GOOGLETRANSLATE(E91, ""en"", ""ur"")"),"ڈائی کا رول ایک کھلاڑی کے اسٹریٹجک ارادوں کو اوور رائیڈ کر سکتا ہے، قسمت کو نتیجہ میں ایک اہم عنصر بناتا ہے، دو کھلاڑیوں کے فیصلہ کن کھیل کے برعکس۔")</f>
        <v>ڈائی کا رول ایک کھلاڑی کے اسٹریٹجک ارادوں کو اوور رائیڈ کر سکتا ہے، قسمت کو نتیجہ میں ایک اہم عنصر بناتا ہے، دو کھلاڑیوں کے فیصلہ کن کھیل کے برعکس۔</v>
      </c>
    </row>
    <row r="92">
      <c r="A92" s="3">
        <v>91.0</v>
      </c>
      <c r="B92" s="4" t="s">
        <v>963</v>
      </c>
      <c r="C92" s="4" t="s">
        <v>964</v>
      </c>
      <c r="D92" s="4" t="s">
        <v>965</v>
      </c>
      <c r="E92" s="4" t="s">
        <v>966</v>
      </c>
      <c r="J92" s="5" t="str">
        <f>IFERROR(__xludf.DUMMYFUNCTION("GOOGLETRANSLATE(A92, ""en"", ""ur"")"),"91")</f>
        <v>91</v>
      </c>
      <c r="K92" s="5" t="str">
        <f>IFERROR(__xludf.DUMMYFUNCTION("GOOGLETRANSLATE(B92, ""en"", ""ur"")"),"چتورنگا میں انفنٹری پیس کی اصطلاح کیا ہے؟")</f>
        <v>چتورنگا میں انفنٹری پیس کی اصطلاح کیا ہے؟</v>
      </c>
      <c r="L92" s="5" t="str">
        <f>IFERROR(__xludf.DUMMYFUNCTION("GOOGLETRANSLATE(C92, ""en"", ""ur"")"),"اے) راجہ، بی) گجا، سی) پدتی، ڈی) اشوا")</f>
        <v>اے) راجہ، بی) گجا، سی) پدتی، ڈی) اشوا</v>
      </c>
      <c r="M92" s="5" t="str">
        <f>IFERROR(__xludf.DUMMYFUNCTION("GOOGLETRANSLATE(D92, ""en"", ""ur"")"),"ج) پداٹی")</f>
        <v>ج) پداٹی</v>
      </c>
      <c r="N92" s="5" t="str">
        <f>IFERROR(__xludf.DUMMYFUNCTION("GOOGLETRANSLATE(E92, ""en"", ""ur"")"),"پدتی سنسکرت کا لفظ ہے جو پیدل سپاہی یا پیادہ کے لیے ہے۔")</f>
        <v>پدتی سنسکرت کا لفظ ہے جو پیدل سپاہی یا پیادہ کے لیے ہے۔</v>
      </c>
    </row>
    <row r="93">
      <c r="A93" s="3">
        <v>92.0</v>
      </c>
      <c r="B93" s="4" t="s">
        <v>967</v>
      </c>
      <c r="C93" s="4" t="s">
        <v>968</v>
      </c>
      <c r="D93" s="4" t="s">
        <v>969</v>
      </c>
      <c r="E93" s="4" t="s">
        <v>970</v>
      </c>
      <c r="J93" s="5" t="str">
        <f>IFERROR(__xludf.DUMMYFUNCTION("GOOGLETRANSLATE(A93, ""en"", ""ur"")"),"92")</f>
        <v>92</v>
      </c>
      <c r="K93" s="5" t="str">
        <f>IFERROR(__xludf.DUMMYFUNCTION("GOOGLETRANSLATE(B93, ""en"", ""ur"")"),"ایک ہاتھی a1 پر ہے اور مخالف کا راجہ h8 پر ہے۔ اگر راستہ صاف ہو تو راجہ پر حملہ کرنے کے لیے ہاتھیوں کی کم از کم کتنی چالیں ہیں؟")</f>
        <v>ایک ہاتھی a1 پر ہے اور مخالف کا راجہ h8 پر ہے۔ اگر راستہ صاف ہو تو راجہ پر حملہ کرنے کے لیے ہاتھیوں کی کم از کم کتنی چالیں ہیں؟</v>
      </c>
      <c r="L93" s="5" t="str">
        <f>IFERROR(__xludf.DUMMYFUNCTION("GOOGLETRANSLATE(C93, ""en"", ""ur"")"),"A) ایک حرکت، B) دو چالیں، C) تین چالیں، D) یہ راجہ پر حملہ نہیں کر سکتی")</f>
        <v>A) ایک حرکت، B) دو چالیں، C) تین چالیں، D) یہ راجہ پر حملہ نہیں کر سکتی</v>
      </c>
      <c r="M93" s="5" t="str">
        <f>IFERROR(__xludf.DUMMYFUNCTION("GOOGLETRANSLATE(D93, ""en"", ""ur"")"),"ب) دو حرکتیں")</f>
        <v>ب) دو حرکتیں</v>
      </c>
      <c r="N93" s="5" t="str">
        <f>IFERROR(__xludf.DUMMYFUNCTION("GOOGLETRANSLATE(E93, ""en"", ""ur"")"),"مثال کے طور پر، ہاتھی a1 سے h1 (پہلی چال) کی طرف بڑھ سکتا ہے، اور وہاں سے وہ h8 (دوسری چال) پر راجہ پر حملہ کر سکتا ہے۔")</f>
        <v>مثال کے طور پر، ہاتھی a1 سے h1 (پہلی چال) کی طرف بڑھ سکتا ہے، اور وہاں سے وہ h8 (دوسری چال) پر راجہ پر حملہ کر سکتا ہے۔</v>
      </c>
    </row>
    <row r="94">
      <c r="A94" s="3">
        <v>93.0</v>
      </c>
      <c r="B94" s="4" t="s">
        <v>971</v>
      </c>
      <c r="C94" s="4" t="s">
        <v>972</v>
      </c>
      <c r="D94" s="4" t="s">
        <v>973</v>
      </c>
      <c r="E94" s="4" t="s">
        <v>974</v>
      </c>
      <c r="J94" s="5" t="str">
        <f>IFERROR(__xludf.DUMMYFUNCTION("GOOGLETRANSLATE(A94, ""en"", ""ur"")"),"93")</f>
        <v>93</v>
      </c>
      <c r="K94" s="5" t="str">
        <f>IFERROR(__xludf.DUMMYFUNCTION("GOOGLETRANSLATE(B94, ""en"", ""ur"")"),"ایک راجہ c1 پر ہے۔ ایک دشمن راجہ e1 پر ہے۔ یہ غیر قانونی پوزیشن کیوں ہے؟")</f>
        <v>ایک راجہ c1 پر ہے۔ ایک دشمن راجہ e1 پر ہے۔ یہ غیر قانونی پوزیشن کیوں ہے؟</v>
      </c>
      <c r="L94" s="5" t="str">
        <f>IFERROR(__xludf.DUMMYFUNCTION("GOOGLETRANSLATE(C94, ""en"", ""ur"")"),"A) بادشاہ ایک ہی عہدے پر ہیں، B) بادشاہ ایک دوسرے کے بہت قریب ہیں، C) ایک بادشاہ کا سیاہ چوک پر ہونا ضروری ہے، D) یہ ایک قانونی حیثیت ہے۔")</f>
        <v>A) بادشاہ ایک ہی عہدے پر ہیں، B) بادشاہ ایک دوسرے کے بہت قریب ہیں، C) ایک بادشاہ کا سیاہ چوک پر ہونا ضروری ہے، D) یہ ایک قانونی حیثیت ہے۔</v>
      </c>
      <c r="M94" s="5" t="str">
        <f>IFERROR(__xludf.DUMMYFUNCTION("GOOGLETRANSLATE(D94, ""en"", ""ur"")"),"ب) بادشاہ ایک دوسرے کے بہت قریب ہیں۔")</f>
        <v>ب) بادشاہ ایک دوسرے کے بہت قریب ہیں۔</v>
      </c>
      <c r="N94" s="5" t="str">
        <f>IFERROR(__xludf.DUMMYFUNCTION("GOOGLETRANSLATE(E94, ""en"", ""ur"")"),"جیسا کہ جدید شطرنج میں، دونوں بادشاہ کبھی بھی ملحقہ چوکوں پر نہیں ہو سکتے، کیونکہ اس کا مطلب یہ ہوگا کہ وہ بیک وقت ایک دوسرے پر حملہ کر رہے ہیں۔")</f>
        <v>جیسا کہ جدید شطرنج میں، دونوں بادشاہ کبھی بھی ملحقہ چوکوں پر نہیں ہو سکتے، کیونکہ اس کا مطلب یہ ہوگا کہ وہ بیک وقت ایک دوسرے پر حملہ کر رہے ہیں۔</v>
      </c>
    </row>
    <row r="95">
      <c r="A95" s="3">
        <v>94.0</v>
      </c>
      <c r="B95" s="4" t="s">
        <v>975</v>
      </c>
      <c r="C95" s="4" t="s">
        <v>976</v>
      </c>
      <c r="D95" s="4" t="s">
        <v>977</v>
      </c>
      <c r="E95" s="4" t="s">
        <v>978</v>
      </c>
      <c r="J95" s="5" t="str">
        <f>IFERROR(__xludf.DUMMYFUNCTION("GOOGLETRANSLATE(A95, ""en"", ""ur"")"),"94")</f>
        <v>94</v>
      </c>
      <c r="K95" s="5" t="str">
        <f>IFERROR(__xludf.DUMMYFUNCTION("GOOGLETRANSLATE(B95, ""en"", ""ur"")"),"قدیم زمانے میں بورڈ عام طور پر کس چیز سے بنا تھا؟")</f>
        <v>قدیم زمانے میں بورڈ عام طور پر کس چیز سے بنا تھا؟</v>
      </c>
      <c r="L95" s="5" t="str">
        <f>IFERROR(__xludf.DUMMYFUNCTION("GOOGLETRANSLATE(C95, ""en"", ""ur"")"),"A) پلاسٹک یا ونائل، B) کندہ شدہ پتھر یا سنگ مرمر، C) کڑھائی والا کپڑا یا کھدی ہوئی لکڑی، D) کاسٹ آئرن")</f>
        <v>A) پلاسٹک یا ونائل، B) کندہ شدہ پتھر یا سنگ مرمر، C) کڑھائی والا کپڑا یا کھدی ہوئی لکڑی، D) کاسٹ آئرن</v>
      </c>
      <c r="M95" s="5" t="str">
        <f>IFERROR(__xludf.DUMMYFUNCTION("GOOGLETRANSLATE(D95, ""en"", ""ur"")"),"ج) کڑھائی والا کپڑا یا کھدی ہوئی لکڑی")</f>
        <v>ج) کڑھائی والا کپڑا یا کھدی ہوئی لکڑی</v>
      </c>
      <c r="N95" s="5" t="str">
        <f>IFERROR(__xludf.DUMMYFUNCTION("GOOGLETRANSLATE(E95, ""en"", ""ur"")"),"گیم بورڈ، یا اشٹاپادا، عام طور پر ایک پورٹیبل شے تھی، جو اکثر سفر کے لیے کپڑے پر کھینچی جاتی تھی یا لکڑی کے تختے میں تراشی جاتی تھی۔")</f>
        <v>گیم بورڈ، یا اشٹاپادا، عام طور پر ایک پورٹیبل شے تھی، جو اکثر سفر کے لیے کپڑے پر کھینچی جاتی تھی یا لکڑی کے تختے میں تراشی جاتی تھی۔</v>
      </c>
    </row>
    <row r="96">
      <c r="A96" s="3">
        <v>95.0</v>
      </c>
      <c r="B96" s="4" t="s">
        <v>979</v>
      </c>
      <c r="C96" s="4" t="s">
        <v>980</v>
      </c>
      <c r="D96" s="4" t="s">
        <v>908</v>
      </c>
      <c r="E96" s="4" t="s">
        <v>981</v>
      </c>
      <c r="J96" s="5" t="str">
        <f>IFERROR(__xludf.DUMMYFUNCTION("GOOGLETRANSLATE(A96, ""en"", ""ur"")"),"95")</f>
        <v>95</v>
      </c>
      <c r="K96" s="5" t="str">
        <f>IFERROR(__xludf.DUMMYFUNCTION("GOOGLETRANSLATE(B96, ""en"", ""ur"")"),"ایک کھلاڑی کے پاس صرف ایک راجہ اور ایک منتری رہ جاتا ہے۔ کیا وہ اکیلے دشمن راجہ کے خلاف جیت سکتے ہیں؟")</f>
        <v>ایک کھلاڑی کے پاس صرف ایک راجہ اور ایک منتری رہ جاتا ہے۔ کیا وہ اکیلے دشمن راجہ کے خلاف جیت سکتے ہیں؟</v>
      </c>
      <c r="L96" s="5" t="str">
        <f>IFERROR(__xludf.DUMMYFUNCTION("GOOGLETRANSLATE(C96, ""en"", ""ur"")"),"A) جی ہاں، آسانی سے، B) یہ ناممکن ہے؛ کھیل ڈرا ہے، C) ہاں، لیکن یہ انتہائی مشکل ہے، D) صرف اس صورت میں جب تنہا راجہ کونے میں ہو۔")</f>
        <v>A) جی ہاں، آسانی سے، B) یہ ناممکن ہے؛ کھیل ڈرا ہے، C) ہاں، لیکن یہ انتہائی مشکل ہے، D) صرف اس صورت میں جب تنہا راجہ کونے میں ہو۔</v>
      </c>
      <c r="M96" s="5" t="str">
        <f>IFERROR(__xludf.DUMMYFUNCTION("GOOGLETRANSLATE(D96, ""en"", ""ur"")"),"ب) یہ ناممکن ہے۔ کھیل ایک ڈرا ہے")</f>
        <v>ب) یہ ناممکن ہے۔ کھیل ایک ڈرا ہے</v>
      </c>
      <c r="N96" s="5" t="str">
        <f>IFERROR(__xludf.DUMMYFUNCTION("GOOGLETRANSLATE(E96, ""en"", ""ur"")"),"منتری اپنے راجہ کو اکیلے بادشاہ کے خلاف گرفتاری پر مجبور کرنے میں مدد کرنے کے لیے بہت کمزور ہے۔ یہ اینڈگیم ""بک ڈرا"" کی بہترین مثال ہے۔")</f>
        <v>منتری اپنے راجہ کو اکیلے بادشاہ کے خلاف گرفتاری پر مجبور کرنے میں مدد کرنے کے لیے بہت کمزور ہے۔ یہ اینڈگیم "بک ڈرا" کی بہترین مثال ہے۔</v>
      </c>
    </row>
    <row r="97">
      <c r="A97" s="3">
        <v>96.0</v>
      </c>
      <c r="B97" s="4" t="s">
        <v>982</v>
      </c>
      <c r="C97" s="4" t="s">
        <v>983</v>
      </c>
      <c r="D97" s="4" t="s">
        <v>984</v>
      </c>
      <c r="E97" s="4" t="s">
        <v>985</v>
      </c>
      <c r="J97" s="5" t="str">
        <f>IFERROR(__xludf.DUMMYFUNCTION("GOOGLETRANSLATE(A97, ""en"", ""ur"")"),"96")</f>
        <v>96</v>
      </c>
      <c r="K97" s="5" t="str">
        <f>IFERROR(__xludf.DUMMYFUNCTION("GOOGLETRANSLATE(B97, ""en"", ""ur"")"),"چتورنگا سے جدید شطرنج میں تبدیلی کے دوران کس ٹکڑے کی طاقت میں سب سے زیادہ ڈرامائی اضافہ ہوا؟")</f>
        <v>چتورنگا سے جدید شطرنج میں تبدیلی کے دوران کس ٹکڑے کی طاقت میں سب سے زیادہ ڈرامائی اضافہ ہوا؟</v>
      </c>
      <c r="L97" s="5" t="str">
        <f>IFERROR(__xludf.DUMMYFUNCTION("GOOGLETRANSLATE(C97, ""en"", ""ur"")"),"A) ہاتھی (روک)، بی اشوا (نائٹ)، سی) منتری (مشیر)، ڈی) پادتی (پیادہ)")</f>
        <v>A) ہاتھی (روک)، بی اشوا (نائٹ)، سی) منتری (مشیر)، ڈی) پادتی (پیادہ)</v>
      </c>
      <c r="M97" s="5" t="str">
        <f>IFERROR(__xludf.DUMMYFUNCTION("GOOGLETRANSLATE(D97, ""en"", ""ur"")"),"سی) منتری (مشیر)")</f>
        <v>سی) منتری (مشیر)</v>
      </c>
      <c r="N97" s="5" t="str">
        <f>IFERROR(__xludf.DUMMYFUNCTION("GOOGLETRANSLATE(E97, ""en"", ""ur"")"),"قابل رحم منتری (ایک مربع ترچھی) کو جدید ملکہ (لامحدود رینج) میں تبدیل کرنا شطرنج کی تاریخ میں سب سے بڑا پاور جمپ تھا۔")</f>
        <v>قابل رحم منتری (ایک مربع ترچھی) کو جدید ملکہ (لامحدود رینج) میں تبدیل کرنا شطرنج کی تاریخ میں سب سے بڑا پاور جمپ تھا۔</v>
      </c>
    </row>
    <row r="98">
      <c r="A98" s="3">
        <v>97.0</v>
      </c>
      <c r="B98" s="4" t="s">
        <v>986</v>
      </c>
      <c r="C98" s="4" t="s">
        <v>987</v>
      </c>
      <c r="D98" s="4" t="s">
        <v>988</v>
      </c>
      <c r="E98" s="4" t="s">
        <v>989</v>
      </c>
      <c r="J98" s="5" t="str">
        <f>IFERROR(__xludf.DUMMYFUNCTION("GOOGLETRANSLATE(A98, ""en"", ""ur"")"),"97")</f>
        <v>97</v>
      </c>
      <c r="K98" s="5" t="str">
        <f>IFERROR(__xludf.DUMMYFUNCTION("GOOGLETRANSLATE(B98, ""en"", ""ur"")"),"آپ کے مخالف کا راجہ e8 پر ہے۔ آپ کے پاس a4 پر گاجا اور b4 پر گاجا ہے۔ کیا آپ کا کوئی بھی گاجا راجہ پر حملہ کر سکتا ہے؟")</f>
        <v>آپ کے مخالف کا راجہ e8 پر ہے۔ آپ کے پاس a4 پر گاجا اور b4 پر گاجا ہے۔ کیا آپ کا کوئی بھی گاجا راجہ پر حملہ کر سکتا ہے؟</v>
      </c>
      <c r="L98" s="5" t="str">
        <f>IFERROR(__xludf.DUMMYFUNCTION("GOOGLETRANSLATE(C98, ""en"", ""ur"")"),"A) a4 پر گاجا حملہ کر سکتا ہے، B) b4 پر گاجا حملہ کر سکتا ہے، C) دونوں حملہ کر سکتے ہیں، D) نہ ہی حملہ کر سکتے ہیں")</f>
        <v>A) a4 پر گاجا حملہ کر سکتا ہے، B) b4 پر گاجا حملہ کر سکتا ہے، C) دونوں حملہ کر سکتے ہیں، D) نہ ہی حملہ کر سکتے ہیں</v>
      </c>
      <c r="M98" s="5" t="str">
        <f>IFERROR(__xludf.DUMMYFUNCTION("GOOGLETRANSLATE(D98, ""en"", ""ur"")"),"D) نہ ہی حملہ کر سکتا ہے۔")</f>
        <v>D) نہ ہی حملہ کر سکتا ہے۔</v>
      </c>
      <c r="N98" s="5" t="str">
        <f>IFERROR(__xludf.DUMMYFUNCTION("GOOGLETRANSLATE(E98, ""en"", ""ur"")"),"A4 سے، گاجا c2 اور c6 پر حملہ کرتا ہے۔ b4 سے، یہ d2 اور d6 پر حملہ کرتا ہے۔ نہ ہی e8 پر راجہ پر حملہ کر سکتا ہے۔")</f>
        <v>A4 سے، گاجا c2 اور c6 پر حملہ کرتا ہے۔ b4 سے، یہ d2 اور d6 پر حملہ کرتا ہے۔ نہ ہی e8 پر راجہ پر حملہ کر سکتا ہے۔</v>
      </c>
    </row>
    <row r="99">
      <c r="A99" s="3">
        <v>98.0</v>
      </c>
      <c r="B99" s="4" t="s">
        <v>990</v>
      </c>
      <c r="C99" s="4" t="s">
        <v>991</v>
      </c>
      <c r="D99" s="4" t="s">
        <v>992</v>
      </c>
      <c r="E99" s="4" t="s">
        <v>993</v>
      </c>
      <c r="J99" s="5" t="str">
        <f>IFERROR(__xludf.DUMMYFUNCTION("GOOGLETRANSLATE(A99, ""en"", ""ur"")"),"98")</f>
        <v>98</v>
      </c>
      <c r="K99" s="5" t="str">
        <f>IFERROR(__xludf.DUMMYFUNCTION("GOOGLETRANSLATE(B99, ""en"", ""ur"")"),"""ننگے بادشاہ"" کے اصول میں کہا گیا ہے کہ ایک کھلاڑی جو اپنے راجہ کے علاوہ تمام ٹکڑوں کو کھو دیتا ہے وہ بھی کھیل ہار جاتا ہے۔ اس اصول نے کھلاڑیوں کو کیا کرنے کی ترغیب دی؟")</f>
        <v>"ننگے بادشاہ" کے اصول میں کہا گیا ہے کہ ایک کھلاڑی جو اپنے راجہ کے علاوہ تمام ٹکڑوں کو کھو دیتا ہے وہ بھی کھیل ہار جاتا ہے۔ اس اصول نے کھلاڑیوں کو کیا کرنے کی ترغیب دی؟</v>
      </c>
      <c r="L99" s="5" t="str">
        <f>IFERROR(__xludf.DUMMYFUNCTION("GOOGLETRANSLATE(C99, ""en"", ""ur"")"),"A) دشمن راجہ پر خصوصی طور پر حملہ کرنا، B) دفاعی انداز میں کھیلنا اور تجارتی ٹکڑوں سے گریز کرنا، C) پیادوں کو ہر قیمت پر فروغ دینا، D) اپنے راجہ کو قربان کرنا")</f>
        <v>A) دشمن راجہ پر خصوصی طور پر حملہ کرنا، B) دفاعی انداز میں کھیلنا اور تجارتی ٹکڑوں سے گریز کرنا، C) پیادوں کو ہر قیمت پر فروغ دینا، D) اپنے راجہ کو قربان کرنا</v>
      </c>
      <c r="M99" s="5" t="str">
        <f>IFERROR(__xludf.DUMMYFUNCTION("GOOGLETRANSLATE(D99, ""en"", ""ur"")"),"ب) دفاعی انداز میں کھیلنا اور تجارتی ٹکڑوں سے گریز کرنا")</f>
        <v>ب) دفاعی انداز میں کھیلنا اور تجارتی ٹکڑوں سے گریز کرنا</v>
      </c>
      <c r="N99" s="5" t="str">
        <f>IFERROR(__xludf.DUMMYFUNCTION("GOOGLETRANSLATE(E99, ""en"", ""ur"")"),"""ننگے"" ہونے سے ہارنے کے خطرے نے کھلاڑیوں کی حوصلہ شکنی کی کہ وہ اپنی فوج کو اپنی مرضی سے تجارت سے دور کر دیں، جس کے نتیجے میں زیادہ محتاط کھیل شروع ہو جائیں۔")</f>
        <v>"ننگے" ہونے سے ہارنے کے خطرے نے کھلاڑیوں کی حوصلہ شکنی کی کہ وہ اپنی فوج کو اپنی مرضی سے تجارت سے دور کر دیں، جس کے نتیجے میں زیادہ محتاط کھیل شروع ہو جائیں۔</v>
      </c>
    </row>
    <row r="100">
      <c r="A100" s="3">
        <v>99.0</v>
      </c>
      <c r="B100" s="4" t="s">
        <v>994</v>
      </c>
      <c r="C100" s="4" t="s">
        <v>995</v>
      </c>
      <c r="D100" s="4" t="s">
        <v>996</v>
      </c>
      <c r="E100" s="4" t="s">
        <v>997</v>
      </c>
      <c r="J100" s="5" t="str">
        <f>IFERROR(__xludf.DUMMYFUNCTION("GOOGLETRANSLATE(A100, ""en"", ""ur"")"),"99")</f>
        <v>99</v>
      </c>
      <c r="K100" s="5" t="str">
        <f>IFERROR(__xludf.DUMMYFUNCTION("GOOGLETRANSLATE(B100, ""en"", ""ur"")"),"ایک کھلاڑی مربع e8 پر ایک پاداٹی کو منتری بنا رہا ہے۔ اگلی موڑ پر یہ نئی منتری کہاں چل سکتی ہے؟")</f>
        <v>ایک کھلاڑی مربع e8 پر ایک پاداٹی کو منتری بنا رہا ہے۔ اگلی موڑ پر یہ نئی منتری کہاں چل سکتی ہے؟</v>
      </c>
      <c r="L100" s="5" t="str">
        <f>IFERROR(__xludf.DUMMYFUNCTION("GOOGLETRANSLATE(C100, ""en"", ""ur"")"),"A) to e7، B) to d7 یا f7، C) d8 یا f8، D) یہ ایک موڑ کے لیے حرکت نہیں کر سکتا")</f>
        <v>A) to e7، B) to d7 یا f7، C) d8 یا f8، D) یہ ایک موڑ کے لیے حرکت نہیں کر سکتا</v>
      </c>
      <c r="M100" s="5" t="str">
        <f>IFERROR(__xludf.DUMMYFUNCTION("GOOGLETRANSLATE(D100, ""en"", ""ur"")"),"ب) d7 یا f7 تک")</f>
        <v>ب) d7 یا f7 تک</v>
      </c>
      <c r="N100" s="5" t="str">
        <f>IFERROR(__xludf.DUMMYFUNCTION("GOOGLETRANSLATE(E100, ""en"", ""ur"")"),"منتری کی واحد حرکت ایک مربع ترچھی ہے، لہذا e8 سے، یہ d7 یا f7 میں جا سکتی ہے۔")</f>
        <v>منتری کی واحد حرکت ایک مربع ترچھی ہے، لہذا e8 سے، یہ d7 یا f7 میں جا سکتی ہے۔</v>
      </c>
    </row>
    <row r="101">
      <c r="A101" s="3">
        <v>100.0</v>
      </c>
      <c r="B101" s="4" t="s">
        <v>998</v>
      </c>
      <c r="C101" s="4" t="s">
        <v>999</v>
      </c>
      <c r="D101" s="4" t="s">
        <v>1000</v>
      </c>
      <c r="E101" s="4" t="s">
        <v>1001</v>
      </c>
      <c r="J101" s="5" t="str">
        <f>IFERROR(__xludf.DUMMYFUNCTION("GOOGLETRANSLATE(A101, ""en"", ""ur"")"),"100")</f>
        <v>100</v>
      </c>
      <c r="K101" s="5" t="str">
        <f>IFERROR(__xludf.DUMMYFUNCTION("GOOGLETRANSLATE(B101, ""en"", ""ur"")"),"چتورنگا کو ""پرفیکٹ انفارمیشن"" گیم کیوں سمجھا جاتا ہے (اس کے دو کھلاڑیوں کی شکل میں)؟")</f>
        <v>چتورنگا کو "پرفیکٹ انفارمیشن" گیم کیوں سمجھا جاتا ہے (اس کے دو کھلاڑیوں کی شکل میں)؟</v>
      </c>
      <c r="L101" s="5" t="str">
        <f>IFERROR(__xludf.DUMMYFUNCTION("GOOGLETRANSLATE(C101, ""en"", ""ur"")"),"A) قواعد بہت آسان ہیں، B) دونوں کھلاڑیوں کے پاس تمام معلومات ایک جیسی ہیں اور کوئی پوشیدہ عنصر یا قسمت نہیں ہے، C) بورڈ چھوٹا ہے، D) ٹکڑوں کی شناخت کرنا آسان ہے")</f>
        <v>A) قواعد بہت آسان ہیں، B) دونوں کھلاڑیوں کے پاس تمام معلومات ایک جیسی ہیں اور کوئی پوشیدہ عنصر یا قسمت نہیں ہے، C) بورڈ چھوٹا ہے، D) ٹکڑوں کی شناخت کرنا آسان ہے</v>
      </c>
      <c r="M101" s="5" t="str">
        <f>IFERROR(__xludf.DUMMYFUNCTION("GOOGLETRANSLATE(D101, ""en"", ""ur"")"),"ب) دونوں کھلاڑیوں کے پاس تمام معلومات ایک جیسی ہیں اور کوئی پوشیدہ عنصر یا قسمت نہیں ہے۔")</f>
        <v>ب) دونوں کھلاڑیوں کے پاس تمام معلومات ایک جیسی ہیں اور کوئی پوشیدہ عنصر یا قسمت نہیں ہے۔</v>
      </c>
      <c r="N101" s="5" t="str">
        <f>IFERROR(__xludf.DUMMYFUNCTION("GOOGLETRANSLATE(E101, ""en"", ""ur"")"),"تاش کے کھیل یا چتورنگا کے ڈائس ورژن کے برعکس، کوئی پوشیدہ کارڈ، بے ترتیب واقعات، یا خفیہ ٹکڑے نہیں ہوتے ہیں، اس لیے جیت کا انحصار مکمل طور پر مہارت اور حکمت عملی پر ہوتا ہے۔")</f>
        <v>تاش کے کھیل یا چتورنگا کے ڈائس ورژن کے برعکس، کوئی پوشیدہ کارڈ، بے ترتیب واقعات، یا خفیہ ٹکڑے نہیں ہوتے ہیں، اس لیے جیت کا انحصار مکمل طور پر مہارت اور حکمت عملی پر ہوتا ہے۔</v>
      </c>
    </row>
    <row r="102">
      <c r="A102" s="3">
        <v>101.0</v>
      </c>
      <c r="B102" s="4" t="s">
        <v>1002</v>
      </c>
      <c r="C102" s="4" t="s">
        <v>1003</v>
      </c>
      <c r="D102" s="4" t="s">
        <v>1004</v>
      </c>
      <c r="E102" s="4" t="s">
        <v>1005</v>
      </c>
      <c r="J102" s="5" t="str">
        <f>IFERROR(__xludf.DUMMYFUNCTION("GOOGLETRANSLATE(A102, ""en"", ""ur"")"),"101")</f>
        <v>101</v>
      </c>
      <c r="K102" s="5" t="str">
        <f>IFERROR(__xludf.DUMMYFUNCTION("GOOGLETRANSLATE(B102, ""en"", ""ur"")"),"کس ٹکڑے کا نام سنسکرت کے لفظ ""رتھ"" سے ماخوذ ہے؟")</f>
        <v>کس ٹکڑے کا نام سنسکرت کے لفظ "رتھ" سے ماخوذ ہے؟</v>
      </c>
      <c r="L102" s="5" t="str">
        <f>IFERROR(__xludf.DUMMYFUNCTION("GOOGLETRANSLATE(C102, ""en"", ""ur"")"),"A) اشوا، B) گجا، C) ہاتھی/رتھا، D) پدتی")</f>
        <v>A) اشوا، B) گجا، C) ہاتھی/رتھا، D) پدتی</v>
      </c>
      <c r="M102" s="5" t="str">
        <f>IFERROR(__xludf.DUMMYFUNCTION("GOOGLETRANSLATE(D102, ""en"", ""ur"")"),"ج) ہاتھی/رتھا")</f>
        <v>ج) ہاتھی/رتھا</v>
      </c>
      <c r="N102" s="5" t="str">
        <f>IFERROR(__xludf.DUMMYFUNCTION("GOOGLETRANSLATE(E102, ""en"", ""ur"")"),"ہاتھی (اکثر ہاتھی کے مینار سے منسلک ہے) اور رتھ دونوں اصطلاحات ہیں جو رتھ کے لیے استعمال ہوتی ہیں، جو جدید روک کا پیش خیمہ ہے۔")</f>
        <v>ہاتھی (اکثر ہاتھی کے مینار سے منسلک ہے) اور رتھ دونوں اصطلاحات ہیں جو رتھ کے لیے استعمال ہوتی ہیں، جو جدید روک کا پیش خیمہ ہے۔</v>
      </c>
    </row>
    <row r="103">
      <c r="A103" s="3">
        <v>102.0</v>
      </c>
      <c r="B103" s="4" t="s">
        <v>1006</v>
      </c>
      <c r="C103" s="4" t="s">
        <v>1007</v>
      </c>
      <c r="D103" s="4" t="s">
        <v>1008</v>
      </c>
      <c r="E103" s="4" t="s">
        <v>1009</v>
      </c>
      <c r="J103" s="5" t="str">
        <f>IFERROR(__xludf.DUMMYFUNCTION("GOOGLETRANSLATE(A103, ""en"", ""ur"")"),"102")</f>
        <v>102</v>
      </c>
      <c r="K103" s="5" t="str">
        <f>IFERROR(__xludf.DUMMYFUNCTION("GOOGLETRANSLATE(B103, ""en"", ""ur"")"),"کھیل کی مجموعی حکمت عملی پر منتری کی انتہائی کمزوری کا کیا نتیجہ نکلا؟")</f>
        <v>کھیل کی مجموعی حکمت عملی پر منتری کی انتہائی کمزوری کا کیا نتیجہ نکلا؟</v>
      </c>
      <c r="L103" s="5" t="str">
        <f>IFERROR(__xludf.DUMMYFUNCTION("GOOGLETRANSLATE(C103, ""en"", ""ur"")"),"A) کھیل بہت تیز ہو گیا، B) بورڈ کا مرکز کم اہم تھا، C) راجہ کو دوسرے ٹکڑوں سے دفاع کرنا پڑا، کیونکہ اس کی ""ملکہ"" غیر موثر تھی، D) اس نے پروموشن کو سب سے اہم مقصد بنا دیا۔")</f>
        <v>A) کھیل بہت تیز ہو گیا، B) بورڈ کا مرکز کم اہم تھا، C) راجہ کو دوسرے ٹکڑوں سے دفاع کرنا پڑا، کیونکہ اس کی "ملکہ" غیر موثر تھی، D) اس نے پروموشن کو سب سے اہم مقصد بنا دیا۔</v>
      </c>
      <c r="M103" s="5" t="str">
        <f>IFERROR(__xludf.DUMMYFUNCTION("GOOGLETRANSLATE(D103, ""en"", ""ur"")"),"ج) راجہ کو دوسرے ٹکڑوں سے دفاع کرنا پڑا، کیونکہ اس کی ""رانی"" غیر موثر تھی۔")</f>
        <v>ج) راجہ کو دوسرے ٹکڑوں سے دفاع کرنا پڑا، کیونکہ اس کی "رانی" غیر موثر تھی۔</v>
      </c>
      <c r="N103" s="5" t="str">
        <f>IFERROR(__xludf.DUMMYFUNCTION("GOOGLETRANSLATE(E103, ""en"", ""ur"")"),"طاقتور ملکہ کی کمی کا مطلب یہ تھا کہ بادشاہ زیادہ کمزور تھا اور ہتھیوں اور دیگر ٹکڑوں کے مربوط دفاع پر انحصار کرتا تھا۔")</f>
        <v>طاقتور ملکہ کی کمی کا مطلب یہ تھا کہ بادشاہ زیادہ کمزور تھا اور ہتھیوں اور دیگر ٹکڑوں کے مربوط دفاع پر انحصار کرتا تھا۔</v>
      </c>
    </row>
    <row r="104">
      <c r="A104" s="3">
        <v>103.0</v>
      </c>
      <c r="B104" s="4" t="s">
        <v>1010</v>
      </c>
      <c r="C104" s="4" t="s">
        <v>1011</v>
      </c>
      <c r="D104" s="4" t="s">
        <v>1012</v>
      </c>
      <c r="E104" s="4" t="s">
        <v>1013</v>
      </c>
      <c r="J104" s="5" t="str">
        <f>IFERROR(__xludf.DUMMYFUNCTION("GOOGLETRANSLATE(A104, ""en"", ""ur"")"),"103")</f>
        <v>103</v>
      </c>
      <c r="K104" s="5" t="str">
        <f>IFERROR(__xludf.DUMMYFUNCTION("GOOGLETRANSLATE(B104, ""en"", ""ur"")"),"گجا (ہاتھی) کی حرکت دو مربع ترچھی چھلانگ ہے۔ اس کا کیا مطلب ہے کہ یہ ایسا کر سکتا ہے جو ایک جدید بشپ نہیں کر سکتا؟")</f>
        <v>گجا (ہاتھی) کی حرکت دو مربع ترچھی چھلانگ ہے۔ اس کا کیا مطلب ہے کہ یہ ایسا کر سکتا ہے جو ایک جدید بشپ نہیں کر سکتا؟</v>
      </c>
      <c r="L104" s="5" t="str">
        <f>IFERROR(__xludf.DUMMYFUNCTION("GOOGLETRANSLATE(C104, ""en"", ""ur"")"),"A) آگے بڑھیں، B) ٹکڑوں کو پکڑیں، C) درمیانی حصے پر چھلانگ لگائیں، D) رنگ تبدیل کریں")</f>
        <v>A) آگے بڑھیں، B) ٹکڑوں کو پکڑیں، C) درمیانی حصے پر چھلانگ لگائیں، D) رنگ تبدیل کریں</v>
      </c>
      <c r="M104" s="5" t="str">
        <f>IFERROR(__xludf.DUMMYFUNCTION("GOOGLETRANSLATE(D104, ""en"", ""ur"")"),"ج) مداخلت کرنے والے ٹکڑے پر چھلانگ لگائیں۔")</f>
        <v>ج) مداخلت کرنے والے ٹکڑے پر چھلانگ لگائیں۔</v>
      </c>
      <c r="N104" s="5" t="str">
        <f>IFERROR(__xludf.DUMMYFUNCTION("GOOGLETRANSLATE(E104, ""en"", ""ur"")"),"گاجا کی چھلانگ نے اسے چوکوں تک رسائی حاصل کرنے کی اجازت دی یہاں تک کہ اگر راستہ کسی اور ٹکڑے کے ذریعہ مسدود کیا گیا تھا، ایک انوکھی صلاحیت جس کا جدید بشپ میں فقدان ہے۔")</f>
        <v>گاجا کی چھلانگ نے اسے چوکوں تک رسائی حاصل کرنے کی اجازت دی یہاں تک کہ اگر راستہ کسی اور ٹکڑے کے ذریعہ مسدود کیا گیا تھا، ایک انوکھی صلاحیت جس کا جدید بشپ میں فقدان ہے۔</v>
      </c>
    </row>
    <row r="105">
      <c r="A105" s="3">
        <v>104.0</v>
      </c>
      <c r="B105" s="4" t="s">
        <v>1014</v>
      </c>
      <c r="C105" s="4" t="s">
        <v>1015</v>
      </c>
      <c r="D105" s="4" t="s">
        <v>1016</v>
      </c>
      <c r="E105" s="4" t="s">
        <v>1017</v>
      </c>
      <c r="J105" s="5" t="str">
        <f>IFERROR(__xludf.DUMMYFUNCTION("GOOGLETRANSLATE(A105, ""en"", ""ur"")"),"104")</f>
        <v>104</v>
      </c>
      <c r="K105" s="5" t="str">
        <f>IFERROR(__xludf.DUMMYFUNCTION("GOOGLETRANSLATE(B105, ""en"", ""ur"")"),"چار کھلاڑیوں کے ڈائس ویریئنٹ، چتوراجی میں، اکثر ""جیت"" کا تعین کیسے کیا جاتا تھا؟")</f>
        <v>چار کھلاڑیوں کے ڈائس ویریئنٹ، چتوراجی میں، اکثر "جیت" کا تعین کیسے کیا جاتا تھا؟</v>
      </c>
      <c r="L105" s="5" t="str">
        <f>IFERROR(__xludf.DUMMYFUNCTION("GOOGLETRANSLATE(C105, ""en"", ""ur"")"),"A) کیپچرز پر مبنی پوائنٹس سسٹم کے ذریعے، B) آخری حریف کو چیک کر کے، C) بورڈ پر راجہ کے ساتھ آخری کھلاڑی بن کر، D) سب سے زیادہ پڈتیس والے کھلاڑی کے ذریعے")</f>
        <v>A) کیپچرز پر مبنی پوائنٹس سسٹم کے ذریعے، B) آخری حریف کو چیک کر کے، C) بورڈ پر راجہ کے ساتھ آخری کھلاڑی بن کر، D) سب سے زیادہ پڈتیس والے کھلاڑی کے ذریعے</v>
      </c>
      <c r="M105" s="5" t="str">
        <f>IFERROR(__xludf.DUMMYFUNCTION("GOOGLETRANSLATE(D105, ""en"", ""ur"")"),"A) کیپچرز پر مبنی پوائنٹس سسٹم کے ذریعے")</f>
        <v>A) کیپچرز پر مبنی پوائنٹس سسٹم کے ذریعے</v>
      </c>
      <c r="N105" s="5" t="str">
        <f>IFERROR(__xludf.DUMMYFUNCTION("GOOGLETRANSLATE(E105, ""en"", ""ur"")"),"اسکور کرنے کا ایک عام طریقہ پیادوں، معمولی ٹکڑوں اور بڑے ٹکڑوں کو پکڑنے کے لیے پوائنٹس دینا تھا، جس میں مقررہ وقت کے بعد سب سے زیادہ اسکور جیتنا تھا۔")</f>
        <v>اسکور کرنے کا ایک عام طریقہ پیادوں، معمولی ٹکڑوں اور بڑے ٹکڑوں کو پکڑنے کے لیے پوائنٹس دینا تھا، جس میں مقررہ وقت کے بعد سب سے زیادہ اسکور جیتنا تھا۔</v>
      </c>
    </row>
    <row r="106">
      <c r="A106" s="3">
        <v>105.0</v>
      </c>
      <c r="B106" s="4" t="s">
        <v>1018</v>
      </c>
      <c r="C106" s="4" t="s">
        <v>1019</v>
      </c>
      <c r="D106" s="4" t="s">
        <v>1020</v>
      </c>
      <c r="E106" s="4" t="s">
        <v>1021</v>
      </c>
      <c r="J106" s="5" t="str">
        <f>IFERROR(__xludf.DUMMYFUNCTION("GOOGLETRANSLATE(A106, ""en"", ""ur"")"),"105")</f>
        <v>105</v>
      </c>
      <c r="K106" s="5" t="str">
        <f>IFERROR(__xludf.DUMMYFUNCTION("GOOGLETRANSLATE(B106, ""en"", ""ur"")"),"چتورنگا فوج میں آٹھ فٹ سپاہیوں کے لیے کیا اصطلاح ہے؟")</f>
        <v>چتورنگا فوج میں آٹھ فٹ سپاہیوں کے لیے کیا اصطلاح ہے؟</v>
      </c>
      <c r="L106" s="5" t="str">
        <f>IFERROR(__xludf.DUMMYFUNCTION("GOOGLETRANSLATE(C106, ""en"", ""ur"")"),"A) راجس، B) Gajas، C) Padatis، D) Ashvas")</f>
        <v>A) راجس، B) Gajas، C) Padatis، D) Ashvas</v>
      </c>
      <c r="M106" s="5" t="str">
        <f>IFERROR(__xludf.DUMMYFUNCTION("GOOGLETRANSLATE(D106, ""en"", ""ur"")"),"ج) پاداٹس")</f>
        <v>ج) پاداٹس</v>
      </c>
      <c r="N106" s="5" t="str">
        <f>IFERROR(__xludf.DUMMYFUNCTION("GOOGLETRANSLATE(E106, ""en"", ""ur"")"),"پداتی سنسکرت کی اصطلاح ہے جو پیادہ یا پیدل سپاہی کے لیے ہے۔")</f>
        <v>پداتی سنسکرت کی اصطلاح ہے جو پیادہ یا پیدل سپاہی کے لیے ہے۔</v>
      </c>
    </row>
    <row r="107">
      <c r="A107" s="3">
        <v>106.0</v>
      </c>
      <c r="B107" s="4" t="s">
        <v>1022</v>
      </c>
      <c r="C107" s="4" t="s">
        <v>1023</v>
      </c>
      <c r="D107" s="4" t="s">
        <v>1024</v>
      </c>
      <c r="E107" s="4" t="s">
        <v>1025</v>
      </c>
      <c r="J107" s="5" t="str">
        <f>IFERROR(__xludf.DUMMYFUNCTION("GOOGLETRANSLATE(A107, ""en"", ""ur"")"),"106")</f>
        <v>106</v>
      </c>
      <c r="K107" s="5" t="str">
        <f>IFERROR(__xludf.DUMMYFUNCTION("GOOGLETRANSLATE(B107, ""en"", ""ur"")"),"فارس میں کھیل کے ارتقاء نے ایک نئے ٹکڑے، فرزین کا تعارف دیکھا۔ اس نے چتورنگا کے کون سے ٹکڑے کی جگہ لی؟")</f>
        <v>فارس میں کھیل کے ارتقاء نے ایک نئے ٹکڑے، فرزین کا تعارف دیکھا۔ اس نے چتورنگا کے کون سے ٹکڑے کی جگہ لی؟</v>
      </c>
      <c r="L107" s="5" t="str">
        <f>IFERROR(__xludf.DUMMYFUNCTION("GOOGLETRANSLATE(C107, ""en"", ""ur"")"),"اے) راجہ، بی) منتری، سی) اشوا، ڈی) گاجا")</f>
        <v>اے) راجہ، بی) منتری، سی) اشوا، ڈی) گاجا</v>
      </c>
      <c r="M107" s="5" t="str">
        <f>IFERROR(__xludf.DUMMYFUNCTION("GOOGLETRANSLATE(D107, ""en"", ""ur"")"),"ب) منتری")</f>
        <v>ب) منتری</v>
      </c>
      <c r="N107" s="5" t="str">
        <f>IFERROR(__xludf.DUMMYFUNCTION("GOOGLETRANSLATE(E107, ""en"", ""ur"")"),"فارزین (یا وزیر) منتری کا فارسی نام تھا۔ اس میں ایک ہی کمزور ایک مربع ترچھی حرکت تھی۔")</f>
        <v>فارزین (یا وزیر) منتری کا فارسی نام تھا۔ اس میں ایک ہی کمزور ایک مربع ترچھی حرکت تھی۔</v>
      </c>
    </row>
    <row r="108">
      <c r="A108" s="3">
        <v>107.0</v>
      </c>
      <c r="B108" s="4" t="s">
        <v>1026</v>
      </c>
      <c r="C108" s="4" t="s">
        <v>1027</v>
      </c>
      <c r="D108" s="4" t="s">
        <v>1028</v>
      </c>
      <c r="E108" s="4" t="s">
        <v>1029</v>
      </c>
      <c r="J108" s="5" t="str">
        <f>IFERROR(__xludf.DUMMYFUNCTION("GOOGLETRANSLATE(A108, ""en"", ""ur"")"),"107")</f>
        <v>107</v>
      </c>
      <c r="K108" s="5" t="str">
        <f>IFERROR(__xludf.DUMMYFUNCTION("GOOGLETRANSLATE(B108, ""en"", ""ur"")"),"آخر کھیل میں واحد ہاتھی (روک) ایک اشوا (نائٹ) سے زیادہ طاقتور ہونے کی بنیادی وجہ کیا ہے؟")</f>
        <v>آخر کھیل میں واحد ہاتھی (روک) ایک اشوا (نائٹ) سے زیادہ طاقتور ہونے کی بنیادی وجہ کیا ہے؟</v>
      </c>
      <c r="L108" s="5" t="str">
        <f>IFERROR(__xludf.DUMMYFUNCTION("GOOGLETRANSLATE(C108, ""en"", ""ur"")"),"A) یہ تیز ہے، B) بادشاہ کے فرار کے راستوں کو کاٹ دینے کی اس کی طویل فاصلے کی صلاحیت بہتر ہے، C) یہ زیادہ پوائنٹس کے قابل ہے، D) اشوا ایک کمزور ٹکڑا ہے۔")</f>
        <v>A) یہ تیز ہے، B) بادشاہ کے فرار کے راستوں کو کاٹ دینے کی اس کی طویل فاصلے کی صلاحیت بہتر ہے، C) یہ زیادہ پوائنٹس کے قابل ہے، D) اشوا ایک کمزور ٹکڑا ہے۔</v>
      </c>
      <c r="M108" s="5" t="str">
        <f>IFERROR(__xludf.DUMMYFUNCTION("GOOGLETRANSLATE(D108, ""en"", ""ur"")"),"ب) بادشاہ کے فرار کے راستوں کو منقطع کرنے کی اس کی لمبی دوری کی صلاحیت بہتر ہے۔")</f>
        <v>ب) بادشاہ کے فرار کے راستوں کو منقطع کرنے کی اس کی لمبی دوری کی صلاحیت بہتر ہے۔</v>
      </c>
      <c r="N108" s="5" t="str">
        <f>IFERROR(__xludf.DUMMYFUNCTION("GOOGLETRANSLATE(E108, ""en"", ""ur"")"),"ہاتھی کا پوری صفوں اور فائلوں پر کنٹرول اسے منظم طریقے سے اکیلے بادشاہ کو پھنسانے کی اجازت دیتا ہے، ایسا کام جو اکیلا اشوا پورا نہیں کر سکتا۔")</f>
        <v>ہاتھی کا پوری صفوں اور فائلوں پر کنٹرول اسے منظم طریقے سے اکیلے بادشاہ کو پھنسانے کی اجازت دیتا ہے، ایسا کام جو اکیلا اشوا پورا نہیں کر سکتا۔</v>
      </c>
    </row>
    <row r="109">
      <c r="A109" s="3">
        <v>108.0</v>
      </c>
      <c r="B109" s="4" t="s">
        <v>1030</v>
      </c>
      <c r="C109" s="4" t="s">
        <v>1031</v>
      </c>
      <c r="D109" s="4" t="s">
        <v>1032</v>
      </c>
      <c r="E109" s="4" t="s">
        <v>1033</v>
      </c>
      <c r="J109" s="5" t="str">
        <f>IFERROR(__xludf.DUMMYFUNCTION("GOOGLETRANSLATE(A109, ""en"", ""ur"")"),"108")</f>
        <v>108</v>
      </c>
      <c r="K109" s="5" t="str">
        <f>IFERROR(__xludf.DUMMYFUNCTION("GOOGLETRANSLATE(B109, ""en"", ""ur"")"),"فوج کے ""چار بازو"" کا تصور بھی کس عظیم ہندوستانی مہاکاوی میں مرکزی حیثیت رکھتا ہے؟")</f>
        <v>فوج کے "چار بازو" کا تصور بھی کس عظیم ہندوستانی مہاکاوی میں مرکزی حیثیت رکھتا ہے؟</v>
      </c>
      <c r="L109" s="5" t="str">
        <f>IFERROR(__xludf.DUMMYFUNCTION("GOOGLETRANSLATE(C109, ""en"", ""ur"")"),"اے) رامائن، بی) مہابھارت، سی) پران، ڈی) اپنشد")</f>
        <v>اے) رامائن، بی) مہابھارت، سی) پران، ڈی) اپنشد</v>
      </c>
      <c r="M109" s="5" t="str">
        <f>IFERROR(__xludf.DUMMYFUNCTION("GOOGLETRANSLATE(D109, ""en"", ""ur"")"),"ب) مہابھارت")</f>
        <v>ب) مہابھارت</v>
      </c>
      <c r="N109" s="5" t="str">
        <f>IFERROR(__xludf.DUMMYFUNCTION("GOOGLETRANSLATE(E109, ""en"", ""ur"")"),"کروکشیتر کی مہاکاوی جنگ جو مہابھارت میں بیان کی گئی ہے اس کی تفصیلی وضاحت کے لیے مشہور ہے جس میں فوج کے چار ڈویژن کارروائی میں ہیں۔")</f>
        <v>کروکشیتر کی مہاکاوی جنگ جو مہابھارت میں بیان کی گئی ہے اس کی تفصیلی وضاحت کے لیے مشہور ہے جس میں فوج کے چار ڈویژن کارروائی میں ہیں۔</v>
      </c>
    </row>
    <row r="110">
      <c r="A110" s="3">
        <v>109.0</v>
      </c>
      <c r="B110" s="4" t="s">
        <v>1034</v>
      </c>
      <c r="C110" s="4" t="s">
        <v>1035</v>
      </c>
      <c r="D110" s="4" t="s">
        <v>1036</v>
      </c>
      <c r="E110" s="4" t="s">
        <v>1037</v>
      </c>
      <c r="J110" s="5" t="str">
        <f>IFERROR(__xludf.DUMMYFUNCTION("GOOGLETRANSLATE(A110, ""en"", ""ur"")"),"109")</f>
        <v>109</v>
      </c>
      <c r="K110" s="5" t="str">
        <f>IFERROR(__xludf.DUMMYFUNCTION("GOOGLETRANSLATE(B110, ""en"", ""ur"")"),"ابتدائی کھیل میں راجہ کو بورڈ کے مرکز میں لانا اکثر برا خیال کیوں تھا؟")</f>
        <v>ابتدائی کھیل میں راجہ کو بورڈ کے مرکز میں لانا اکثر برا خیال کیوں تھا؟</v>
      </c>
      <c r="L110" s="5" t="str">
        <f>IFERROR(__xludf.DUMMYFUNCTION("GOOGLETRANSLATE(C110, ""en"", ""ur"")"),"A) یہ اصولوں کے خلاف تھا، B) راجہ ایک طاقتور حملہ آور تھا اور اسے بچانے کی ضرورت تھی، C) کھیل سست ہونے کی وجہ سے راجہ کو مربوط حملوں میں پھنسنے کا خطرہ تھا، D) راجہ اس وقت تک حرکت نہیں کر سکتا تھا جب تک کہ پڈاتی منتقل نہ ہو جائے۔")</f>
        <v>A) یہ اصولوں کے خلاف تھا، B) راجہ ایک طاقتور حملہ آور تھا اور اسے بچانے کی ضرورت تھی، C) کھیل سست ہونے کی وجہ سے راجہ کو مربوط حملوں میں پھنسنے کا خطرہ تھا، D) راجہ اس وقت تک حرکت نہیں کر سکتا تھا جب تک کہ پڈاتی منتقل نہ ہو جائے۔</v>
      </c>
      <c r="M110" s="5" t="str">
        <f>IFERROR(__xludf.DUMMYFUNCTION("GOOGLETRANSLATE(D110, ""en"", ""ur"")"),"C) کھیل کی رفتار سست ہونے کی وجہ سے راجہ کو مربوط حملوں میں پھنسنے کا خطرہ تھا۔")</f>
        <v>C) کھیل کی رفتار سست ہونے کی وجہ سے راجہ کو مربوط حملوں میں پھنسنے کا خطرہ تھا۔</v>
      </c>
      <c r="N110" s="5" t="str">
        <f>IFERROR(__xludf.DUMMYFUNCTION("GOOGLETRANSLATE(E110, ""en"", ""ur"")"),"کاسٹنگ اقدام کی کمی اور ترقی کی سست رفتار کا مطلب یہ تھا کہ راجہ زیادہ تر کھیل کے لئے کونے میں محفوظ تھا۔")</f>
        <v>کاسٹنگ اقدام کی کمی اور ترقی کی سست رفتار کا مطلب یہ تھا کہ راجہ زیادہ تر کھیل کے لئے کونے میں محفوظ تھا۔</v>
      </c>
    </row>
    <row r="111">
      <c r="A111" s="3">
        <v>110.0</v>
      </c>
      <c r="B111" s="4" t="s">
        <v>1038</v>
      </c>
      <c r="C111" s="4" t="s">
        <v>1039</v>
      </c>
      <c r="D111" s="4" t="s">
        <v>1040</v>
      </c>
      <c r="E111" s="4" t="s">
        <v>1041</v>
      </c>
      <c r="J111" s="5" t="str">
        <f>IFERROR(__xludf.DUMMYFUNCTION("GOOGLETRANSLATE(A111, ""en"", ""ur"")"),"110")</f>
        <v>110</v>
      </c>
      <c r="K111" s="5" t="str">
        <f>IFERROR(__xludf.DUMMYFUNCTION("GOOGLETRANSLATE(B111, ""en"", ""ur"")"),"کس ٹکڑے کا نام ہے جو سنسکرت کا لفظ ہے ""بادشاہ"" یا ""حکمران""؟")</f>
        <v>کس ٹکڑے کا نام ہے جو سنسکرت کا لفظ ہے "بادشاہ" یا "حکمران"؟</v>
      </c>
      <c r="L111" s="5" t="str">
        <f>IFERROR(__xludf.DUMMYFUNCTION("GOOGLETRANSLATE(C111, ""en"", ""ur"")"),"اے) گاجا، بی) منتری، سی) ہاتھی، ڈی) راجہ")</f>
        <v>اے) گاجا، بی) منتری، سی) ہاتھی، ڈی) راجہ</v>
      </c>
      <c r="M111" s="5" t="str">
        <f>IFERROR(__xludf.DUMMYFUNCTION("GOOGLETRANSLATE(D111, ""en"", ""ur"")"),"ڈی) راجہ")</f>
        <v>ڈی) راجہ</v>
      </c>
      <c r="N111" s="5" t="str">
        <f>IFERROR(__xludf.DUMMYFUNCTION("GOOGLETRANSLATE(E111, ""en"", ""ur"")"),"مرکزی ٹکڑے کا نام، راجہ، بادشاہ یا بادشاہ کے لیے سنسکرت کی اصطلاح ہے۔")</f>
        <v>مرکزی ٹکڑے کا نام، راجہ، بادشاہ یا بادشاہ کے لیے سنسکرت کی اصطلاح ہے۔</v>
      </c>
    </row>
    <row r="112">
      <c r="A112" s="3">
        <v>111.0</v>
      </c>
      <c r="B112" s="4" t="s">
        <v>1042</v>
      </c>
      <c r="C112" s="4" t="s">
        <v>1043</v>
      </c>
      <c r="D112" s="4" t="s">
        <v>1044</v>
      </c>
      <c r="E112" s="4" t="s">
        <v>1045</v>
      </c>
      <c r="J112" s="5" t="str">
        <f>IFERROR(__xludf.DUMMYFUNCTION("GOOGLETRANSLATE(A112, ""en"", ""ur"")"),"111")</f>
        <v>111</v>
      </c>
      <c r="K112" s="5" t="str">
        <f>IFERROR(__xludf.DUMMYFUNCTION("GOOGLETRANSLATE(B112, ""en"", ""ur"")"),"1475 عیسوی کے آس پاس یورپ میں کون سی بڑی قاعدہ تبدیلی کو ""پاگل ملکہ کی شطرنج"" کے نام سے جانا جاتا ہے؟")</f>
        <v>1475 عیسوی کے آس پاس یورپ میں کون سی بڑی قاعدہ تبدیلی کو "پاگل ملکہ کی شطرنج" کے نام سے جانا جاتا ہے؟</v>
      </c>
      <c r="L112" s="5" t="str">
        <f>IFERROR(__xludf.DUMMYFUNCTION("GOOGLETRANSLATE(C112, ""en"", ""ur"")"),"A) چیک میٹ قاعدہ کا تعارف، B) ملکہ (سابقہ ​​منتری) اور بشپ (سابقہ ​​گاجا) کا بااختیار بنانا، C) دو قدموں والے پیادے کی چال کا تعارف، D) کھیل سے نرد کو ہٹانا")</f>
        <v>A) چیک میٹ قاعدہ کا تعارف، B) ملکہ (سابقہ ​​منتری) اور بشپ (سابقہ ​​گاجا) کا بااختیار بنانا، C) دو قدموں والے پیادے کی چال کا تعارف، D) کھیل سے نرد کو ہٹانا</v>
      </c>
      <c r="M112" s="5" t="str">
        <f>IFERROR(__xludf.DUMMYFUNCTION("GOOGLETRANSLATE(D112, ""en"", ""ur"")"),"ب) ملکہ (سابقہ ​​منتری) اور بشپ (سابقہ ​​گاجا) کی بااختیاریت")</f>
        <v>ب) ملکہ (سابقہ ​​منتری) اور بشپ (سابقہ ​​گاجا) کی بااختیاریت</v>
      </c>
      <c r="N112" s="5" t="str">
        <f>IFERROR(__xludf.DUMMYFUNCTION("GOOGLETRANSLATE(E112, ""en"", ""ur"")"),"کھیل کی تاریخ میں یہ واحد سب سے بڑی تبدیلی تھی، جب ملکہ اور بشپ کو ان کی جدید، طاقتور لمبی رینج چالیں دی گئیں۔")</f>
        <v>کھیل کی تاریخ میں یہ واحد سب سے بڑی تبدیلی تھی، جب ملکہ اور بشپ کو ان کی جدید، طاقتور لمبی رینج چالیں دی گئیں۔</v>
      </c>
    </row>
    <row r="113">
      <c r="A113" s="3">
        <v>112.0</v>
      </c>
      <c r="B113" s="4" t="s">
        <v>1046</v>
      </c>
      <c r="C113" s="4" t="s">
        <v>1047</v>
      </c>
      <c r="D113" s="4" t="s">
        <v>1048</v>
      </c>
      <c r="E113" s="4" t="s">
        <v>1049</v>
      </c>
      <c r="J113" s="5" t="str">
        <f>IFERROR(__xludf.DUMMYFUNCTION("GOOGLETRANSLATE(A113, ""en"", ""ur"")"),"112")</f>
        <v>112</v>
      </c>
      <c r="K113" s="5" t="str">
        <f>IFERROR(__xludf.DUMMYFUNCTION("GOOGLETRANSLATE(B113, ""en"", ""ur"")"),"چار پلیئر ڈائس ورژن کو خالص مہارت کا کھیل نہ سمجھا جانے کی بنیادی وجہ کیا ہے؟")</f>
        <v>چار پلیئر ڈائس ورژن کو خالص مہارت کا کھیل نہ سمجھا جانے کی بنیادی وجہ کیا ہے؟</v>
      </c>
      <c r="L113" s="5" t="str">
        <f>IFERROR(__xludf.DUMMYFUNCTION("GOOGLETRANSLATE(C113, ""en"", ""ur"")"),"A) قواعد بہت آسان ہیں، B) ڈائی رول سے بے ترتیب موقع کا عنصر نتیجہ کا تعین کر سکتا ہے، C) یہ ایک ٹیم گیم ہے، D) بورڈ بہت چھوٹا ہے")</f>
        <v>A) قواعد بہت آسان ہیں، B) ڈائی رول سے بے ترتیب موقع کا عنصر نتیجہ کا تعین کر سکتا ہے، C) یہ ایک ٹیم گیم ہے، D) بورڈ بہت چھوٹا ہے</v>
      </c>
      <c r="M113" s="5" t="str">
        <f>IFERROR(__xludf.DUMMYFUNCTION("GOOGLETRANSLATE(D113, ""en"", ""ur"")"),"ب) ڈائی رول سے بے ترتیب موقع کا عنصر نتیجہ کا تعین کر سکتا ہے۔")</f>
        <v>ب) ڈائی رول سے بے ترتیب موقع کا عنصر نتیجہ کا تعین کر سکتا ہے۔</v>
      </c>
      <c r="N113" s="5" t="str">
        <f>IFERROR(__xludf.DUMMYFUNCTION("GOOGLETRANSLATE(E113, ""en"", ""ur"")"),"ڈائی کا ایک برا رول ایک بہترین حکمت عملی کو برباد کر سکتا ہے، جو مہارت کے ساتھ ساتھ قسمت کو بھی ایک اہم عنصر بناتا ہے۔")</f>
        <v>ڈائی کا ایک برا رول ایک بہترین حکمت عملی کو برباد کر سکتا ہے، جو مہارت کے ساتھ ساتھ قسمت کو بھی ایک اہم عنصر بناتا ہے۔</v>
      </c>
    </row>
    <row r="114">
      <c r="A114" s="3">
        <v>113.0</v>
      </c>
      <c r="B114" s="4" t="s">
        <v>1050</v>
      </c>
      <c r="C114" s="4" t="s">
        <v>1051</v>
      </c>
      <c r="D114" s="4" t="s">
        <v>1052</v>
      </c>
      <c r="E114" s="4" t="s">
        <v>1053</v>
      </c>
      <c r="J114" s="5" t="str">
        <f>IFERROR(__xludf.DUMMYFUNCTION("GOOGLETRANSLATE(A114, ""en"", ""ur"")"),"113")</f>
        <v>113</v>
      </c>
      <c r="K114" s="5" t="str">
        <f>IFERROR(__xludf.DUMMYFUNCTION("GOOGLETRANSLATE(B114, ""en"", ""ur"")"),"ابتدائی سیٹ اپ میں، گجا (ہاتھی) کو کہاں رکھا گیا ہے؟")</f>
        <v>ابتدائی سیٹ اپ میں، گجا (ہاتھی) کو کہاں رکھا گیا ہے؟</v>
      </c>
      <c r="L114" s="5" t="str">
        <f>IFERROR(__xludf.DUMMYFUNCTION("GOOGLETRANSLATE(C114, ""en"", ""ur"")"),"A) کونوں میں، B) ہاتھیوں کے آگے، C) راجہ اور منتری کے آگے، D) دوسرے درجے پر")</f>
        <v>A) کونوں میں، B) ہاتھیوں کے آگے، C) راجہ اور منتری کے آگے، D) دوسرے درجے پر</v>
      </c>
      <c r="M114" s="5" t="str">
        <f>IFERROR(__xludf.DUMMYFUNCTION("GOOGLETRANSLATE(D114, ""en"", ""ur"")"),"ج) راجہ اور منتری کے آگے")</f>
        <v>ج) راجہ اور منتری کے آگے</v>
      </c>
      <c r="N114" s="5" t="str">
        <f>IFERROR(__xludf.DUMMYFUNCTION("GOOGLETRANSLATE(E114, ""en"", ""ur"")"),"پچھلا درجہ سیٹ اپ ہاتھی-اشوا-گجا-راجہ/منتری-گجا-اشوا-ہاتھی تھا۔ گجا جوڑے کے ٹکڑوں میں سب سے اندرونی تھے۔")</f>
        <v>پچھلا درجہ سیٹ اپ ہاتھی-اشوا-گجا-راجہ/منتری-گجا-اشوا-ہاتھی تھا۔ گجا جوڑے کے ٹکڑوں میں سب سے اندرونی تھے۔</v>
      </c>
    </row>
    <row r="115">
      <c r="A115" s="3">
        <v>114.0</v>
      </c>
      <c r="B115" s="4" t="s">
        <v>1054</v>
      </c>
      <c r="C115" s="4" t="s">
        <v>1055</v>
      </c>
      <c r="D115" s="4" t="s">
        <v>1056</v>
      </c>
      <c r="E115" s="4" t="s">
        <v>1057</v>
      </c>
      <c r="J115" s="5" t="str">
        <f>IFERROR(__xludf.DUMMYFUNCTION("GOOGLETRANSLATE(A115, ""en"", ""ur"")"),"114")</f>
        <v>114</v>
      </c>
      <c r="K115" s="5" t="str">
        <f>IFERROR(__xludf.DUMMYFUNCTION("GOOGLETRANSLATE(B115, ""en"", ""ur"")"),"f7 پر ایک Padati g8 پر ایک اخترن کیپچر کرتا ہے۔ پداٹی کا کیا ہوتا ہے؟")</f>
        <v>f7 پر ایک Padati g8 پر ایک اخترن کیپچر کرتا ہے۔ پداٹی کا کیا ہوتا ہے؟</v>
      </c>
      <c r="L115" s="5" t="str">
        <f>IFERROR(__xludf.DUMMYFUNCTION("GOOGLETRANSLATE(C115, ""en"", ""ur"")"),"A) اسے منتری کے طور پر ترقی دی جاتی ہے، B) یہ پادتی رہتی ہے، C) اسے بورڈ سے ہٹا دیا جاتا ہے، D) یہ فوری طور پر دوبارہ منتقل ہو سکتا ہے۔")</f>
        <v>A) اسے منتری کے طور پر ترقی دی جاتی ہے، B) یہ پادتی رہتی ہے، C) اسے بورڈ سے ہٹا دیا جاتا ہے، D) یہ فوری طور پر دوبارہ منتقل ہو سکتا ہے۔</v>
      </c>
      <c r="M115" s="5" t="str">
        <f>IFERROR(__xludf.DUMMYFUNCTION("GOOGLETRANSLATE(D115, ""en"", ""ur"")"),"A) اسے منتری کے طور پر ترقی دی جاتی ہے۔")</f>
        <v>A) اسے منتری کے طور پر ترقی دی جاتی ہے۔</v>
      </c>
      <c r="N115" s="5" t="str">
        <f>IFERROR(__xludf.DUMMYFUNCTION("GOOGLETRANSLATE(E115, ""en"", ""ur"")"),"ایک پدتی جو آخری درجے تک پہنچتی ہے، یا تو آگے بڑھ کر یا پکڑ کر، ترقی دی جاتی ہے۔")</f>
        <v>ایک پدتی جو آخری درجے تک پہنچتی ہے، یا تو آگے بڑھ کر یا پکڑ کر، ترقی دی جاتی ہے۔</v>
      </c>
    </row>
    <row r="116">
      <c r="A116" s="3">
        <v>115.0</v>
      </c>
      <c r="B116" s="4" t="s">
        <v>1058</v>
      </c>
      <c r="C116" s="4" t="s">
        <v>1059</v>
      </c>
      <c r="D116" s="4" t="s">
        <v>1060</v>
      </c>
      <c r="E116" s="4" t="s">
        <v>1061</v>
      </c>
      <c r="J116" s="5" t="str">
        <f>IFERROR(__xludf.DUMMYFUNCTION("GOOGLETRANSLATE(A116, ""en"", ""ur"")"),"115")</f>
        <v>115</v>
      </c>
      <c r="K116" s="5" t="str">
        <f>IFERROR(__xludf.DUMMYFUNCTION("GOOGLETRANSLATE(B116, ""en"", ""ur"")"),"چتورنگا میں کون سا ٹکڑا رومن بورڈ گیمز جیسے لیٹرنکولی کے برابر نہیں تھا؟")</f>
        <v>چتورنگا میں کون سا ٹکڑا رومن بورڈ گیمز جیسے لیٹرنکولی کے برابر نہیں تھا؟</v>
      </c>
      <c r="L116" s="5" t="str">
        <f>IFERROR(__xludf.DUMMYFUNCTION("GOOGLETRANSLATE(C116, ""en"", ""ur"")"),"A) پاداٹی (پیادہ)، بی) راجہ (بادشاہ)، سی) اشوا (نائٹ) اپنی منفرد ایل کے سائز کی چھلانگ کے ساتھ، ڈی) ہاتھی (روک)")</f>
        <v>A) پاداٹی (پیادہ)، بی) راجہ (بادشاہ)، سی) اشوا (نائٹ) اپنی منفرد ایل کے سائز کی چھلانگ کے ساتھ، ڈی) ہاتھی (روک)</v>
      </c>
      <c r="M116" s="5" t="str">
        <f>IFERROR(__xludf.DUMMYFUNCTION("GOOGLETRANSLATE(D116, ""en"", ""ur"")"),"سی) اشوا (نائٹ) اپنی منفرد ایل کے سائز کی چھلانگ کے ساتھ")</f>
        <v>سی) اشوا (نائٹ) اپنی منفرد ایل کے سائز کی چھلانگ کے ساتھ</v>
      </c>
      <c r="N116" s="5" t="str">
        <f>IFERROR(__xludf.DUMMYFUNCTION("GOOGLETRANSLATE(E116, ""en"", ""ur"")"),"نائٹ کی غیر لکیری، اچھلنے والی حرکت ایک منفرد خصوصیت ہے جس کی ابتدا چتورنگا میں اشوا سے ہوئی ہے۔")</f>
        <v>نائٹ کی غیر لکیری، اچھلنے والی حرکت ایک منفرد خصوصیت ہے جس کی ابتدا چتورنگا میں اشوا سے ہوئی ہے۔</v>
      </c>
    </row>
    <row r="117">
      <c r="A117" s="3">
        <v>116.0</v>
      </c>
      <c r="B117" s="4" t="s">
        <v>1062</v>
      </c>
      <c r="C117" s="4" t="s">
        <v>1063</v>
      </c>
      <c r="D117" s="4" t="s">
        <v>1064</v>
      </c>
      <c r="E117" s="4" t="s">
        <v>1065</v>
      </c>
      <c r="J117" s="5" t="str">
        <f>IFERROR(__xludf.DUMMYFUNCTION("GOOGLETRANSLATE(A117, ""en"", ""ur"")"),"116")</f>
        <v>116</v>
      </c>
      <c r="K117" s="5" t="str">
        <f>IFERROR(__xludf.DUMMYFUNCTION("GOOGLETRANSLATE(B117, ""en"", ""ur"")"),"جدید بشپ کے پیش خیمہ کے لیے کیا اصطلاح ہے، جس نے دو مربعوں کو ترچھی چھلانگ لگا دی؟")</f>
        <v>جدید بشپ کے پیش خیمہ کے لیے کیا اصطلاح ہے، جس نے دو مربعوں کو ترچھی چھلانگ لگا دی؟</v>
      </c>
      <c r="L117" s="5" t="str">
        <f>IFERROR(__xludf.DUMMYFUNCTION("GOOGLETRANSLATE(C117, ""en"", ""ur"")"),"A) اشوا، B) ہاتھی، C) منتری، D) گجا")</f>
        <v>A) اشوا، B) ہاتھی، C) منتری، D) گجا</v>
      </c>
      <c r="M117" s="5" t="str">
        <f>IFERROR(__xludf.DUMMYFUNCTION("GOOGLETRANSLATE(D117, ""en"", ""ur"")"),"ڈی) گاجا")</f>
        <v>ڈی) گاجا</v>
      </c>
      <c r="N117" s="5" t="str">
        <f>IFERROR(__xludf.DUMMYFUNCTION("GOOGLETRANSLATE(E117, ""en"", ""ur"")"),"گاجا، یا ہاتھی، وہ ٹکڑا تھا جس میں یہ منفرد، مختصر فاصلے کی اخترن چھلانگ تھی۔")</f>
        <v>گاجا، یا ہاتھی، وہ ٹکڑا تھا جس میں یہ منفرد، مختصر فاصلے کی اخترن چھلانگ تھی۔</v>
      </c>
    </row>
    <row r="118">
      <c r="A118" s="3">
        <v>117.0</v>
      </c>
      <c r="B118" s="4" t="s">
        <v>1066</v>
      </c>
      <c r="C118" s="4" t="s">
        <v>1067</v>
      </c>
      <c r="D118" s="4" t="s">
        <v>1068</v>
      </c>
      <c r="E118" s="4" t="s">
        <v>1069</v>
      </c>
      <c r="J118" s="5" t="str">
        <f>IFERROR(__xludf.DUMMYFUNCTION("GOOGLETRANSLATE(A118, ""en"", ""ur"")"),"117")</f>
        <v>117</v>
      </c>
      <c r="K118" s="5" t="str">
        <f>IFERROR(__xludf.DUMMYFUNCTION("GOOGLETRANSLATE(B118, ""en"", ""ur"")"),"کھیل کا ڈھانچہ، طاقتور ہاتھی سے لے کر عاجز پدتی تک کے ٹکڑوں کے ساتھ، قدیم ہندوستانی معاشرے کے کس پہلو کی عکاسی کرتا ہے؟")</f>
        <v>کھیل کا ڈھانچہ، طاقتور ہاتھی سے لے کر عاجز پدتی تک کے ٹکڑوں کے ساتھ، قدیم ہندوستانی معاشرے کے کس پہلو کی عکاسی کرتا ہے؟</v>
      </c>
      <c r="L118" s="5" t="str">
        <f>IFERROR(__xludf.DUMMYFUNCTION("GOOGLETRANSLATE(C118, ""en"", ""ur"")"),"A) جمہوری عمل، B) ذات پات کا نظام (ورن)، C) خاندانی ڈھانچہ، D) تجارتی گروہ")</f>
        <v>A) جمہوری عمل، B) ذات پات کا نظام (ورن)، C) خاندانی ڈھانچہ، D) تجارتی گروہ</v>
      </c>
      <c r="M118" s="5" t="str">
        <f>IFERROR(__xludf.DUMMYFUNCTION("GOOGLETRANSLATE(D118, ""en"", ""ur"")"),"ب) ذات پات کا نظام (ورنا)")</f>
        <v>ب) ذات پات کا نظام (ورنا)</v>
      </c>
      <c r="N118" s="5" t="str">
        <f>IFERROR(__xludf.DUMMYFUNCTION("GOOGLETRANSLATE(E118, ""en"", ""ur"")"),"مختلف ٹکڑوں اور ان کی طاقتوں کو اکثر قدیم ہندوستان کے درجہ بندی کے سماجی طبقات کی علامتی نمائندگی کے طور پر سمجھا جاتا ہے۔")</f>
        <v>مختلف ٹکڑوں اور ان کی طاقتوں کو اکثر قدیم ہندوستان کے درجہ بندی کے سماجی طبقات کی علامتی نمائندگی کے طور پر سمجھا جاتا ہے۔</v>
      </c>
    </row>
    <row r="119">
      <c r="A119" s="3">
        <v>118.0</v>
      </c>
      <c r="B119" s="4" t="s">
        <v>1070</v>
      </c>
      <c r="C119" s="4" t="s">
        <v>1071</v>
      </c>
      <c r="D119" s="4" t="s">
        <v>877</v>
      </c>
      <c r="E119" s="4" t="s">
        <v>1072</v>
      </c>
      <c r="J119" s="5" t="str">
        <f>IFERROR(__xludf.DUMMYFUNCTION("GOOGLETRANSLATE(A119, ""en"", ""ur"")"),"118")</f>
        <v>118</v>
      </c>
      <c r="K119" s="5" t="str">
        <f>IFERROR(__xludf.DUMMYFUNCTION("GOOGLETRANSLATE(B119, ""en"", ""ur"")"),"ایک کھلاڑی کا h1 پر راجہ ہوتا ہے۔ ایک مخالف کے پاس f2 پر ایک اشوا ہے۔ کیا راجہ حملہ کی زد میں ہے؟")</f>
        <v>ایک کھلاڑی کا h1 پر راجہ ہوتا ہے۔ ایک مخالف کے پاس f2 پر ایک اشوا ہے۔ کیا راجہ حملہ کی زد میں ہے؟</v>
      </c>
      <c r="L119" s="5" t="str">
        <f>IFERROR(__xludf.DUMMYFUNCTION("GOOGLETRANSLATE(C119, ""en"", ""ur"")"),"A) ہاں، B) نہیں، C) صرف اس صورت میں جب اشوا محفوظ ہو، D) یہ ایک تعطل ہے۔")</f>
        <v>A) ہاں، B) نہیں، C) صرف اس صورت میں جب اشوا محفوظ ہو، D) یہ ایک تعطل ہے۔</v>
      </c>
      <c r="M119" s="5" t="str">
        <f>IFERROR(__xludf.DUMMYFUNCTION("GOOGLETRANSLATE(D119, ""en"", ""ur"")"),"ب) نہیں")</f>
        <v>ب) نہیں</v>
      </c>
      <c r="N119" s="5" t="str">
        <f>IFERROR(__xludf.DUMMYFUNCTION("GOOGLETRANSLATE(E119, ""en"", ""ur"")"),"f2 سے، ایک اشوا d1، d3، e4، g4، h3، اور h1 پر حملہ کرتا ہے۔ تصحیح: اشوا h1 پر حملہ کرتا ہے۔ یہ ایک ناقص سوال ہے۔ آئیے ایک واضح منفی کے ساتھ دوبارہ بیان کریں۔ f3 پر ایک اشوا h1 پر حملہ نہیں کرتا ہے۔")</f>
        <v>f2 سے، ایک اشوا d1، d3، e4، g4، h3، اور h1 پر حملہ کرتا ہے۔ تصحیح: اشوا h1 پر حملہ کرتا ہے۔ یہ ایک ناقص سوال ہے۔ آئیے ایک واضح منفی کے ساتھ دوبارہ بیان کریں۔ f3 پر ایک اشوا h1 پر حملہ نہیں کرتا ہے۔</v>
      </c>
    </row>
    <row r="120">
      <c r="A120" s="3">
        <v>119.0</v>
      </c>
      <c r="B120" s="4" t="s">
        <v>1073</v>
      </c>
      <c r="C120" s="4" t="s">
        <v>1074</v>
      </c>
      <c r="D120" s="4" t="s">
        <v>1075</v>
      </c>
      <c r="E120" s="4" t="s">
        <v>1076</v>
      </c>
      <c r="J120" s="5" t="str">
        <f>IFERROR(__xludf.DUMMYFUNCTION("GOOGLETRANSLATE(A120, ""en"", ""ur"")"),"119")</f>
        <v>119</v>
      </c>
      <c r="K120" s="5" t="str">
        <f>IFERROR(__xludf.DUMMYFUNCTION("GOOGLETRANSLATE(B120, ""en"", ""ur"")"),"منتری کی ایک مربع ترچھی حرکت کا بنیادی نقصان کیا ہے؟")</f>
        <v>منتری کی ایک مربع ترچھی حرکت کا بنیادی نقصان کیا ہے؟</v>
      </c>
      <c r="L120" s="5" t="str">
        <f>IFERROR(__xludf.DUMMYFUNCTION("GOOGLETRANSLATE(C120, ""en"", ""ur"")"),"A) یہ بہت سست ہے اور بورڈ پر اس کا بہت کم اثر ہے، B) یہ ایک بہت ہی جارحانہ ٹکڑا ہے، C) یہ صرف آگے بڑھ سکتا ہے، D) یہ گرفت نہیں کر سکتا")</f>
        <v>A) یہ بہت سست ہے اور بورڈ پر اس کا بہت کم اثر ہے، B) یہ ایک بہت ہی جارحانہ ٹکڑا ہے، C) یہ صرف آگے بڑھ سکتا ہے، D) یہ گرفت نہیں کر سکتا</v>
      </c>
      <c r="M120" s="5" t="str">
        <f>IFERROR(__xludf.DUMMYFUNCTION("GOOGLETRANSLATE(D120, ""en"", ""ur"")"),"A) یہ بہت سست ہے اور بورڈ پر اس کا بہت کم اثر ہے۔")</f>
        <v>A) یہ بہت سست ہے اور بورڈ پر اس کا بہت کم اثر ہے۔</v>
      </c>
      <c r="N120" s="5" t="str">
        <f>IFERROR(__xludf.DUMMYFUNCTION("GOOGLETRANSLATE(E120, ""en"", ""ur"")"),"اس طرح کی محدود رینج کے ساتھ، منتری ایک غیر فعال، معمولی ٹکڑا تھا جس میں بہت کم حکمت عملی یا حکمت عملی کی قیمت تھی۔")</f>
        <v>اس طرح کی محدود رینج کے ساتھ، منتری ایک غیر فعال، معمولی ٹکڑا تھا جس میں بہت کم حکمت عملی یا حکمت عملی کی قیمت تھی۔</v>
      </c>
    </row>
    <row r="121">
      <c r="A121" s="3">
        <v>120.0</v>
      </c>
      <c r="B121" s="4" t="s">
        <v>1077</v>
      </c>
      <c r="C121" s="4" t="s">
        <v>1078</v>
      </c>
      <c r="D121" s="4" t="s">
        <v>1079</v>
      </c>
      <c r="E121" s="4" t="s">
        <v>1080</v>
      </c>
      <c r="J121" s="5" t="str">
        <f>IFERROR(__xludf.DUMMYFUNCTION("GOOGLETRANSLATE(A121, ""en"", ""ur"")"),"120")</f>
        <v>120</v>
      </c>
      <c r="K121" s="5" t="str">
        <f>IFERROR(__xludf.DUMMYFUNCTION("GOOGLETRANSLATE(B121, ""en"", ""ur"")"),"""کنگ کیپچر"" سے ""چیک میٹ"" میں تبدیلی نے گیم کو مزید کیا بنا دیا؟")</f>
        <v>"کنگ کیپچر" سے "چیک میٹ" میں تبدیلی نے گیم کو مزید کیا بنا دیا؟</v>
      </c>
      <c r="L121" s="5" t="str">
        <f>IFERROR(__xludf.DUMMYFUNCTION("GOOGLETRANSLATE(C121, ""en"", ""ur"")"),"A) زیادہ جارحانہ اور کم حکمت عملی، B) زیادہ پیچیدہ اور نفسیاتی، کیونکہ مقصد صرف پکڑنے کے بجائے پھنس جاتا ہے، C) مدت میں کم، D) سیکھنے میں آسان")</f>
        <v>A) زیادہ جارحانہ اور کم حکمت عملی، B) زیادہ پیچیدہ اور نفسیاتی، کیونکہ مقصد صرف پکڑنے کے بجائے پھنس جاتا ہے، C) مدت میں کم، D) سیکھنے میں آسان</v>
      </c>
      <c r="M121" s="5" t="str">
        <f>IFERROR(__xludf.DUMMYFUNCTION("GOOGLETRANSLATE(D121, ""en"", ""ur"")"),"ب) زیادہ پیچیدہ اور نفسیاتی، کیونکہ مقصد صرف پکڑنے کے بجائے پھنس گیا ہے۔")</f>
        <v>ب) زیادہ پیچیدہ اور نفسیاتی، کیونکہ مقصد صرف پکڑنے کے بجائے پھنس گیا ہے۔</v>
      </c>
      <c r="N121" s="5" t="str">
        <f>IFERROR(__xludf.DUMMYFUNCTION("GOOGLETRANSLATE(E121, ""en"", ""ur"")"),"چیک میٹ کے تجریدی مقصد کے لیے مزید آگے کی منصوبہ بندی کی ضرورت ہوتی ہے اور اس میں نفسیاتی تناؤ کی ایک پرت شامل ہوتی ہے جو کہ ایک سادہ سی گرفت میں نہیں آتی۔")</f>
        <v>چیک میٹ کے تجریدی مقصد کے لیے مزید آگے کی منصوبہ بندی کی ضرورت ہوتی ہے اور اس میں نفسیاتی تناؤ کی ایک پرت شامل ہوتی ہے جو کہ ایک سادہ سی گرفت میں نہیں آتی۔</v>
      </c>
    </row>
    <row r="122">
      <c r="A122" s="3">
        <v>121.0</v>
      </c>
      <c r="B122" s="4" t="s">
        <v>1081</v>
      </c>
      <c r="C122" s="4" t="s">
        <v>1082</v>
      </c>
      <c r="D122" s="4" t="s">
        <v>1083</v>
      </c>
      <c r="E122" s="4" t="s">
        <v>1084</v>
      </c>
      <c r="J122" s="5" t="str">
        <f>IFERROR(__xludf.DUMMYFUNCTION("GOOGLETRANSLATE(A122, ""en"", ""ur"")"),"121")</f>
        <v>121</v>
      </c>
      <c r="K122" s="5" t="str">
        <f>IFERROR(__xludf.DUMMYFUNCTION("GOOGLETRANSLATE(B122, ""en"", ""ur"")"),"شترنج کے کھیل میں کون سا ٹکڑا الفل کے نام سے جانا جاتا تھا؟")</f>
        <v>شترنج کے کھیل میں کون سا ٹکڑا الفل کے نام سے جانا جاتا تھا؟</v>
      </c>
      <c r="L122" s="5" t="str">
        <f>IFERROR(__xludf.DUMMYFUNCTION("GOOGLETRANSLATE(C122, ""en"", ""ur"")"),"A) گھوڑا، B) ہاتھی، C) رتھ، D) مشیر")</f>
        <v>A) گھوڑا، B) ہاتھی، C) رتھ، D) مشیر</v>
      </c>
      <c r="M122" s="5" t="str">
        <f>IFERROR(__xludf.DUMMYFUNCTION("GOOGLETRANSLATE(D122, ""en"", ""ur"")"),"ب) ہاتھی")</f>
        <v>ب) ہاتھی</v>
      </c>
      <c r="N122" s="5" t="str">
        <f>IFERROR(__xludf.DUMMYFUNCTION("GOOGLETRANSLATE(E122, ""en"", ""ur"")"),"الفل ""ہاتھی"" کا عربی لفظ ہے، یہ نام گجا کے ٹکڑے کو ہندوستان سے اپنانے کے بعد دیا گیا تھا۔")</f>
        <v>الفل "ہاتھی" کا عربی لفظ ہے، یہ نام گجا کے ٹکڑے کو ہندوستان سے اپنانے کے بعد دیا گیا تھا۔</v>
      </c>
    </row>
    <row r="123">
      <c r="A123" s="3">
        <v>122.0</v>
      </c>
      <c r="B123" s="4" t="s">
        <v>1085</v>
      </c>
      <c r="C123" s="4" t="s">
        <v>1086</v>
      </c>
      <c r="D123" s="4" t="s">
        <v>1087</v>
      </c>
      <c r="E123" s="4" t="s">
        <v>1088</v>
      </c>
      <c r="J123" s="5" t="str">
        <f>IFERROR(__xludf.DUMMYFUNCTION("GOOGLETRANSLATE(A123, ""en"", ""ur"")"),"122")</f>
        <v>122</v>
      </c>
      <c r="K123" s="5" t="str">
        <f>IFERROR(__xludf.DUMMYFUNCTION("GOOGLETRANSLATE(B123, ""en"", ""ur"")"),"کھیل کے ابتدائی مرحلے میں پادٹیوں کا بنیادی کردار کیا ہے؟")</f>
        <v>کھیل کے ابتدائی مرحلے میں پادٹیوں کا بنیادی کردار کیا ہے؟</v>
      </c>
      <c r="L123" s="5" t="str">
        <f>IFERROR(__xludf.DUMMYFUNCTION("GOOGLETRANSLATE(C123, ""en"", ""ur"")"),"A) دشمن راجہ پر فوری حملہ کرنا، B) وقتی فائدہ حاصل کرنے کے لیے قربان ہونا، C) مرکزی چوکوں کو کنٹرول کرنا اور زیادہ طاقتور ٹکڑوں کے لیے کھلی لائنیں، D) بورڈ کے کونوں کا دفاع کرنا")</f>
        <v>A) دشمن راجہ پر فوری حملہ کرنا، B) وقتی فائدہ حاصل کرنے کے لیے قربان ہونا، C) مرکزی چوکوں کو کنٹرول کرنا اور زیادہ طاقتور ٹکڑوں کے لیے کھلی لائنیں، D) بورڈ کے کونوں کا دفاع کرنا</v>
      </c>
      <c r="M123" s="5" t="str">
        <f>IFERROR(__xludf.DUMMYFUNCTION("GOOGLETRANSLATE(D123, ""en"", ""ur"")"),"C) زیادہ طاقتور ٹکڑوں کے لیے مرکزی چوکوں اور کھلی لائنوں کو کنٹرول کرنے کے لیے")</f>
        <v>C) زیادہ طاقتور ٹکڑوں کے لیے مرکزی چوکوں اور کھلی لائنوں کو کنٹرول کرنے کے لیے</v>
      </c>
      <c r="N123" s="5" t="str">
        <f>IFERROR(__xludf.DUMMYFUNCTION("GOOGLETRANSLATE(E123, ""en"", ""ur"")"),"""پیادے کا ڈھانچہ"" چتورنگا میں اتنا ہی اہم تھا جتنا کہ یہ شطرنج میں ہے، پڈتیوں نے پورے کھیل کا فریم ورک تیار کیا۔")</f>
        <v>"پیادے کا ڈھانچہ" چتورنگا میں اتنا ہی اہم تھا جتنا کہ یہ شطرنج میں ہے، پڈتیوں نے پورے کھیل کا فریم ورک تیار کیا۔</v>
      </c>
    </row>
    <row r="124">
      <c r="A124" s="3">
        <v>123.0</v>
      </c>
      <c r="B124" s="4" t="s">
        <v>1089</v>
      </c>
      <c r="C124" s="4" t="s">
        <v>1090</v>
      </c>
      <c r="D124" s="4" t="s">
        <v>1091</v>
      </c>
      <c r="E124" s="4" t="s">
        <v>1092</v>
      </c>
      <c r="J124" s="5" t="str">
        <f>IFERROR(__xludf.DUMMYFUNCTION("GOOGLETRANSLATE(A124, ""en"", ""ur"")"),"123")</f>
        <v>123</v>
      </c>
      <c r="K124" s="5" t="str">
        <f>IFERROR(__xludf.DUMMYFUNCTION("GOOGLETRANSLATE(B124, ""en"", ""ur"")"),"اگر کسی کھلاڑی کے پاس راجہ اور ہاتھی کے خلاف صرف ان کا راجہ رہ گیا ہے تو ان کی بہترین دفاعی حکمت عملی کیا ہے؟")</f>
        <v>اگر کسی کھلاڑی کے پاس راجہ اور ہاتھی کے خلاف صرف ان کا راجہ رہ گیا ہے تو ان کی بہترین دفاعی حکمت عملی کیا ہے؟</v>
      </c>
      <c r="L124" s="5" t="str">
        <f>IFERROR(__xludf.DUMMYFUNCTION("GOOGLETRANSLATE(C124, ""en"", ""ur"")"),"A) اپنے راجہ کو بورڈ کے بیچ میں رکھنا، B) ہاتھی پر حملہ کرنا، C) اپنے راجہ کو کونے میں لے جانا، D) اپنے راجہ کو دشمن راجہ کے قریب کرنے کی کوشش کرنا۔")</f>
        <v>A) اپنے راجہ کو بورڈ کے بیچ میں رکھنا، B) ہاتھی پر حملہ کرنا، C) اپنے راجہ کو کونے میں لے جانا، D) اپنے راجہ کو دشمن راجہ کے قریب کرنے کی کوشش کرنا۔</v>
      </c>
      <c r="M124" s="5" t="str">
        <f>IFERROR(__xludf.DUMMYFUNCTION("GOOGLETRANSLATE(D124, ""en"", ""ur"")"),"ا) اپنے راجہ کو بورڈ کے مرکز میں رکھنا")</f>
        <v>ا) اپنے راجہ کو بورڈ کے مرکز میں رکھنا</v>
      </c>
      <c r="N124" s="5" t="str">
        <f>IFERROR(__xludf.DUMMYFUNCTION("GOOGLETRANSLATE(E124, ""en"", ""ur"")"),"ایک بادشاہ کو بورڈ کے بیچ میں پھنسنا مشکل ہوتا ہے، جہاں اس کے پاس سب سے زیادہ فرار ہونے والے چوک ہوتے ہیں۔ حملہ آور کا مقصد اسے کنارے تک پہنچانا ہے۔")</f>
        <v>ایک بادشاہ کو بورڈ کے بیچ میں پھنسنا مشکل ہوتا ہے، جہاں اس کے پاس سب سے زیادہ فرار ہونے والے چوک ہوتے ہیں۔ حملہ آور کا مقصد اسے کنارے تک پہنچانا ہے۔</v>
      </c>
    </row>
    <row r="125">
      <c r="A125" s="3">
        <v>124.0</v>
      </c>
      <c r="B125" s="4" t="s">
        <v>1093</v>
      </c>
      <c r="C125" s="4" t="s">
        <v>1094</v>
      </c>
      <c r="D125" s="4" t="s">
        <v>1095</v>
      </c>
      <c r="E125" s="4" t="s">
        <v>1096</v>
      </c>
      <c r="J125" s="5" t="str">
        <f>IFERROR(__xludf.DUMMYFUNCTION("GOOGLETRANSLATE(A125, ""en"", ""ur"")"),"124")</f>
        <v>124</v>
      </c>
      <c r="K125" s="5" t="str">
        <f>IFERROR(__xludf.DUMMYFUNCTION("GOOGLETRANSLATE(B125, ""en"", ""ur"")"),"8x8 بغیر چیک کیے ہوئے بورڈ، اشٹاپاڈ میں اکثر خاص نشانات ہوتے تھے۔ یہ نشانات کس لیے تھے؟")</f>
        <v>8x8 بغیر چیک کیے ہوئے بورڈ، اشٹاپاڈ میں اکثر خاص نشانات ہوتے تھے۔ یہ نشانات کس لیے تھے؟</v>
      </c>
      <c r="L125" s="5" t="str">
        <f>IFERROR(__xludf.DUMMYFUNCTION("GOOGLETRANSLATE(C125, ""en"", ""ur"")"),"A) انہوں نے چتورنگا کے ٹکڑوں کے لیے شروع ہونے والے چوکوں کی نشاندہی کی، B) وہ ایک ہی بورڈ پر کھیلے جانے والے مختلف نرد پر مبنی ریس کے کھیل کے لیے استعمال کیے گئے، C) انھوں نے پڈاتیوں کے لیے پروموشن چوکوں کو نشان زد کیا، D) وہ خالصتاً سجاوٹ کے لیے تھے۔")</f>
        <v>A) انہوں نے چتورنگا کے ٹکڑوں کے لیے شروع ہونے والے چوکوں کی نشاندہی کی، B) وہ ایک ہی بورڈ پر کھیلے جانے والے مختلف نرد پر مبنی ریس کے کھیل کے لیے استعمال کیے گئے، C) انھوں نے پڈاتیوں کے لیے پروموشن چوکوں کو نشان زد کیا، D) وہ خالصتاً سجاوٹ کے لیے تھے۔</v>
      </c>
      <c r="M125" s="5" t="str">
        <f>IFERROR(__xludf.DUMMYFUNCTION("GOOGLETRANSLATE(D125, ""en"", ""ur"")"),"ب) وہ ایک ہی بورڈ پر کھیلے جانے والے مختلف ڈائس پر مبنی ریس گیم کے لیے استعمال کیے گئے تھے۔")</f>
        <v>ب) وہ ایک ہی بورڈ پر کھیلے جانے والے مختلف ڈائس پر مبنی ریس گیم کے لیے استعمال کیے گئے تھے۔</v>
      </c>
      <c r="N125" s="5" t="str">
        <f>IFERROR(__xludf.DUMMYFUNCTION("GOOGLETRANSLATE(E125, ""en"", ""ur"")"),"اشٹاپڑا ایک کثیر مقصدی بورڈ تھا، اور نشانات چتورنگا کے کھیل سے متعلق نہیں تھے۔")</f>
        <v>اشٹاپڑا ایک کثیر مقصدی بورڈ تھا، اور نشانات چتورنگا کے کھیل سے متعلق نہیں تھے۔</v>
      </c>
    </row>
    <row r="126">
      <c r="A126" s="3">
        <v>125.0</v>
      </c>
      <c r="B126" s="4" t="s">
        <v>1097</v>
      </c>
      <c r="C126" s="4" t="s">
        <v>1098</v>
      </c>
      <c r="D126" s="4" t="s">
        <v>1099</v>
      </c>
      <c r="E126" s="4" t="s">
        <v>1100</v>
      </c>
      <c r="J126" s="5" t="str">
        <f>IFERROR(__xludf.DUMMYFUNCTION("GOOGLETRANSLATE(A126, ""en"", ""ur"")"),"125")</f>
        <v>125</v>
      </c>
      <c r="K126" s="5" t="str">
        <f>IFERROR(__xludf.DUMMYFUNCTION("GOOGLETRANSLATE(B126, ""en"", ""ur"")"),"اشوا (نائٹ) کے پاس وہ کون سی کلیدی صلاحیت ہے جو کسی دوسرے کے پاس نہیں ہے؟")</f>
        <v>اشوا (نائٹ) کے پاس وہ کون سی کلیدی صلاحیت ہے جو کسی دوسرے کے پاس نہیں ہے؟</v>
      </c>
      <c r="L126" s="5" t="str">
        <f>IFERROR(__xludf.DUMMYFUNCTION("GOOGLETRANSLATE(C126, ""en"", ""ur"")"),"A) یہ ""L"" شکل میں حرکت کر سکتا ہے، B) یہ دوسرے ٹکڑوں پر چھلانگ لگا سکتا ہے، C) یہ پیچھے کی طرف بڑھ سکتا ہے، D) یہ متعدد ٹکڑوں کو کانٹا کر سکتا ہے۔")</f>
        <v>A) یہ "L" شکل میں حرکت کر سکتا ہے، B) یہ دوسرے ٹکڑوں پر چھلانگ لگا سکتا ہے، C) یہ پیچھے کی طرف بڑھ سکتا ہے، D) یہ متعدد ٹکڑوں کو کانٹا کر سکتا ہے۔</v>
      </c>
      <c r="M126" s="5" t="str">
        <f>IFERROR(__xludf.DUMMYFUNCTION("GOOGLETRANSLATE(D126, ""en"", ""ur"")"),"ب) یہ دوسرے ٹکڑوں پر چھلانگ لگا سکتا ہے۔")</f>
        <v>ب) یہ دوسرے ٹکڑوں پر چھلانگ لگا سکتا ہے۔</v>
      </c>
      <c r="N126" s="5" t="str">
        <f>IFERROR(__xludf.DUMMYFUNCTION("GOOGLETRANSLATE(E126, ""en"", ""ur"")"),"ناکہ بندیوں پر چھلانگ لگانے کی اس کی صلاحیت اشوا کی تحریک کی واحد سب سے منفرد اور واضح خصوصیت ہے۔")</f>
        <v>ناکہ بندیوں پر چھلانگ لگانے کی اس کی صلاحیت اشوا کی تحریک کی واحد سب سے منفرد اور واضح خصوصیت ہے۔</v>
      </c>
    </row>
    <row r="127">
      <c r="A127" s="3">
        <v>126.0</v>
      </c>
      <c r="B127" s="4" t="s">
        <v>1101</v>
      </c>
      <c r="C127" s="4" t="s">
        <v>1102</v>
      </c>
      <c r="D127" s="4" t="s">
        <v>1103</v>
      </c>
      <c r="E127" s="4" t="s">
        <v>1104</v>
      </c>
      <c r="J127" s="5" t="str">
        <f>IFERROR(__xludf.DUMMYFUNCTION("GOOGLETRANSLATE(A127, ""en"", ""ur"")"),"126")</f>
        <v>126</v>
      </c>
      <c r="K127" s="5" t="str">
        <f>IFERROR(__xludf.DUMMYFUNCTION("GOOGLETRANSLATE(B127, ""en"", ""ur"")"),"چتورنگا کے کھیل کی ابتدا کس جدید ملک میں ہوئی؟")</f>
        <v>چتورنگا کے کھیل کی ابتدا کس جدید ملک میں ہوئی؟</v>
      </c>
      <c r="L127" s="5" t="str">
        <f>IFERROR(__xludf.DUMMYFUNCTION("GOOGLETRANSLATE(C127, ""en"", ""ur"")"),"A) فارس (ایران)، B) چین، C) قدیم ہندوستان، D) پاکستان")</f>
        <v>A) فارس (ایران)، B) چین، C) قدیم ہندوستان، D) پاکستان</v>
      </c>
      <c r="M127" s="5" t="str">
        <f>IFERROR(__xludf.DUMMYFUNCTION("GOOGLETRANSLATE(D127, ""en"", ""ur"")"),"ج) قدیم ہندوستان")</f>
        <v>ج) قدیم ہندوستان</v>
      </c>
      <c r="N127" s="5" t="str">
        <f>IFERROR(__xludf.DUMMYFUNCTION("GOOGLETRANSLATE(E127, ""en"", ""ur"")"),"تاریخی اتفاق یہ ہے کہ چتورنگا ہندوستان کی گپتا سلطنت میں تیار ہوا تھا۔")</f>
        <v>تاریخی اتفاق یہ ہے کہ چتورنگا ہندوستان کی گپتا سلطنت میں تیار ہوا تھا۔</v>
      </c>
    </row>
    <row r="128">
      <c r="A128" s="3">
        <v>127.0</v>
      </c>
      <c r="B128" s="4" t="s">
        <v>1105</v>
      </c>
      <c r="C128" s="4" t="s">
        <v>1106</v>
      </c>
      <c r="D128" s="4" t="s">
        <v>1107</v>
      </c>
      <c r="E128" s="4" t="s">
        <v>1108</v>
      </c>
      <c r="J128" s="5" t="str">
        <f>IFERROR(__xludf.DUMMYFUNCTION("GOOGLETRANSLATE(A128, ""en"", ""ur"")"),"127")</f>
        <v>127</v>
      </c>
      <c r="K128" s="5" t="str">
        <f>IFERROR(__xludf.DUMMYFUNCTION("GOOGLETRANSLATE(B128, ""en"", ""ur"")"),"لفظ Padati کا سنسکرت میں کیا مطلب ہے؟")</f>
        <v>لفظ Padati کا سنسکرت میں کیا مطلب ہے؟</v>
      </c>
      <c r="L128" s="5" t="str">
        <f>IFERROR(__xludf.DUMMYFUNCTION("GOOGLETRANSLATE(C128, ""en"", ""ur"")"),"A) گھڑ سوار، B) رتھ، C) پیدل سپاہی، D) ہاتھی سوار")</f>
        <v>A) گھڑ سوار، B) رتھ، C) پیدل سپاہی، D) ہاتھی سوار</v>
      </c>
      <c r="M128" s="5" t="str">
        <f>IFERROR(__xludf.DUMMYFUNCTION("GOOGLETRANSLATE(D128, ""en"", ""ur"")"),"ج) پیدل سپاہی")</f>
        <v>ج) پیدل سپاہی</v>
      </c>
      <c r="N128" s="5" t="str">
        <f>IFERROR(__xludf.DUMMYFUNCTION("GOOGLETRANSLATE(E128, ""en"", ""ur"")"),"پدتی ایک پیادہ کے لیے سنسکرت کا لفظ ہے، جو کھیل میں پیادے کے طور پر اس ٹکڑے کے کردار کی عکاسی کرتا ہے۔")</f>
        <v>پدتی ایک پیادہ کے لیے سنسکرت کا لفظ ہے، جو کھیل میں پیادے کے طور پر اس ٹکڑے کے کردار کی عکاسی کرتا ہے۔</v>
      </c>
    </row>
    <row r="129">
      <c r="A129" s="3">
        <v>128.0</v>
      </c>
      <c r="B129" s="4" t="s">
        <v>1109</v>
      </c>
      <c r="C129" s="4" t="s">
        <v>1110</v>
      </c>
      <c r="D129" s="4" t="s">
        <v>1111</v>
      </c>
      <c r="E129" s="4" t="s">
        <v>1112</v>
      </c>
      <c r="J129" s="5" t="str">
        <f>IFERROR(__xludf.DUMMYFUNCTION("GOOGLETRANSLATE(A129, ""en"", ""ur"")"),"128")</f>
        <v>128</v>
      </c>
      <c r="K129" s="5" t="str">
        <f>IFERROR(__xludf.DUMMYFUNCTION("GOOGLETRANSLATE(B129, ""en"", ""ur"")"),"بنیادی وجہ کیا ہے کہ چتورنگا کھیل عام طور پر جدید شطرنج کے کھیلوں کے مقابلے میں بہت سست تھے؟")</f>
        <v>بنیادی وجہ کیا ہے کہ چتورنگا کھیل عام طور پر جدید شطرنج کے کھیلوں کے مقابلے میں بہت سست تھے؟</v>
      </c>
      <c r="L129" s="5" t="str">
        <f>IFERROR(__xludf.DUMMYFUNCTION("GOOGLETRANSLATE(C129, ""en"", ""ur"")"),"A) ٹکڑے زیادہ بھاری تھے، B) طاقتور ملکہ اور طویل فاصلے تک رہنے والے بشپس کی عدم موجودگی نے حملوں کی نشوونما کو بہت زیادہ بتدریج بنا دیا، C) کھلاڑیوں نے زیادہ دیر تک سوچا، D) بورڈ بڑے تھے۔")</f>
        <v>A) ٹکڑے زیادہ بھاری تھے، B) طاقتور ملکہ اور طویل فاصلے تک رہنے والے بشپس کی عدم موجودگی نے حملوں کی نشوونما کو بہت زیادہ بتدریج بنا دیا، C) کھلاڑیوں نے زیادہ دیر تک سوچا، D) بورڈ بڑے تھے۔</v>
      </c>
      <c r="M129" s="5" t="str">
        <f>IFERROR(__xludf.DUMMYFUNCTION("GOOGLETRANSLATE(D129, ""en"", ""ur"")"),"ب) طاقتور ملکہ اور طویل فاصلے تک رہنے والے بشپس کی عدم موجودگی نے حملوں کی نشوونما کو بہت زیادہ بتدریج بنا دیا۔")</f>
        <v>ب) طاقتور ملکہ اور طویل فاصلے تک رہنے والے بشپس کی عدم موجودگی نے حملوں کی نشوونما کو بہت زیادہ بتدریج بنا دیا۔</v>
      </c>
      <c r="N129" s="5" t="str">
        <f>IFERROR(__xludf.DUMMYFUNCTION("GOOGLETRANSLATE(E129, ""en"", ""ur"")"),"منتری اور گاجا کی محدود طاقت کا مطلب یہ تھا کہ جیتنے والے حملے کو تیار کرنا ایک سست، طریقہ کار تھا۔")</f>
        <v>منتری اور گاجا کی محدود طاقت کا مطلب یہ تھا کہ جیتنے والے حملے کو تیار کرنا ایک سست، طریقہ کار تھا۔</v>
      </c>
    </row>
    <row r="130">
      <c r="A130" s="3">
        <v>129.0</v>
      </c>
      <c r="B130" s="4" t="s">
        <v>1113</v>
      </c>
      <c r="C130" s="4" t="s">
        <v>1114</v>
      </c>
      <c r="D130" s="4" t="s">
        <v>1115</v>
      </c>
      <c r="E130" s="4" t="s">
        <v>1116</v>
      </c>
      <c r="J130" s="5" t="str">
        <f>IFERROR(__xludf.DUMMYFUNCTION("GOOGLETRANSLATE(A130, ""en"", ""ur"")"),"129")</f>
        <v>129</v>
      </c>
      <c r="K130" s="5" t="str">
        <f>IFERROR(__xludf.DUMMYFUNCTION("GOOGLETRANSLATE(B130, ""en"", ""ur"")"),"راجہ کی حرکت کیا ہے؟")</f>
        <v>راجہ کی حرکت کیا ہے؟</v>
      </c>
      <c r="L130" s="5" t="str">
        <f>IFERROR(__xludf.DUMMYFUNCTION("GOOGLETRANSLATE(C130, ""en"", ""ur"")"),"A) کسی بھی سمت میں دو مربع، B) جدید روک کی طرح، C) کسی بھی سمت میں ایک مربع، D) جدید بشپ کی طرح")</f>
        <v>A) کسی بھی سمت میں دو مربع، B) جدید روک کی طرح، C) کسی بھی سمت میں ایک مربع، D) جدید بشپ کی طرح</v>
      </c>
      <c r="M130" s="5" t="str">
        <f>IFERROR(__xludf.DUMMYFUNCTION("GOOGLETRANSLATE(D130, ""en"", ""ur"")"),"C) کسی بھی سمت میں ایک مربع")</f>
        <v>C) کسی بھی سمت میں ایک مربع</v>
      </c>
      <c r="N130" s="5" t="str">
        <f>IFERROR(__xludf.DUMMYFUNCTION("GOOGLETRANSLATE(E130, ""en"", ""ur"")"),"راجہ کی حرکت جدید بادشاہ کی طرح ہے، کسی بھی افقی، عمودی، یا ترچھی سمت میں ایک قدم تک محدود ہے۔")</f>
        <v>راجہ کی حرکت جدید بادشاہ کی طرح ہے، کسی بھی افقی، عمودی، یا ترچھی سمت میں ایک قدم تک محدود ہے۔</v>
      </c>
    </row>
    <row r="131">
      <c r="A131" s="3">
        <v>130.0</v>
      </c>
      <c r="B131" s="4" t="s">
        <v>1117</v>
      </c>
      <c r="C131" s="4" t="s">
        <v>1118</v>
      </c>
      <c r="D131" s="4" t="s">
        <v>1119</v>
      </c>
      <c r="E131" s="4" t="s">
        <v>1120</v>
      </c>
      <c r="J131" s="5" t="str">
        <f>IFERROR(__xludf.DUMMYFUNCTION("GOOGLETRANSLATE(A131, ""en"", ""ur"")"),"130")</f>
        <v>130</v>
      </c>
      <c r="K131" s="5" t="str">
        <f>IFERROR(__xludf.DUMMYFUNCTION("GOOGLETRANSLATE(B131, ""en"", ""ur"")"),"چار کھلاڑیوں کے کھیل میں، ڈائی پر '3' کا رول عام طور پر کیا معنی رکھتا ہے؟")</f>
        <v>چار کھلاڑیوں کے کھیل میں، ڈائی پر '3' کا رول عام طور پر کیا معنی رکھتا ہے؟</v>
      </c>
      <c r="L131" s="5" t="str">
        <f>IFERROR(__xludf.DUMMYFUNCTION("GOOGLETRANSLATE(C131, ""en"", ""ur"")"),"A) راجہ کو منتقل کریں، B) گجا کو منتقل کریں، C) ہاتھی کو منتقل کریں، D) اشوا کو منتقل کریں")</f>
        <v>A) راجہ کو منتقل کریں، B) گجا کو منتقل کریں، C) ہاتھی کو منتقل کریں، D) اشوا کو منتقل کریں</v>
      </c>
      <c r="M131" s="5" t="str">
        <f>IFERROR(__xludf.DUMMYFUNCTION("GOOGLETRANSLATE(D131, ""en"", ""ur"")"),"D) اشوا کو حرکت دیں۔")</f>
        <v>D) اشوا کو حرکت دیں۔</v>
      </c>
      <c r="N131" s="5" t="str">
        <f>IFERROR(__xludf.DUMMYFUNCTION("GOOGLETRANSLATE(E131, ""en"", ""ur"")"),"ایک مشترکہ ڈائس تفویض 2-گجا، 3-اشوا، 4-ہاتھی، 5-راجہ تھا۔ 3 کے رول کا مطلب ہے کہ کھلاڑی کو اپنا گھوڑا منتقل کرنا پڑا۔")</f>
        <v>ایک مشترکہ ڈائس تفویض 2-گجا، 3-اشوا، 4-ہاتھی، 5-راجہ تھا۔ 3 کے رول کا مطلب ہے کہ کھلاڑی کو اپنا گھوڑا منتقل کرنا پڑا۔</v>
      </c>
    </row>
    <row r="132">
      <c r="A132" s="3">
        <v>131.0</v>
      </c>
      <c r="B132" s="4" t="s">
        <v>1121</v>
      </c>
      <c r="C132" s="4" t="s">
        <v>1122</v>
      </c>
      <c r="D132" s="4" t="s">
        <v>1123</v>
      </c>
      <c r="E132" s="4" t="s">
        <v>1124</v>
      </c>
      <c r="J132" s="5" t="str">
        <f>IFERROR(__xludf.DUMMYFUNCTION("GOOGLETRANSLATE(A132, ""en"", ""ur"")"),"131")</f>
        <v>131</v>
      </c>
      <c r="K132" s="5" t="str">
        <f>IFERROR(__xludf.DUMMYFUNCTION("GOOGLETRANSLATE(B132, ""en"", ""ur"")"),"اگر c2 پر ایک پڈاتی d3 پر دشمن کے ٹکڑے کو پکڑ لیتا ہے، تو پداٹی کہاں ختم ہوتی ہے؟")</f>
        <v>اگر c2 پر ایک پڈاتی d3 پر دشمن کے ٹکڑے کو پکڑ لیتا ہے، تو پداٹی کہاں ختم ہوتی ہے؟</v>
      </c>
      <c r="L132" s="5" t="str">
        <f>IFERROR(__xludf.DUMMYFUNCTION("GOOGLETRANSLATE(C132, ""en"", ""ur"")"),"A) یہ c2 پر رہتا ہے، B) یہ c3 کی طرف جاتا ہے، C) یہ d3 پر چلا جاتا ہے، کیپچر شدہ ٹکڑے کی جگہ لے کر، D) اسے بورڈ سے ہٹا دیا جاتا ہے۔")</f>
        <v>A) یہ c2 پر رہتا ہے، B) یہ c3 کی طرف جاتا ہے، C) یہ d3 پر چلا جاتا ہے، کیپچر شدہ ٹکڑے کی جگہ لے کر، D) اسے بورڈ سے ہٹا دیا جاتا ہے۔</v>
      </c>
      <c r="M132" s="5" t="str">
        <f>IFERROR(__xludf.DUMMYFUNCTION("GOOGLETRANSLATE(D132, ""en"", ""ur"")"),"C) یہ پکڑے گئے ٹکڑے کی جگہ لے کر d3 پر چلا جاتا ہے۔")</f>
        <v>C) یہ پکڑے گئے ٹکڑے کی جگہ لے کر d3 پر چلا جاتا ہے۔</v>
      </c>
      <c r="N132" s="5" t="str">
        <f>IFERROR(__xludf.DUMMYFUNCTION("GOOGLETRANSLATE(E132, ""en"", ""ur"")"),"جیسا کہ جدید شطرنج میں، قبضہ کرنے والا ٹکڑا اس ٹکڑے کے مربع کی طرف جاتا ہے جو اس نے لیا ہے۔")</f>
        <v>جیسا کہ جدید شطرنج میں، قبضہ کرنے والا ٹکڑا اس ٹکڑے کے مربع کی طرف جاتا ہے جو اس نے لیا ہے۔</v>
      </c>
    </row>
    <row r="133">
      <c r="A133" s="3">
        <v>132.0</v>
      </c>
      <c r="B133" s="4" t="s">
        <v>1125</v>
      </c>
      <c r="C133" s="4" t="s">
        <v>1126</v>
      </c>
      <c r="D133" s="4" t="s">
        <v>1127</v>
      </c>
      <c r="E133" s="4" t="s">
        <v>1128</v>
      </c>
      <c r="J133" s="5" t="str">
        <f>IFERROR(__xludf.DUMMYFUNCTION("GOOGLETRANSLATE(A133, ""en"", ""ur"")"),"132")</f>
        <v>132</v>
      </c>
      <c r="K133" s="5" t="str">
        <f>IFERROR(__xludf.DUMMYFUNCTION("GOOGLETRANSLATE(B133, ""en"", ""ur"")"),"شترنج میں جیتنے والی شرط کے لیے کیا اصطلاح ہے جو کہ سادہ گرفت کے اصول سے تیار ہوئی ہے؟")</f>
        <v>شترنج میں جیتنے والی شرط کے لیے کیا اصطلاح ہے جو کہ سادہ گرفت کے اصول سے تیار ہوئی ہے؟</v>
      </c>
      <c r="L133" s="5" t="str">
        <f>IFERROR(__xludf.DUMMYFUNCTION("GOOGLETRANSLATE(C133, ""en"", ""ur"")"),"A) ننگے بادشاہ، B) تعطل، C) چیک میٹ، D) استعفیٰ")</f>
        <v>A) ننگے بادشاہ، B) تعطل، C) چیک میٹ، D) استعفیٰ</v>
      </c>
      <c r="M133" s="5" t="str">
        <f>IFERROR(__xludf.DUMMYFUNCTION("GOOGLETRANSLATE(D133, ""en"", ""ur"")"),"ج) چیک میٹ")</f>
        <v>ج) چیک میٹ</v>
      </c>
      <c r="N133" s="5" t="str">
        <f>IFERROR(__xludf.DUMMYFUNCTION("GOOGLETRANSLATE(E133, ""en"", ""ur"")"),"بادشاہ کو دھمکانے کا تصور (چیک) اور جب خطرہ سے بچ نہیں سکتا تو جیتنا (ساتھی) فارسی کی ایک اہم اختراع تھی۔")</f>
        <v>بادشاہ کو دھمکانے کا تصور (چیک) اور جب خطرہ سے بچ نہیں سکتا تو جیتنا (ساتھی) فارسی کی ایک اہم اختراع تھی۔</v>
      </c>
    </row>
    <row r="134">
      <c r="A134" s="3">
        <v>133.0</v>
      </c>
      <c r="B134" s="4" t="s">
        <v>1129</v>
      </c>
      <c r="C134" s="4" t="s">
        <v>1130</v>
      </c>
      <c r="D134" s="4" t="s">
        <v>1131</v>
      </c>
      <c r="E134" s="4" t="s">
        <v>1132</v>
      </c>
      <c r="J134" s="5" t="str">
        <f>IFERROR(__xludf.DUMMYFUNCTION("GOOGLETRANSLATE(A134, ""en"", ""ur"")"),"133")</f>
        <v>133</v>
      </c>
      <c r="K134" s="5" t="str">
        <f>IFERROR(__xludf.DUMMYFUNCTION("GOOGLETRANSLATE(B134, ""en"", ""ur"")"),"کس ٹکڑے کو رتھ (رتھ) کے نام سے بھی جانا جاتا تھا؟")</f>
        <v>کس ٹکڑے کو رتھ (رتھ) کے نام سے بھی جانا جاتا تھا؟</v>
      </c>
      <c r="L134" s="5" t="str">
        <f>IFERROR(__xludf.DUMMYFUNCTION("GOOGLETRANSLATE(C134, ""en"", ""ur"")"),"A) گجا، B) ہاتھی، C) اشوا، D) منتری")</f>
        <v>A) گجا، B) ہاتھی، C) اشوا، D) منتری</v>
      </c>
      <c r="M134" s="5" t="str">
        <f>IFERROR(__xludf.DUMMYFUNCTION("GOOGLETRANSLATE(D134, ""en"", ""ur"")"),"ب) ہاتھی۔")</f>
        <v>ب) ہاتھی۔</v>
      </c>
      <c r="N134" s="5" t="str">
        <f>IFERROR(__xludf.DUMMYFUNCTION("GOOGLETRANSLATE(E134, ""en"", ""ur"")"),"رتھ رتھ کے لیے ایک اور سنسکرت لفظ ہے، جو اکثر ہاتھی کے ساتھ ایک دوسرے کے بدلے روک نما ٹکڑے کے لیے استعمال ہوتا ہے۔")</f>
        <v>رتھ رتھ کے لیے ایک اور سنسکرت لفظ ہے، جو اکثر ہاتھی کے ساتھ ایک دوسرے کے بدلے روک نما ٹکڑے کے لیے استعمال ہوتا ہے۔</v>
      </c>
    </row>
    <row r="135">
      <c r="A135" s="3">
        <v>134.0</v>
      </c>
      <c r="B135" s="4" t="s">
        <v>1133</v>
      </c>
      <c r="C135" s="4" t="s">
        <v>1134</v>
      </c>
      <c r="D135" s="4" t="s">
        <v>1135</v>
      </c>
      <c r="E135" s="4" t="s">
        <v>1136</v>
      </c>
      <c r="J135" s="5" t="str">
        <f>IFERROR(__xludf.DUMMYFUNCTION("GOOGLETRANSLATE(A135, ""en"", ""ur"")"),"134")</f>
        <v>134</v>
      </c>
      <c r="K135" s="5" t="str">
        <f>IFERROR(__xludf.DUMMYFUNCTION("GOOGLETRANSLATE(B135, ""en"", ""ur"")"),"ہاتھی a1 پر ہے اور گاجا f1 پر ہے۔ بورڈ کے ان کے کنٹرول میں کلیدی فرق کیا ہے؟")</f>
        <v>ہاتھی a1 پر ہے اور گاجا f1 پر ہے۔ بورڈ کے ان کے کنٹرول میں کلیدی فرق کیا ہے؟</v>
      </c>
      <c r="L135" s="5" t="str">
        <f>IFERROR(__xludf.DUMMYFUNCTION("GOOGLETRANSLATE(C135, ""en"", ""ur"")"),"A) ہاتھی ایک فائل اور ایک رینک کو کنٹرول کرتا ہے، جبکہ گاجا ترچھیوں کو کنٹرول کرتا ہے، B) گاجا زیادہ طاقتور ہے، C) ہاتھی چھلانگ لگا سکتا ہے، D) کوئی فرق نہیں ہے۔")</f>
        <v>A) ہاتھی ایک فائل اور ایک رینک کو کنٹرول کرتا ہے، جبکہ گاجا ترچھیوں کو کنٹرول کرتا ہے، B) گاجا زیادہ طاقتور ہے، C) ہاتھی چھلانگ لگا سکتا ہے، D) کوئی فرق نہیں ہے۔</v>
      </c>
      <c r="M135" s="5" t="str">
        <f>IFERROR(__xludf.DUMMYFUNCTION("GOOGLETRANSLATE(D135, ""en"", ""ur"")"),"A) ہاتھی ایک فائل اور ایک رینک کو کنٹرول کرتا ہے، جبکہ گاجا اخترن کو کنٹرول کرتا ہے۔")</f>
        <v>A) ہاتھی ایک فائل اور ایک رینک کو کنٹرول کرتا ہے، جبکہ گاجا اخترن کو کنٹرول کرتا ہے۔</v>
      </c>
      <c r="N135" s="5" t="str">
        <f>IFERROR(__xludf.DUMMYFUNCTION("GOOGLETRANSLATE(E135, ""en"", ""ur"")"),"یہ شطرنج کی تمام شکلوں میں Rook-type اور Bishop-type کے ٹکڑوں کے درمیان بنیادی فرق کی نمائندگی کرتا ہے۔")</f>
        <v>یہ شطرنج کی تمام شکلوں میں Rook-type اور Bishop-type کے ٹکڑوں کے درمیان بنیادی فرق کی نمائندگی کرتا ہے۔</v>
      </c>
    </row>
    <row r="136">
      <c r="A136" s="3">
        <v>135.0</v>
      </c>
      <c r="B136" s="4" t="s">
        <v>1137</v>
      </c>
      <c r="C136" s="4" t="s">
        <v>1138</v>
      </c>
      <c r="D136" s="4" t="s">
        <v>1139</v>
      </c>
      <c r="E136" s="4" t="s">
        <v>1140</v>
      </c>
      <c r="J136" s="5" t="str">
        <f>IFERROR(__xludf.DUMMYFUNCTION("GOOGLETRANSLATE(A136, ""en"", ""ur"")"),"135")</f>
        <v>135</v>
      </c>
      <c r="K136" s="5" t="str">
        <f>IFERROR(__xludf.DUMMYFUNCTION("GOOGLETRANSLATE(B136, ""en"", ""ur"")"),"بورڈ کے بیچ میں رکھے اشوا کے ذریعے کنٹرول کیے جانے والے چوکوں کی کل تعداد کیا ہے (مثال کے طور پر، d4 پر)؟")</f>
        <v>بورڈ کے بیچ میں رکھے اشوا کے ذریعے کنٹرول کیے جانے والے چوکوں کی کل تعداد کیا ہے (مثال کے طور پر، d4 پر)؟</v>
      </c>
      <c r="L136" s="5" t="str">
        <f>IFERROR(__xludf.DUMMYFUNCTION("GOOGLETRANSLATE(C136, ""en"", ""ur"")"),"A) 4، B) 6، C) 8، D) 10")</f>
        <v>A) 4، B) 6، C) 8، D) 10</v>
      </c>
      <c r="M136" s="5" t="str">
        <f>IFERROR(__xludf.DUMMYFUNCTION("GOOGLETRANSLATE(D136, ""en"", ""ur"")"),"ج) 8")</f>
        <v>ج) 8</v>
      </c>
      <c r="N136" s="5" t="str">
        <f>IFERROR(__xludf.DUMMYFUNCTION("GOOGLETRANSLATE(E136, ""en"", ""ur"")"),"مرکزی چوک سے، ایک نائٹ یا اشوا زیادہ سے زیادہ آٹھ چوکوں پر حملہ کرتا ہے، جو مرکزیت کی اہمیت کو اجاگر کرتا ہے۔")</f>
        <v>مرکزی چوک سے، ایک نائٹ یا اشوا زیادہ سے زیادہ آٹھ چوکوں پر حملہ کرتا ہے، جو مرکزیت کی اہمیت کو اجاگر کرتا ہے۔</v>
      </c>
    </row>
    <row r="137">
      <c r="A137" s="3">
        <v>136.0</v>
      </c>
      <c r="B137" s="4" t="s">
        <v>1141</v>
      </c>
      <c r="C137" s="4" t="s">
        <v>1142</v>
      </c>
      <c r="D137" s="4" t="s">
        <v>1143</v>
      </c>
      <c r="E137" s="4" t="s">
        <v>1144</v>
      </c>
      <c r="J137" s="5" t="str">
        <f>IFERROR(__xludf.DUMMYFUNCTION("GOOGLETRANSLATE(A137, ""en"", ""ur"")"),"136")</f>
        <v>136</v>
      </c>
      <c r="K137" s="5" t="str">
        <f>IFERROR(__xludf.DUMMYFUNCTION("GOOGLETRANSLATE(B137, ""en"", ""ur"")"),"ایک کھلاڑی کے پاس صرف ان کا راجہ اور ایک پادتی رہ گیا ہے۔ کیا وہ اکیلے دشمن راجہ کے خلاف جیت سکتے ہیں؟")</f>
        <v>ایک کھلاڑی کے پاس صرف ان کا راجہ اور ایک پادتی رہ گیا ہے۔ کیا وہ اکیلے دشمن راجہ کے خلاف جیت سکتے ہیں؟</v>
      </c>
      <c r="L137" s="5" t="str">
        <f>IFERROR(__xludf.DUMMYFUNCTION("GOOGLETRANSLATE(C137, ""en"", ""ur"")"),"A) نہیں، یہ ناممکن ہے، B) ہاں، لیکن صرف اس صورت میں جب وہ پڈاتی کو کامیابی کے ساتھ فروغ دے سکیں، C) ہاں، ایک ہی پاداٹی کافی مضبوط ہے، D) یہ ایک خودکار قرعہ اندازی ہے۔")</f>
        <v>A) نہیں، یہ ناممکن ہے، B) ہاں، لیکن صرف اس صورت میں جب وہ پڈاتی کو کامیابی کے ساتھ فروغ دے سکیں، C) ہاں، ایک ہی پاداٹی کافی مضبوط ہے، D) یہ ایک خودکار قرعہ اندازی ہے۔</v>
      </c>
      <c r="M137" s="5" t="str">
        <f>IFERROR(__xludf.DUMMYFUNCTION("GOOGLETRANSLATE(D137, ""en"", ""ur"")"),"ب) ہاں، لیکن صرف اس صورت میں جب وہ کامیابی سے پڈاتی کو فروغ دے سکیں")</f>
        <v>ب) ہاں، لیکن صرف اس صورت میں جب وہ کامیابی سے پڈاتی کو فروغ دے سکیں</v>
      </c>
      <c r="N137" s="5" t="str">
        <f>IFERROR(__xludf.DUMMYFUNCTION("GOOGLETRANSLATE(E137, ""en"", ""ur"")"),"اگرچہ ناقابل یقین حد تک مشکل، فتح کا واحد نظریاتی راستہ یہ ہے کہ پیادے کو ترقی کے آخری درجے تک محفوظ طریقے سے رہنمائی فراہم کی جائے۔")</f>
        <v>اگرچہ ناقابل یقین حد تک مشکل، فتح کا واحد نظریاتی راستہ یہ ہے کہ پیادے کو ترقی کے آخری درجے تک محفوظ طریقے سے رہنمائی فراہم کی جائے۔</v>
      </c>
    </row>
    <row r="138">
      <c r="A138" s="3">
        <v>137.0</v>
      </c>
      <c r="B138" s="4" t="s">
        <v>1145</v>
      </c>
      <c r="C138" s="4" t="s">
        <v>1146</v>
      </c>
      <c r="D138" s="4" t="s">
        <v>1147</v>
      </c>
      <c r="E138" s="4" t="s">
        <v>1148</v>
      </c>
      <c r="J138" s="5" t="str">
        <f>IFERROR(__xludf.DUMMYFUNCTION("GOOGLETRANSLATE(A138, ""en"", ""ur"")"),"137")</f>
        <v>137</v>
      </c>
      <c r="K138" s="5" t="str">
        <f>IFERROR(__xludf.DUMMYFUNCTION("GOOGLETRANSLATE(B138, ""en"", ""ur"")"),"اس کی بنیادی وجہ کیا ہے کہ دو گجا دو جدید بشپس کے مقابلے میں بہت کمزور قوت ہیں؟")</f>
        <v>اس کی بنیادی وجہ کیا ہے کہ دو گجا دو جدید بشپس کے مقابلے میں بہت کمزور قوت ہیں؟</v>
      </c>
      <c r="L138" s="5" t="str">
        <f>IFERROR(__xludf.DUMMYFUNCTION("GOOGLETRANSLATE(C138, ""en"", ""ur"")"),"A) وہ پیچھے نہیں جا سکتے، B) انہیں آسانی سے روکا جا سکتا ہے، C) ہر گاجا پورے بورڈ پر صرف 8 چوکوں تک محدود ہے، D) وہ راجہ کو پکڑ نہیں سکتے۔")</f>
        <v>A) وہ پیچھے نہیں جا سکتے، B) انہیں آسانی سے روکا جا سکتا ہے، C) ہر گاجا پورے بورڈ پر صرف 8 چوکوں تک محدود ہے، D) وہ راجہ کو پکڑ نہیں سکتے۔</v>
      </c>
      <c r="M138" s="5" t="str">
        <f>IFERROR(__xludf.DUMMYFUNCTION("GOOGLETRANSLATE(D138, ""en"", ""ur"")"),"C) ہر گاجا پورے بورڈ پر صرف 8 مربعوں تک محدود ہے۔")</f>
        <v>C) ہر گاجا پورے بورڈ پر صرف 8 مربعوں تک محدود ہے۔</v>
      </c>
      <c r="N138" s="5" t="str">
        <f>IFERROR(__xludf.DUMMYFUNCTION("GOOGLETRANSLATE(E138, ""en"", ""ur"")"),"رنگ کے پابند ہونے اور ایک مختصر، فکسڈ چھلانگ لگانے کے امتزاج نے دو بشپس کے طویل فاصلے کے، مربوط خطرے کے مقابلے میں ان کی طاقت کو سختی سے محدود کردیا۔")</f>
        <v>رنگ کے پابند ہونے اور ایک مختصر، فکسڈ چھلانگ لگانے کے امتزاج نے دو بشپس کے طویل فاصلے کے، مربوط خطرے کے مقابلے میں ان کی طاقت کو سختی سے محدود کردیا۔</v>
      </c>
    </row>
    <row r="139">
      <c r="A139" s="3">
        <v>138.0</v>
      </c>
      <c r="B139" s="4" t="s">
        <v>1149</v>
      </c>
      <c r="C139" s="4" t="s">
        <v>1150</v>
      </c>
      <c r="D139" s="4" t="s">
        <v>1151</v>
      </c>
      <c r="E139" s="4" t="s">
        <v>1152</v>
      </c>
      <c r="J139" s="5" t="str">
        <f>IFERROR(__xludf.DUMMYFUNCTION("GOOGLETRANSLATE(A139, ""en"", ""ur"")"),"138")</f>
        <v>138</v>
      </c>
      <c r="K139" s="5" t="str">
        <f>IFERROR(__xludf.DUMMYFUNCTION("GOOGLETRANSLATE(B139, ""en"", ""ur"")"),"کس اسلامی خلیفہ کے بارے میں کہا جاتا ہے کہ وہ شترنج کا پرجوش کھلاڑی تھا اور اس نے بغداد میں اپنے دربار میں کئی اعلیٰ کھلاڑیوں کی سرپرستی کی؟")</f>
        <v>کس اسلامی خلیفہ کے بارے میں کہا جاتا ہے کہ وہ شترنج کا پرجوش کھلاڑی تھا اور اس نے بغداد میں اپنے دربار میں کئی اعلیٰ کھلاڑیوں کی سرپرستی کی؟</v>
      </c>
      <c r="L139" s="5" t="str">
        <f>IFERROR(__xludf.DUMMYFUNCTION("GOOGLETRANSLATE(C139, ""en"", ""ur"")"),"A) عمر، B) ابوبکر، C) علی، D) ہارون الرشید")</f>
        <v>A) عمر، B) ابوبکر، C) علی، D) ہارون الرشید</v>
      </c>
      <c r="M139" s="5" t="str">
        <f>IFERROR(__xludf.DUMMYFUNCTION("GOOGLETRANSLATE(D139, ""en"", ""ur"")"),"د) ہارون الرشید")</f>
        <v>د) ہارون الرشید</v>
      </c>
      <c r="N139" s="5" t="str">
        <f>IFERROR(__xludf.DUMMYFUNCTION("GOOGLETRANSLATE(E139, ""en"", ""ur"")"),"عباسی سنہری دور کا مشہور خلیفہ شترنج کے کھیل سمیت علوم و فنون کا بہت بڑا سرپرست تھا۔")</f>
        <v>عباسی سنہری دور کا مشہور خلیفہ شترنج کے کھیل سمیت علوم و فنون کا بہت بڑا سرپرست تھا۔</v>
      </c>
    </row>
    <row r="140">
      <c r="A140" s="3">
        <v>139.0</v>
      </c>
      <c r="B140" s="4" t="s">
        <v>1153</v>
      </c>
      <c r="C140" s="4" t="s">
        <v>1154</v>
      </c>
      <c r="D140" s="4" t="s">
        <v>1155</v>
      </c>
      <c r="E140" s="4" t="s">
        <v>1156</v>
      </c>
      <c r="J140" s="5" t="str">
        <f>IFERROR(__xludf.DUMMYFUNCTION("GOOGLETRANSLATE(A140, ""en"", ""ur"")"),"139")</f>
        <v>139</v>
      </c>
      <c r="K140" s="5" t="str">
        <f>IFERROR(__xludf.DUMMYFUNCTION("GOOGLETRANSLATE(B140, ""en"", ""ur"")"),"آپ کے دو اشوا کو بورڈ پر رکھنا حکمت عملی کے لحاظ سے کیوں اہم تھا؟")</f>
        <v>آپ کے دو اشوا کو بورڈ پر رکھنا حکمت عملی کے لحاظ سے کیوں اہم تھا؟</v>
      </c>
      <c r="L140" s="5" t="str">
        <f>IFERROR(__xludf.DUMMYFUNCTION("GOOGLETRANSLATE(C140, ""en"", ""ur"")"),"A) وہ بہترین دفاعی ٹکڑے تھے، B) وہ واحد ٹکڑے تھے جو ناکہ بندیوں پر کود سکتے تھے، C) وہ سب سے زیادہ پوائنٹس کے قابل تھے، D) منتری کی حفاظت کے لیے ان کی ضرورت تھی۔")</f>
        <v>A) وہ بہترین دفاعی ٹکڑے تھے، B) وہ واحد ٹکڑے تھے جو ناکہ بندیوں پر کود سکتے تھے، C) وہ سب سے زیادہ پوائنٹس کے قابل تھے، D) منتری کی حفاظت کے لیے ان کی ضرورت تھی۔</v>
      </c>
      <c r="M140" s="5" t="str">
        <f>IFERROR(__xludf.DUMMYFUNCTION("GOOGLETRANSLATE(D140, ""en"", ""ur"")"),"ب) وہ واحد ٹکڑے تھے جو ناکہ بندیوں پر کود سکتے تھے۔")</f>
        <v>ب) وہ واحد ٹکڑے تھے جو ناکہ بندیوں پر کود سکتے تھے۔</v>
      </c>
      <c r="N140" s="5" t="str">
        <f>IFERROR(__xludf.DUMMYFUNCTION("GOOGLETRANSLATE(E140, ""en"", ""ur"")"),"اشواس کی انوکھی چھلانگ لگانے کی صلاحیت نے انہیں ایک حکمت عملی کی اہمیت دی کہ کوئی دوسرا ٹکڑا نقل نہیں کرسکتا، خاص طور پر بند اور پیچیدہ پوزیشنوں میں۔")</f>
        <v>اشواس کی انوکھی چھلانگ لگانے کی صلاحیت نے انہیں ایک حکمت عملی کی اہمیت دی کہ کوئی دوسرا ٹکڑا نقل نہیں کرسکتا، خاص طور پر بند اور پیچیدہ پوزیشنوں میں۔</v>
      </c>
    </row>
    <row r="141">
      <c r="A141" s="3">
        <v>140.0</v>
      </c>
      <c r="B141" s="4" t="s">
        <v>1157</v>
      </c>
      <c r="C141" s="4" t="s">
        <v>1158</v>
      </c>
      <c r="D141" s="4" t="s">
        <v>361</v>
      </c>
      <c r="E141" s="4" t="s">
        <v>1159</v>
      </c>
      <c r="J141" s="5" t="str">
        <f>IFERROR(__xludf.DUMMYFUNCTION("GOOGLETRANSLATE(A141, ""en"", ""ur"")"),"140")</f>
        <v>140</v>
      </c>
      <c r="K141" s="5" t="str">
        <f>IFERROR(__xludf.DUMMYFUNCTION("GOOGLETRANSLATE(B141, ""en"", ""ur"")"),"کس طرح چتورنگا کا مقصد جدید شطرنج کے مقابلے میں قدیم جنگ کا زیادہ براہ راست نقالی تھا؟")</f>
        <v>کس طرح چتورنگا کا مقصد جدید شطرنج کے مقابلے میں قدیم جنگ کا زیادہ براہ راست نقالی تھا؟</v>
      </c>
      <c r="L141" s="5" t="str">
        <f>IFERROR(__xludf.DUMMYFUNCTION("GOOGLETRANSLATE(C141, ""en"", ""ur"")"),"A)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f>
        <v>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v>
      </c>
      <c r="M141" s="5" t="str">
        <f>IFERROR(__xludf.DUMMYFUNCTION("GOOGLETRANSLATE(D141, ""en"", ""ur"")"),"D) مذکورہ بالا تمام")</f>
        <v>D) مذکورہ بالا تمام</v>
      </c>
      <c r="N141" s="5" t="str">
        <f>IFERROR(__xludf.DUMMYFUNCTION("GOOGLETRANSLATE(E141, ""en"", ""ur"")"),"بادشاہ کی گرفت کی حکمرانی، کچھ ورژن میں ڈائس کا استعمال، اور ملٹری فارمیشن سیٹ اپ سبھی نے گیم کو ایک قدیم جنگ کی براہ راست نمائندگی بنا دیا۔")</f>
        <v>بادشاہ کی گرفت کی حکمرانی، کچھ ورژن میں ڈائس کا استعمال، اور ملٹری فارمیشن سیٹ اپ سبھی نے گیم کو ایک قدیم جنگ کی براہ راست نمائندگی بنا دیا۔</v>
      </c>
    </row>
    <row r="142">
      <c r="A142" s="3">
        <v>141.0</v>
      </c>
      <c r="B142" s="4" t="s">
        <v>1160</v>
      </c>
      <c r="C142" s="4" t="s">
        <v>1161</v>
      </c>
      <c r="D142" s="4" t="s">
        <v>1162</v>
      </c>
      <c r="E142" s="4" t="s">
        <v>1163</v>
      </c>
      <c r="J142" s="5" t="str">
        <f>IFERROR(__xludf.DUMMYFUNCTION("GOOGLETRANSLATE(A142, ""en"", ""ur"")"),"141")</f>
        <v>141</v>
      </c>
      <c r="K142" s="5" t="str">
        <f>IFERROR(__xludf.DUMMYFUNCTION("GOOGLETRANSLATE(B142, ""en"", ""ur"")"),"اس ٹکڑے کا کیا نام ہے جو ایک مربع کو ترچھی حرکت کرتا ہے؟")</f>
        <v>اس ٹکڑے کا کیا نام ہے جو ایک مربع کو ترچھی حرکت کرتا ہے؟</v>
      </c>
      <c r="L142" s="5" t="str">
        <f>IFERROR(__xludf.DUMMYFUNCTION("GOOGLETRANSLATE(C142, ""en"", ""ur"")"),"اے) راجہ، بی) گاجا، سی) منتری، ڈی) پدتی")</f>
        <v>اے) راجہ، بی) گاجا، سی) منتری، ڈی) پدتی</v>
      </c>
      <c r="M142" s="5" t="str">
        <f>IFERROR(__xludf.DUMMYFUNCTION("GOOGLETRANSLATE(D142, ""en"", ""ur"")"),"ج) منتری")</f>
        <v>ج) منتری</v>
      </c>
      <c r="N142" s="5" t="str">
        <f>IFERROR(__xludf.DUMMYFUNCTION("GOOGLETRANSLATE(E142, ""en"", ""ur"")"),"منتری (مشیر) سب سے کمزور ٹکڑا تھا، جس کی حرکت ایک ترچھے قدم تک محدود تھی۔")</f>
        <v>منتری (مشیر) سب سے کمزور ٹکڑا تھا، جس کی حرکت ایک ترچھے قدم تک محدود تھی۔</v>
      </c>
    </row>
    <row r="143">
      <c r="A143" s="3">
        <v>142.0</v>
      </c>
      <c r="B143" s="4" t="s">
        <v>1164</v>
      </c>
      <c r="C143" s="4" t="s">
        <v>949</v>
      </c>
      <c r="D143" s="4" t="s">
        <v>877</v>
      </c>
      <c r="E143" s="4" t="s">
        <v>1165</v>
      </c>
      <c r="J143" s="5" t="str">
        <f>IFERROR(__xludf.DUMMYFUNCTION("GOOGLETRANSLATE(A143, ""en"", ""ur"")"),"142")</f>
        <v>142</v>
      </c>
      <c r="K143" s="5" t="str">
        <f>IFERROR(__xludf.DUMMYFUNCTION("GOOGLETRANSLATE(B143, ""en"", ""ur"")"),"ایک کھلاڑی کا h1 پر راجہ ہوتا ہے۔ ایک مخالف کے پاس d5 پر گاجا ہے۔ کیا راجہ حملہ کی زد میں ہے؟")</f>
        <v>ایک کھلاڑی کا h1 پر راجہ ہوتا ہے۔ ایک مخالف کے پاس d5 پر گاجا ہے۔ کیا راجہ حملہ کی زد میں ہے؟</v>
      </c>
      <c r="L143" s="5" t="str">
        <f>IFERROR(__xludf.DUMMYFUNCTION("GOOGLETRANSLATE(C143, ""en"", ""ur"")"),"A) ہاں، B) نہیں، C) صرف اس صورت میں جب گاجا ایک خاص ٹکڑا ہو، D) یہ ایک تعطل ہے۔")</f>
        <v>A) ہاں، B) نہیں، C) صرف اس صورت میں جب گاجا ایک خاص ٹکڑا ہو، D) یہ ایک تعطل ہے۔</v>
      </c>
      <c r="M143" s="5" t="str">
        <f>IFERROR(__xludf.DUMMYFUNCTION("GOOGLETRANSLATE(D143, ""en"", ""ur"")"),"ب) نہیں")</f>
        <v>ب) نہیں</v>
      </c>
      <c r="N143" s="5" t="str">
        <f>IFERROR(__xludf.DUMMYFUNCTION("GOOGLETRANSLATE(E143, ""en"", ""ur"")"),"d5 سے، ایک گاجا b3، b7، f3، اور f7 تک چھلانگ لگا سکتا ہے۔ یہ کونے کے مربع h1 پر حملہ نہیں کر سکتا۔")</f>
        <v>d5 سے، ایک گاجا b3، b7، f3، اور f7 تک چھلانگ لگا سکتا ہے۔ یہ کونے کے مربع h1 پر حملہ نہیں کر سکتا۔</v>
      </c>
    </row>
    <row r="144">
      <c r="A144" s="3">
        <v>143.0</v>
      </c>
      <c r="B144" s="4" t="s">
        <v>1166</v>
      </c>
      <c r="C144" s="4" t="s">
        <v>1167</v>
      </c>
      <c r="D144" s="4" t="s">
        <v>1168</v>
      </c>
      <c r="E144" s="4" t="s">
        <v>1169</v>
      </c>
      <c r="J144" s="5" t="str">
        <f>IFERROR(__xludf.DUMMYFUNCTION("GOOGLETRANSLATE(A144, ""en"", ""ur"")"),"143")</f>
        <v>143</v>
      </c>
      <c r="K144" s="5" t="str">
        <f>IFERROR(__xludf.DUMMYFUNCTION("GOOGLETRANSLATE(B144, ""en"", ""ur"")"),"کیا ہوتا ہے اگر کوئی کھلاڑی اپنے مخالف راجہ پر حملہ آور ہو، لیکن اپنی باری پر اسے پکڑنے میں ناکام ہو جائے؟")</f>
        <v>کیا ہوتا ہے اگر کوئی کھلاڑی اپنے مخالف راجہ پر حملہ آور ہو، لیکن اپنی باری پر اسے پکڑنے میں ناکام ہو جائے؟</v>
      </c>
      <c r="L144" s="5" t="str">
        <f>IFERROR(__xludf.DUMMYFUNCTION("GOOGLETRANSLATE(C144, ""en"", ""ur"")"),"A) وہ گیم ہار جاتے ہیں، B) حریف کو فرار ہونے کی اجازت ہے، C) گیم ڈرا ہے، D) انہیں ""چیک"" کا اعلان کرنا ہوگا۔")</f>
        <v>A) وہ گیم ہار جاتے ہیں، B) حریف کو فرار ہونے کی اجازت ہے، C) گیم ڈرا ہے، D) انہیں "چیک" کا اعلان کرنا ہوگا۔</v>
      </c>
      <c r="M144" s="5" t="str">
        <f>IFERROR(__xludf.DUMMYFUNCTION("GOOGLETRANSLATE(D144, ""en"", ""ur"")"),"ب) مخالف کو فرار ہونے کے لیے حرکت کرنے کی اجازت ہے۔")</f>
        <v>ب) مخالف کو فرار ہونے کے لیے حرکت کرنے کی اجازت ہے۔</v>
      </c>
      <c r="N144" s="5" t="str">
        <f>IFERROR(__xludf.DUMMYFUNCTION("GOOGLETRANSLATE(E144, ""en"", ""ur"")"),"چونکہ کوئی ""چیک"" قاعدہ نہیں تھا، اگر کوئی کھلاڑی راجہ کو پکڑنے کا موقع گنوا دیتا ہے، تو حریف اپنی باری پر اسے محفوظ جگہ پر منتقل کرنے کے لیے آزاد تھا۔")</f>
        <v>چونکہ کوئی "چیک" قاعدہ نہیں تھا، اگر کوئی کھلاڑی راجہ کو پکڑنے کا موقع گنوا دیتا ہے، تو حریف اپنی باری پر اسے محفوظ جگہ پر منتقل کرنے کے لیے آزاد تھا۔</v>
      </c>
    </row>
    <row r="145">
      <c r="A145" s="3">
        <v>144.0</v>
      </c>
      <c r="B145" s="4" t="s">
        <v>1170</v>
      </c>
      <c r="C145" s="4" t="s">
        <v>1171</v>
      </c>
      <c r="D145" s="4" t="s">
        <v>1172</v>
      </c>
      <c r="E145" s="4" t="s">
        <v>1173</v>
      </c>
      <c r="J145" s="5" t="str">
        <f>IFERROR(__xludf.DUMMYFUNCTION("GOOGLETRANSLATE(A145, ""en"", ""ur"")"),"144")</f>
        <v>144</v>
      </c>
      <c r="K145" s="5" t="str">
        <f>IFERROR(__xludf.DUMMYFUNCTION("GOOGLETRANSLATE(B145, ""en"", ""ur"")"),"فارس میں چتورنگا جس کھیل میں تیار ہوا اسے شترنج کہا جاتا تھا۔ شترنج جیتنے کا سب سے عام طریقہ کیا تھا؟")</f>
        <v>فارس میں چتورنگا جس کھیل میں تیار ہوا اسے شترنج کہا جاتا تھا۔ شترنج جیتنے کا سب سے عام طریقہ کیا تھا؟</v>
      </c>
      <c r="L145" s="5" t="str">
        <f>IFERROR(__xludf.DUMMYFUNCTION("GOOGLETRANSLATE(C145, ""en"", ""ur"")"),"A) شاہ (بادشاہ) کو پکڑ کر، B) شاہ کو چیک کر کے، C) تعطل پر مجبور کر کے، D) تمام پیادوں کو پکڑ کر")</f>
        <v>A) شاہ (بادشاہ) کو پکڑ کر، B) شاہ کو چیک کر کے، C) تعطل پر مجبور کر کے، D) تمام پیادوں کو پکڑ کر</v>
      </c>
      <c r="M145" s="5" t="str">
        <f>IFERROR(__xludf.DUMMYFUNCTION("GOOGLETRANSLATE(D145, ""en"", ""ur"")"),"ب) شاہ کو چیک کر کے")</f>
        <v>ب) شاہ کو چیک کر کے</v>
      </c>
      <c r="N145" s="5" t="str">
        <f>IFERROR(__xludf.DUMMYFUNCTION("GOOGLETRANSLATE(E145, ""en"", ""ur"")"),"شترانج نے چیک میٹ کا تصور متعارف کرایا، جو جیتنے کا بنیادی طریقہ بن گیا، جو چتورنگا کی گرفت کے اصول سے ایک اہم ارتقاء تھا۔")</f>
        <v>شترانج نے چیک میٹ کا تصور متعارف کرایا، جو جیتنے کا بنیادی طریقہ بن گیا، جو چتورنگا کی گرفت کے اصول سے ایک اہم ارتقاء تھا۔</v>
      </c>
    </row>
    <row r="146">
      <c r="A146" s="3">
        <v>145.0</v>
      </c>
      <c r="B146" s="4" t="s">
        <v>1174</v>
      </c>
      <c r="C146" s="4" t="s">
        <v>1175</v>
      </c>
      <c r="D146" s="4" t="s">
        <v>1176</v>
      </c>
      <c r="E146" s="4" t="s">
        <v>1177</v>
      </c>
      <c r="J146" s="5" t="str">
        <f>IFERROR(__xludf.DUMMYFUNCTION("GOOGLETRANSLATE(A146, ""en"", ""ur"")"),"145")</f>
        <v>145</v>
      </c>
      <c r="K146" s="5" t="str">
        <f>IFERROR(__xludf.DUMMYFUNCTION("GOOGLETRANSLATE(B146, ""en"", ""ur"")"),"ایک کھلاڑی کے پاس صرف ایک راجہ اور ایک ہاتھی رہ گیا ہے۔ کیا وہ اکیلے دشمن راجہ کے خلاف جیت سکتے ہیں؟")</f>
        <v>ایک کھلاڑی کے پاس صرف ایک راجہ اور ایک ہاتھی رہ گیا ہے۔ کیا وہ اکیلے دشمن راجہ کے خلاف جیت سکتے ہیں؟</v>
      </c>
      <c r="L146" s="5" t="str">
        <f>IFERROR(__xludf.DUMMYFUNCTION("GOOGLETRANSLATE(C146, ""en"", ""ur"")"),"A) نہیں، یہ ڈرا ہے، B) ہاں، یہ ایک معیاری اور ابتدائی جیت ہے، C) یہ ممکن ہے، لیکن بہت مشکل، D) صرف اس صورت میں جب تنہا راجہ کونے میں ہو۔")</f>
        <v>A) نہیں، یہ ڈرا ہے، B) ہاں، یہ ایک معیاری اور ابتدائی جیت ہے، C) یہ ممکن ہے، لیکن بہت مشکل، D) صرف اس صورت میں جب تنہا راجہ کونے میں ہو۔</v>
      </c>
      <c r="M146" s="5" t="str">
        <f>IFERROR(__xludf.DUMMYFUNCTION("GOOGLETRANSLATE(D146, ""en"", ""ur"")"),"ب) جی ہاں، یہ ایک معیاری اور ابتدائی جیت ہے۔")</f>
        <v>ب) جی ہاں، یہ ایک معیاری اور ابتدائی جیت ہے۔</v>
      </c>
      <c r="N146" s="5" t="str">
        <f>IFERROR(__xludf.DUMMYFUNCTION("GOOGLETRANSLATE(E146, ""en"", ""ur"")"),"ایک کنگ اور روک (یا راجہ اور ہاتھی) اکیلے بادشاہ کے خلاف آسانی سے جیتنے پر مجبور کر سکتے ہیں۔")</f>
        <v>ایک کنگ اور روک (یا راجہ اور ہاتھی) اکیلے بادشاہ کے خلاف آسانی سے جیتنے پر مجبور کر سکتے ہیں۔</v>
      </c>
    </row>
    <row r="147">
      <c r="A147" s="3">
        <v>146.0</v>
      </c>
      <c r="B147" s="4" t="s">
        <v>1178</v>
      </c>
      <c r="C147" s="4" t="s">
        <v>1179</v>
      </c>
      <c r="D147" s="4" t="s">
        <v>1180</v>
      </c>
      <c r="E147" s="4" t="s">
        <v>1181</v>
      </c>
      <c r="J147" s="5" t="str">
        <f>IFERROR(__xludf.DUMMYFUNCTION("GOOGLETRANSLATE(A147, ""en"", ""ur"")"),"146")</f>
        <v>146</v>
      </c>
      <c r="K147" s="5" t="str">
        <f>IFERROR(__xludf.DUMMYFUNCTION("GOOGLETRANSLATE(B147, ""en"", ""ur"")"),"ابتدائی سیٹ اپ میں راجہ اور منتری کو کہاں رکھا گیا ہے؟")</f>
        <v>ابتدائی سیٹ اپ میں راجہ اور منتری کو کہاں رکھا گیا ہے؟</v>
      </c>
      <c r="L147" s="5" t="str">
        <f>IFERROR(__xludf.DUMMYFUNCTION("GOOGLETRANSLATE(C147, ""en"", ""ur"")"),"A) بورڈ کے کونوں میں، B) پچھلے رینک کی دو مرکزی فائلوں پر، C) پیادوں کے سامنے، D) بورڈ کے اطراف میں")</f>
        <v>A) بورڈ کے کونوں میں، B) پچھلے رینک کی دو مرکزی فائلوں پر، C) پیادوں کے سامنے، D) بورڈ کے اطراف میں</v>
      </c>
      <c r="M147" s="5" t="str">
        <f>IFERROR(__xludf.DUMMYFUNCTION("GOOGLETRANSLATE(D147, ""en"", ""ur"")"),"ب) بیک رینک کی دو مرکزی فائلوں پر")</f>
        <v>ب) بیک رینک کی دو مرکزی فائلوں پر</v>
      </c>
      <c r="N147" s="5" t="str">
        <f>IFERROR(__xludf.DUMMYFUNCTION("GOOGLETRANSLATE(E147, ""en"", ""ur"")"),"بادشاہ اور اس کے مشیر نے ان کی کمانڈ پوزیشن کی علامت کے طور پر پچھلے درجے کے بیچ میں شروع کیا۔")</f>
        <v>بادشاہ اور اس کے مشیر نے ان کی کمانڈ پوزیشن کی علامت کے طور پر پچھلے درجے کے بیچ میں شروع کیا۔</v>
      </c>
    </row>
    <row r="148">
      <c r="A148" s="3">
        <v>147.0</v>
      </c>
      <c r="B148" s="4" t="s">
        <v>1182</v>
      </c>
      <c r="C148" s="4" t="s">
        <v>1183</v>
      </c>
      <c r="D148" s="4" t="s">
        <v>1184</v>
      </c>
      <c r="E148" s="4" t="s">
        <v>1185</v>
      </c>
      <c r="J148" s="5" t="str">
        <f>IFERROR(__xludf.DUMMYFUNCTION("GOOGLETRANSLATE(A148, ""en"", ""ur"")"),"147")</f>
        <v>147</v>
      </c>
      <c r="K148" s="5" t="str">
        <f>IFERROR(__xludf.DUMMYFUNCTION("GOOGLETRANSLATE(B148, ""en"", ""ur"")"),"گجا (ہاتھی) کے لیے فارسی اصطلاح پِل یا فل تھی۔ یہ شطرنج کے ٹکڑے کے لیے انگریزی میں کون سا لفظ بن گیا؟")</f>
        <v>گجا (ہاتھی) کے لیے فارسی اصطلاح پِل یا فل تھی۔ یہ شطرنج کے ٹکڑے کے لیے انگریزی میں کون سا لفظ بن گیا؟</v>
      </c>
      <c r="L148" s="5" t="str">
        <f>IFERROR(__xludf.DUMMYFUNCTION("GOOGLETRANSLATE(C148, ""en"", ""ur"")"),"A) یہ زندہ نہیں رہا، B) یہ ""فائل"" بن گیا، C) یہ ""بشپ"" بن گیا (تبدیلیوں کی ایک سیریز کے ذریعے)، D) یہ کچھ زبانوں میں ""فول"" بن گیا")</f>
        <v>A) یہ زندہ نہیں رہا، B) یہ "فائل" بن گیا، C) یہ "بشپ" بن گیا (تبدیلیوں کی ایک سیریز کے ذریعے)، D) یہ کچھ زبانوں میں "فول" بن گیا</v>
      </c>
      <c r="M148" s="5" t="str">
        <f>IFERROR(__xludf.DUMMYFUNCTION("GOOGLETRANSLATE(D148, ""en"", ""ur"")"),"D) یہ کچھ زبانوں میں ""فول"" بن گیا۔")</f>
        <v>D) یہ کچھ زبانوں میں "فول" بن گیا۔</v>
      </c>
      <c r="N148" s="5" t="str">
        <f>IFERROR(__xludf.DUMMYFUNCTION("GOOGLETRANSLATE(E148, ""en"", ""ur"")"),"عربی الفل کو بعض یورپی زبانوں میں تلفظ کرنا مشکل تھا، اور اس کی جگہ عوفین (فرانسیسی) اور آخر کار فو (فول) جیسے الفاظ میں بدل گئی، اس سے پہلے کہ بشپ کی جگہ لے لی جائے۔")</f>
        <v>عربی الفل کو بعض یورپی زبانوں میں تلفظ کرنا مشکل تھا، اور اس کی جگہ عوفین (فرانسیسی) اور آخر کار فو (فول) جیسے الفاظ میں بدل گئی، اس سے پہلے کہ بشپ کی جگہ لے لی جائے۔</v>
      </c>
    </row>
    <row r="149">
      <c r="A149" s="3">
        <v>148.0</v>
      </c>
      <c r="B149" s="4" t="s">
        <v>1186</v>
      </c>
      <c r="C149" s="4" t="s">
        <v>1187</v>
      </c>
      <c r="D149" s="4" t="s">
        <v>1188</v>
      </c>
      <c r="E149" s="4" t="s">
        <v>1189</v>
      </c>
      <c r="J149" s="5" t="str">
        <f>IFERROR(__xludf.DUMMYFUNCTION("GOOGLETRANSLATE(A149, ""en"", ""ur"")"),"148")</f>
        <v>148</v>
      </c>
      <c r="K149" s="5" t="str">
        <f>IFERROR(__xludf.DUMMYFUNCTION("GOOGLETRANSLATE(B149, ""en"", ""ur"")"),"چتورنگا کے کسی بھی معروف ورژن میں ان میں سے کون سا اصلی حصہ نہیں ہے؟")</f>
        <v>چتورنگا کے کسی بھی معروف ورژن میں ان میں سے کون سا اصلی حصہ نہیں ہے؟</v>
      </c>
      <c r="L149" s="5" t="str">
        <f>IFERROR(__xludf.DUMMYFUNCTION("GOOGLETRANSLATE(C149, ""en"", ""ur"")"),"اے) راجہ (بادشاہ)، بی) گجا (ہاتھی)، سی) زراف (چھلانگ کرنے والا ٹکڑا)، ڈی) ہاتھی (رتھ)")</f>
        <v>اے) راجہ (بادشاہ)، بی) گجا (ہاتھی)، سی) زراف (چھلانگ کرنے والا ٹکڑا)، ڈی) ہاتھی (رتھ)</v>
      </c>
      <c r="M149" s="5" t="str">
        <f>IFERROR(__xludf.DUMMYFUNCTION("GOOGLETRANSLATE(D149, ""en"", ""ur"")"),"ج) زرافہ (اچھلنے والا ٹکڑا)")</f>
        <v>ج) زرافہ (اچھلنے والا ٹکڑا)</v>
      </c>
      <c r="N149" s="5" t="str">
        <f>IFERROR(__xludf.DUMMYFUNCTION("GOOGLETRANSLATE(E149, ""en"", ""ur"")"),"اگرچہ شطرنج کی بہت سی قسمیں موجود ہیں، جراف ""ٹیمرلین شطرنج"" کا ایک ٹکڑا ہے، جو کہ بہت بعد میں اور زیادہ پیچیدہ کھیل ہے، اصل چتورنگا سے نہیں۔")</f>
        <v>اگرچہ شطرنج کی بہت سی قسمیں موجود ہیں، جراف "ٹیمرلین شطرنج" کا ایک ٹکڑا ہے، جو کہ بہت بعد میں اور زیادہ پیچیدہ کھیل ہے، اصل چتورنگا سے نہیں۔</v>
      </c>
    </row>
    <row r="150">
      <c r="A150" s="3">
        <v>149.0</v>
      </c>
      <c r="B150" s="4" t="s">
        <v>1190</v>
      </c>
      <c r="C150" s="4" t="s">
        <v>1191</v>
      </c>
      <c r="D150" s="4" t="s">
        <v>1192</v>
      </c>
      <c r="E150" s="4" t="s">
        <v>1193</v>
      </c>
      <c r="J150" s="5" t="str">
        <f>IFERROR(__xludf.DUMMYFUNCTION("GOOGLETRANSLATE(A150, ""en"", ""ur"")"),"149")</f>
        <v>149</v>
      </c>
      <c r="K150" s="5" t="str">
        <f>IFERROR(__xludf.DUMMYFUNCTION("GOOGLETRANSLATE(B150, ""en"", ""ur"")"),"جدید شطرنج میں ایک پیادے کے مقابلے چتورنگا میں ایک ہی پاداٹی کو زیادہ قیمتی سمجھا جانے کی بنیادی وجہ کیا ہے؟")</f>
        <v>جدید شطرنج میں ایک پیادے کے مقابلے چتورنگا میں ایک ہی پاداٹی کو زیادہ قیمتی سمجھا جانے کی بنیادی وجہ کیا ہے؟</v>
      </c>
      <c r="L150" s="5" t="str">
        <f>IFERROR(__xludf.DUMMYFUNCTION("GOOGLETRANSLATE(C150, ""en"", ""ur"")"),"A) یہ پیچھے کی طرف بڑھ سکتا تھا، B) دوسرے ٹکڑوں کی کمزوری کی وجہ سے اسے روکنا مشکل تھا، C) یہ سیدھا آگے پکڑ سکتا تھا، D) اسے ملکہ بنا دیا گیا")</f>
        <v>A) یہ پیچھے کی طرف بڑھ سکتا تھا، B) دوسرے ٹکڑوں کی کمزوری کی وجہ سے اسے روکنا مشکل تھا، C) یہ سیدھا آگے پکڑ سکتا تھا، D) اسے ملکہ بنا دیا گیا</v>
      </c>
      <c r="M150" s="5" t="str">
        <f>IFERROR(__xludf.DUMMYFUNCTION("GOOGLETRANSLATE(D150, ""en"", ""ur"")"),"ب) دوسرے ٹکڑوں کی کمزوری کی وجہ سے اسے روکنا مشکل تھا۔")</f>
        <v>ب) دوسرے ٹکڑوں کی کمزوری کی وجہ سے اسے روکنا مشکل تھا۔</v>
      </c>
      <c r="N150" s="5" t="str">
        <f>IFERROR(__xludf.DUMMYFUNCTION("GOOGLETRANSLATE(E150, ""en"", ""ur"")"),"کوئی طاقتور ملکہ اور اخترن کو کنٹرول کرنے کے لیے صرف قلیل فاصلے کے بشپ کے بغیر، ""پاس"" پاداٹی ایک بہت زیادہ سنگین خطرہ تھا۔")</f>
        <v>کوئی طاقتور ملکہ اور اخترن کو کنٹرول کرنے کے لیے صرف قلیل فاصلے کے بشپ کے بغیر، "پاس" پاداٹی ایک بہت زیادہ سنگین خطرہ تھا۔</v>
      </c>
    </row>
    <row r="151">
      <c r="A151" s="3">
        <v>150.0</v>
      </c>
      <c r="B151" s="4" t="s">
        <v>1194</v>
      </c>
      <c r="C151" s="4" t="s">
        <v>1195</v>
      </c>
      <c r="D151" s="4" t="s">
        <v>1196</v>
      </c>
      <c r="E151" s="4" t="s">
        <v>1197</v>
      </c>
      <c r="J151" s="5" t="str">
        <f>IFERROR(__xludf.DUMMYFUNCTION("GOOGLETRANSLATE(A151, ""en"", ""ur"")"),"150")</f>
        <v>150</v>
      </c>
      <c r="K151" s="5" t="str">
        <f>IFERROR(__xludf.DUMMYFUNCTION("GOOGLETRANSLATE(B151, ""en"", ""ur"")"),"عالمی تاریخ میں چتورنگا کی حتمی اہمیت کیا ہے؟")</f>
        <v>عالمی تاریخ میں چتورنگا کی حتمی اہمیت کیا ہے؟</v>
      </c>
      <c r="L151" s="5" t="str">
        <f>IFERROR(__xludf.DUMMYFUNCTION("GOOGLETRANSLATE(C151, ""en"", ""ur"")"),"A)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f>
        <v>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v>
      </c>
      <c r="M151" s="5" t="str">
        <f>IFERROR(__xludf.DUMMYFUNCTION("GOOGLETRANSLATE(D151, ""en"", ""ur"")"),"ب) یہ حکمت عملی کے کھیلوں کے عالمی خاندان کا مشترکہ اجداد ہے، خاص طور پر شطرنج")</f>
        <v>ب) یہ حکمت عملی کے کھیلوں کے عالمی خاندان کا مشترکہ اجداد ہے، خاص طور پر شطرنج</v>
      </c>
      <c r="N151" s="5" t="str">
        <f>IFERROR(__xludf.DUMMYFUNCTION("GOOGLETRANSLATE(E151, ""en"", ""ur"")"),"چتورنگا کی ایجاد ثقافتی تاریخ کا ایک اہم لمحہ تھا، جس کے نتیجے میں دنیا کے سب سے زیادہ پائیدار اور مقبول دانشورانہ تفریحات میں سے ایک کی ترقی ہوئی۔")</f>
        <v>چتورنگا کی ایجاد ثقافتی تاریخ کا ایک اہم لمحہ تھا، جس کے نتیجے میں دنیا کے سب سے زیادہ پائیدار اور مقبول دانشورانہ تفریحات میں سے ایک کی ترقی ہوئی۔</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5" width="37.63"/>
    <col customWidth="1" min="11" max="14" width="37.63"/>
  </cols>
  <sheetData>
    <row r="1">
      <c r="A1" s="1" t="s">
        <v>0</v>
      </c>
      <c r="B1" s="1" t="s">
        <v>1</v>
      </c>
      <c r="C1" s="1" t="s">
        <v>2</v>
      </c>
      <c r="D1" s="1" t="s">
        <v>3</v>
      </c>
      <c r="E1" s="1" t="s">
        <v>4</v>
      </c>
      <c r="J1" s="2" t="s">
        <v>5</v>
      </c>
      <c r="K1" s="2" t="s">
        <v>6</v>
      </c>
      <c r="L1" s="2" t="s">
        <v>7</v>
      </c>
      <c r="M1" s="2" t="s">
        <v>8</v>
      </c>
      <c r="N1" s="2" t="s">
        <v>9</v>
      </c>
    </row>
    <row r="2">
      <c r="A2" s="3">
        <v>1.0</v>
      </c>
      <c r="B2" s="4" t="s">
        <v>1198</v>
      </c>
      <c r="C2" s="4" t="s">
        <v>1199</v>
      </c>
      <c r="D2" s="4" t="s">
        <v>1200</v>
      </c>
      <c r="E2" s="4" t="s">
        <v>1201</v>
      </c>
      <c r="J2" s="5" t="str">
        <f>IFERROR(__xludf.DUMMYFUNCTION("GOOGLETRANSLATE(A2, ""en"", ""ur"")"),"1")</f>
        <v>1</v>
      </c>
      <c r="K2" s="5" t="str">
        <f>IFERROR(__xludf.DUMMYFUNCTION("GOOGLETRANSLATE(B2, ""en"", ""ur"")"),"بزکشی کے گھڑ سواری کا کھیل کس علاقے میں شروع ہوا؟")</f>
        <v>بزکشی کے گھڑ سواری کا کھیل کس علاقے میں شروع ہوا؟</v>
      </c>
      <c r="L2" s="5" t="str">
        <f>IFERROR(__xludf.DUMMYFUNCTION("GOOGLETRANSLATE(C2, ""en"", ""ur"")"),"A) جزیرہ نما عرب، B) وسطی ایشیا کے خانہ بدوش معاشرے، C) شمالی ہند کے میدانی علاقے، D) روسی سٹیپ")</f>
        <v>A) جزیرہ نما عرب، B) وسطی ایشیا کے خانہ بدوش معاشرے، C) شمالی ہند کے میدانی علاقے، D) روسی سٹیپ</v>
      </c>
      <c r="M2" s="5" t="str">
        <f>IFERROR(__xludf.DUMMYFUNCTION("GOOGLETRANSLATE(D2, ""en"", ""ur"")"),"ب) وسطی ایشیا کے خانہ بدوش معاشرے")</f>
        <v>ب) وسطی ایشیا کے خانہ بدوش معاشرے</v>
      </c>
      <c r="N2" s="5" t="str">
        <f>IFERROR(__xludf.DUMMYFUNCTION("GOOGLETRANSLATE(E2, ""en"", ""ur"")"),"بزکشی کی جڑیں وسطی ایشیا کے ترک-منگول لوگوں کی گھڑ سواری کی روایات میں گہری ہیں، جو صدیوں پرانی ہیں۔")</f>
        <v>بزکشی کی جڑیں وسطی ایشیا کے ترک-منگول لوگوں کی گھڑ سواری کی روایات میں گہری ہیں، جو صدیوں پرانی ہیں۔</v>
      </c>
    </row>
    <row r="3">
      <c r="A3" s="3">
        <v>2.0</v>
      </c>
      <c r="B3" s="4" t="s">
        <v>1202</v>
      </c>
      <c r="C3" s="4" t="s">
        <v>1203</v>
      </c>
      <c r="D3" s="4" t="s">
        <v>1204</v>
      </c>
      <c r="E3" s="4" t="s">
        <v>1205</v>
      </c>
      <c r="J3" s="5" t="str">
        <f>IFERROR(__xludf.DUMMYFUNCTION("GOOGLETRANSLATE(A3, ""en"", ""ur"")"),"2")</f>
        <v>2</v>
      </c>
      <c r="K3" s="5" t="str">
        <f>IFERROR(__xludf.DUMMYFUNCTION("GOOGLETRANSLATE(B3, ""en"", ""ur"")"),"فارسی نام 'بزکشی' کا لفظی ترجمہ کیا ہے؟")</f>
        <v>فارسی نام 'بزکشی' کا لفظی ترجمہ کیا ہے؟</v>
      </c>
      <c r="L3" s="5" t="str">
        <f>IFERROR(__xludf.DUMMYFUNCTION("GOOGLETRANSLATE(C3, ""en"", ""ur"")"),"A) گھوڑے کی کشتی، B) بکری گھسیٹنا، C) اسٹک فائٹنگ، D) سرکل آف آنر")</f>
        <v>A) گھوڑے کی کشتی، B) بکری گھسیٹنا، C) اسٹک فائٹنگ، D) سرکل آف آنر</v>
      </c>
      <c r="M3" s="5" t="str">
        <f>IFERROR(__xludf.DUMMYFUNCTION("GOOGLETRANSLATE(D3, ""en"", ""ur"")"),"ب) بکری گھسیٹنا")</f>
        <v>ب) بکری گھسیٹنا</v>
      </c>
      <c r="N3" s="5" t="str">
        <f>IFERROR(__xludf.DUMMYFUNCTION("GOOGLETRANSLATE(E3, ""en"", ""ur"")"),"یہ نام گیم کے بنیادی عمل کی لفظی وضاحت ہے: بز (بکری) اور کاشی (گھسیٹنا یا کھینچنا)۔")</f>
        <v>یہ نام گیم کے بنیادی عمل کی لفظی وضاحت ہے: بز (بکری) اور کاشی (گھسیٹنا یا کھینچنا)۔</v>
      </c>
    </row>
    <row r="4">
      <c r="A4" s="3">
        <v>3.0</v>
      </c>
      <c r="B4" s="4" t="s">
        <v>1206</v>
      </c>
      <c r="C4" s="4" t="s">
        <v>1207</v>
      </c>
      <c r="D4" s="4" t="s">
        <v>1208</v>
      </c>
      <c r="E4" s="4" t="s">
        <v>1209</v>
      </c>
      <c r="J4" s="5" t="str">
        <f>IFERROR(__xludf.DUMMYFUNCTION("GOOGLETRANSLATE(A4, ""en"", ""ur"")"),"3")</f>
        <v>3</v>
      </c>
      <c r="K4" s="5" t="str">
        <f>IFERROR(__xludf.DUMMYFUNCTION("GOOGLETRANSLATE(B4, ""en"", ""ur"")"),"کس تاریخی شخصیت کے گھڑسوار دستے کو بزکشی کو فوجی تربیت کی ایک شکل کے طور پر تیار کرنے کے لیے لوک داستانوں میں مشہور کیا جاتا ہے؟")</f>
        <v>کس تاریخی شخصیت کے گھڑسوار دستے کو بزکشی کو فوجی تربیت کی ایک شکل کے طور پر تیار کرنے کے لیے لوک داستانوں میں مشہور کیا جاتا ہے؟</v>
      </c>
      <c r="L4" s="5" t="str">
        <f>IFERROR(__xludf.DUMMYFUNCTION("GOOGLETRANSLATE(C4, ""en"", ""ur"")"),"A) سکندر اعظم، B) تیمور (Tamerlane) C) چنگیز خان، D) احمد شاہ درانی")</f>
        <v>A) سکندر اعظم، B) تیمور (Tamerlane) C) چنگیز خان، D) احمد شاہ درانی</v>
      </c>
      <c r="M4" s="5" t="str">
        <f>IFERROR(__xludf.DUMMYFUNCTION("GOOGLETRANSLATE(D4, ""en"", ""ur"")"),"ج) چنگیز خان")</f>
        <v>ج) چنگیز خان</v>
      </c>
      <c r="N4" s="5" t="str">
        <f>IFERROR(__xludf.DUMMYFUNCTION("GOOGLETRANSLATE(E4, ""en"", ""ur"")"),"لیجنڈز اس کھیل کی ابتدا منگول گھڑ سواروں سے کرتے ہیں، جنہوں نے اسے اپنی اشرافیہ کی گھڑ سواری اور جنگی مہارتوں کو نکھارنے کے لیے استعمال کیا۔")</f>
        <v>لیجنڈز اس کھیل کی ابتدا منگول گھڑ سواروں سے کرتے ہیں، جنہوں نے اسے اپنی اشرافیہ کی گھڑ سواری اور جنگی مہارتوں کو نکھارنے کے لیے استعمال کیا۔</v>
      </c>
    </row>
    <row r="5">
      <c r="A5" s="3">
        <v>4.0</v>
      </c>
      <c r="B5" s="4" t="s">
        <v>1210</v>
      </c>
      <c r="C5" s="4" t="s">
        <v>1211</v>
      </c>
      <c r="D5" s="4" t="s">
        <v>1212</v>
      </c>
      <c r="E5" s="4" t="s">
        <v>1213</v>
      </c>
      <c r="J5" s="5" t="str">
        <f>IFERROR(__xludf.DUMMYFUNCTION("GOOGLETRANSLATE(A5, ""en"", ""ur"")"),"4")</f>
        <v>4</v>
      </c>
      <c r="K5" s="5" t="str">
        <f>IFERROR(__xludf.DUMMYFUNCTION("GOOGLETRANSLATE(B5, ""en"", ""ur"")"),"کس دور میں بزکشی کو سرکاری طور پر افغانستان کا قومی کھیل تسلیم کیا گیا؟")</f>
        <v>کس دور میں بزکشی کو سرکاری طور پر افغانستان کا قومی کھیل تسلیم کیا گیا؟</v>
      </c>
      <c r="L5" s="5" t="str">
        <f>IFERROR(__xludf.DUMMYFUNCTION("GOOGLETRANSLATE(C5, ""en"", ""ur"")"),"A) درانی سلطنت (18 ویں صدی)، B) سوویت مداخلت (1980)، C) بادشاہ ظاہر شاہ کا دور (20 ویں صدی کے وسط)، D) برطانوی نوآبادیاتی دور")</f>
        <v>A) درانی سلطنت (18 ویں صدی)، B) سوویت مداخلت (1980)، C) بادشاہ ظاہر شاہ کا دور (20 ویں صدی کے وسط)، D) برطانوی نوآبادیاتی دور</v>
      </c>
      <c r="M5" s="5" t="str">
        <f>IFERROR(__xludf.DUMMYFUNCTION("GOOGLETRANSLATE(D5, ""en"", ""ur"")"),"ج) بادشاہ ظاہر شاہ کا دور حکومت (20ویں صدی کے وسط)")</f>
        <v>ج) بادشاہ ظاہر شاہ کا دور حکومت (20ویں صدی کے وسط)</v>
      </c>
      <c r="N5" s="5" t="str">
        <f>IFERROR(__xludf.DUMMYFUNCTION("GOOGLETRANSLATE(E5, ""en"", ""ur"")"),"شاہ ظاہر شاہ کی حکومت نے بزکشی کو فعال طور پر فروغ دیا، ثقافتی شناخت کو مضبوط کرنے کے لیے اسے ایک قومی کھیل کے طور پر باقاعدہ بنایا۔")</f>
        <v>شاہ ظاہر شاہ کی حکومت نے بزکشی کو فعال طور پر فروغ دیا، ثقافتی شناخت کو مضبوط کرنے کے لیے اسے ایک قومی کھیل کے طور پر باقاعدہ بنایا۔</v>
      </c>
    </row>
    <row r="6">
      <c r="A6" s="3">
        <v>5.0</v>
      </c>
      <c r="B6" s="4" t="s">
        <v>1214</v>
      </c>
      <c r="C6" s="4" t="s">
        <v>1215</v>
      </c>
      <c r="D6" s="4" t="s">
        <v>1216</v>
      </c>
      <c r="E6" s="4" t="s">
        <v>1217</v>
      </c>
      <c r="J6" s="5" t="str">
        <f>IFERROR(__xludf.DUMMYFUNCTION("GOOGLETRANSLATE(A6, ""en"", ""ur"")"),"5")</f>
        <v>5</v>
      </c>
      <c r="K6" s="5" t="str">
        <f>IFERROR(__xludf.DUMMYFUNCTION("GOOGLETRANSLATE(B6, ""en"", ""ur"")"),"بزکشی کے رسمی، ٹیم پر مبنی ورژن کا بنیادی مقصد کیا ہے جسے قاراجائی کہا جاتا ہے؟")</f>
        <v>بزکشی کے رسمی، ٹیم پر مبنی ورژن کا بنیادی مقصد کیا ہے جسے قاراجائی کہا جاتا ہے؟</v>
      </c>
      <c r="L6" s="5" t="str">
        <f>IFERROR(__xludf.DUMMYFUNCTION("GOOGLETRANSLATE(C6, ""en"", ""ur"")"),"A) گھوڑے کی پیٹھ پر آخری سوار ہونا، B) لاش کو گول لائن کے پار گھسیٹنا، C) لاش کو جھنڈے کے گرد لے جانا اور گول کرنے والے دائرے میں چھوڑنا، D) لاش کو زیادہ دیر تک پکڑ کر رکھنا")</f>
        <v>A) گھوڑے کی پیٹھ پر آخری سوار ہونا، B) لاش کو گول لائن کے پار گھسیٹنا، C) لاش کو جھنڈے کے گرد لے جانا اور گول کرنے والے دائرے میں چھوڑنا، D) لاش کو زیادہ دیر تک پکڑ کر رکھنا</v>
      </c>
      <c r="M6" s="5" t="str">
        <f>IFERROR(__xludf.DUMMYFUNCTION("GOOGLETRANSLATE(D6, ""en"", ""ur"")"),"ج) لاش کو جھنڈے کے گرد لے جانا اور اسے گول دائرے میں چھوڑنا")</f>
        <v>ج) لاش کو جھنڈے کے گرد لے جانا اور اسے گول دائرے میں چھوڑنا</v>
      </c>
      <c r="N6" s="5" t="str">
        <f>IFERROR(__xludf.DUMMYFUNCTION("GOOGLETRANSLATE(E6, ""en"", ""ur"")"),"قاراجائی فارمیٹ ایک پیچیدہ گیم ہے جس میں سوار کو آسان ورژن کے برعکس اسکور کرنے کے لیے ایک مخصوص کورس مکمل کرنے کی ضرورت ہوتی ہے۔")</f>
        <v>قاراجائی فارمیٹ ایک پیچیدہ گیم ہے جس میں سوار کو آسان ورژن کے برعکس اسکور کرنے کے لیے ایک مخصوص کورس مکمل کرنے کی ضرورت ہوتی ہے۔</v>
      </c>
    </row>
    <row r="7">
      <c r="A7" s="3">
        <v>6.0</v>
      </c>
      <c r="B7" s="4" t="s">
        <v>1218</v>
      </c>
      <c r="C7" s="4" t="s">
        <v>1219</v>
      </c>
      <c r="D7" s="4" t="s">
        <v>1220</v>
      </c>
      <c r="E7" s="4" t="s">
        <v>1221</v>
      </c>
      <c r="J7" s="5" t="str">
        <f>IFERROR(__xludf.DUMMYFUNCTION("GOOGLETRANSLATE(A7, ""en"", ""ur"")"),"6")</f>
        <v>6</v>
      </c>
      <c r="K7" s="5" t="str">
        <f>IFERROR(__xludf.DUMMYFUNCTION("GOOGLETRANSLATE(B7, ""en"", ""ur"")"),"ایک انتہائی ہنر مند، ماسٹر بزکشی کھلاڑی کے لیے سرکاری اصطلاح کیا ہے؟")</f>
        <v>ایک انتہائی ہنر مند، ماسٹر بزکشی کھلاڑی کے لیے سرکاری اصطلاح کیا ہے؟</v>
      </c>
      <c r="L7" s="5" t="str">
        <f>IFERROR(__xludf.DUMMYFUNCTION("GOOGLETRANSLATE(C7, ""en"", ""ur"")"),"A) پہلوان، B) خان، C) چپنداز، D) جرگہ")</f>
        <v>A) پہلوان، B) خان، C) چپنداز، D) جرگہ</v>
      </c>
      <c r="M7" s="5" t="str">
        <f>IFERROR(__xludf.DUMMYFUNCTION("GOOGLETRANSLATE(D7, ""en"", ""ur"")"),"ج) چپنداز")</f>
        <v>ج) چپنداز</v>
      </c>
      <c r="N7" s="5" t="str">
        <f>IFERROR(__xludf.DUMMYFUNCTION("GOOGLETRANSLATE(E7, ""en"", ""ur"")"),"چپنڈاز ایک ماسٹر سوار ہے جس نے اپنی غیر معمولی طاقت، گھڑ سواری اور حکمت عملی کی مہارت کے لیے بہت عزت حاصل کی ہے۔")</f>
        <v>چپنڈاز ایک ماسٹر سوار ہے جس نے اپنی غیر معمولی طاقت، گھڑ سواری اور حکمت عملی کی مہارت کے لیے بہت عزت حاصل کی ہے۔</v>
      </c>
    </row>
    <row r="8">
      <c r="A8" s="3">
        <v>7.0</v>
      </c>
      <c r="B8" s="4" t="s">
        <v>1222</v>
      </c>
      <c r="C8" s="4" t="s">
        <v>1223</v>
      </c>
      <c r="D8" s="4" t="s">
        <v>1224</v>
      </c>
      <c r="E8" s="4" t="s">
        <v>1225</v>
      </c>
      <c r="J8" s="5" t="str">
        <f>IFERROR(__xludf.DUMMYFUNCTION("GOOGLETRANSLATE(A8, ""en"", ""ur"")"),"7")</f>
        <v>7</v>
      </c>
      <c r="K8" s="5" t="str">
        <f>IFERROR(__xludf.DUMMYFUNCTION("GOOGLETRANSLATE(B8, ""en"", ""ur"")"),"کس جدید ملک کو بزکشی کا مرکز سمجھا جاتا ہے، جہاں یہ ثقافتی لحاظ سے سب سے اہم ہے؟")</f>
        <v>کس جدید ملک کو بزکشی کا مرکز سمجھا جاتا ہے، جہاں یہ ثقافتی لحاظ سے سب سے اہم ہے؟</v>
      </c>
      <c r="L8" s="5" t="str">
        <f>IFERROR(__xludf.DUMMYFUNCTION("GOOGLETRANSLATE(C8, ""en"", ""ur"")"),"A) پاکستان، B) تاجکستان، C) کرغزستان، D) افغانستان")</f>
        <v>A) پاکستان، B) تاجکستان، C) کرغزستان، D) افغانستان</v>
      </c>
      <c r="M8" s="5" t="str">
        <f>IFERROR(__xludf.DUMMYFUNCTION("GOOGLETRANSLATE(D8, ""en"", ""ur"")"),"ڈی) افغانستان")</f>
        <v>ڈی) افغانستان</v>
      </c>
      <c r="N8" s="5" t="str">
        <f>IFERROR(__xludf.DUMMYFUNCTION("GOOGLETRANSLATE(E8, ""en"", ""ur"")"),"وسطی ایشیا میں کھیلے جانے کے دوران، بزکشی کو ایک قومی کھیل اور افغانستان میں ایک طاقتور ثقافتی علامت کا درجہ حاصل ہے۔")</f>
        <v>وسطی ایشیا میں کھیلے جانے کے دوران، بزکشی کو ایک قومی کھیل اور افغانستان میں ایک طاقتور ثقافتی علامت کا درجہ حاصل ہے۔</v>
      </c>
    </row>
    <row r="9">
      <c r="A9" s="3">
        <v>8.0</v>
      </c>
      <c r="B9" s="4" t="s">
        <v>1226</v>
      </c>
      <c r="C9" s="4" t="s">
        <v>1227</v>
      </c>
      <c r="D9" s="4" t="s">
        <v>1228</v>
      </c>
      <c r="E9" s="4" t="s">
        <v>1229</v>
      </c>
      <c r="J9" s="5" t="str">
        <f>IFERROR(__xludf.DUMMYFUNCTION("GOOGLETRANSLATE(A9, ""en"", ""ur"")"),"8")</f>
        <v>8</v>
      </c>
      <c r="K9" s="5" t="str">
        <f>IFERROR(__xludf.DUMMYFUNCTION("GOOGLETRANSLATE(B9, ""en"", ""ur"")"),"وسطی ایشیا میں بزکشی کے پھیلاؤ کے لیے کس سلطنت کی توسیع سب سے زیادہ ذمہ دار تھی؟")</f>
        <v>وسطی ایشیا میں بزکشی کے پھیلاؤ کے لیے کس سلطنت کی توسیع سب سے زیادہ ذمہ دار تھی؟</v>
      </c>
      <c r="L9" s="5" t="str">
        <f>IFERROR(__xludf.DUMMYFUNCTION("GOOGLETRANSLATE(C9, ""en"", ""ur"")"),"A) سلطنت فارس، B) عثمانی سلطنت، C) منگول سلطنت، D) مغلیہ سلطنت")</f>
        <v>A) سلطنت فارس، B) عثمانی سلطنت، C) منگول سلطنت، D) مغلیہ سلطنت</v>
      </c>
      <c r="M9" s="5" t="str">
        <f>IFERROR(__xludf.DUMMYFUNCTION("GOOGLETRANSLATE(D9, ""en"", ""ur"")"),"ج) منگول سلطنت")</f>
        <v>ج) منگول سلطنت</v>
      </c>
      <c r="N9" s="5" t="str">
        <f>IFERROR(__xludf.DUMMYFUNCTION("GOOGLETRANSLATE(E9, ""en"", ""ur"")"),"منگول سلطنت کی فتوحات اور اس کے نتیجے میں ترک-منگول لوگوں کی تحریک نے اس کھیل کو پورے خطے میں پھیلا دیا۔")</f>
        <v>منگول سلطنت کی فتوحات اور اس کے نتیجے میں ترک-منگول لوگوں کی تحریک نے اس کھیل کو پورے خطے میں پھیلا دیا۔</v>
      </c>
    </row>
    <row r="10">
      <c r="A10" s="3">
        <v>9.0</v>
      </c>
      <c r="B10" s="4" t="s">
        <v>1230</v>
      </c>
      <c r="C10" s="4" t="s">
        <v>1231</v>
      </c>
      <c r="D10" s="4" t="s">
        <v>1232</v>
      </c>
      <c r="E10" s="4" t="s">
        <v>1233</v>
      </c>
      <c r="J10" s="5" t="str">
        <f>IFERROR(__xludf.DUMMYFUNCTION("GOOGLETRANSLATE(A10, ""en"", ""ur"")"),"9")</f>
        <v>9</v>
      </c>
      <c r="K10" s="5" t="str">
        <f>IFERROR(__xludf.DUMMYFUNCTION("GOOGLETRANSLATE(B10, ""en"", ""ur"")"),"1990 کی دہائی میں افغانستان میں طالبان کی حکومت کے دوران بزکشی کی سرکاری حیثیت کیا تھی؟")</f>
        <v>1990 کی دہائی میں افغانستان میں طالبان کی حکومت کے دوران بزکشی کی سرکاری حیثیت کیا تھی؟</v>
      </c>
      <c r="L10" s="5" t="str">
        <f>IFERROR(__xludf.DUMMYFUNCTION("GOOGLETRANSLATE(C10, ""en"", ""ur"")"),"A) اسے بہت زیادہ فروغ دیا گیا تھا، B) غیر اخلاقی اور پرتشدد ہونے کی وجہ سے اس پر پابندی لگائی گئی تھی، C) اس میں نئے قوانین کے ساتھ ترمیم کی گئی تھی، D) اس کی اجازت صرف نجی طور پر دی گئی تھی۔")</f>
        <v>A) اسے بہت زیادہ فروغ دیا گیا تھا، B) غیر اخلاقی اور پرتشدد ہونے کی وجہ سے اس پر پابندی لگائی گئی تھی، C) اس میں نئے قوانین کے ساتھ ترمیم کی گئی تھی، D) اس کی اجازت صرف نجی طور پر دی گئی تھی۔</v>
      </c>
      <c r="M10" s="5" t="str">
        <f>IFERROR(__xludf.DUMMYFUNCTION("GOOGLETRANSLATE(D10, ""en"", ""ur"")"),"ب) غیر اخلاقی اور پرتشدد ہونے کی وجہ سے اس پر پابندی لگا دی گئی تھی۔")</f>
        <v>ب) غیر اخلاقی اور پرتشدد ہونے کی وجہ سے اس پر پابندی لگا دی گئی تھی۔</v>
      </c>
      <c r="N10" s="5" t="str">
        <f>IFERROR(__xludf.DUMMYFUNCTION("GOOGLETRANSLATE(E10, ""en"", ""ur"")"),"طالبان کی حکومت نے روایتی تفریح ​​اور ثقافتی اظہار کی بہت سی دوسری شکلوں کے ساتھ ساتھ اس کھیل کو بھی ممنوع قرار دے دیا۔")</f>
        <v>طالبان کی حکومت نے روایتی تفریح ​​اور ثقافتی اظہار کی بہت سی دوسری شکلوں کے ساتھ ساتھ اس کھیل کو بھی ممنوع قرار دے دیا۔</v>
      </c>
    </row>
    <row r="11">
      <c r="A11" s="3">
        <v>10.0</v>
      </c>
      <c r="B11" s="4" t="s">
        <v>1234</v>
      </c>
      <c r="C11" s="4" t="s">
        <v>1235</v>
      </c>
      <c r="D11" s="4" t="s">
        <v>1236</v>
      </c>
      <c r="E11" s="4" t="s">
        <v>1237</v>
      </c>
      <c r="J11" s="5" t="str">
        <f>IFERROR(__xludf.DUMMYFUNCTION("GOOGLETRANSLATE(A11, ""en"", ""ur"")"),"10")</f>
        <v>10</v>
      </c>
      <c r="K11" s="5" t="str">
        <f>IFERROR(__xludf.DUMMYFUNCTION("GOOGLETRANSLATE(B11, ""en"", ""ur"")"),"بزکشی کے بڑے ٹورنامنٹ میں استعمال ہونے والے بچھڑے یا بکرے کی لاش کا عام وزن کیا ہے؟")</f>
        <v>بزکشی کے بڑے ٹورنامنٹ میں استعمال ہونے والے بچھڑے یا بکرے کی لاش کا عام وزن کیا ہے؟</v>
      </c>
      <c r="L11" s="5" t="str">
        <f>IFERROR(__xludf.DUMMYFUNCTION("GOOGLETRANSLATE(C11, ""en"", ""ur"")"),"A) 10-20 کلو، B) 20-30 کلو، C) 30-50 کلو، D) 50-70 کلو")</f>
        <v>A) 10-20 کلو، B) 20-30 کلو، C) 30-50 کلو، D) 50-70 کلو</v>
      </c>
      <c r="M11" s="5" t="str">
        <f>IFERROR(__xludf.DUMMYFUNCTION("GOOGLETRANSLATE(D11, ""en"", ""ur"")"),"D) 50-70 کلوگرام")</f>
        <v>D) 50-70 کلوگرام</v>
      </c>
      <c r="N11" s="5" t="str">
        <f>IFERROR(__xludf.DUMMYFUNCTION("GOOGLETRANSLATE(E11, ""en"", ""ur"")"),"پیشہ ورانہ میچوں میں، لاش اکثر ایک بھاری، ریت سے بھرا ہوا بچھڑا ہوتا ہے، جس کا وزن 50 کلوگرام یا اس سے زیادہ ہوتا ہے تاکہ سواروں کی بے پناہ طاقت کو جانچا جا سکے۔")</f>
        <v>پیشہ ورانہ میچوں میں، لاش اکثر ایک بھاری، ریت سے بھرا ہوا بچھڑا ہوتا ہے، جس کا وزن 50 کلوگرام یا اس سے زیادہ ہوتا ہے تاکہ سواروں کی بے پناہ طاقت کو جانچا جا سکے۔</v>
      </c>
    </row>
    <row r="12">
      <c r="A12" s="3">
        <v>11.0</v>
      </c>
      <c r="B12" s="4" t="s">
        <v>1238</v>
      </c>
      <c r="C12" s="4" t="s">
        <v>1239</v>
      </c>
      <c r="D12" s="4" t="s">
        <v>1240</v>
      </c>
      <c r="E12" s="4" t="s">
        <v>1241</v>
      </c>
      <c r="J12" s="5" t="str">
        <f>IFERROR(__xludf.DUMMYFUNCTION("GOOGLETRANSLATE(A12, ""en"", ""ur"")"),"11")</f>
        <v>11</v>
      </c>
      <c r="K12" s="5" t="str">
        <f>IFERROR(__xludf.DUMMYFUNCTION("GOOGLETRANSLATE(B12, ""en"", ""ur"")"),"کس بین الاقوامی تنظیم نے بزکشی کو غیر محسوس ثقافتی ورثے کے طور پر تسلیم کیا ہے؟")</f>
        <v>کس بین الاقوامی تنظیم نے بزکشی کو غیر محسوس ثقافتی ورثے کے طور پر تسلیم کیا ہے؟</v>
      </c>
      <c r="L12" s="5" t="str">
        <f>IFERROR(__xludf.DUMMYFUNCTION("GOOGLETRANSLATE(C12, ""en"", ""ur"")"),"A) بین الاقوامی اولمپک کمیٹی (IOC)، B) اقوام متحدہ (UN) C) یونیسکو، D) عالمی گھڑ سواری فیڈریشن")</f>
        <v>A) بین الاقوامی اولمپک کمیٹی (IOC)، B) اقوام متحدہ (UN) C) یونیسکو، D) عالمی گھڑ سواری فیڈریشن</v>
      </c>
      <c r="M12" s="5" t="str">
        <f>IFERROR(__xludf.DUMMYFUNCTION("GOOGLETRANSLATE(D12, ""en"", ""ur"")"),"ج) یونیسکو")</f>
        <v>ج) یونیسکو</v>
      </c>
      <c r="N12" s="5" t="str">
        <f>IFERROR(__xludf.DUMMYFUNCTION("GOOGLETRANSLATE(E12, ""en"", ""ur"")"),"یونیسکو نے وسطی ایشیا کے غیر محسوس ثقافتی ورثے کے ایک اہم عنصر کے طور پر بزکشی کی اہمیت کو تسلیم کیا ہے۔")</f>
        <v>یونیسکو نے وسطی ایشیا کے غیر محسوس ثقافتی ورثے کے ایک اہم عنصر کے طور پر بزکشی کی اہمیت کو تسلیم کیا ہے۔</v>
      </c>
    </row>
    <row r="13">
      <c r="A13" s="3">
        <v>12.0</v>
      </c>
      <c r="B13" s="4" t="s">
        <v>1242</v>
      </c>
      <c r="C13" s="4" t="s">
        <v>1243</v>
      </c>
      <c r="D13" s="4" t="s">
        <v>1244</v>
      </c>
      <c r="E13" s="4" t="s">
        <v>1245</v>
      </c>
      <c r="J13" s="5" t="str">
        <f>IFERROR(__xludf.DUMMYFUNCTION("GOOGLETRANSLATE(A13, ""en"", ""ur"")"),"12")</f>
        <v>12</v>
      </c>
      <c r="K13" s="5" t="str">
        <f>IFERROR(__xludf.DUMMYFUNCTION("GOOGLETRANSLATE(B13, ""en"", ""ur"")"),"تاریخی طور پر، خانہ بدوش معاشروں میں بزکشی کا بنیادی مقصد کیا تھا؟")</f>
        <v>تاریخی طور پر، خانہ بدوش معاشروں میں بزکشی کا بنیادی مقصد کیا تھا؟</v>
      </c>
      <c r="L13" s="5" t="str">
        <f>IFERROR(__xludf.DUMMYFUNCTION("GOOGLETRANSLATE(C13, ""en"", ""ur"")"),"A) ایک مذہبی رسم، B) تفریح ​​کی ایک شکل، C) گھڑ سواروں کی جنگ کی تربیت کا طریقہ، D) گھوڑوں کی تجارت کا ایک طریقہ")</f>
        <v>A) ایک مذہبی رسم، B) تفریح ​​کی ایک شکل، C) گھڑ سواروں کی جنگ کی تربیت کا طریقہ، D) گھوڑوں کی تجارت کا ایک طریقہ</v>
      </c>
      <c r="M13" s="5" t="str">
        <f>IFERROR(__xludf.DUMMYFUNCTION("GOOGLETRANSLATE(D13, ""en"", ""ur"")"),"C) گھڑ سواروں کی جنگ کی تربیت کا ایک طریقہ")</f>
        <v>C) گھڑ سواروں کی جنگ کی تربیت کا ایک طریقہ</v>
      </c>
      <c r="N13" s="5" t="str">
        <f>IFERROR(__xludf.DUMMYFUNCTION("GOOGLETRANSLATE(E13, ""en"", ""ur"")"),"یہ کھیل ایک عملی مشق تھی جس نے جنگ کے لیے جنگجوؤں کو درکار گھڑ سواری، ہم آہنگی اور لچک کو تیز کیا۔")</f>
        <v>یہ کھیل ایک عملی مشق تھی جس نے جنگ کے لیے جنگجوؤں کو درکار گھڑ سواری، ہم آہنگی اور لچک کو تیز کیا۔</v>
      </c>
    </row>
    <row r="14">
      <c r="A14" s="3">
        <v>13.0</v>
      </c>
      <c r="B14" s="4" t="s">
        <v>1246</v>
      </c>
      <c r="C14" s="4" t="s">
        <v>1247</v>
      </c>
      <c r="D14" s="4" t="s">
        <v>1248</v>
      </c>
      <c r="E14" s="4" t="s">
        <v>1249</v>
      </c>
      <c r="J14" s="5" t="str">
        <f>IFERROR(__xludf.DUMMYFUNCTION("GOOGLETRANSLATE(A14, ""en"", ""ur"")"),"13")</f>
        <v>13</v>
      </c>
      <c r="K14" s="5" t="str">
        <f>IFERROR(__xludf.DUMMYFUNCTION("GOOGLETRANSLATE(B14, ""en"", ""ur"")"),"روایتی بزکشی میچ کے تناظر میں جرگہ کیا ہے؟")</f>
        <v>روایتی بزکشی میچ کے تناظر میں جرگہ کیا ہے؟</v>
      </c>
      <c r="L14" s="5" t="str">
        <f>IFERROR(__xludf.DUMMYFUNCTION("GOOGLETRANSLATE(C14, ""en"", ""ur"")"),"A) انعامی رقم، B) ٹیم کا کپتان، C) قبائلی عمائدین کی ایک کونسل جو تنازعات کو حل کرتی ہے، D) ابتدائی حلقہ")</f>
        <v>A) انعامی رقم، B) ٹیم کا کپتان، C) قبائلی عمائدین کی ایک کونسل جو تنازعات کو حل کرتی ہے، D) ابتدائی حلقہ</v>
      </c>
      <c r="M14" s="5" t="str">
        <f>IFERROR(__xludf.DUMMYFUNCTION("GOOGLETRANSLATE(D14, ""en"", ""ur"")"),"ج) قبائلی عمائدین کی ایک کونسل جو تنازعات کو حل کرتی ہے۔")</f>
        <v>ج) قبائلی عمائدین کی ایک کونسل جو تنازعات کو حل کرتی ہے۔</v>
      </c>
      <c r="N14" s="5" t="str">
        <f>IFERROR(__xludf.DUMMYFUNCTION("GOOGLETRANSLATE(E14, ""en"", ""ur"")"),"رسمی ریفری کے بغیر روایتی کھیلوں میں، معزز بزرگوں کا ایک جرگہ قواعد کی تشریح اور دلائل کو طے کرنے کے حتمی اختیار کے طور پر کام کرتا ہے۔")</f>
        <v>رسمی ریفری کے بغیر روایتی کھیلوں میں، معزز بزرگوں کا ایک جرگہ قواعد کی تشریح اور دلائل کو طے کرنے کے حتمی اختیار کے طور پر کام کرتا ہے۔</v>
      </c>
    </row>
    <row r="15">
      <c r="A15" s="3">
        <v>14.0</v>
      </c>
      <c r="B15" s="4" t="s">
        <v>1250</v>
      </c>
      <c r="C15" s="4" t="s">
        <v>1251</v>
      </c>
      <c r="D15" s="4" t="s">
        <v>1252</v>
      </c>
      <c r="E15" s="4" t="s">
        <v>1253</v>
      </c>
      <c r="J15" s="5" t="str">
        <f>IFERROR(__xludf.DUMMYFUNCTION("GOOGLETRANSLATE(A15, ""en"", ""ur"")"),"14")</f>
        <v>14</v>
      </c>
      <c r="K15" s="5" t="str">
        <f>IFERROR(__xludf.DUMMYFUNCTION("GOOGLETRANSLATE(B15, ""en"", ""ur"")"),"وسطی ایشیا میں سوویت دور میں بزکشی میں سب سے اہم تبدیلی کیا تھی؟")</f>
        <v>وسطی ایشیا میں سوویت دور میں بزکشی میں سب سے اہم تبدیلی کیا تھی؟</v>
      </c>
      <c r="L15" s="5" t="str">
        <f>IFERROR(__xludf.DUMMYFUNCTION("GOOGLETRANSLATE(C15, ""en"", ""ur"")"),"A) کھیل پر پابندی لگا دی گئی، B) معیاری قوانین اور منظم فیڈریشنز کا تعارف، C) لاش کو گیند سے تبدیل کرنا، D) خواتین کھلاڑیوں کا تعارف")</f>
        <v>A) کھیل پر پابندی لگا دی گئی، B) معیاری قوانین اور منظم فیڈریشنز کا تعارف، C) لاش کو گیند سے تبدیل کرنا، D) خواتین کھلاڑیوں کا تعارف</v>
      </c>
      <c r="M15" s="5" t="str">
        <f>IFERROR(__xludf.DUMMYFUNCTION("GOOGLETRANSLATE(D15, ""en"", ""ur"")"),"ب) معیاری قوانین اور منظم فیڈریشنز کا تعارف")</f>
        <v>ب) معیاری قوانین اور منظم فیڈریشنز کا تعارف</v>
      </c>
      <c r="N15" s="5" t="str">
        <f>IFERROR(__xludf.DUMMYFUNCTION("GOOGLETRANSLATE(E15, ""en"", ""ur"")"),"سوویت یونینوں نے افراتفری والے لوک کھیل کو رسمی ٹیموں اور تحریری قواعد کے ساتھ ایک زیادہ منظم، جدید کھیل میں تبدیل کرنے کی کوشش کی۔")</f>
        <v>سوویت یونینوں نے افراتفری والے لوک کھیل کو رسمی ٹیموں اور تحریری قواعد کے ساتھ ایک زیادہ منظم، جدید کھیل میں تبدیل کرنے کی کوشش کی۔</v>
      </c>
    </row>
    <row r="16">
      <c r="A16" s="3">
        <v>15.0</v>
      </c>
      <c r="B16" s="4" t="s">
        <v>1254</v>
      </c>
      <c r="C16" s="4" t="s">
        <v>1255</v>
      </c>
      <c r="D16" s="4" t="s">
        <v>1256</v>
      </c>
      <c r="E16" s="4" t="s">
        <v>1257</v>
      </c>
      <c r="J16" s="5" t="str">
        <f>IFERROR(__xludf.DUMMYFUNCTION("GOOGLETRANSLATE(A16, ""en"", ""ur"")"),"15")</f>
        <v>15</v>
      </c>
      <c r="K16" s="5" t="str">
        <f>IFERROR(__xludf.DUMMYFUNCTION("GOOGLETRANSLATE(B16, ""en"", ""ur"")"),"تاریخی طور پر، بزکشی اکثر کس قسم کی تقریب کو منانے کے لیے کھیلا جاتا تھا؟")</f>
        <v>تاریخی طور پر، بزکشی اکثر کس قسم کی تقریب کو منانے کے لیے کھیلا جاتا تھا؟</v>
      </c>
      <c r="L16" s="5" t="str">
        <f>IFERROR(__xludf.DUMMYFUNCTION("GOOGLETRANSLATE(C16, ""en"", ""ur"")"),"A) ایک شاہی پیدائش، B) ایک مذہبی چھٹی، C) ایک کامیاب فصل، D) ایک شادی یا فوجی فتح")</f>
        <v>A) ایک شاہی پیدائش، B) ایک مذہبی چھٹی، C) ایک کامیاب فصل، D) ایک شادی یا فوجی فتح</v>
      </c>
      <c r="M16" s="5" t="str">
        <f>IFERROR(__xludf.DUMMYFUNCTION("GOOGLETRANSLATE(D16, ""en"", ""ur"")"),"D) شادی یا فوجی فتح")</f>
        <v>D) شادی یا فوجی فتح</v>
      </c>
      <c r="N16" s="5" t="str">
        <f>IFERROR(__xludf.DUMMYFUNCTION("GOOGLETRANSLATE(E16, ""en"", ""ur"")"),"بزکشی بڑی تقریبات، خاص طور پر طاقتور خاندانوں کی شادیوں اور کامیاب لڑائیوں کی یادگاروں کا مرکز تھا۔")</f>
        <v>بزکشی بڑی تقریبات، خاص طور پر طاقتور خاندانوں کی شادیوں اور کامیاب لڑائیوں کی یادگاروں کا مرکز تھا۔</v>
      </c>
    </row>
    <row r="17">
      <c r="A17" s="3">
        <v>16.0</v>
      </c>
      <c r="B17" s="4" t="s">
        <v>1258</v>
      </c>
      <c r="C17" s="4" t="s">
        <v>1259</v>
      </c>
      <c r="D17" s="4" t="s">
        <v>1260</v>
      </c>
      <c r="E17" s="4" t="s">
        <v>1261</v>
      </c>
      <c r="J17" s="5" t="str">
        <f>IFERROR(__xludf.DUMMYFUNCTION("GOOGLETRANSLATE(A17, ""en"", ""ur"")"),"16")</f>
        <v>16</v>
      </c>
      <c r="K17" s="5" t="str">
        <f>IFERROR(__xludf.DUMMYFUNCTION("GOOGLETRANSLATE(B17, ""en"", ""ur"")"),"روایتی اونچی پشت والی بزکشی سیڈل کی بنیادی خصوصیت کیا ہے؟")</f>
        <v>روایتی اونچی پشت والی بزکشی سیڈل کی بنیادی خصوصیت کیا ہے؟</v>
      </c>
      <c r="L17" s="5" t="str">
        <f>IFERROR(__xludf.DUMMYFUNCTION("GOOGLETRANSLATE(C17, ""en"", ""ur"")"),"A) یہ بہت ہلکا ہے، B) یہ جدوجہد کے دوران سوار کو باندھنے کے لیے ایک گہری، محفوظ نشست فراہم کرتا ہے، C) اس میں کوئی رکاب نہیں ہے، D) یہ دھات سے بنا ہوا ہے۔")</f>
        <v>A) یہ بہت ہلکا ہے، B) یہ جدوجہد کے دوران سوار کو باندھنے کے لیے ایک گہری، محفوظ نشست فراہم کرتا ہے، C) اس میں کوئی رکاب نہیں ہے، D) یہ دھات سے بنا ہوا ہے۔</v>
      </c>
      <c r="M17" s="5" t="str">
        <f>IFERROR(__xludf.DUMMYFUNCTION("GOOGLETRANSLATE(D17, ""en"", ""ur"")"),"ب) یہ جدوجہد کے دوران سوار کو سنبھالنے کے لیے ایک گہری، محفوظ نشست فراہم کرتا ہے۔")</f>
        <v>ب) یہ جدوجہد کے دوران سوار کو سنبھالنے کے لیے ایک گہری، محفوظ نشست فراہم کرتا ہے۔</v>
      </c>
      <c r="N17" s="5" t="str">
        <f>IFERROR(__xludf.DUMMYFUNCTION("GOOGLETRANSLATE(E17, ""en"", ""ur"")"),"کاٹھی کا اونچا پومل (سامنے) اور کینٹل (پیچھے) سوار کو جگہ پر بند کرنے کے لیے ضروری ہیں، لاش کو اٹھانے اور پکڑنے کے لیے درکار فائدہ فراہم کرتے ہیں۔")</f>
        <v>کاٹھی کا اونچا پومل (سامنے) اور کینٹل (پیچھے) سوار کو جگہ پر بند کرنے کے لیے ضروری ہیں، لاش کو اٹھانے اور پکڑنے کے لیے درکار فائدہ فراہم کرتے ہیں۔</v>
      </c>
    </row>
    <row r="18">
      <c r="A18" s="3">
        <v>17.0</v>
      </c>
      <c r="B18" s="4" t="s">
        <v>1262</v>
      </c>
      <c r="C18" s="4" t="s">
        <v>1263</v>
      </c>
      <c r="D18" s="4" t="s">
        <v>1264</v>
      </c>
      <c r="E18" s="4" t="s">
        <v>1265</v>
      </c>
      <c r="J18" s="5" t="str">
        <f>IFERROR(__xludf.DUMMYFUNCTION("GOOGLETRANSLATE(A18, ""en"", ""ur"")"),"17")</f>
        <v>17</v>
      </c>
      <c r="K18" s="5" t="str">
        <f>IFERROR(__xludf.DUMMYFUNCTION("GOOGLETRANSLATE(B18, ""en"", ""ur"")"),"روایتی طور پر لاش کو میچ سے پہلے 24 گھنٹے پانی میں کیوں بھگوایا جاتا تھا؟")</f>
        <v>روایتی طور پر لاش کو میچ سے پہلے 24 گھنٹے پانی میں کیوں بھگوایا جاتا تھا؟</v>
      </c>
      <c r="L18" s="5" t="str">
        <f>IFERROR(__xludf.DUMMYFUNCTION("GOOGLETRANSLATE(C18, ""en"", ""ur"")"),"A) اسے بھاری بنانا، B) اسے سخت بنانا اور پھٹنے کا امکان کم ہونا، C) اس کی گرفت کو بہتر بنانا، D) یہ ایک پاکیزگی کی رسم تھی۔")</f>
        <v>A) اسے بھاری بنانا، B) اسے سخت بنانا اور پھٹنے کا امکان کم ہونا، C) اس کی گرفت کو بہتر بنانا، D) یہ ایک پاکیزگی کی رسم تھی۔</v>
      </c>
      <c r="M18" s="5" t="str">
        <f>IFERROR(__xludf.DUMMYFUNCTION("GOOGLETRANSLATE(D18, ""en"", ""ur"")"),"ب) اسے سخت بنانا اور ٹوٹنے کا امکان کم کرنا")</f>
        <v>ب) اسے سخت بنانا اور ٹوٹنے کا امکان کم کرنا</v>
      </c>
      <c r="N18" s="5" t="str">
        <f>IFERROR(__xludf.DUMMYFUNCTION("GOOGLETRANSLATE(E18, ""en"", ""ur"")"),"لاش کو ٹھنڈے پانی میں بھگونے سے کھال اور گوشت مضبوط اور پائیدار بنتا ہے، تشدد کے کھیل کے دوران اسے بکھرنے سے روکتا ہے۔")</f>
        <v>لاش کو ٹھنڈے پانی میں بھگونے سے کھال اور گوشت مضبوط اور پائیدار بنتا ہے، تشدد کے کھیل کے دوران اسے بکھرنے سے روکتا ہے۔</v>
      </c>
    </row>
    <row r="19">
      <c r="A19" s="3">
        <v>18.0</v>
      </c>
      <c r="B19" s="4" t="s">
        <v>1266</v>
      </c>
      <c r="C19" s="4" t="s">
        <v>1267</v>
      </c>
      <c r="D19" s="4" t="s">
        <v>1268</v>
      </c>
      <c r="E19" s="4" t="s">
        <v>1269</v>
      </c>
      <c r="J19" s="5" t="str">
        <f>IFERROR(__xludf.DUMMYFUNCTION("GOOGLETRANSLATE(A19, ""en"", ""ur"")"),"18")</f>
        <v>18</v>
      </c>
      <c r="K19" s="5" t="str">
        <f>IFERROR(__xludf.DUMMYFUNCTION("GOOGLETRANSLATE(B19, ""en"", ""ur"")"),"درانی سلطنت کے 18ویں صدی کے کس حکمران نے قبائلی اتحاد کو فروغ دینے کے لیے بزکشی کا استعمال کیا تھا؟")</f>
        <v>درانی سلطنت کے 18ویں صدی کے کس حکمران نے قبائلی اتحاد کو فروغ دینے کے لیے بزکشی کا استعمال کیا تھا؟</v>
      </c>
      <c r="L19" s="5" t="str">
        <f>IFERROR(__xludf.DUMMYFUNCTION("GOOGLETRANSLATE(C19, ""en"", ""ur"")"),"A) تیمور شاہ درانی، B) زمان شاہ درانی، C) احمد شاہ درانی، D) محمود شاہ درانی")</f>
        <v>A) تیمور شاہ درانی، B) زمان شاہ درانی، C) احمد شاہ درانی، D) محمود شاہ درانی</v>
      </c>
      <c r="M19" s="5" t="str">
        <f>IFERROR(__xludf.DUMMYFUNCTION("GOOGLETRANSLATE(D19, ""en"", ""ur"")"),"ج) احمد شاہ درانی")</f>
        <v>ج) احمد شاہ درانی</v>
      </c>
      <c r="N19" s="5" t="str">
        <f>IFERROR(__xludf.DUMMYFUNCTION("GOOGLETRANSLATE(E19, ""en"", ""ur"")"),"درانی سلطنت کے بانی، احمد شاہ درانی نے مبینہ طور پر بزکشی ٹورنامنٹس کو حریف قبائل کو اکٹھا کرنے اور قومی شناخت کے احساس کو فروغ دینے کے طریقے کے طور پر سپانسر کیا۔")</f>
        <v>درانی سلطنت کے بانی، احمد شاہ درانی نے مبینہ طور پر بزکشی ٹورنامنٹس کو حریف قبائل کو اکٹھا کرنے اور قومی شناخت کے احساس کو فروغ دینے کے طریقے کے طور پر سپانسر کیا۔</v>
      </c>
    </row>
    <row r="20">
      <c r="A20" s="3">
        <v>19.0</v>
      </c>
      <c r="B20" s="4" t="s">
        <v>1270</v>
      </c>
      <c r="C20" s="4" t="s">
        <v>1271</v>
      </c>
      <c r="D20" s="4" t="s">
        <v>1272</v>
      </c>
      <c r="E20" s="4" t="s">
        <v>1273</v>
      </c>
      <c r="J20" s="5" t="str">
        <f>IFERROR(__xludf.DUMMYFUNCTION("GOOGLETRANSLATE(A20, ""en"", ""ur"")"),"19")</f>
        <v>19</v>
      </c>
      <c r="K20" s="5" t="str">
        <f>IFERROR(__xludf.DUMMYFUNCTION("GOOGLETRANSLATE(B20, ""en"", ""ur"")"),"روایتی قبائلی تناظر میں ایک کھلاڑی کے لیے بزکشی گیم جیتنے کا کیا مطلب ہے؟")</f>
        <v>روایتی قبائلی تناظر میں ایک کھلاڑی کے لیے بزکشی گیم جیتنے کا کیا مطلب ہے؟</v>
      </c>
      <c r="L20" s="5" t="str">
        <f>IFERROR(__xludf.DUMMYFUNCTION("GOOGLETRANSLATE(C20, ""en"", ""ur"")"),"A) ایک بڑی رقم، B) فوجی عہدے میں ترقی، C) ان کی عزت اور سماجی حیثیت میں اضافہ، D) زمین کا ایک ٹکڑا")</f>
        <v>A) ایک بڑی رقم، B) فوجی عہدے میں ترقی، C) ان کی عزت اور سماجی حیثیت میں اضافہ، D) زمین کا ایک ٹکڑا</v>
      </c>
      <c r="M20" s="5" t="str">
        <f>IFERROR(__xludf.DUMMYFUNCTION("GOOGLETRANSLATE(D20, ""en"", ""ur"")"),"ج) ان کی عزت اور سماجی حیثیت کی بلندی۔")</f>
        <v>ج) ان کی عزت اور سماجی حیثیت کی بلندی۔</v>
      </c>
      <c r="N20" s="5" t="str">
        <f>IFERROR(__xludf.DUMMYFUNCTION("GOOGLETRANSLATE(E20, ""en"", ""ur"")"),"بزکشی میں فتح نے بہت بڑا وقار حاصل کیا، جس نے ایک کھلاڑی کو زبردست طاقت، مہارت اور ہمت کے آدمی کے طور پر نشان زد کیا۔")</f>
        <v>بزکشی میں فتح نے بہت بڑا وقار حاصل کیا، جس نے ایک کھلاڑی کو زبردست طاقت، مہارت اور ہمت کے آدمی کے طور پر نشان زد کیا۔</v>
      </c>
    </row>
    <row r="21">
      <c r="A21" s="3">
        <v>20.0</v>
      </c>
      <c r="B21" s="4" t="s">
        <v>1274</v>
      </c>
      <c r="C21" s="4" t="s">
        <v>1275</v>
      </c>
      <c r="D21" s="4" t="s">
        <v>1276</v>
      </c>
      <c r="E21" s="4" t="s">
        <v>1277</v>
      </c>
      <c r="J21" s="5" t="str">
        <f>IFERROR(__xludf.DUMMYFUNCTION("GOOGLETRANSLATE(A21, ""en"", ""ur"")"),"20")</f>
        <v>20</v>
      </c>
      <c r="K21" s="5" t="str">
        <f>IFERROR(__xludf.DUMMYFUNCTION("GOOGLETRANSLATE(B21, ""en"", ""ur"")"),"پشتون ثقافت میں، بزکشی اور ضابطہ اخلاق کے درمیان کیا تعلق ہے جسے پشتونوالی کہا جاتا ہے؟")</f>
        <v>پشتون ثقافت میں، بزکشی اور ضابطہ اخلاق کے درمیان کیا تعلق ہے جسے پشتونوالی کہا جاتا ہے؟</v>
      </c>
      <c r="L21" s="5" t="str">
        <f>IFERROR(__xludf.DUMMYFUNCTION("GOOGLETRANSLATE(C21, ""en"", ""ur"")"),"A) کوئی تعلق نہیں ہے، B) پشتونوالی کھیل سے منع کرتا ہے، C) کھیل کو پشتونوالی کی طرف سے دی گئی ہمت اور غیرت کے اظہار کے طور پر دیکھا جاتا ہے، D) پشتونوالی کھیل کے تحریری اصول فراہم کرتا ہے۔")</f>
        <v>A) کوئی تعلق نہیں ہے، B) پشتونوالی کھیل سے منع کرتا ہے، C) کھیل کو پشتونوالی کی طرف سے دی گئی ہمت اور غیرت کے اظہار کے طور پر دیکھا جاتا ہے، D) پشتونوالی کھیل کے تحریری اصول فراہم کرتا ہے۔</v>
      </c>
      <c r="M21" s="5" t="str">
        <f>IFERROR(__xludf.DUMMYFUNCTION("GOOGLETRANSLATE(D21, ""en"", ""ur"")"),"ج) کھیل کو پشتونوالی کی طرف سے دی گئی ہمت اور عزت کے اظہار کے طور پر دیکھا جاتا ہے۔")</f>
        <v>ج) کھیل کو پشتونوالی کی طرف سے دی گئی ہمت اور عزت کے اظہار کے طور پر دیکھا جاتا ہے۔</v>
      </c>
      <c r="N21" s="5" t="str">
        <f>IFERROR(__xludf.DUMMYFUNCTION("GOOGLETRANSLATE(E21, ""en"", ""ur"")"),"بزکشی کلیدی پشتون اقدار جیسے بہادری (تورا)، غیرت (ننگ) اور دشمنی کا جسمانی مظہر ہے۔")</f>
        <v>بزکشی کلیدی پشتون اقدار جیسے بہادری (تورا)، غیرت (ننگ) اور دشمنی کا جسمانی مظہر ہے۔</v>
      </c>
    </row>
    <row r="22">
      <c r="A22" s="3">
        <v>21.0</v>
      </c>
      <c r="B22" s="4" t="s">
        <v>1278</v>
      </c>
      <c r="C22" s="4" t="s">
        <v>1279</v>
      </c>
      <c r="D22" s="4" t="s">
        <v>1280</v>
      </c>
      <c r="E22" s="4" t="s">
        <v>1281</v>
      </c>
      <c r="J22" s="5" t="str">
        <f>IFERROR(__xludf.DUMMYFUNCTION("GOOGLETRANSLATE(A22, ""en"", ""ur"")"),"21")</f>
        <v>21</v>
      </c>
      <c r="K22" s="5" t="str">
        <f>IFERROR(__xludf.DUMMYFUNCTION("GOOGLETRANSLATE(B22, ""en"", ""ur"")"),"کون سا تاریخی متن، مغل بادشاہ کی یادداشتیں، بزکشی کے ابتدائی تحریری واقعات میں سے ایک پر مشتمل ہے؟")</f>
        <v>کون سا تاریخی متن، مغل بادشاہ کی یادداشتیں، بزکشی کے ابتدائی تحریری واقعات میں سے ایک پر مشتمل ہے؟</v>
      </c>
      <c r="L22" s="5" t="str">
        <f>IFERROR(__xludf.DUMMYFUNCTION("GOOGLETRANSLATE(C22, ""en"", ""ur"")"),"A) اکبر نامہ، B) شاہنامہ، C) بابر نامہ، D) تزک جہانگیری")</f>
        <v>A) اکبر نامہ، B) شاہنامہ، C) بابر نامہ، D) تزک جہانگیری</v>
      </c>
      <c r="M22" s="5" t="str">
        <f>IFERROR(__xludf.DUMMYFUNCTION("GOOGLETRANSLATE(D22, ""en"", ""ur"")"),"ج) بابرنامہ")</f>
        <v>ج) بابرنامہ</v>
      </c>
      <c r="N22" s="5" t="str">
        <f>IFERROR(__xludf.DUMMYFUNCTION("GOOGLETRANSLATE(E22, ""en"", ""ur"")"),"پہلے مغل شہنشاہ بابر کی یادداشتیں وسطی ایشیا کے کھیلوں اور رسم و رواج کو بیان کرتی ہیں، بشمول بزکشی کے مشاہدات۔")</f>
        <v>پہلے مغل شہنشاہ بابر کی یادداشتیں وسطی ایشیا کے کھیلوں اور رسم و رواج کو بیان کرتی ہیں، بشمول بزکشی کے مشاہدات۔</v>
      </c>
    </row>
    <row r="23">
      <c r="A23" s="3">
        <v>22.0</v>
      </c>
      <c r="B23" s="4" t="s">
        <v>1282</v>
      </c>
      <c r="C23" s="4" t="s">
        <v>1283</v>
      </c>
      <c r="D23" s="4" t="s">
        <v>361</v>
      </c>
      <c r="E23" s="4" t="s">
        <v>1284</v>
      </c>
      <c r="J23" s="5" t="str">
        <f>IFERROR(__xludf.DUMMYFUNCTION("GOOGLETRANSLATE(A23, ""en"", ""ur"")"),"22")</f>
        <v>22</v>
      </c>
      <c r="K23" s="5" t="str">
        <f>IFERROR(__xludf.DUMMYFUNCTION("GOOGLETRANSLATE(B23, ""en"", ""ur"")"),"بزکشی گھوڑوں کو تاریخی اعتبار سے قابل قدر قبائلی اثاثہ کیوں سمجھا جاتا تھا؟")</f>
        <v>بزکشی گھوڑوں کو تاریخی اعتبار سے قابل قدر قبائلی اثاثہ کیوں سمجھا جاتا تھا؟</v>
      </c>
      <c r="L23" s="5" t="str">
        <f>IFERROR(__xludf.DUMMYFUNCTION("GOOGLETRANSLATE(C23, ""en"", ""ur"")"),"A) سامان کے لئے ان کی تجارت کی جا سکتی تھی، B) وہ قبیلے کی عزت اور وقار کی نمائندگی کرتے تھے، C) وہ فوجی تیاری کے لئے ضروری تھے، D) مندرجہ بالا سبھی")</f>
        <v>A) سامان کے لئے ان کی تجارت کی جا سکتی تھی، B) وہ قبیلے کی عزت اور وقار کی نمائندگی کرتے تھے، C) وہ فوجی تیاری کے لئے ضروری تھے، D) مندرجہ بالا سبھی</v>
      </c>
      <c r="M23" s="5" t="str">
        <f>IFERROR(__xludf.DUMMYFUNCTION("GOOGLETRANSLATE(D23, ""en"", ""ur"")"),"D) مذکورہ بالا تمام")</f>
        <v>D) مذکورہ بالا تمام</v>
      </c>
      <c r="N23" s="5" t="str">
        <f>IFERROR(__xludf.DUMMYFUNCTION("GOOGLETRANSLATE(E23, ""en"", ""ur"")"),"تربیت یافتہ بزکشی گھوڑوں کا ایک قبیلہ اس کی دولت، عزت اور کھیل اور جنگ دونوں کے لیے تیاری کی علامت تھا۔")</f>
        <v>تربیت یافتہ بزکشی گھوڑوں کا ایک قبیلہ اس کی دولت، عزت اور کھیل اور جنگ دونوں کے لیے تیاری کی علامت تھا۔</v>
      </c>
    </row>
    <row r="24">
      <c r="A24" s="3">
        <v>23.0</v>
      </c>
      <c r="B24" s="4" t="s">
        <v>1285</v>
      </c>
      <c r="C24" s="4" t="s">
        <v>1286</v>
      </c>
      <c r="D24" s="4" t="s">
        <v>1287</v>
      </c>
      <c r="E24" s="4" t="s">
        <v>1288</v>
      </c>
      <c r="J24" s="5" t="str">
        <f>IFERROR(__xludf.DUMMYFUNCTION("GOOGLETRANSLATE(A24, ""en"", ""ur"")"),"23")</f>
        <v>23</v>
      </c>
      <c r="K24" s="5" t="str">
        <f>IFERROR(__xludf.DUMMYFUNCTION("GOOGLETRANSLATE(B24, ""en"", ""ur"")"),"افغانستان اور پاکستان سے باہر کس علاقے میں بزکشی کی مضبوط روایت ہے، اکثر شادی کے رسوم کے طور پر؟")</f>
        <v>افغانستان اور پاکستان سے باہر کس علاقے میں بزکشی کی مضبوط روایت ہے، اکثر شادی کے رسوم کے طور پر؟</v>
      </c>
      <c r="L24" s="5" t="str">
        <f>IFERROR(__xludf.DUMMYFUNCTION("GOOGLETRANSLATE(C24, ""en"", ""ur"")"),"A) شمالی ہندوستان، B) ایران کا خراسان علاقہ، C) مغربی چین، D) جزیرہ نما عرب")</f>
        <v>A) شمالی ہندوستان، B) ایران کا خراسان علاقہ، C) مغربی چین، D) جزیرہ نما عرب</v>
      </c>
      <c r="M24" s="5" t="str">
        <f>IFERROR(__xludf.DUMMYFUNCTION("GOOGLETRANSLATE(D24, ""en"", ""ur"")"),"ب) ایران کا خراسان علاقہ")</f>
        <v>ب) ایران کا خراسان علاقہ</v>
      </c>
      <c r="N24" s="5" t="str">
        <f>IFERROR(__xludf.DUMMYFUNCTION("GOOGLETRANSLATE(E24, ""en"", ""ur"")"),"شمال مشرقی ایران کے کچھ حصوں میں، یہ کھیل بڑی شادیوں اور ثقافتی تہواروں کی روایتی خصوصیت ہے، جو اس کی وسیع علاقائی جڑوں کو اجاگر کرتا ہے۔")</f>
        <v>شمال مشرقی ایران کے کچھ حصوں میں، یہ کھیل بڑی شادیوں اور ثقافتی تہواروں کی روایتی خصوصیت ہے، جو اس کی وسیع علاقائی جڑوں کو اجاگر کرتا ہے۔</v>
      </c>
    </row>
    <row r="25">
      <c r="A25" s="3">
        <v>24.0</v>
      </c>
      <c r="B25" s="4" t="s">
        <v>1289</v>
      </c>
      <c r="C25" s="4" t="s">
        <v>1290</v>
      </c>
      <c r="D25" s="4" t="s">
        <v>1291</v>
      </c>
      <c r="E25" s="4" t="s">
        <v>1292</v>
      </c>
      <c r="J25" s="5" t="str">
        <f>IFERROR(__xludf.DUMMYFUNCTION("GOOGLETRANSLATE(A25, ""en"", ""ur"")"),"24")</f>
        <v>24</v>
      </c>
      <c r="K25" s="5" t="str">
        <f>IFERROR(__xludf.DUMMYFUNCTION("GOOGLETRANSLATE(B25, ""en"", ""ur"")"),"20 ویں صدی کے کس افغان بادشاہ نے بزکشی کو قومی تقریبات کے لیے شہری اسٹیڈیم میں اسٹیج کر کے اسے جدید بنانے میں اہم کردار ادا کیا؟")</f>
        <v>20 ویں صدی کے کس افغان بادشاہ نے بزکشی کو قومی تقریبات کے لیے شہری اسٹیڈیم میں اسٹیج کر کے اسے جدید بنانے میں اہم کردار ادا کیا؟</v>
      </c>
      <c r="L25" s="5" t="str">
        <f>IFERROR(__xludf.DUMMYFUNCTION("GOOGLETRANSLATE(C25, ""en"", ""ur"")"),"A) امان اللہ خان، B) حبیب اللہ خان، C) محمد نادر شاہ، D) محمد ظاہر شاہ")</f>
        <v>A) امان اللہ خان، B) حبیب اللہ خان، C) محمد نادر شاہ، D) محمد ظاہر شاہ</v>
      </c>
      <c r="M25" s="5" t="str">
        <f>IFERROR(__xludf.DUMMYFUNCTION("GOOGLETRANSLATE(D25, ""en"", ""ur"")"),"ڈی) محمد ظاہر شاہ")</f>
        <v>ڈی) محمد ظاہر شاہ</v>
      </c>
      <c r="N25" s="5" t="str">
        <f>IFERROR(__xludf.DUMMYFUNCTION("GOOGLETRANSLATE(E25, ""en"", ""ur"")"),"اپنے طویل دور حکومت کے دوران، ظاہر شاہ نے بزکشی کو دیہی لوک کھیل سے ایک منظم قومی تماشے میں تبدیل کرنے میں مدد کی، جو اکثر کابل کے اسٹیڈیم میں کھیلا جاتا تھا۔")</f>
        <v>اپنے طویل دور حکومت کے دوران، ظاہر شاہ نے بزکشی کو دیہی لوک کھیل سے ایک منظم قومی تماشے میں تبدیل کرنے میں مدد کی، جو اکثر کابل کے اسٹیڈیم میں کھیلا جاتا تھا۔</v>
      </c>
    </row>
    <row r="26">
      <c r="A26" s="3">
        <v>25.0</v>
      </c>
      <c r="B26" s="4" t="s">
        <v>1293</v>
      </c>
      <c r="C26" s="4" t="s">
        <v>1294</v>
      </c>
      <c r="D26" s="4" t="s">
        <v>1295</v>
      </c>
      <c r="E26" s="4" t="s">
        <v>1296</v>
      </c>
      <c r="J26" s="5" t="str">
        <f>IFERROR(__xludf.DUMMYFUNCTION("GOOGLETRANSLATE(A26, ""en"", ""ur"")"),"25")</f>
        <v>25</v>
      </c>
      <c r="K26" s="5" t="str">
        <f>IFERROR(__xludf.DUMMYFUNCTION("GOOGLETRANSLATE(B26, ""en"", ""ur"")"),"14ویں صدی کا کون سا مصوری مخطوطہ خانہ بدوش کھیلوں کی ابتدائی بصری تصویروں میں سے کچھ فراہم کرتا ہے جو بزکشی سے مشابہت رکھتا ہے؟")</f>
        <v>14ویں صدی کا کون سا مصوری مخطوطہ خانہ بدوش کھیلوں کی ابتدائی بصری تصویروں میں سے کچھ فراہم کرتا ہے جو بزکشی سے مشابہت رکھتا ہے؟</v>
      </c>
      <c r="L26" s="5" t="str">
        <f>IFERROR(__xludf.DUMMYFUNCTION("GOOGLETRANSLATE(C26, ""en"", ""ur"")"),"A) جامع التواریخ (تاریخ کا مجموعہ)، ب) شاہنامہ (بادشاہوں کی کتاب)، سی) تاریخ راشدی، ڈی) بابر نامہ")</f>
        <v>A) جامع التواریخ (تاریخ کا مجموعہ)، ب) شاہنامہ (بادشاہوں کی کتاب)، سی) تاریخ راشدی، ڈی) بابر نامہ</v>
      </c>
      <c r="M26" s="5" t="str">
        <f>IFERROR(__xludf.DUMMYFUNCTION("GOOGLETRANSLATE(D26, ""en"", ""ur"")"),"الف) جامع التواریخ (تاریخ کا مجموعہ)")</f>
        <v>الف) جامع التواریخ (تاریخ کا مجموعہ)</v>
      </c>
      <c r="N26" s="5" t="str">
        <f>IFERROR(__xludf.DUMMYFUNCTION("GOOGLETRANSLATE(E26, ""en"", ""ur"")"),"راشدالدین کی اس تاریخی تصنیف میں منگول اور ترک قوموں کے گھڑ سواری کے کھیلوں کی تصویر کشی کی گئی ہے۔")</f>
        <v>راشدالدین کی اس تاریخی تصنیف میں منگول اور ترک قوموں کے گھڑ سواری کے کھیلوں کی تصویر کشی کی گئی ہے۔</v>
      </c>
    </row>
    <row r="27">
      <c r="A27" s="3">
        <v>26.0</v>
      </c>
      <c r="B27" s="4" t="s">
        <v>1297</v>
      </c>
      <c r="C27" s="4" t="s">
        <v>1298</v>
      </c>
      <c r="D27" s="4" t="s">
        <v>361</v>
      </c>
      <c r="E27" s="4" t="s">
        <v>1299</v>
      </c>
      <c r="J27" s="5" t="str">
        <f>IFERROR(__xludf.DUMMYFUNCTION("GOOGLETRANSLATE(A27, ""en"", ""ur"")"),"26")</f>
        <v>26</v>
      </c>
      <c r="K27" s="5" t="str">
        <f>IFERROR(__xludf.DUMMYFUNCTION("GOOGLETRANSLATE(B27, ""en"", ""ur"")"),"کچھ قدامت پسند اسلامی اسکالرز نے تاریخی طور پر بزکشی کی مخالفت کیوں کی؟")</f>
        <v>کچھ قدامت پسند اسلامی اسکالرز نے تاریخی طور پر بزکشی کی مخالفت کیوں کی؟</v>
      </c>
      <c r="L27" s="5" t="str">
        <f>IFERROR(__xludf.DUMMYFUNCTION("GOOGLETRANSLATE(C27, ""en"", ""ur"")"),"A) کیونکہ اس میں گھوڑے شامل تھے، B) جوئے کے ساتھ اس کی وابستگی اور جانوروں پر ہونے والے ظلم کی وجہ سے، C) کیونکہ یہ ایک قبل از اسلام روایت تھی، D) مندرجہ بالا سبھی")</f>
        <v>A) کیونکہ اس میں گھوڑے شامل تھے، B) جوئے کے ساتھ اس کی وابستگی اور جانوروں پر ہونے والے ظلم کی وجہ سے، C) کیونکہ یہ ایک قبل از اسلام روایت تھی، D) مندرجہ بالا سبھی</v>
      </c>
      <c r="M27" s="5" t="str">
        <f>IFERROR(__xludf.DUMMYFUNCTION("GOOGLETRANSLATE(D27, ""en"", ""ur"")"),"D) مذکورہ بالا تمام")</f>
        <v>D) مذکورہ بالا تمام</v>
      </c>
      <c r="N27" s="5" t="str">
        <f>IFERROR(__xludf.DUMMYFUNCTION("GOOGLETRANSLATE(E27, ""en"", ""ur"")"),"ناقدین نے بعض اوقات اس کھیل کی مخالفت کی کیونکہ جوا اکثر اس کے ساتھ ہوتا ہے، کھیل کی پرتشدد نوعیت، اور اس کی اسلام سے پہلے کی، شیطانی جڑیں تھیں۔")</f>
        <v>ناقدین نے بعض اوقات اس کھیل کی مخالفت کی کیونکہ جوا اکثر اس کے ساتھ ہوتا ہے، کھیل کی پرتشدد نوعیت، اور اس کی اسلام سے پہلے کی، شیطانی جڑیں تھیں۔</v>
      </c>
    </row>
    <row r="28">
      <c r="A28" s="3">
        <v>27.0</v>
      </c>
      <c r="B28" s="4" t="s">
        <v>1300</v>
      </c>
      <c r="C28" s="4" t="s">
        <v>1301</v>
      </c>
      <c r="D28" s="4" t="s">
        <v>1302</v>
      </c>
      <c r="E28" s="4" t="s">
        <v>1303</v>
      </c>
      <c r="J28" s="5" t="str">
        <f>IFERROR(__xludf.DUMMYFUNCTION("GOOGLETRANSLATE(A28, ""en"", ""ur"")"),"27")</f>
        <v>27</v>
      </c>
      <c r="K28" s="5" t="str">
        <f>IFERROR(__xludf.DUMMYFUNCTION("GOOGLETRANSLATE(B28, ""en"", ""ur"")"),"19ویں صدی کے کس برطانوی ایلچی نے کابل کی عدالت میں بزکشی کے پہلے تفصیلی یورپی اکاؤنٹس میں سے ایک فراہم کیا؟")</f>
        <v>19ویں صدی کے کس برطانوی ایلچی نے کابل کی عدالت میں بزکشی کے پہلے تفصیلی یورپی اکاؤنٹس میں سے ایک فراہم کیا؟</v>
      </c>
      <c r="L28" s="5" t="str">
        <f>IFERROR(__xludf.DUMMYFUNCTION("GOOGLETRANSLATE(C28, ""en"", ""ur"")"),"A) الیگزینڈر برنس، B) لارڈ کرزن، C) ماؤنٹ سٹورٹ ایلفنسٹون، D) ہنری رالنسن")</f>
        <v>A) الیگزینڈر برنس، B) لارڈ کرزن، C) ماؤنٹ سٹورٹ ایلفنسٹون، D) ہنری رالنسن</v>
      </c>
      <c r="M28" s="5" t="str">
        <f>IFERROR(__xludf.DUMMYFUNCTION("GOOGLETRANSLATE(D28, ""en"", ""ur"")"),"C) Mountstuart Elphinstone")</f>
        <v>C) Mountstuart Elphinstone</v>
      </c>
      <c r="N28" s="5" t="str">
        <f>IFERROR(__xludf.DUMMYFUNCTION("GOOGLETRANSLATE(E28, ""en"", ""ur"")"),"اپنے ""اکاؤنٹ آف دی کنگڈم آف کابل"" (1815) میں، ایلفنسٹن نے بزکشی کے افراتفری اور سنسنی خیز تماشے کو بیان کیا جب اس نے اسے دیکھا۔")</f>
        <v>اپنے "اکاؤنٹ آف دی کنگڈم آف کابل" (1815) میں، ایلفنسٹن نے بزکشی کے افراتفری اور سنسنی خیز تماشے کو بیان کیا جب اس نے اسے دیکھا۔</v>
      </c>
    </row>
    <row r="29">
      <c r="A29" s="3">
        <v>28.0</v>
      </c>
      <c r="B29" s="4" t="s">
        <v>1304</v>
      </c>
      <c r="C29" s="4" t="s">
        <v>1305</v>
      </c>
      <c r="D29" s="4" t="s">
        <v>1306</v>
      </c>
      <c r="E29" s="4" t="s">
        <v>1307</v>
      </c>
      <c r="J29" s="5" t="str">
        <f>IFERROR(__xludf.DUMMYFUNCTION("GOOGLETRANSLATE(A29, ""en"", ""ur"")"),"28")</f>
        <v>28</v>
      </c>
      <c r="K29" s="5" t="str">
        <f>IFERROR(__xludf.DUMMYFUNCTION("GOOGLETRANSLATE(B29, ""en"", ""ur"")"),"افغان سیاسی رہنما اکثر اپنی تقاریر میں بزکشی کو بطور استعارہ کیسے استعمال کرتے تھے؟")</f>
        <v>افغان سیاسی رہنما اکثر اپنی تقاریر میں بزکشی کو بطور استعارہ کیسے استعمال کرتے تھے؟</v>
      </c>
      <c r="L29" s="5" t="str">
        <f>IFERROR(__xludf.DUMMYFUNCTION("GOOGLETRANSLATE(C29, ""en"", ""ur"")"),"A) امن کی علامت کے طور پر، B) افغان سیاست کی انتشار اور شدید جدوجہد کے استعارہ کے طور پر، C) زراعت کی علامت کے طور پر، D) مذہبی عقیدت کے استعارہ کے طور پر")</f>
        <v>A) امن کی علامت کے طور پر، B) افغان سیاست کی انتشار اور شدید جدوجہد کے استعارہ کے طور پر، C) زراعت کی علامت کے طور پر، D) مذہبی عقیدت کے استعارہ کے طور پر</v>
      </c>
      <c r="M29" s="5" t="str">
        <f>IFERROR(__xludf.DUMMYFUNCTION("GOOGLETRANSLATE(D29, ""en"", ""ur"")"),"ب) افغان سیاست کی انتشار اور شدید جدوجہد کے استعارے کے طور پر")</f>
        <v>ب) افغان سیاست کی انتشار اور شدید جدوجہد کے استعارے کے طور پر</v>
      </c>
      <c r="N29" s="5" t="str">
        <f>IFERROR(__xludf.DUMMYFUNCTION("GOOGLETRANSLATE(E29, ""en"", ""ur"")"),"ایک انعام کے لیے کھیل کی شدید، کثیر رخی دشمنی کو اکثر ملک میں سیاسی اقتدار کی جدوجہد کی نوعیت کو بیان کرنے کے لیے استعمال کیا جاتا تھا۔")</f>
        <v>ایک انعام کے لیے کھیل کی شدید، کثیر رخی دشمنی کو اکثر ملک میں سیاسی اقتدار کی جدوجہد کی نوعیت کو بیان کرنے کے لیے استعمال کیا جاتا تھا۔</v>
      </c>
    </row>
    <row r="30">
      <c r="A30" s="3">
        <v>29.0</v>
      </c>
      <c r="B30" s="4" t="s">
        <v>1308</v>
      </c>
      <c r="C30" s="4" t="s">
        <v>1309</v>
      </c>
      <c r="D30" s="4" t="s">
        <v>1310</v>
      </c>
      <c r="E30" s="4" t="s">
        <v>1311</v>
      </c>
      <c r="J30" s="5" t="str">
        <f>IFERROR(__xludf.DUMMYFUNCTION("GOOGLETRANSLATE(A30, ""en"", ""ur"")"),"29")</f>
        <v>29</v>
      </c>
      <c r="K30" s="5" t="str">
        <f>IFERROR(__xludf.DUMMYFUNCTION("GOOGLETRANSLATE(B30, ""en"", ""ur"")"),"روایتی بزکشی میچ میں تماشائیوں نے کیا علامتی کردار ادا کیا؟")</f>
        <v>روایتی بزکشی میچ میں تماشائیوں نے کیا علامتی کردار ادا کیا؟</v>
      </c>
      <c r="L30" s="5" t="str">
        <f>IFERROR(__xludf.DUMMYFUNCTION("GOOGLETRANSLATE(C30, ""en"", ""ur"")"),"A) انہوں نے بطور جج کام کیا، B) وہ گواہ تھے جنہوں نے مقابلے میں جیتنے یا ہارنے والے اعزاز کی توثیق کی، C) انہوں نے انعامی رقم فراہم کی، D) ان کا کوئی علامتی کردار نہیں تھا۔")</f>
        <v>A) انہوں نے بطور جج کام کیا، B) وہ گواہ تھے جنہوں نے مقابلے میں جیتنے یا ہارنے والے اعزاز کی توثیق کی، C) انہوں نے انعامی رقم فراہم کی، D) ان کا کوئی علامتی کردار نہیں تھا۔</v>
      </c>
      <c r="M30" s="5" t="str">
        <f>IFERROR(__xludf.DUMMYFUNCTION("GOOGLETRANSLATE(D30, ""en"", ""ur"")"),"ب) وہ گواہ تھے جنہوں نے مقابلہ میں جیتنے یا ہارنے والے اعزاز کی توثیق کی۔")</f>
        <v>ب) وہ گواہ تھے جنہوں نے مقابلہ میں جیتنے یا ہارنے والے اعزاز کی توثیق کی۔</v>
      </c>
      <c r="N30" s="5" t="str">
        <f>IFERROR(__xludf.DUMMYFUNCTION("GOOGLETRANSLATE(E30, ""en"", ""ur"")"),"کمیونٹی کی موجودگی ضروری تھی۔ تماشائی غیر فعال مبصرین نہیں تھے بلکہ فعال شرکاء تھے جنہوں نے نتیجہ کو قانونی شکل دی اور کھیل کی سماجی اہمیت کو تقویت دی۔")</f>
        <v>کمیونٹی کی موجودگی ضروری تھی۔ تماشائی غیر فعال مبصرین نہیں تھے بلکہ فعال شرکاء تھے جنہوں نے نتیجہ کو قانونی شکل دی اور کھیل کی سماجی اہمیت کو تقویت دی۔</v>
      </c>
    </row>
    <row r="31">
      <c r="A31" s="3">
        <v>30.0</v>
      </c>
      <c r="B31" s="4" t="s">
        <v>1312</v>
      </c>
      <c r="C31" s="4" t="s">
        <v>1313</v>
      </c>
      <c r="D31" s="4" t="s">
        <v>1268</v>
      </c>
      <c r="E31" s="4" t="s">
        <v>1314</v>
      </c>
      <c r="J31" s="5" t="str">
        <f>IFERROR(__xludf.DUMMYFUNCTION("GOOGLETRANSLATE(A31, ""en"", ""ur"")"),"30")</f>
        <v>30</v>
      </c>
      <c r="K31" s="5" t="str">
        <f>IFERROR(__xludf.DUMMYFUNCTION("GOOGLETRANSLATE(B31, ""en"", ""ur"")"),"18ویں صدی کے کس حکمران نے قبائل کو متحد کرنے کے لیے اس وقت کے دارالحکومت قندھار میں بزکشی ٹورنامنٹس کو ادارہ بنایا؟")</f>
        <v>18ویں صدی کے کس حکمران نے قبائل کو متحد کرنے کے لیے اس وقت کے دارالحکومت قندھار میں بزکشی ٹورنامنٹس کو ادارہ بنایا؟</v>
      </c>
      <c r="L31" s="5" t="str">
        <f>IFERROR(__xludf.DUMMYFUNCTION("GOOGLETRANSLATE(C31, ""en"", ""ur"")"),"A) تیمور شاہ، B) زمان شاہ، C) احمد شاہ درانی، D) محمود شاہ")</f>
        <v>A) تیمور شاہ، B) زمان شاہ، C) احمد شاہ درانی، D) محمود شاہ</v>
      </c>
      <c r="M31" s="5" t="str">
        <f>IFERROR(__xludf.DUMMYFUNCTION("GOOGLETRANSLATE(D31, ""en"", ""ur"")"),"ج) احمد شاہ درانی")</f>
        <v>ج) احمد شاہ درانی</v>
      </c>
      <c r="N31" s="5" t="str">
        <f>IFERROR(__xludf.DUMMYFUNCTION("GOOGLETRANSLATE(E31, ""en"", ""ur"")"),"جدید افغانستان کے بانی نے اتحاد کو فروغ دینے اور اپنی طاقت کو ظاہر کرنے کے لیے بڑے، ریاستی سرپرستی والے ٹورنامنٹس کو سیاسی ہتھیار کے طور پر استعمال کیا۔")</f>
        <v>جدید افغانستان کے بانی نے اتحاد کو فروغ دینے اور اپنی طاقت کو ظاہر کرنے کے لیے بڑے، ریاستی سرپرستی والے ٹورنامنٹس کو سیاسی ہتھیار کے طور پر استعمال کیا۔</v>
      </c>
    </row>
    <row r="32">
      <c r="A32" s="3">
        <v>31.0</v>
      </c>
      <c r="B32" s="4" t="s">
        <v>1315</v>
      </c>
      <c r="C32" s="4" t="s">
        <v>1316</v>
      </c>
      <c r="D32" s="4" t="s">
        <v>1317</v>
      </c>
      <c r="E32" s="4" t="s">
        <v>1318</v>
      </c>
      <c r="J32" s="5" t="str">
        <f>IFERROR(__xludf.DUMMYFUNCTION("GOOGLETRANSLATE(A32, ""en"", ""ur"")"),"31")</f>
        <v>31</v>
      </c>
      <c r="K32" s="5" t="str">
        <f>IFERROR(__xludf.DUMMYFUNCTION("GOOGLETRANSLATE(B32, ""en"", ""ur"")"),"20ویں صدی میں، شمالی افغانستان کا کون سا شہر منظم، اعلیٰ سطحی بزکشی ٹورنامنٹس کا سب سے مشہور مرکز بن گیا، خاص طور پر نوروز کے دوران؟")</f>
        <v>20ویں صدی میں، شمالی افغانستان کا کون سا شہر منظم، اعلیٰ سطحی بزکشی ٹورنامنٹس کا سب سے مشہور مرکز بن گیا، خاص طور پر نوروز کے دوران؟</v>
      </c>
      <c r="L32" s="5" t="str">
        <f>IFERROR(__xludf.DUMMYFUNCTION("GOOGLETRANSLATE(C32, ""en"", ""ur"")"),"A) کابل، B) ہرات، C) مزار شریف، D) قندھار")</f>
        <v>A) کابل، B) ہرات، C) مزار شریف، D) قندھار</v>
      </c>
      <c r="M32" s="5" t="str">
        <f>IFERROR(__xludf.DUMMYFUNCTION("GOOGLETRANSLATE(D32, ""en"", ""ur"")"),"ج) مزار شریف")</f>
        <v>ج) مزار شریف</v>
      </c>
      <c r="N32" s="5" t="str">
        <f>IFERROR(__xludf.DUMMYFUNCTION("GOOGLETRANSLATE(E32, ""en"", ""ur"")"),"مزار شریف ملک بھر سے بہترین کھلاڑیوں کو اپنی طرف متوجہ کرنے والے سب سے بڑے اور باوقار قومی بزکشی ایونٹس کی میزبانی کے لیے مشہور ہے۔")</f>
        <v>مزار شریف ملک بھر سے بہترین کھلاڑیوں کو اپنی طرف متوجہ کرنے والے سب سے بڑے اور باوقار قومی بزکشی ایونٹس کی میزبانی کے لیے مشہور ہے۔</v>
      </c>
    </row>
    <row r="33">
      <c r="A33" s="3">
        <v>32.0</v>
      </c>
      <c r="B33" s="4" t="s">
        <v>1319</v>
      </c>
      <c r="C33" s="4" t="s">
        <v>1320</v>
      </c>
      <c r="D33" s="4" t="s">
        <v>1321</v>
      </c>
      <c r="E33" s="4" t="s">
        <v>1322</v>
      </c>
      <c r="J33" s="5" t="str">
        <f>IFERROR(__xludf.DUMMYFUNCTION("GOOGLETRANSLATE(A33, ""en"", ""ur"")"),"32")</f>
        <v>32</v>
      </c>
      <c r="K33" s="5" t="str">
        <f>IFERROR(__xludf.DUMMYFUNCTION("GOOGLETRANSLATE(B33, ""en"", ""ur"")"),"کس افغان بادشاہ نے لاش کے بجائے چمڑے کی معیاری گیند سے اس کھیل کو جدید بنانے کی کوشش کی؟")</f>
        <v>کس افغان بادشاہ نے لاش کے بجائے چمڑے کی معیاری گیند سے اس کھیل کو جدید بنانے کی کوشش کی؟</v>
      </c>
      <c r="L33" s="5" t="str">
        <f>IFERROR(__xludf.DUMMYFUNCTION("GOOGLETRANSLATE(C33, ""en"", ""ur"")"),"A) عبدالرحمن خان، B) امان اللہ خان، C) حبیب اللہ خان، D) ظاہر شاہ")</f>
        <v>A) عبدالرحمن خان، B) امان اللہ خان، C) حبیب اللہ خان، D) ظاہر شاہ</v>
      </c>
      <c r="M33" s="5" t="str">
        <f>IFERROR(__xludf.DUMMYFUNCTION("GOOGLETRANSLATE(D33, ""en"", ""ur"")"),"ڈی) ظاہر شاہ")</f>
        <v>ڈی) ظاہر شاہ</v>
      </c>
      <c r="N33" s="5" t="str">
        <f>IFERROR(__xludf.DUMMYFUNCTION("GOOGLETRANSLATE(E33, ""en"", ""ur"")"),"کھیل کو باضابطہ بنانے کی اپنی کوششوں کے ایک حصے کے طور پر، بادشاہ ظاہر شاہ کی حکومت نے روایتی لاش کے متبادل کے ساتھ تجربہ کیا، حالانکہ انہیں بڑے پیمانے پر اپنایا نہیں گیا تھا۔")</f>
        <v>کھیل کو باضابطہ بنانے کی اپنی کوششوں کے ایک حصے کے طور پر، بادشاہ ظاہر شاہ کی حکومت نے روایتی لاش کے متبادل کے ساتھ تجربہ کیا، حالانکہ انہیں بڑے پیمانے پر اپنایا نہیں گیا تھا۔</v>
      </c>
    </row>
    <row r="34">
      <c r="A34" s="3">
        <v>33.0</v>
      </c>
      <c r="B34" s="4" t="s">
        <v>1323</v>
      </c>
      <c r="C34" s="4" t="s">
        <v>1324</v>
      </c>
      <c r="D34" s="4" t="s">
        <v>1325</v>
      </c>
      <c r="E34" s="4" t="s">
        <v>1326</v>
      </c>
      <c r="J34" s="5" t="str">
        <f>IFERROR(__xludf.DUMMYFUNCTION("GOOGLETRANSLATE(A34, ""en"", ""ur"")"),"33")</f>
        <v>33</v>
      </c>
      <c r="K34" s="5" t="str">
        <f>IFERROR(__xludf.DUMMYFUNCTION("GOOGLETRANSLATE(B34, ""en"", ""ur"")"),"کرغزستان اور قازقستان میں کھیلے جانے والے گیم کے ورژن کے لیے کیا اصطلاح ہے، جو بزکشی کے ساتھ مشترک ہے؟")</f>
        <v>کرغزستان اور قازقستان میں کھیلے جانے والے گیم کے ورژن کے لیے کیا اصطلاح ہے، جو بزکشی کے ساتھ مشترک ہے؟</v>
      </c>
      <c r="L34" s="5" t="str">
        <f>IFERROR(__xludf.DUMMYFUNCTION("GOOGLETRANSLATE(C34, ""en"", ""ur"")"),"A) Kokpar، B) Chovgan، C) Baiga، D) Er Enish")</f>
        <v>A) Kokpar، B) Chovgan، C) Baiga، D) Er Enish</v>
      </c>
      <c r="M34" s="5" t="str">
        <f>IFERROR(__xludf.DUMMYFUNCTION("GOOGLETRANSLATE(D34, ""en"", ""ur"")"),"ا) کوکپر")</f>
        <v>ا) کوکپر</v>
      </c>
      <c r="N34" s="5" t="str">
        <f>IFERROR(__xludf.DUMMYFUNCTION("GOOGLETRANSLATE(E34, ""en"", ""ur"")"),"کوکپر کرغزستان اور قازقستان کا قومی کھیل ہے اور بزکاشی کا قریبی رشتہ دار ہے، اکثر ٹیم کے زیادہ باقاعدہ قوانین کے ساتھ۔")</f>
        <v>کوکپر کرغزستان اور قازقستان کا قومی کھیل ہے اور بزکاشی کا قریبی رشتہ دار ہے، اکثر ٹیم کے زیادہ باقاعدہ قوانین کے ساتھ۔</v>
      </c>
    </row>
    <row r="35">
      <c r="A35" s="3">
        <v>34.0</v>
      </c>
      <c r="B35" s="4" t="s">
        <v>1327</v>
      </c>
      <c r="C35" s="4" t="s">
        <v>1328</v>
      </c>
      <c r="D35" s="4" t="s">
        <v>1329</v>
      </c>
      <c r="E35" s="4" t="s">
        <v>1330</v>
      </c>
      <c r="J35" s="5" t="str">
        <f>IFERROR(__xludf.DUMMYFUNCTION("GOOGLETRANSLATE(A35, ""en"", ""ur"")"),"34")</f>
        <v>34</v>
      </c>
      <c r="K35" s="5" t="str">
        <f>IFERROR(__xludf.DUMMYFUNCTION("GOOGLETRANSLATE(B35, ""en"", ""ur"")"),"کیا تاریخی وجہ ہے کہ لاش عام طور پر بکری کی ہے نہ کہ بھیڑ کی؟")</f>
        <v>کیا تاریخی وجہ ہے کہ لاش عام طور پر بکری کی ہے نہ کہ بھیڑ کی؟</v>
      </c>
      <c r="L35" s="5" t="str">
        <f>IFERROR(__xludf.DUMMYFUNCTION("GOOGLETRANSLATE(C35, ""en"", ""ur"")"),"A) بکریوں کی تعداد زیادہ ہے، B) بکری کی کھال بھیڑ کی کھال سے زیادہ سخت اور پھاڑنے کا امکان کم ہے، C) یہ ایک مذہبی تقاضا ہے، D) بھیڑ کو مقدس سمجھا جاتا ہے۔")</f>
        <v>A) بکریوں کی تعداد زیادہ ہے، B) بکری کی کھال بھیڑ کی کھال سے زیادہ سخت اور پھاڑنے کا امکان کم ہے، C) یہ ایک مذہبی تقاضا ہے، D) بھیڑ کو مقدس سمجھا جاتا ہے۔</v>
      </c>
      <c r="M35" s="5" t="str">
        <f>IFERROR(__xludf.DUMMYFUNCTION("GOOGLETRANSLATE(D35, ""en"", ""ur"")"),"ب) بکری کی کھال بھیڑ کی کھال سے زیادہ سخت اور پھٹنے کا امکان کم ہے۔")</f>
        <v>ب) بکری کی کھال بھیڑ کی کھال سے زیادہ سخت اور پھٹنے کا امکان کم ہے۔</v>
      </c>
      <c r="N35" s="5" t="str">
        <f>IFERROR(__xludf.DUMMYFUNCTION("GOOGLETRANSLATE(E35, ""en"", ""ur"")"),"آبجیکٹ کی پائیداری اہم ہے۔ بکری کی کھال بھیڑ کے مقابلے میں پھاڑنے کے لیے بہت زیادہ مزاحم ہوتی ہے، جو اسے کھیل کے لیے بہتر بناتی ہے۔")</f>
        <v>آبجیکٹ کی پائیداری اہم ہے۔ بکری کی کھال بھیڑ کے مقابلے میں پھاڑنے کے لیے بہت زیادہ مزاحم ہوتی ہے، جو اسے کھیل کے لیے بہتر بناتی ہے۔</v>
      </c>
    </row>
    <row r="36">
      <c r="A36" s="3">
        <v>35.0</v>
      </c>
      <c r="B36" s="4" t="s">
        <v>1331</v>
      </c>
      <c r="C36" s="4" t="s">
        <v>1332</v>
      </c>
      <c r="D36" s="4" t="s">
        <v>1333</v>
      </c>
      <c r="E36" s="4" t="s">
        <v>1334</v>
      </c>
      <c r="J36" s="5" t="str">
        <f>IFERROR(__xludf.DUMMYFUNCTION("GOOGLETRANSLATE(A36, ""en"", ""ur"")"),"35")</f>
        <v>35</v>
      </c>
      <c r="K36" s="5" t="str">
        <f>IFERROR(__xludf.DUMMYFUNCTION("GOOGLETRANSLATE(B36, ""en"", ""ur"")"),"پشتون لوک داستانوں میں، بزکشی میں شرکت کے چیلنج سے انکار کو کس چیز کی علامت کے طور پر دیکھا جا سکتا ہے؟")</f>
        <v>پشتون لوک داستانوں میں، بزکشی میں شرکت کے چیلنج سے انکار کو کس چیز کی علامت کے طور پر دیکھا جا سکتا ہے؟</v>
      </c>
      <c r="L36" s="5" t="str">
        <f>IFERROR(__xludf.DUMMYFUNCTION("GOOGLETRANSLATE(C36, ""en"", ""ur"")"),"A) ذہانت، B) مذہبی تقویٰ، C) بزدلی، D) عاجزی")</f>
        <v>A) ذہانت، B) مذہبی تقویٰ، C) بزدلی، D) عاجزی</v>
      </c>
      <c r="M36" s="5" t="str">
        <f>IFERROR(__xludf.DUMMYFUNCTION("GOOGLETRANSLATE(D36, ""en"", ""ur"")"),"ج) بزدلی")</f>
        <v>ج) بزدلی</v>
      </c>
      <c r="N36" s="5" t="str">
        <f>IFERROR(__xludf.DUMMYFUNCTION("GOOGLETRANSLATE(E36, ""en"", ""ur"")"),"ایک ایسی ثقافت میں جو جنگجو کی خوبیوں کی قدر کرتی ہے، بہادری کے اس آخری امتحان میں حصہ لینے سے انکار کرنا سماجی حیثیت کے نقصان کا باعث بن سکتا ہے۔")</f>
        <v>ایک ایسی ثقافت میں جو جنگجو کی خوبیوں کی قدر کرتی ہے، بہادری کے اس آخری امتحان میں حصہ لینے سے انکار کرنا سماجی حیثیت کے نقصان کا باعث بن سکتا ہے۔</v>
      </c>
    </row>
    <row r="37">
      <c r="A37" s="3">
        <v>36.0</v>
      </c>
      <c r="B37" s="4" t="s">
        <v>1335</v>
      </c>
      <c r="C37" s="4" t="s">
        <v>1336</v>
      </c>
      <c r="D37" s="4" t="s">
        <v>1337</v>
      </c>
      <c r="E37" s="4" t="s">
        <v>1338</v>
      </c>
      <c r="J37" s="5" t="str">
        <f>IFERROR(__xludf.DUMMYFUNCTION("GOOGLETRANSLATE(A37, ""en"", ""ur"")"),"36")</f>
        <v>36</v>
      </c>
      <c r="K37" s="5" t="str">
        <f>IFERROR(__xludf.DUMMYFUNCTION("GOOGLETRANSLATE(B37, ""en"", ""ur"")"),"پاکستان کا کون سا قبائلی خطہ جو اپنی جنگی روایات کے لیے جانا جاتا ہے، بزکشی کی فتوحات کو قبائلی تنازعات میں جیت کی طرح باوقار سمجھتا ہے؟")</f>
        <v>پاکستان کا کون سا قبائلی خطہ جو اپنی جنگی روایات کے لیے جانا جاتا ہے، بزکشی کی فتوحات کو قبائلی تنازعات میں جیت کی طرح باوقار سمجھتا ہے؟</v>
      </c>
      <c r="L37" s="5" t="str">
        <f>IFERROR(__xludf.DUMMYFUNCTION("GOOGLETRANSLATE(C37, ""en"", ""ur"")"),"A) سوات، B) گلگت، C) وزیرستان، D) کالاش")</f>
        <v>A) سوات، B) گلگت، C) وزیرستان، D) کالاش</v>
      </c>
      <c r="M37" s="5" t="str">
        <f>IFERROR(__xludf.DUMMYFUNCTION("GOOGLETRANSLATE(D37, ""en"", ""ur"")"),"ج) وزیرستان")</f>
        <v>ج) وزیرستان</v>
      </c>
      <c r="N37" s="5" t="str">
        <f>IFERROR(__xludf.DUMMYFUNCTION("GOOGLETRANSLATE(E37, ""en"", ""ur"")"),"وزیرستان کے قبائل، اپنے مضبوط جنگی اخلاق کے ساتھ، بزکشی فتوحات کو جنگی صلاحیتوں کی علامت کے طور پر بے پناہ عزت اور وقار دیتے ہیں۔")</f>
        <v>وزیرستان کے قبائل، اپنے مضبوط جنگی اخلاق کے ساتھ، بزکشی فتوحات کو جنگی صلاحیتوں کی علامت کے طور پر بے پناہ عزت اور وقار دیتے ہیں۔</v>
      </c>
    </row>
    <row r="38">
      <c r="A38" s="3">
        <v>37.0</v>
      </c>
      <c r="B38" s="4" t="s">
        <v>1339</v>
      </c>
      <c r="C38" s="4" t="s">
        <v>1340</v>
      </c>
      <c r="D38" s="4" t="s">
        <v>1341</v>
      </c>
      <c r="E38" s="4" t="s">
        <v>1342</v>
      </c>
      <c r="J38" s="5" t="str">
        <f>IFERROR(__xludf.DUMMYFUNCTION("GOOGLETRANSLATE(A38, ""en"", ""ur"")"),"37")</f>
        <v>37</v>
      </c>
      <c r="K38" s="5" t="str">
        <f>IFERROR(__xludf.DUMMYFUNCTION("GOOGLETRANSLATE(B38, ""en"", ""ur"")"),"بنیادی وجہ کیا ہے کہ روایتی کھیلوں کے برعکس جدید، منظم میچوں کی ایک مقررہ وقت ہوتی ہے؟")</f>
        <v>بنیادی وجہ کیا ہے کہ روایتی کھیلوں کے برعکس جدید، منظم میچوں کی ایک مقررہ وقت ہوتی ہے؟</v>
      </c>
      <c r="L38" s="5" t="str">
        <f>IFERROR(__xludf.DUMMYFUNCTION("GOOGLETRANSLATE(C38, ""en"", ""ur"")"),"A) گھوڑے تھک جاتے ہیں، B) کھیل کو تماشائیوں کے لیے زیادہ موزوں بنانے اور ایونٹ کے جدید نظام الاوقات کے لیے، C) سواروں نے اس کی درخواست کی، D) ریفریز کے لیے آسان بنانے کے لیے")</f>
        <v>A) گھوڑے تھک جاتے ہیں، B) کھیل کو تماشائیوں کے لیے زیادہ موزوں بنانے اور ایونٹ کے جدید نظام الاوقات کے لیے، C) سواروں نے اس کی درخواست کی، D) ریفریز کے لیے آسان بنانے کے لیے</v>
      </c>
      <c r="M38" s="5" t="str">
        <f>IFERROR(__xludf.DUMMYFUNCTION("GOOGLETRANSLATE(D38, ""en"", ""ur"")"),"ب) کھیل کو تماشائیوں اور جدید ایونٹ کے شیڈولنگ کے لیے زیادہ موزوں بنانا")</f>
        <v>ب) کھیل کو تماشائیوں اور جدید ایونٹ کے شیڈولنگ کے لیے زیادہ موزوں بنانا</v>
      </c>
      <c r="N38" s="5" t="str">
        <f>IFERROR(__xludf.DUMMYFUNCTION("GOOGLETRANSLATE(E38, ""en"", ""ur"")"),"روایتی کھیل سارا دن چل سکتے ہیں۔ ایک مقررہ دورانیہ کھیل کو زیادہ منظم اور باضابطہ ٹورنامنٹس کے لیے پیش قیاسی بناتا ہے۔")</f>
        <v>روایتی کھیل سارا دن چل سکتے ہیں۔ ایک مقررہ دورانیہ کھیل کو زیادہ منظم اور باضابطہ ٹورنامنٹس کے لیے پیش قیاسی بناتا ہے۔</v>
      </c>
    </row>
    <row r="39">
      <c r="A39" s="3">
        <v>38.0</v>
      </c>
      <c r="B39" s="4" t="s">
        <v>1343</v>
      </c>
      <c r="C39" s="4" t="s">
        <v>1344</v>
      </c>
      <c r="D39" s="4" t="s">
        <v>1345</v>
      </c>
      <c r="E39" s="4" t="s">
        <v>1346</v>
      </c>
      <c r="J39" s="5" t="str">
        <f>IFERROR(__xludf.DUMMYFUNCTION("GOOGLETRANSLATE(A39, ""en"", ""ur"")"),"38")</f>
        <v>38</v>
      </c>
      <c r="K39" s="5" t="str">
        <f>IFERROR(__xludf.DUMMYFUNCTION("GOOGLETRANSLATE(B39, ""en"", ""ur"")"),"چپنداز کا لفظی معنی کیا ہے؟")</f>
        <v>چپنداز کا لفظی معنی کیا ہے؟</v>
      </c>
      <c r="L39" s="5" t="str">
        <f>IFERROR(__xludf.DUMMYFUNCTION("GOOGLETRANSLATE(C39, ""en"", ""ur"")"),"A) ""تیز سوار""، B) ""بکری پکڑنے والا""، C) ""چنایا ہوا ایک""، D) اس کا کوئی لغوی معنی نہیں ہے۔")</f>
        <v>A) "تیز سوار"، B) "بکری پکڑنے والا"، C) "چنایا ہوا ایک"، D) اس کا کوئی لغوی معنی نہیں ہے۔</v>
      </c>
      <c r="M39" s="5" t="str">
        <f>IFERROR(__xludf.DUMMYFUNCTION("GOOGLETRANSLATE(D39, ""en"", ""ur"")"),"A) ""فاسٹ رائڈر""")</f>
        <v>A) "فاسٹ رائڈر"</v>
      </c>
      <c r="N39" s="5" t="str">
        <f>IFERROR(__xludf.DUMMYFUNCTION("GOOGLETRANSLATE(E39, ""en"", ""ur"")"),"یہ اصطلاح ایک ماسٹر پلیئر کے لازمی معیار کی عکاسی کرتی ہے: گھوڑے کی پیٹھ پر غیر معمولی رفتار اور مہارت۔")</f>
        <v>یہ اصطلاح ایک ماسٹر پلیئر کے لازمی معیار کی عکاسی کرتی ہے: گھوڑے کی پیٹھ پر غیر معمولی رفتار اور مہارت۔</v>
      </c>
    </row>
    <row r="40">
      <c r="A40" s="3">
        <v>39.0</v>
      </c>
      <c r="B40" s="4" t="s">
        <v>1347</v>
      </c>
      <c r="C40" s="4" t="s">
        <v>1348</v>
      </c>
      <c r="D40" s="4" t="s">
        <v>1349</v>
      </c>
      <c r="E40" s="4" t="s">
        <v>1350</v>
      </c>
      <c r="J40" s="5" t="str">
        <f>IFERROR(__xludf.DUMMYFUNCTION("GOOGLETRANSLATE(A40, ""en"", ""ur"")"),"39")</f>
        <v>39</v>
      </c>
      <c r="K40" s="5" t="str">
        <f>IFERROR(__xludf.DUMMYFUNCTION("GOOGLETRANSLATE(B40, ""en"", ""ur"")"),"کس جنوبی ایشیائی کھیل کو اس کی شدید جسمانیت اور ثقافتی اہمیت کے لحاظ سے بزکشی سے اکثر موازنہ کیا جاتا ہے؟")</f>
        <v>کس جنوبی ایشیائی کھیل کو اس کی شدید جسمانیت اور ثقافتی اہمیت کے لحاظ سے بزکشی سے اکثر موازنہ کیا جاتا ہے؟</v>
      </c>
      <c r="L40" s="5" t="str">
        <f>IFERROR(__xludf.DUMMYFUNCTION("GOOGLETRANSLATE(C40, ""en"", ""ur"")"),"A) کبڈی، B) ملاکھمب، C) کشتی (پہلوان)، D) گلی ڈنڈا")</f>
        <v>A) کبڈی، B) ملاکھمب، C) کشتی (پہلوان)، D) گلی ڈنڈا</v>
      </c>
      <c r="M40" s="5" t="str">
        <f>IFERROR(__xludf.DUMMYFUNCTION("GOOGLETRANSLATE(D40, ""en"", ""ur"")"),"الف) کبڈی")</f>
        <v>الف) کبڈی</v>
      </c>
      <c r="N40" s="5" t="str">
        <f>IFERROR(__xludf.DUMMYFUNCTION("GOOGLETRANSLATE(E40, ""en"", ""ur"")"),"کبڈی اور بزکشی دونوں ہی اعلی رابطے والے، جسمانی طور پر ضرورت مند کھیل ہیں جو اپنے اپنے علاقوں کے ثقافتی تانے بانے اور اعزازی نظام میں گہرائی سے جڑے ہوئے ہیں۔")</f>
        <v>کبڈی اور بزکشی دونوں ہی اعلی رابطے والے، جسمانی طور پر ضرورت مند کھیل ہیں جو اپنے اپنے علاقوں کے ثقافتی تانے بانے اور اعزازی نظام میں گہرائی سے جڑے ہوئے ہیں۔</v>
      </c>
    </row>
    <row r="41">
      <c r="A41" s="3">
        <v>40.0</v>
      </c>
      <c r="B41" s="4" t="s">
        <v>1351</v>
      </c>
      <c r="C41" s="4" t="s">
        <v>1352</v>
      </c>
      <c r="D41" s="4" t="s">
        <v>435</v>
      </c>
      <c r="E41" s="4" t="s">
        <v>1353</v>
      </c>
      <c r="J41" s="5" t="str">
        <f>IFERROR(__xludf.DUMMYFUNCTION("GOOGLETRANSLATE(A41, ""en"", ""ur"")"),"40")</f>
        <v>40</v>
      </c>
      <c r="K41" s="5" t="str">
        <f>IFERROR(__xludf.DUMMYFUNCTION("GOOGLETRANSLATE(B41, ""en"", ""ur"")"),"بزکشی میں سوار اور ان کے گھوڑے کے درمیان بات چیت اکثر غیر زبانی کیوں ہوتی ہے؟")</f>
        <v>بزکشی میں سوار اور ان کے گھوڑے کے درمیان بات چیت اکثر غیر زبانی کیوں ہوتی ہے؟</v>
      </c>
      <c r="L41" s="5" t="str">
        <f>IFERROR(__xludf.DUMMYFUNCTION("GOOGLETRANSLATE(C41, ""en"", ""ur"")"),"A) ہجوم کا شور زبانی احکامات کو بیکار بنا دیتا ہے، B) سوار کے ہاتھ اکثر قبضے میں رہتے ہیں، جس کی وجہ سے انہیں باریک ٹانگ اور وزن کے اشارے استعمال کرنے کی ضرورت ہوتی ہے، C) گھوڑوں کو چیخنے چلانے کو نظر انداز کرنے کی تربیت دی جاتی ہے، D) A اور B دونوں")</f>
        <v>A) ہجوم کا شور زبانی احکامات کو بیکار بنا دیتا ہے، B) سوار کے ہاتھ اکثر قبضے میں رہتے ہیں، جس کی وجہ سے انہیں باریک ٹانگ اور وزن کے اشارے استعمال کرنے کی ضرورت ہوتی ہے، C) گھوڑوں کو چیخنے چلانے کو نظر انداز کرنے کی تربیت دی جاتی ہے، D) A اور B دونوں</v>
      </c>
      <c r="M41" s="5" t="str">
        <f>IFERROR(__xludf.DUMMYFUNCTION("GOOGLETRANSLATE(D41, ""en"", ""ur"")"),"D) A اور B دونوں")</f>
        <v>D) A اور B دونوں</v>
      </c>
      <c r="N41" s="5" t="str">
        <f>IFERROR(__xludf.DUMMYFUNCTION("GOOGLETRANSLATE(E41, ""en"", ""ur"")"),"کھیل کا افراتفری کا شور زبانی احکامات کو مشکل بنا دیتا ہے، اور سوار کو لاش کے لیے لڑنے کے لیے اپنے ہاتھوں کی ضرورت ہوتی ہے، اس لیے ٹھیک ٹھیک جسمانی اشاروں کے ذریعے کنٹرول حاصل کیا جانا چاہیے۔")</f>
        <v>کھیل کا افراتفری کا شور زبانی احکامات کو مشکل بنا دیتا ہے، اور سوار کو لاش کے لیے لڑنے کے لیے اپنے ہاتھوں کی ضرورت ہوتی ہے، اس لیے ٹھیک ٹھیک جسمانی اشاروں کے ذریعے کنٹرول حاصل کیا جانا چاہیے۔</v>
      </c>
    </row>
    <row r="42">
      <c r="A42" s="3">
        <v>41.0</v>
      </c>
      <c r="B42" s="4" t="s">
        <v>1354</v>
      </c>
      <c r="C42" s="4" t="s">
        <v>1355</v>
      </c>
      <c r="D42" s="4" t="s">
        <v>361</v>
      </c>
      <c r="E42" s="4" t="s">
        <v>1356</v>
      </c>
      <c r="J42" s="5" t="str">
        <f>IFERROR(__xludf.DUMMYFUNCTION("GOOGLETRANSLATE(A42, ""en"", ""ur"")"),"41")</f>
        <v>41</v>
      </c>
      <c r="K42" s="5" t="str">
        <f>IFERROR(__xludf.DUMMYFUNCTION("GOOGLETRANSLATE(B42, ""en"", ""ur"")"),"بزکشی کس طرح وسطی ایشیا کی تاریخی خانہ بدوش معیشت کی عکاسی کرتا ہے؟")</f>
        <v>بزکشی کس طرح وسطی ایشیا کی تاریخی خانہ بدوش معیشت کی عکاسی کرتا ہے؟</v>
      </c>
      <c r="L42" s="5" t="str">
        <f>IFERROR(__xludf.DUMMYFUNCTION("GOOGLETRANSLATE(C42, ""en"", ""ur"")"),"A) یہ گھوڑے بیچنے کا ایک طریقہ تھا، B) گھوڑا سب سے قیمتی اثاثہ تھا، اور کھیل اس دولت کی نمائش تھی، C) انعام اکثر مویشی ہوتے تھے، D) مندرجہ بالا سبھی")</f>
        <v>A) یہ گھوڑے بیچنے کا ایک طریقہ تھا، B) گھوڑا سب سے قیمتی اثاثہ تھا، اور کھیل اس دولت کی نمائش تھی، C) انعام اکثر مویشی ہوتے تھے، D) مندرجہ بالا سبھی</v>
      </c>
      <c r="M42" s="5" t="str">
        <f>IFERROR(__xludf.DUMMYFUNCTION("GOOGLETRANSLATE(D42, ""en"", ""ur"")"),"D) مذکورہ بالا تمام")</f>
        <v>D) مذکورہ بالا تمام</v>
      </c>
      <c r="N42" s="5" t="str">
        <f>IFERROR(__xludf.DUMMYFUNCTION("GOOGLETRANSLATE(E42, ""en"", ""ur"")"),"یہ کھیل جانوروں کی معیشت سے گہرا جڑا ہوا ہے، جو گھوڑوں اور مویشیوں کی قدر کے گرد گھومتا ہے، اور اکثر تجارت میں سہولت فراہم کرتا ہے۔")</f>
        <v>یہ کھیل جانوروں کی معیشت سے گہرا جڑا ہوا ہے، جو گھوڑوں اور مویشیوں کی قدر کے گرد گھومتا ہے، اور اکثر تجارت میں سہولت فراہم کرتا ہے۔</v>
      </c>
    </row>
    <row r="43">
      <c r="A43" s="3">
        <v>42.0</v>
      </c>
      <c r="B43" s="4" t="s">
        <v>1357</v>
      </c>
      <c r="C43" s="4" t="s">
        <v>1358</v>
      </c>
      <c r="D43" s="4" t="s">
        <v>361</v>
      </c>
      <c r="E43" s="4" t="s">
        <v>1359</v>
      </c>
      <c r="J43" s="5" t="str">
        <f>IFERROR(__xludf.DUMMYFUNCTION("GOOGLETRANSLATE(A43, ""en"", ""ur"")"),"42")</f>
        <v>42</v>
      </c>
      <c r="K43" s="5" t="str">
        <f>IFERROR(__xludf.DUMMYFUNCTION("GOOGLETRANSLATE(B43, ""en"", ""ur"")"),"چیمپیئن بزکشی گھوڑوں کی افزائش کے لیے مشہور خاندان کی کیا اہمیت ہے؟")</f>
        <v>چیمپیئن بزکشی گھوڑوں کی افزائش کے لیے مشہور خاندان کی کیا اہمیت ہے؟</v>
      </c>
      <c r="L43" s="5" t="str">
        <f>IFERROR(__xludf.DUMMYFUNCTION("GOOGLETRANSLATE(C43, ""en"", ""ur"")"),"A) وہ اکثر دولت مند ہوتے ہیں، B) وہ اعلیٰ سماجی وقار اور اعزاز کے حامل ہوتے ہیں، C) وہ گھڑ سواری کے ماہر سمجھے جاتے ہیں، D) مندرجہ بالا سبھی")</f>
        <v>A) وہ اکثر دولت مند ہوتے ہیں، B) وہ اعلیٰ سماجی وقار اور اعزاز کے حامل ہوتے ہیں، C) وہ گھڑ سواری کے ماہر سمجھے جاتے ہیں، D) مندرجہ بالا سبھی</v>
      </c>
      <c r="M43" s="5" t="str">
        <f>IFERROR(__xludf.DUMMYFUNCTION("GOOGLETRANSLATE(D43, ""en"", ""ur"")"),"D) مذکورہ بالا تمام")</f>
        <v>D) مذکورہ بالا تمام</v>
      </c>
      <c r="N43" s="5" t="str">
        <f>IFERROR(__xludf.DUMMYFUNCTION("GOOGLETRANSLATE(E43, ""en"", ""ur"")"),"بزکشی گھوڑوں کی کامیاب افزائش ایک قابل احترام فن ہے جو خاندان یا قبیلے کے لیے بڑی عزت اور مقام لاتا ہے۔")</f>
        <v>بزکشی گھوڑوں کی کامیاب افزائش ایک قابل احترام فن ہے جو خاندان یا قبیلے کے لیے بڑی عزت اور مقام لاتا ہے۔</v>
      </c>
    </row>
    <row r="44">
      <c r="A44" s="3">
        <v>43.0</v>
      </c>
      <c r="B44" s="4" t="s">
        <v>1360</v>
      </c>
      <c r="C44" s="4" t="s">
        <v>1361</v>
      </c>
      <c r="D44" s="4" t="s">
        <v>1362</v>
      </c>
      <c r="E44" s="4" t="s">
        <v>1363</v>
      </c>
      <c r="J44" s="5" t="str">
        <f>IFERROR(__xludf.DUMMYFUNCTION("GOOGLETRANSLATE(A44, ""en"", ""ur"")"),"43")</f>
        <v>43</v>
      </c>
      <c r="K44" s="5" t="str">
        <f>IFERROR(__xludf.DUMMYFUNCTION("GOOGLETRANSLATE(B44, ""en"", ""ur"")"),"20 ویں صدی کے کس تنازعے نے بزکشی کو افغان مزاحمت اور قومی شناخت کی علامت کے طور پر استعمال کیا؟")</f>
        <v>20 ویں صدی کے کس تنازعے نے بزکشی کو افغان مزاحمت اور قومی شناخت کی علامت کے طور پر استعمال کیا؟</v>
      </c>
      <c r="L44" s="5" t="str">
        <f>IFERROR(__xludf.DUMMYFUNCTION("GOOGLETRANSLATE(C44, ""en"", ""ur"")"),"A) افغان خانہ جنگی، B) دوسری اینگلو-افغان جنگ، C) سوویت-افغان جنگ، D) تیسری اینگلو-افغان جنگ")</f>
        <v>A) افغان خانہ جنگی، B) دوسری اینگلو-افغان جنگ، C) سوویت-افغان جنگ، D) تیسری اینگلو-افغان جنگ</v>
      </c>
      <c r="M44" s="5" t="str">
        <f>IFERROR(__xludf.DUMMYFUNCTION("GOOGLETRANSLATE(D44, ""en"", ""ur"")"),"ج) سوویت افغان جنگ")</f>
        <v>ج) سوویت افغان جنگ</v>
      </c>
      <c r="N44" s="5" t="str">
        <f>IFERROR(__xludf.DUMMYFUNCTION("GOOGLETRANSLATE(E44, ""en"", ""ur"")"),"جنگ کے دوران، یہ گیم مجاہدین کی لچک، جنگجو جذبے اور اپنے وطن سے محبت کی ایک طاقتور علامت بن گئی، جسے فلم ""دی ہارس مین"" میں دکھایا گیا ہے۔")</f>
        <v>جنگ کے دوران، یہ گیم مجاہدین کی لچک، جنگجو جذبے اور اپنے وطن سے محبت کی ایک طاقتور علامت بن گئی، جسے فلم "دی ہارس مین" میں دکھایا گیا ہے۔</v>
      </c>
    </row>
    <row r="45">
      <c r="A45" s="3">
        <v>44.0</v>
      </c>
      <c r="B45" s="4" t="s">
        <v>1364</v>
      </c>
      <c r="C45" s="4" t="s">
        <v>1365</v>
      </c>
      <c r="D45" s="4" t="s">
        <v>1366</v>
      </c>
      <c r="E45" s="4" t="s">
        <v>1367</v>
      </c>
      <c r="J45" s="5" t="str">
        <f>IFERROR(__xludf.DUMMYFUNCTION("GOOGLETRANSLATE(A45, ""en"", ""ur"")"),"44")</f>
        <v>44</v>
      </c>
      <c r="K45" s="5" t="str">
        <f>IFERROR(__xludf.DUMMYFUNCTION("GOOGLETRANSLATE(B45, ""en"", ""ur"")"),"گھوڑوں کی ٹانگیں اکثر میچ کے لیے حفاظتی پٹیوں میں کیوں لپیٹی جاتی ہیں؟")</f>
        <v>گھوڑوں کی ٹانگیں اکثر میچ کے لیے حفاظتی پٹیوں میں کیوں لپیٹی جاتی ہیں؟</v>
      </c>
      <c r="L45" s="5" t="str">
        <f>IFERROR(__xludf.DUMMYFUNCTION("GOOGLETRANSLATE(C45, ""en"", ""ur"")"),"A) سجاوٹ کے لئے، B) سکرم میں دوسرے گھوڑوں کے کھروں سے کھرچنے اور مارنے سے بچانے کے لئے، C) گھوڑے کو تیز چلانے کے لئے، D) تربیت کے لئے وزن میں اضافہ کرنا")</f>
        <v>A) سجاوٹ کے لئے، B) سکرم میں دوسرے گھوڑوں کے کھروں سے کھرچنے اور مارنے سے بچانے کے لئے، C) گھوڑے کو تیز چلانے کے لئے، D) تربیت کے لئے وزن میں اضافہ کرنا</v>
      </c>
      <c r="M45" s="5" t="str">
        <f>IFERROR(__xludf.DUMMYFUNCTION("GOOGLETRANSLATE(D45, ""en"", ""ur"")"),"ب) سکرم میں دوسرے گھوڑوں کے کھروں سے کھرچنے اور مارنے سے بچانے کے لیے")</f>
        <v>ب) سکرم میں دوسرے گھوڑوں کے کھروں سے کھرچنے اور مارنے سے بچانے کے لیے</v>
      </c>
      <c r="N45" s="5" t="str">
        <f>IFERROR(__xludf.DUMMYFUNCTION("GOOGLETRANSLATE(E45, ""en"", ""ur"")"),"سکرم پھڑپھڑاتے کھروں کا ایک افراتفری کا مرکب ہے، اور یہ پٹیاں کٹوتیوں اور اثر سے ہونے والی چوٹوں کے خلاف تحفظ کی ایک اہم تہہ فراہم کرتی ہیں۔")</f>
        <v>سکرم پھڑپھڑاتے کھروں کا ایک افراتفری کا مرکب ہے، اور یہ پٹیاں کٹوتیوں اور اثر سے ہونے والی چوٹوں کے خلاف تحفظ کی ایک اہم تہہ فراہم کرتی ہیں۔</v>
      </c>
    </row>
    <row r="46">
      <c r="A46" s="3">
        <v>45.0</v>
      </c>
      <c r="B46" s="4" t="s">
        <v>1368</v>
      </c>
      <c r="C46" s="4" t="s">
        <v>1369</v>
      </c>
      <c r="D46" s="4" t="s">
        <v>1370</v>
      </c>
      <c r="E46" s="4" t="s">
        <v>1371</v>
      </c>
      <c r="J46" s="5" t="str">
        <f>IFERROR(__xludf.DUMMYFUNCTION("GOOGLETRANSLATE(A46, ""en"", ""ur"")"),"45")</f>
        <v>45</v>
      </c>
      <c r="K46" s="5" t="str">
        <f>IFERROR(__xludf.DUMMYFUNCTION("GOOGLETRANSLATE(B46, ""en"", ""ur"")"),"ایک مکمل تربیت یافتہ، اشرافیہ بزکشی گھوڑے کی زیادہ قیمت کی بنیادی وجہ کیا ہے؟")</f>
        <v>ایک مکمل تربیت یافتہ، اشرافیہ بزکشی گھوڑے کی زیادہ قیمت کی بنیادی وجہ کیا ہے؟</v>
      </c>
      <c r="L46" s="5" t="str">
        <f>IFERROR(__xludf.DUMMYFUNCTION("GOOGLETRANSLATE(C46, ""en"", ""ur"")"),"A) اس کی کاٹھی اور لگام کی قیمت، B) 5-10 سال کی گہری، خصوصی تربیت اس نے حاصل کی ہے، C) یہ ایک نایاب، درآمد شدہ نسل ہے، D) اس کے کھانے کی قیمت")</f>
        <v>A) اس کی کاٹھی اور لگام کی قیمت، B) 5-10 سال کی گہری، خصوصی تربیت اس نے حاصل کی ہے، C) یہ ایک نایاب، درآمد شدہ نسل ہے، D) اس کے کھانے کی قیمت</v>
      </c>
      <c r="M46" s="5" t="str">
        <f>IFERROR(__xludf.DUMMYFUNCTION("GOOGLETRANSLATE(D46, ""en"", ""ur"")"),"ب) 5-10 سال کی شدید، خصوصی تربیت اسے حاصل ہوئی ہے۔")</f>
        <v>ب) 5-10 سال کی شدید، خصوصی تربیت اسے حاصل ہوئی ہے۔</v>
      </c>
      <c r="N46" s="5" t="str">
        <f>IFERROR(__xludf.DUMMYFUNCTION("GOOGLETRANSLATE(E46, ""en"", ""ur"")"),"ایک اعلیٰ بزکشی گھوڑے کی اہمیت بنیادی طور پر اس کی وسیع تربیت اور تجربے میں ہوتی ہے، جسے تیار کرنے میں کئی سال اور بڑی مہارت درکار ہوتی ہے۔")</f>
        <v>ایک اعلیٰ بزکشی گھوڑے کی اہمیت بنیادی طور پر اس کی وسیع تربیت اور تجربے میں ہوتی ہے، جسے تیار کرنے میں کئی سال اور بڑی مہارت درکار ہوتی ہے۔</v>
      </c>
    </row>
    <row r="47">
      <c r="A47" s="3">
        <v>46.0</v>
      </c>
      <c r="B47" s="4" t="s">
        <v>1372</v>
      </c>
      <c r="C47" s="4" t="s">
        <v>1373</v>
      </c>
      <c r="D47" s="4" t="s">
        <v>1374</v>
      </c>
      <c r="E47" s="4" t="s">
        <v>1375</v>
      </c>
      <c r="J47" s="5" t="str">
        <f>IFERROR(__xludf.DUMMYFUNCTION("GOOGLETRANSLATE(A47, ""en"", ""ur"")"),"46")</f>
        <v>46</v>
      </c>
      <c r="K47" s="5" t="str">
        <f>IFERROR(__xludf.DUMMYFUNCTION("GOOGLETRANSLATE(B47, ""en"", ""ur"")"),"کس وسطی ایشیائی رہنما نے مشہور طور پر بزکشی کو ریاستی تہواروں میں شامل کیا تاکہ فوجی روایت کو قومی جشن کے ساتھ ملایا جا سکے۔")</f>
        <v>کس وسطی ایشیائی رہنما نے مشہور طور پر بزکشی کو ریاستی تہواروں میں شامل کیا تاکہ فوجی روایت کو قومی جشن کے ساتھ ملایا جا سکے۔</v>
      </c>
      <c r="L47" s="5" t="str">
        <f>IFERROR(__xludf.DUMMYFUNCTION("GOOGLETRANSLATE(C47, ""en"", ""ur"")"),"A) اسماعیل سامانی، B) بابر، C) تیمور (Tamerlane) D) علیشیر نوئی")</f>
        <v>A) اسماعیل سامانی، B) بابر، C) تیمور (Tamerlane) D) علیشیر نوئی</v>
      </c>
      <c r="M47" s="5" t="str">
        <f>IFERROR(__xludf.DUMMYFUNCTION("GOOGLETRANSLATE(D47, ""en"", ""ur"")"),"ج) تیمور (ٹیمرلین)")</f>
        <v>ج) تیمور (ٹیمرلین)</v>
      </c>
      <c r="N47" s="5" t="str">
        <f>IFERROR(__xludf.DUMMYFUNCTION("GOOGLETRANSLATE(E47, ""en"", ""ur"")"),"تیمور نے بڑے پیمانے پر بزکشی واقعات کو اپنی طاقت کا مظاہرہ کرنے، اپنے فوجیوں کو تفریح ​​فراہم کرنے اور اپنی سلطنت کی جنگی روایات کو تقویت دینے کے لیے استعمال کیا۔")</f>
        <v>تیمور نے بڑے پیمانے پر بزکشی واقعات کو اپنی طاقت کا مظاہرہ کرنے، اپنے فوجیوں کو تفریح ​​فراہم کرنے اور اپنی سلطنت کی جنگی روایات کو تقویت دینے کے لیے استعمال کیا۔</v>
      </c>
    </row>
    <row r="48">
      <c r="A48" s="3">
        <v>47.0</v>
      </c>
      <c r="B48" s="4" t="s">
        <v>1376</v>
      </c>
      <c r="C48" s="4" t="s">
        <v>1377</v>
      </c>
      <c r="D48" s="4" t="s">
        <v>1378</v>
      </c>
      <c r="E48" s="4" t="s">
        <v>1379</v>
      </c>
      <c r="J48" s="5" t="str">
        <f>IFERROR(__xludf.DUMMYFUNCTION("GOOGLETRANSLATE(A48, ""en"", ""ur"")"),"47")</f>
        <v>47</v>
      </c>
      <c r="K48" s="5" t="str">
        <f>IFERROR(__xludf.DUMMYFUNCTION("GOOGLETRANSLATE(B48, ""en"", ""ur"")"),"بزکشی لوک داستانوں میں چپنداز اور اس کے گھوڑے کے تعلق کے بارے میں اکثر کیا کہا جاتا ہے؟")</f>
        <v>بزکشی لوک داستانوں میں چپنداز اور اس کے گھوڑے کے تعلق کے بارے میں اکثر کیا کہا جاتا ہے؟</v>
      </c>
      <c r="L48" s="5" t="str">
        <f>IFERROR(__xludf.DUMMYFUNCTION("GOOGLETRANSLATE(C48, ""en"", ""ur"")"),"A) یہ خالصتاً جیتنے کا ایک آلہ ہے، B) ان کے بارے میں کہا جاتا ہے کہ وہ ایک ہی دماغ اور جذبے میں شریک ہیں، C) گھوڑا سوار سے زیادہ اہم ہے، D) سوار کو خوف کے ذریعے گھوڑے پر غلبہ حاصل کرنا چاہیے۔")</f>
        <v>A) یہ خالصتاً جیتنے کا ایک آلہ ہے، B) ان کے بارے میں کہا جاتا ہے کہ وہ ایک ہی دماغ اور جذبے میں شریک ہیں، C) گھوڑا سوار سے زیادہ اہم ہے، D) سوار کو خوف کے ذریعے گھوڑے پر غلبہ حاصل کرنا چاہیے۔</v>
      </c>
      <c r="M48" s="5" t="str">
        <f>IFERROR(__xludf.DUMMYFUNCTION("GOOGLETRANSLATE(D48, ""en"", ""ur"")"),"ب) کہا جاتا ہے کہ وہ ایک ہی دماغ اور روح کا اشتراک کرتے ہیں۔")</f>
        <v>ب) کہا جاتا ہے کہ وہ ایک ہی دماغ اور روح کا اشتراک کرتے ہیں۔</v>
      </c>
      <c r="N48" s="5" t="str">
        <f>IFERROR(__xludf.DUMMYFUNCTION("GOOGLETRANSLATE(E48, ""en"", ""ur"")"),"گھوڑے اور سوار کے درمیان تعلق افسانوی ہے، جسے اکثر صوفیانہ اصطلاحات میں کامل تفہیم اور اعتماد کی شراکت کے طور پر بیان کیا جاتا ہے۔")</f>
        <v>گھوڑے اور سوار کے درمیان تعلق افسانوی ہے، جسے اکثر صوفیانہ اصطلاحات میں کامل تفہیم اور اعتماد کی شراکت کے طور پر بیان کیا جاتا ہے۔</v>
      </c>
    </row>
    <row r="49">
      <c r="A49" s="3">
        <v>48.0</v>
      </c>
      <c r="B49" s="4" t="s">
        <v>1380</v>
      </c>
      <c r="C49" s="4" t="s">
        <v>1381</v>
      </c>
      <c r="D49" s="4" t="s">
        <v>1382</v>
      </c>
      <c r="E49" s="4" t="s">
        <v>1383</v>
      </c>
      <c r="J49" s="5" t="str">
        <f>IFERROR(__xludf.DUMMYFUNCTION("GOOGLETRANSLATE(A49, ""en"", ""ur"")"),"48")</f>
        <v>48</v>
      </c>
      <c r="K49" s="5" t="str">
        <f>IFERROR(__xludf.DUMMYFUNCTION("GOOGLETRANSLATE(B49, ""en"", ""ur"")"),"بزکشی میں گھوڑے کے طاقتور ہندکوارٹر کا بنیادی کردار کیا ہے؟")</f>
        <v>بزکشی میں گھوڑے کے طاقتور ہندکوارٹر کا بنیادی کردار کیا ہے؟</v>
      </c>
      <c r="L49" s="5" t="str">
        <f>IFERROR(__xludf.DUMMYFUNCTION("GOOGLETRANSLATE(C49, ""en"", ""ur"")"),"A) توازن کے لیے، B) مخالفین کو لات مارنے کے لیے، C) اسکرم سے الگ ہونے کے لیے درکار دھماکہ خیز سرعت فراہم کرنے کے لیے، D) سجاوٹ کے لیے")</f>
        <v>A) توازن کے لیے، B) مخالفین کو لات مارنے کے لیے، C) اسکرم سے الگ ہونے کے لیے درکار دھماکہ خیز سرعت فراہم کرنے کے لیے، D) سجاوٹ کے لیے</v>
      </c>
      <c r="M49" s="5" t="str">
        <f>IFERROR(__xludf.DUMMYFUNCTION("GOOGLETRANSLATE(D49, ""en"", ""ur"")"),"C) اسکرم سے دور ہونے کے لیے درکار دھماکہ خیز سرعت فراہم کرنے کے لیے")</f>
        <v>C) اسکرم سے دور ہونے کے لیے درکار دھماکہ خیز سرعت فراہم کرنے کے لیے</v>
      </c>
      <c r="N49" s="5" t="str">
        <f>IFERROR(__xludf.DUMMYFUNCTION("GOOGLETRANSLATE(E49, ""en"", ""ur"")"),"گھوڑے کا ""انجن"" اس کے عقب میں ہوتا ہے، اور طاقتور پچھلی ٹانگیں اس رفتار کے پھٹنے کے لیے ضروری ہیں جو کھیل کی وضاحت کرتی ہیں۔")</f>
        <v>گھوڑے کا "انجن" اس کے عقب میں ہوتا ہے، اور طاقتور پچھلی ٹانگیں اس رفتار کے پھٹنے کے لیے ضروری ہیں جو کھیل کی وضاحت کرتی ہیں۔</v>
      </c>
    </row>
    <row r="50">
      <c r="A50" s="3">
        <v>49.0</v>
      </c>
      <c r="B50" s="4" t="s">
        <v>1384</v>
      </c>
      <c r="C50" s="4" t="s">
        <v>1385</v>
      </c>
      <c r="D50" s="4" t="s">
        <v>1386</v>
      </c>
      <c r="E50" s="4" t="s">
        <v>1387</v>
      </c>
      <c r="J50" s="5" t="str">
        <f>IFERROR(__xludf.DUMMYFUNCTION("GOOGLETRANSLATE(A50, ""en"", ""ur"")"),"49")</f>
        <v>49</v>
      </c>
      <c r="K50" s="5" t="str">
        <f>IFERROR(__xludf.DUMMYFUNCTION("GOOGLETRANSLATE(B50, ""en"", ""ur"")"),"ٹورنامنٹ میں، ٹائی ٹوٹنے کا سب سے عام طریقہ کیا ہے؟")</f>
        <v>ٹورنامنٹ میں، ٹائی ٹوٹنے کا سب سے عام طریقہ کیا ہے؟</v>
      </c>
      <c r="L50" s="5" t="str">
        <f>IFERROR(__xludf.DUMMYFUNCTION("GOOGLETRANSLATE(C50, ""en"", ""ur"")"),"A) سکے کا ٹاس، B) سب سے کم فاؤل جیتنے والی ٹیم، C) کھیل کا ایک اضافی وقفہ رکھا جاتا ہے، D) وہ ٹیم جس نے آخری جیت حاصل کی")</f>
        <v>A) سکے کا ٹاس، B) سب سے کم فاؤل جیتنے والی ٹیم، C) کھیل کا ایک اضافی وقفہ رکھا جاتا ہے، D) وہ ٹیم جس نے آخری جیت حاصل کی</v>
      </c>
      <c r="M50" s="5" t="str">
        <f>IFERROR(__xludf.DUMMYFUNCTION("GOOGLETRANSLATE(D50, ""en"", ""ur"")"),"C) کھیل کی ایک اضافی مدت منعقد کی جاتی ہے۔")</f>
        <v>C) کھیل کی ایک اضافی مدت منعقد کی جاتی ہے۔</v>
      </c>
      <c r="N50" s="5" t="str">
        <f>IFERROR(__xludf.DUMMYFUNCTION("GOOGLETRANSLATE(E50, ""en"", ""ur"")"),"ایک باضابطہ میچ میں جس میں واضح فاتح کی ضرورت ہوتی ہے، اوور ٹائم کی مدت ٹائی توڑنے کا معیاری طریقہ ہے۔")</f>
        <v>ایک باضابطہ میچ میں جس میں واضح فاتح کی ضرورت ہوتی ہے، اوور ٹائم کی مدت ٹائی توڑنے کا معیاری طریقہ ہے۔</v>
      </c>
    </row>
    <row r="51">
      <c r="A51" s="3">
        <v>50.0</v>
      </c>
      <c r="B51" s="4" t="s">
        <v>1388</v>
      </c>
      <c r="C51" s="4" t="s">
        <v>1389</v>
      </c>
      <c r="D51" s="4" t="s">
        <v>1390</v>
      </c>
      <c r="E51" s="4" t="s">
        <v>1391</v>
      </c>
      <c r="J51" s="5" t="str">
        <f>IFERROR(__xludf.DUMMYFUNCTION("GOOGLETRANSLATE(A51, ""en"", ""ur"")"),"50")</f>
        <v>50</v>
      </c>
      <c r="K51" s="5" t="str">
        <f>IFERROR(__xludf.DUMMYFUNCTION("GOOGLETRANSLATE(B51, ""en"", ""ur"")"),"ایک ماہر چپنداز کی حتمی نشانی کیا ہے؟")</f>
        <v>ایک ماہر چپنداز کی حتمی نشانی کیا ہے؟</v>
      </c>
      <c r="L51" s="5" t="str">
        <f>IFERROR(__xludf.DUMMYFUNCTION("GOOGLETRANSLATE(C51, ""en"", ""ur"")"),"A) ان کے پاس سب سے مہنگا گھوڑا ہے، B) وہ افراتفری اور مشکل کھیل کو آسان بنا دیتے ہیں، C) وہ ہر میچ جیتتے ہیں، D) وہ سب سے زیادہ جارحانہ سوار ہیں")</f>
        <v>A) ان کے پاس سب سے مہنگا گھوڑا ہے، B) وہ افراتفری اور مشکل کھیل کو آسان بنا دیتے ہیں، C) وہ ہر میچ جیتتے ہیں، D) وہ سب سے زیادہ جارحانہ سوار ہیں</v>
      </c>
      <c r="M51" s="5" t="str">
        <f>IFERROR(__xludf.DUMMYFUNCTION("GOOGLETRANSLATE(D51, ""en"", ""ur"")"),"ب) وہ افراتفری اور مشکل کھیل کو آسان بنا دیتے ہیں۔")</f>
        <v>ب) وہ افراتفری اور مشکل کھیل کو آسان بنا دیتے ہیں۔</v>
      </c>
      <c r="N51" s="5" t="str">
        <f>IFERROR(__xludf.DUMMYFUNCTION("GOOGLETRANSLATE(E51, ""en"", ""ur"")"),"حقیقی مہارت کو ایک آسان فضل اور ذہانت کے ذریعے دکھایا گیا ہے جو ناقابل یقین حد تک مشکل کھیل کو سیال اور سادہ نظر آتا ہے۔")</f>
        <v>حقیقی مہارت کو ایک آسان فضل اور ذہانت کے ذریعے دکھایا گیا ہے جو ناقابل یقین حد تک مشکل کھیل کو سیال اور سادہ نظر آتا ہے۔</v>
      </c>
    </row>
    <row r="52">
      <c r="A52" s="3">
        <v>51.0</v>
      </c>
      <c r="B52" s="4" t="s">
        <v>1392</v>
      </c>
      <c r="C52" s="4" t="s">
        <v>1393</v>
      </c>
      <c r="D52" s="4" t="s">
        <v>1394</v>
      </c>
      <c r="E52" s="4" t="s">
        <v>1395</v>
      </c>
      <c r="J52" s="5" t="str">
        <f>IFERROR(__xludf.DUMMYFUNCTION("GOOGLETRANSLATE(A52, ""en"", ""ur"")"),"51")</f>
        <v>51</v>
      </c>
      <c r="K52" s="5" t="str">
        <f>IFERROR(__xludf.DUMMYFUNCTION("GOOGLETRANSLATE(B52, ""en"", ""ur"")"),"ان میں سے کون سا غلط ہے جو ایک سوار دوسرے سوار کے خلاف کر سکتا ہے؟")</f>
        <v>ان میں سے کون سا غلط ہے جو ایک سوار دوسرے سوار کے خلاف کر سکتا ہے؟</v>
      </c>
      <c r="L52" s="5" t="str">
        <f>IFERROR(__xludf.DUMMYFUNCTION("GOOGLETRANSLATE(C52, ""en"", ""ur"")"),"A) اپنے گھوڑے کو مخالف کے گھوڑے کو دھکیلنے کے لئے استعمال کرنا، B) مخالف سے لاش کو پکڑنا، C) مخالف کی لگام یا ٹانگ پکڑنا، D) مخالف پر چیخنا")</f>
        <v>A) اپنے گھوڑے کو مخالف کے گھوڑے کو دھکیلنے کے لئے استعمال کرنا، B) مخالف سے لاش کو پکڑنا، C) مخالف کی لگام یا ٹانگ پکڑنا، D) مخالف پر چیخنا</v>
      </c>
      <c r="M52" s="5" t="str">
        <f>IFERROR(__xludf.DUMMYFUNCTION("GOOGLETRANSLATE(D52, ""en"", ""ur"")"),"ج) مخالف کی لگام یا ٹانگ پکڑنا")</f>
        <v>ج) مخالف کی لگام یا ٹانگ پکڑنا</v>
      </c>
      <c r="N52" s="5" t="str">
        <f>IFERROR(__xludf.DUMMYFUNCTION("GOOGLETRANSLATE(E52, ""en"", ""ur"")"),"ایک کھلاڑی صرف لاش کا مقابلہ کر سکتا ہے۔ مخالف کے جسم یا سامان کو پکڑنا غیر قانونی ہے۔")</f>
        <v>ایک کھلاڑی صرف لاش کا مقابلہ کر سکتا ہے۔ مخالف کے جسم یا سامان کو پکڑنا غیر قانونی ہے۔</v>
      </c>
    </row>
    <row r="53">
      <c r="A53" s="3">
        <v>52.0</v>
      </c>
      <c r="B53" s="4" t="s">
        <v>1396</v>
      </c>
      <c r="C53" s="4" t="s">
        <v>1397</v>
      </c>
      <c r="D53" s="4" t="s">
        <v>1398</v>
      </c>
      <c r="E53" s="4" t="s">
        <v>1399</v>
      </c>
      <c r="J53" s="5" t="str">
        <f>IFERROR(__xludf.DUMMYFUNCTION("GOOGLETRANSLATE(A53, ""en"", ""ur"")"),"52")</f>
        <v>52</v>
      </c>
      <c r="K53" s="5" t="str">
        <f>IFERROR(__xludf.DUMMYFUNCTION("GOOGLETRANSLATE(B53, ""en"", ""ur"")"),"ایک گھوڑا جو ""یک طرفہ"" ہے (صرف ایک ہی سمت میں اچھی طرح مڑ سکتا ہے) نقصان کیوں ہے؟")</f>
        <v>ایک گھوڑا جو "یک طرفہ" ہے (صرف ایک ہی سمت میں اچھی طرح مڑ سکتا ہے) نقصان کیوں ہے؟</v>
      </c>
      <c r="L53" s="5" t="str">
        <f>IFERROR(__xludf.DUMMYFUNCTION("GOOGLETRANSLATE(C53, ""en"", ""ur"")"),"A) یہ کوئی نقصان نہیں ہے، B) یہ سوار کی نقل و حرکت کو پیش قیاسی اور مقابلہ کرنے میں آسان بناتا ہے، C) یہ خراب نسل کے گھوڑے کی علامت ہے، D) ریفری اس پر جرمانہ عائد کرے گا۔")</f>
        <v>A) یہ کوئی نقصان نہیں ہے، B) یہ سوار کی نقل و حرکت کو پیش قیاسی اور مقابلہ کرنے میں آسان بناتا ہے، C) یہ خراب نسل کے گھوڑے کی علامت ہے، D) ریفری اس پر جرمانہ عائد کرے گا۔</v>
      </c>
      <c r="M53" s="5" t="str">
        <f>IFERROR(__xludf.DUMMYFUNCTION("GOOGLETRANSLATE(D53, ""en"", ""ur"")"),"ب) یہ سوار کی نقل و حرکت کو پیش قیاسی اور مقابلہ کرنے میں آسان بناتا ہے۔")</f>
        <v>ب) یہ سوار کی نقل و حرکت کو پیش قیاسی اور مقابلہ کرنے میں آسان بناتا ہے۔</v>
      </c>
      <c r="N53" s="5" t="str">
        <f>IFERROR(__xludf.DUMMYFUNCTION("GOOGLETRANSLATE(E53, ""en"", ""ur"")"),"ایک ورسٹائل بزکشی گھوڑے کو سیال گیم میں موثر ہونے کے لیے دونوں سمتوں میں مساوی چستی کے ساتھ محور اور مڑنے کے قابل ہونا چاہیے۔")</f>
        <v>ایک ورسٹائل بزکشی گھوڑے کو سیال گیم میں موثر ہونے کے لیے دونوں سمتوں میں مساوی چستی کے ساتھ محور اور مڑنے کے قابل ہونا چاہیے۔</v>
      </c>
    </row>
    <row r="54">
      <c r="A54" s="3">
        <v>53.0</v>
      </c>
      <c r="B54" s="4" t="s">
        <v>1400</v>
      </c>
      <c r="C54" s="4" t="s">
        <v>1401</v>
      </c>
      <c r="D54" s="4" t="s">
        <v>1402</v>
      </c>
      <c r="E54" s="4" t="s">
        <v>1403</v>
      </c>
      <c r="J54" s="5" t="str">
        <f>IFERROR(__xludf.DUMMYFUNCTION("GOOGLETRANSLATE(A54, ""en"", ""ur"")"),"53")</f>
        <v>53</v>
      </c>
      <c r="K54" s="5" t="str">
        <f>IFERROR(__xludf.DUMMYFUNCTION("GOOGLETRANSLATE(B54, ""en"", ""ur"")"),"ایک گرے ہوئے سوار کو اپنے گھوڑے کو دوبارہ سوار کرنے کی بنیادی وجہ کیا ہے؟")</f>
        <v>ایک گرے ہوئے سوار کو اپنے گھوڑے کو دوبارہ سوار کرنے کی بنیادی وجہ کیا ہے؟</v>
      </c>
      <c r="L54" s="5" t="str">
        <f>IFERROR(__xludf.DUMMYFUNCTION("GOOGLETRANSLATE(C54, ""en"", ""ur"")"),"A) یہ ان کی مہارت کا امتحان ہے، B) یہ سوار کو تازہ گھوڑا لینے سے روکتا ہے، C) گھوڑے صرف اپنے سوار کو جواب دیں گے، D) یہ عزت کی علامت ہے۔")</f>
        <v>A) یہ ان کی مہارت کا امتحان ہے، B) یہ سوار کو تازہ گھوڑا لینے سے روکتا ہے، C) گھوڑے صرف اپنے سوار کو جواب دیں گے، D) یہ عزت کی علامت ہے۔</v>
      </c>
      <c r="M54" s="5" t="str">
        <f>IFERROR(__xludf.DUMMYFUNCTION("GOOGLETRANSLATE(D54, ""en"", ""ur"")"),"ب) یہ سوار کو تازہ گھوڑا لینے سے روکتا ہے۔")</f>
        <v>ب) یہ سوار کو تازہ گھوڑا لینے سے روکتا ہے۔</v>
      </c>
      <c r="N54" s="5" t="str">
        <f>IFERROR(__xludf.DUMMYFUNCTION("GOOGLETRANSLATE(E54, ""en"", ""ur"")"),"یہ اصول اس بات کو یقینی بناتا ہے کہ ایک مخصوص سوار اور ان کے گھوڑے کے درمیان شراکت برقرار رہے، برداشت کو ایک اہم عنصر بناتا ہے۔")</f>
        <v>یہ اصول اس بات کو یقینی بناتا ہے کہ ایک مخصوص سوار اور ان کے گھوڑے کے درمیان شراکت برقرار رہے، برداشت کو ایک اہم عنصر بناتا ہے۔</v>
      </c>
    </row>
    <row r="55">
      <c r="A55" s="3">
        <v>54.0</v>
      </c>
      <c r="B55" s="4" t="s">
        <v>1404</v>
      </c>
      <c r="C55" s="4" t="s">
        <v>1405</v>
      </c>
      <c r="D55" s="4" t="s">
        <v>1406</v>
      </c>
      <c r="E55" s="4" t="s">
        <v>1407</v>
      </c>
      <c r="J55" s="5" t="str">
        <f>IFERROR(__xludf.DUMMYFUNCTION("GOOGLETRANSLATE(A55, ""en"", ""ur"")"),"54")</f>
        <v>54</v>
      </c>
      <c r="K55" s="5" t="str">
        <f>IFERROR(__xludf.DUMMYFUNCTION("GOOGLETRANSLATE(B55, ""en"", ""ur"")"),"اگر گھوڑے کے پاس اچھی ""گائے کی عقل"" ہے تو اس کا کیا مطلب ہے؟")</f>
        <v>اگر گھوڑے کے پاس اچھی "گائے کی عقل" ہے تو اس کا کیا مطلب ہے؟</v>
      </c>
      <c r="L55" s="5" t="str">
        <f>IFERROR(__xludf.DUMMYFUNCTION("GOOGLETRANSLATE(C55, ""en"", ""ur"")"),"A) یہ گائے سے ڈرتا ہے، B) اس میں کسی حرکت پذیر چیز کو ٹریک کرنے اور اس کی نقل و حرکت کا اندازہ لگانے کی فطری صلاحیت ہے، C) یہ ایک گھوڑا ہے جو مویشیوں کو چرانے کے لیے استعمال کیا جاتا تھا، D) یہ ایک سست لیکن مستحکم گھوڑا ہے۔")</f>
        <v>A) یہ گائے سے ڈرتا ہے، B) اس میں کسی حرکت پذیر چیز کو ٹریک کرنے اور اس کی نقل و حرکت کا اندازہ لگانے کی فطری صلاحیت ہے، C) یہ ایک گھوڑا ہے جو مویشیوں کو چرانے کے لیے استعمال کیا جاتا تھا، D) یہ ایک سست لیکن مستحکم گھوڑا ہے۔</v>
      </c>
      <c r="M55" s="5" t="str">
        <f>IFERROR(__xludf.DUMMYFUNCTION("GOOGLETRANSLATE(D55, ""en"", ""ur"")"),"ج) یہ ایک گھوڑا ہے جو مویشی چرانے کے لیے استعمال ہوتا تھا۔")</f>
        <v>ج) یہ ایک گھوڑا ہے جو مویشی چرانے کے لیے استعمال ہوتا تھا۔</v>
      </c>
      <c r="N55" s="5" t="str">
        <f>IFERROR(__xludf.DUMMYFUNCTION("GOOGLETRANSLATE(E55, ""en"", ""ur"")"),"ایک اچھے گائے پالنے والے گھوڑے کی مہارت — چستی اور چلتے ہوئے جانور کو ٹریک کرنے کی صلاحیت — براہ راست بزکشی کو منتقل کی جا سکتی ہے۔")</f>
        <v>ایک اچھے گائے پالنے والے گھوڑے کی مہارت — چستی اور چلتے ہوئے جانور کو ٹریک کرنے کی صلاحیت — براہ راست بزکشی کو منتقل کی جا سکتی ہے۔</v>
      </c>
    </row>
    <row r="56">
      <c r="A56" s="3">
        <v>55.0</v>
      </c>
      <c r="B56" s="4" t="s">
        <v>1408</v>
      </c>
      <c r="C56" s="4" t="s">
        <v>1409</v>
      </c>
      <c r="D56" s="4" t="s">
        <v>1410</v>
      </c>
      <c r="E56" s="4" t="s">
        <v>1411</v>
      </c>
      <c r="J56" s="5" t="str">
        <f>IFERROR(__xludf.DUMMYFUNCTION("GOOGLETRANSLATE(A56, ""en"", ""ur"")"),"55")</f>
        <v>55</v>
      </c>
      <c r="K56" s="5" t="str">
        <f>IFERROR(__xludf.DUMMYFUNCTION("GOOGLETRANSLATE(B56, ""en"", ""ur"")"),"چیمپیئن بزکشی گھوڑے کی زیادہ قیمت کی بنیادی وجہ کیا ہے؟")</f>
        <v>چیمپیئن بزکشی گھوڑے کی زیادہ قیمت کی بنیادی وجہ کیا ہے؟</v>
      </c>
      <c r="L56" s="5" t="str">
        <f>IFERROR(__xludf.DUMMYFUNCTION("GOOGLETRANSLATE(C56, ""en"", ""ur"")"),"A) اس کی خوبصورتی، B) اس کی نایابیت، C) اس کی طاقت، استقامت، تربیت اور ہمت کا ثابت شدہ امتزاج، D) اس کی عمر")</f>
        <v>A) اس کی خوبصورتی، B) اس کی نایابیت، C) اس کی طاقت، استقامت، تربیت اور ہمت کا ثابت شدہ امتزاج، D) اس کی عمر</v>
      </c>
      <c r="M56" s="5" t="str">
        <f>IFERROR(__xludf.DUMMYFUNCTION("GOOGLETRANSLATE(D56, ""en"", ""ur"")"),"C) اس میں طاقت، استقامت، تربیت اور ہمت کا ثابت شدہ امتزاج")</f>
        <v>C) اس میں طاقت، استقامت، تربیت اور ہمت کا ثابت شدہ امتزاج</v>
      </c>
      <c r="N56" s="5" t="str">
        <f>IFERROR(__xludf.DUMMYFUNCTION("GOOGLETRANSLATE(E56, ""en"", ""ur"")"),"چیمپیئن گھوڑا ایک عالمی سطح کا ایتھلیٹ ہے جو وقت اور وسائل کی بڑی سرمایہ کاری کی نمائندگی کرتا ہے، اسے انتہائی قیمتی بناتا ہے۔")</f>
        <v>چیمپیئن گھوڑا ایک عالمی سطح کا ایتھلیٹ ہے جو وقت اور وسائل کی بڑی سرمایہ کاری کی نمائندگی کرتا ہے، اسے انتہائی قیمتی بناتا ہے۔</v>
      </c>
    </row>
    <row r="57">
      <c r="A57" s="3">
        <v>56.0</v>
      </c>
      <c r="B57" s="4" t="s">
        <v>1412</v>
      </c>
      <c r="C57" s="4" t="s">
        <v>1413</v>
      </c>
      <c r="D57" s="4" t="s">
        <v>1414</v>
      </c>
      <c r="E57" s="4" t="s">
        <v>1415</v>
      </c>
      <c r="J57" s="5" t="str">
        <f>IFERROR(__xludf.DUMMYFUNCTION("GOOGLETRANSLATE(A57, ""en"", ""ur"")"),"56")</f>
        <v>56</v>
      </c>
      <c r="K57" s="5" t="str">
        <f>IFERROR(__xludf.DUMMYFUNCTION("GOOGLETRANSLATE(B57, ""en"", ""ur"")"),"ایک رسمی میچ میں، کھیل شروع کرنے کا سب سے عام طریقہ کیا ہے؟")</f>
        <v>ایک رسمی میچ میں، کھیل شروع کرنے کا سب سے عام طریقہ کیا ہے؟</v>
      </c>
      <c r="L57" s="5" t="str">
        <f>IFERROR(__xludf.DUMMYFUNCTION("GOOGLETRANSLATE(C57, ""en"", ""ur"")"),"A) ایک لائن سے لاش کی دوڑ، B) لاش کو مرکزی دائرے میں رکھا جاتا ہے اور ریفری شروع ہونے کا اشارہ کرتا ہے، C) لاش کو ہوا میں پھینک دیا جاتا ہے، D) ایک سکے کا ٹاس قبضے کا فیصلہ کرتا ہے۔")</f>
        <v>A) ایک لائن سے لاش کی دوڑ، B) لاش کو مرکزی دائرے میں رکھا جاتا ہے اور ریفری شروع ہونے کا اشارہ کرتا ہے، C) لاش کو ہوا میں پھینک دیا جاتا ہے، D) ایک سکے کا ٹاس قبضے کا فیصلہ کرتا ہے۔</v>
      </c>
      <c r="M57" s="5" t="str">
        <f>IFERROR(__xludf.DUMMYFUNCTION("GOOGLETRANSLATE(D57, ""en"", ""ur"")"),"ب) لاش کو مرکزی دائرے میں رکھا جاتا ہے اور ریفری آغاز کا اشارہ کرتا ہے۔")</f>
        <v>ب) لاش کو مرکزی دائرے میں رکھا جاتا ہے اور ریفری آغاز کا اشارہ کرتا ہے۔</v>
      </c>
      <c r="N57" s="5" t="str">
        <f>IFERROR(__xludf.DUMMYFUNCTION("GOOGLETRANSLATE(E57, ""en"", ""ur"")"),"ایک منظم آغاز کے لیے، لاش کو مرکز میں رکھا جاتا ہے، اور سوار ریفری کے اشارے پر فریم سے چارج کرتے ہیں۔")</f>
        <v>ایک منظم آغاز کے لیے، لاش کو مرکز میں رکھا جاتا ہے، اور سوار ریفری کے اشارے پر فریم سے چارج کرتے ہیں۔</v>
      </c>
    </row>
    <row r="58">
      <c r="A58" s="3">
        <v>57.0</v>
      </c>
      <c r="B58" s="4" t="s">
        <v>1416</v>
      </c>
      <c r="C58" s="4" t="s">
        <v>1417</v>
      </c>
      <c r="D58" s="4" t="s">
        <v>1418</v>
      </c>
      <c r="E58" s="4" t="s">
        <v>1419</v>
      </c>
      <c r="J58" s="5" t="str">
        <f>IFERROR(__xludf.DUMMYFUNCTION("GOOGLETRANSLATE(A58, ""en"", ""ur"")"),"57")</f>
        <v>57</v>
      </c>
      <c r="K58" s="5" t="str">
        <f>IFERROR(__xludf.DUMMYFUNCTION("GOOGLETRANSLATE(B58, ""en"", ""ur"")"),"سوویت حملے نے افغانستان میں بزکشی کی روایت کو کیسے متاثر کیا؟")</f>
        <v>سوویت حملے نے افغانستان میں بزکشی کی روایت کو کیسے متاثر کیا؟</v>
      </c>
      <c r="L58" s="5" t="str">
        <f>IFERROR(__xludf.DUMMYFUNCTION("GOOGLETRANSLATE(C58, ""en"", ""ur"")"),"A) اس کا مکمل صفایا کر دیا گیا، B) سوویت یونین نے اس کھیل کو فروغ دیا، C) یہ افغان مزاحمت کی علامت بن گیا اور اسے بے عزتی سے کھیلا گیا، D) اس کی جگہ پولو نے لے لی۔")</f>
        <v>A) اس کا مکمل صفایا کر دیا گیا، B) سوویت یونین نے اس کھیل کو فروغ دیا، C) یہ افغان مزاحمت کی علامت بن گیا اور اسے بے عزتی سے کھیلا گیا، D) اس کی جگہ پولو نے لے لی۔</v>
      </c>
      <c r="M58" s="5" t="str">
        <f>IFERROR(__xludf.DUMMYFUNCTION("GOOGLETRANSLATE(D58, ""en"", ""ur"")"),"ج) یہ افغان مزاحمت کی علامت بن گیا اور اسے بے عزتی سے کھیلا گیا۔")</f>
        <v>ج) یہ افغان مزاحمت کی علامت بن گیا اور اسے بے عزتی سے کھیلا گیا۔</v>
      </c>
      <c r="N58" s="5" t="str">
        <f>IFERROR(__xludf.DUMMYFUNCTION("GOOGLETRANSLATE(E58, ""en"", ""ur"")"),"یہ کھیل جنگ کے دوران مجاہدین کے لیے قومی شناخت اور جنگجو جذبے کا ایک طاقتور اظہار تھا۔")</f>
        <v>یہ کھیل جنگ کے دوران مجاہدین کے لیے قومی شناخت اور جنگجو جذبے کا ایک طاقتور اظہار تھا۔</v>
      </c>
    </row>
    <row r="59">
      <c r="A59" s="3">
        <v>58.0</v>
      </c>
      <c r="B59" s="4" t="s">
        <v>1420</v>
      </c>
      <c r="C59" s="4" t="s">
        <v>1421</v>
      </c>
      <c r="D59" s="4" t="s">
        <v>1422</v>
      </c>
      <c r="E59" s="4" t="s">
        <v>1423</v>
      </c>
      <c r="J59" s="5" t="str">
        <f>IFERROR(__xludf.DUMMYFUNCTION("GOOGLETRANSLATE(A59, ""en"", ""ur"")"),"58")</f>
        <v>58</v>
      </c>
      <c r="K59" s="5" t="str">
        <f>IFERROR(__xludf.DUMMYFUNCTION("GOOGLETRANSLATE(B59, ""en"", ""ur"")"),"بزکشی میچ کے تناظر میں ""سٹالین فائٹ"" کیا ہے؟")</f>
        <v>بزکشی میچ کے تناظر میں "سٹالین فائٹ" کیا ہے؟</v>
      </c>
      <c r="L59" s="5" t="str">
        <f>IFERROR(__xludf.DUMMYFUNCTION("GOOGLETRANSLATE(C59, ""en"", ""ur"")"),"A) ایک الگ واقعہ، B) جب اسکرم میں دو حریف اسٹالن کھیلنے کے بجائے ایک دوسرے سے لڑنا شروع کر دیتے ہیں، C) ایک مخصوص اسکورنگ موو، D) ایک رسمی رقص")</f>
        <v>A) ایک الگ واقعہ، B) جب اسکرم میں دو حریف اسٹالن کھیلنے کے بجائے ایک دوسرے سے لڑنا شروع کر دیتے ہیں، C) ایک مخصوص اسکورنگ موو، D) ایک رسمی رقص</v>
      </c>
      <c r="M59" s="5" t="str">
        <f>IFERROR(__xludf.DUMMYFUNCTION("GOOGLETRANSLATE(D59, ""en"", ""ur"")"),"ب) جب اسکرم میں دو حریف گھوڑے کھیلنے کے بجائے ایک دوسرے سے لڑنا شروع کر دیں۔")</f>
        <v>ب) جب اسکرم میں دو حریف گھوڑے کھیلنے کے بجائے ایک دوسرے سے لڑنا شروع کر دیں۔</v>
      </c>
      <c r="N59" s="5" t="str">
        <f>IFERROR(__xludf.DUMMYFUNCTION("GOOGLETRANSLATE(E59, ""en"", ""ur"")"),"اسٹالینز کی زیادہ جارحیت بعض اوقات انہیں فطری طرز عمل کی طرف لوٹنے کا سبب بن سکتی ہے، جس کے نتیجے میں کھیل کے اندر ایک مختصر لیکن پرتشدد لڑائی ہوتی ہے۔")</f>
        <v>اسٹالینز کی زیادہ جارحیت بعض اوقات انہیں فطری طرز عمل کی طرف لوٹنے کا سبب بن سکتی ہے، جس کے نتیجے میں کھیل کے اندر ایک مختصر لیکن پرتشدد لڑائی ہوتی ہے۔</v>
      </c>
    </row>
    <row r="60">
      <c r="A60" s="3">
        <v>59.0</v>
      </c>
      <c r="B60" s="4" t="s">
        <v>1424</v>
      </c>
      <c r="C60" s="4" t="s">
        <v>1425</v>
      </c>
      <c r="D60" s="4" t="s">
        <v>1426</v>
      </c>
      <c r="E60" s="4" t="s">
        <v>1427</v>
      </c>
      <c r="J60" s="5" t="str">
        <f>IFERROR(__xludf.DUMMYFUNCTION("GOOGLETRANSLATE(A60, ""en"", ""ur"")"),"59")</f>
        <v>59</v>
      </c>
      <c r="K60" s="5" t="str">
        <f>IFERROR(__xludf.DUMMYFUNCTION("GOOGLETRANSLATE(B60, ""en"", ""ur"")"),"چپنداز کے لیے بہت مضبوط کور (پیٹ اور کمر کے پٹھے) ہونا کیوں ضروری ہے؟")</f>
        <v>چپنداز کے لیے بہت مضبوط کور (پیٹ اور کمر کے پٹھے) ہونا کیوں ضروری ہے؟</v>
      </c>
      <c r="L60" s="5" t="str">
        <f>IFERROR(__xludf.DUMMYFUNCTION("GOOGLETRANSLATE(C60, ""en"", ""ur"")"),"A) یہ اہم نہیں ہے، B) لاش کو اٹھانے اور لے جانے کے دوران بے تحاشا گھماؤ اور کھینچنے والی قوتوں کو برداشت کرنا، C) زور سے چیخنے کے قابل ہونا، D) کوڑے کے حملوں سے بچانا")</f>
        <v>A) یہ اہم نہیں ہے، B) لاش کو اٹھانے اور لے جانے کے دوران بے تحاشا گھماؤ اور کھینچنے والی قوتوں کو برداشت کرنا، C) زور سے چیخنے کے قابل ہونا، D) کوڑے کے حملوں سے بچانا</v>
      </c>
      <c r="M60" s="5" t="str">
        <f>IFERROR(__xludf.DUMMYFUNCTION("GOOGLETRANSLATE(D60, ""en"", ""ur"")"),"ب) لاش کو اٹھانے اور لے جانے کے دوران زبردست گھماؤ اور کھینچنے والی قوتوں کو برداشت کرنا")</f>
        <v>ب) لاش کو اٹھانے اور لے جانے کے دوران زبردست گھماؤ اور کھینچنے والی قوتوں کو برداشت کرنا</v>
      </c>
      <c r="N60" s="5" t="str">
        <f>IFERROR(__xludf.DUMMYFUNCTION("GOOGLETRANSLATE(E60, ""en"", ""ur"")"),"گھوڑے کی پیٹھ پر بھاری، بدلتے ہوئے وزن کے ساتھ کشتی کرتے وقت سوار کے لیے اپنا توازن اور کرنسی برقرار رکھنے کے لیے ایک مضبوط کور ضروری ہے۔")</f>
        <v>گھوڑے کی پیٹھ پر بھاری، بدلتے ہوئے وزن کے ساتھ کشتی کرتے وقت سوار کے لیے اپنا توازن اور کرنسی برقرار رکھنے کے لیے ایک مضبوط کور ضروری ہے۔</v>
      </c>
    </row>
    <row r="61">
      <c r="A61" s="3">
        <v>60.0</v>
      </c>
      <c r="B61" s="4" t="s">
        <v>1428</v>
      </c>
      <c r="C61" s="4" t="s">
        <v>1429</v>
      </c>
      <c r="D61" s="4" t="s">
        <v>1430</v>
      </c>
      <c r="E61" s="4" t="s">
        <v>1431</v>
      </c>
      <c r="J61" s="5" t="str">
        <f>IFERROR(__xludf.DUMMYFUNCTION("GOOGLETRANSLATE(A61, ""en"", ""ur"")"),"60")</f>
        <v>60</v>
      </c>
      <c r="K61" s="5" t="str">
        <f>IFERROR(__xludf.DUMMYFUNCTION("GOOGLETRANSLATE(B61, ""en"", ""ur"")"),"اگر کوئی سوار لاش کو لے جا رہا ہو اور گھوڑے کے بغیر ہو لیکن گرنے کے دوران لاش کو گول کرنے والے دائرے میں گرانے میں کامیاب ہو جائے تو اس کا کیا حکم ہے؟")</f>
        <v>اگر کوئی سوار لاش کو لے جا رہا ہو اور گھوڑے کے بغیر ہو لیکن گرنے کے دوران لاش کو گول کرنے والے دائرے میں گرانے میں کامیاب ہو جائے تو اس کا کیا حکم ہے؟</v>
      </c>
      <c r="L61" s="5" t="str">
        <f>IFERROR(__xludf.DUMMYFUNCTION("GOOGLETRANSLATE(C61, ""en"", ""ur"")"),"A) یہ ایک شاندار اور درست اسکور ہے، B) اسکور درست نہیں ہے کیونکہ سوار کے قابو میں نہیں تھا، C) جزوی اسکور دیا جاتا ہے، D) پوائنٹ دوبارہ چلایا جاتا ہے۔")</f>
        <v>A) یہ ایک شاندار اور درست اسکور ہے، B) اسکور درست نہیں ہے کیونکہ سوار کے قابو میں نہیں تھا، C) جزوی اسکور دیا جاتا ہے، D) پوائنٹ دوبارہ چلایا جاتا ہے۔</v>
      </c>
      <c r="M61" s="5" t="str">
        <f>IFERROR(__xludf.DUMMYFUNCTION("GOOGLETRANSLATE(D61, ""en"", ""ur"")"),"ب) اسکور درست نہیں ہے کیونکہ سوار کے کنٹرول میں نہیں تھا۔")</f>
        <v>ب) اسکور درست نہیں ہے کیونکہ سوار کے کنٹرول میں نہیں تھا۔</v>
      </c>
      <c r="N61" s="5" t="str">
        <f>IFERROR(__xludf.DUMMYFUNCTION("GOOGLETRANSLATE(E61, ""en"", ""ur"")"),"ایک سوار کو مکمل طور پر سوار ہونا چاہیے اور اس کے قانونی ہونے کے لیے اسکور کے وقت اپنے گھوڑے کو قابو میں رکھنا چاہیے۔")</f>
        <v>ایک سوار کو مکمل طور پر سوار ہونا چاہیے اور اس کے قانونی ہونے کے لیے اسکور کے وقت اپنے گھوڑے کو قابو میں رکھنا چاہیے۔</v>
      </c>
    </row>
    <row r="62">
      <c r="A62" s="3">
        <v>61.0</v>
      </c>
      <c r="B62" s="4" t="s">
        <v>1432</v>
      </c>
      <c r="C62" s="4" t="s">
        <v>1433</v>
      </c>
      <c r="D62" s="4" t="s">
        <v>1434</v>
      </c>
      <c r="E62" s="4" t="s">
        <v>1435</v>
      </c>
      <c r="J62" s="5" t="str">
        <f>IFERROR(__xludf.DUMMYFUNCTION("GOOGLETRANSLATE(A62, ""en"", ""ur"")"),"61")</f>
        <v>61</v>
      </c>
      <c r="K62" s="5" t="str">
        <f>IFERROR(__xludf.DUMMYFUNCTION("GOOGLETRANSLATE(B62, ""en"", ""ur"")"),"گھوڑے کو اس کی چستی میں ""بلی کی طرح"" ہونے کی وجہ سے سراہا جاتا ہے۔ اس کا کیا مطلب ہے؟")</f>
        <v>گھوڑے کو اس کی چستی میں "بلی کی طرح" ہونے کی وجہ سے سراہا جاتا ہے۔ اس کا کیا مطلب ہے؟</v>
      </c>
      <c r="L62" s="5" t="str">
        <f>IFERROR(__xludf.DUMMYFUNCTION("GOOGLETRANSLATE(C62, ""en"", ""ur"")"),"A)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f>
        <v>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v>
      </c>
      <c r="M62" s="5" t="str">
        <f>IFERROR(__xludf.DUMMYFUNCTION("GOOGLETRANSLATE(D62, ""en"", ""ur"")"),"ب) گھوڑے میں اپنے پیروں پر قائم رہنے، تیزی سے مڑنے اور اپنا توازن بحال کرنے کی ناقابل یقین صلاحیت ہوتی ہے۔")</f>
        <v>ب) گھوڑے میں اپنے پیروں پر قائم رہنے، تیزی سے مڑنے اور اپنا توازن بحال کرنے کی ناقابل یقین صلاحیت ہوتی ہے۔</v>
      </c>
      <c r="N62" s="5" t="str">
        <f>IFERROR(__xludf.DUMMYFUNCTION("GOOGLETRANSLATE(E62, ""en"", ""ur"")"),"یہ ایک اعلیٰ تعریف ہے، جو افراتفری کے درمیان گھوڑے کی نرمی اور فضل کا حوالہ دیتی ہے۔")</f>
        <v>یہ ایک اعلیٰ تعریف ہے، جو افراتفری کے درمیان گھوڑے کی نرمی اور فضل کا حوالہ دیتی ہے۔</v>
      </c>
    </row>
    <row r="63">
      <c r="A63" s="3">
        <v>62.0</v>
      </c>
      <c r="B63" s="4" t="s">
        <v>1436</v>
      </c>
      <c r="C63" s="4" t="s">
        <v>1437</v>
      </c>
      <c r="D63" s="4" t="s">
        <v>1438</v>
      </c>
      <c r="E63" s="4" t="s">
        <v>1439</v>
      </c>
      <c r="J63" s="5" t="str">
        <f>IFERROR(__xludf.DUMMYFUNCTION("GOOGLETRANSLATE(A63, ""en"", ""ur"")"),"62")</f>
        <v>62</v>
      </c>
      <c r="K63" s="5" t="str">
        <f>IFERROR(__xludf.DUMMYFUNCTION("GOOGLETRANSLATE(B63, ""en"", ""ur"")"),"اگر ٹیم A کے سوار نے لاش کو پکڑ رکھا ہو اور ٹیم B کا سوار ٹیم A کے سوار کی زین پکڑے تو کیا حکم ہے؟")</f>
        <v>اگر ٹیم A کے سوار نے لاش کو پکڑ رکھا ہو اور ٹیم B کا سوار ٹیم A کے سوار کی زین پکڑے تو کیا حکم ہے؟</v>
      </c>
      <c r="L63" s="5" t="str">
        <f>IFERROR(__xludf.DUMMYFUNCTION("GOOGLETRANSLATE(C63, ""en"", ""ur"")"),"A) سوار کو غیر متوازن کرنا ایک قانونی اقدام ہے، B) سامان پکڑنے پر ٹیم B پر یہ فاؤل ہے، C) کھیل جاری ہے، D) ٹیم A کو ایک پوائنٹ دیا جاتا ہے۔")</f>
        <v>A) سوار کو غیر متوازن کرنا ایک قانونی اقدام ہے، B) سامان پکڑنے پر ٹیم B پر یہ فاؤل ہے، C) کھیل جاری ہے، D) ٹیم A کو ایک پوائنٹ دیا جاتا ہے۔</v>
      </c>
      <c r="M63" s="5" t="str">
        <f>IFERROR(__xludf.DUMMYFUNCTION("GOOGLETRANSLATE(D63, ""en"", ""ur"")"),"B) یہ سامان پکڑنے کے لئے ٹیم B پر ایک غلط ہے۔")</f>
        <v>B) یہ سامان پکڑنے کے لئے ٹیم B پر ایک غلط ہے۔</v>
      </c>
      <c r="N63" s="5" t="str">
        <f>IFERROR(__xludf.DUMMYFUNCTION("GOOGLETRANSLATE(E63, ""en"", ""ur"")"),"ایک کھلاڑی فائدہ حاصل کرنے کے لیے مخالف کے ٹیک (کاٹھی، لگام، لگام) کو نہیں پکڑ سکتا۔")</f>
        <v>ایک کھلاڑی فائدہ حاصل کرنے کے لیے مخالف کے ٹیک (کاٹھی، لگام، لگام) کو نہیں پکڑ سکتا۔</v>
      </c>
    </row>
    <row r="64">
      <c r="A64" s="3">
        <v>63.0</v>
      </c>
      <c r="B64" s="4" t="s">
        <v>1440</v>
      </c>
      <c r="C64" s="4" t="s">
        <v>1441</v>
      </c>
      <c r="D64" s="4" t="s">
        <v>1442</v>
      </c>
      <c r="E64" s="4" t="s">
        <v>1443</v>
      </c>
      <c r="J64" s="5" t="str">
        <f>IFERROR(__xludf.DUMMYFUNCTION("GOOGLETRANSLATE(A64, ""en"", ""ur"")"),"63")</f>
        <v>63</v>
      </c>
      <c r="K64" s="5" t="str">
        <f>IFERROR(__xludf.DUMMYFUNCTION("GOOGLETRANSLATE(B64, ""en"", ""ur"")"),"بزکشی میں گھوڑوں کو لگام کے اشارے سے زیادہ ٹانگوں اور وزن کے اشارے کا جواب دینے کی تربیت کیوں دی جاتی ہے؟")</f>
        <v>بزکشی میں گھوڑوں کو لگام کے اشارے سے زیادہ ٹانگوں اور وزن کے اشارے کا جواب دینے کی تربیت کیوں دی جاتی ہے؟</v>
      </c>
      <c r="L64" s="5" t="str">
        <f>IFERROR(__xludf.DUMMYFUNCTION("GOOGLETRANSLATE(C64, ""en"", ""ur"")"),"A) لگام اکثر گرا دی جاتی ہے، B) سوار کے ہاتھ لاش کے ساتھ مصروف ہوتے ہیں، اس لیے انہیں اپنی ٹانگوں کے ساتھ چلنا چاہیے، C) یہ زیادہ روایتی ہے، D) یہ ایک اصول ہے۔")</f>
        <v>A) لگام اکثر گرا دی جاتی ہے، B) سوار کے ہاتھ لاش کے ساتھ مصروف ہوتے ہیں، اس لیے انہیں اپنی ٹانگوں کے ساتھ چلنا چاہیے، C) یہ زیادہ روایتی ہے، D) یہ ایک اصول ہے۔</v>
      </c>
      <c r="M64" s="5" t="str">
        <f>IFERROR(__xludf.DUMMYFUNCTION("GOOGLETRANSLATE(D64, ""en"", ""ur"")"),"ب) سوار کے ہاتھ لاش کے ساتھ مصروف ہیں، اس لیے انہیں اپنی ٹانگوں سے آگے بڑھنا چاہیے۔")</f>
        <v>ب) سوار کے ہاتھ لاش کے ساتھ مصروف ہیں، اس لیے انہیں اپنی ٹانگوں سے آگے بڑھنا چاہیے۔</v>
      </c>
      <c r="N64" s="5" t="str">
        <f>IFERROR(__xludf.DUMMYFUNCTION("GOOGLETRANSLATE(E64, ""en"", ""ur"")"),"چپنڈاز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f>
        <v>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v>
      </c>
    </row>
    <row r="65">
      <c r="A65" s="3">
        <v>64.0</v>
      </c>
      <c r="B65" s="4" t="s">
        <v>1444</v>
      </c>
      <c r="C65" s="4" t="s">
        <v>1445</v>
      </c>
      <c r="D65" s="4" t="s">
        <v>1446</v>
      </c>
      <c r="E65" s="4" t="s">
        <v>1447</v>
      </c>
      <c r="J65" s="5" t="str">
        <f>IFERROR(__xludf.DUMMYFUNCTION("GOOGLETRANSLATE(A65, ""en"", ""ur"")"),"64")</f>
        <v>64</v>
      </c>
      <c r="K65" s="5" t="str">
        <f>IFERROR(__xludf.DUMMYFUNCTION("GOOGLETRANSLATE(B65, ""en"", ""ur"")"),"گاؤں کی بزکشی گیم کے لیے استعمال ہونے والے میدان کی سب سے عام خصوصیت کیا ہے؟")</f>
        <v>گاؤں کی بزکشی گیم کے لیے استعمال ہونے والے میدان کی سب سے عام خصوصیت کیا ہے؟</v>
      </c>
      <c r="L65" s="5" t="str">
        <f>IFERROR(__xludf.DUMMYFUNCTION("GOOGLETRANSLATE(C65, ""en"", ""ur"")"),"A) یہ بالکل صاف ستھرا گھاس کا میدان ہے، B) یہ قدرتی حدود کے ساتھ ایک بڑا، کھلا اور اکثر گرد آلود میدان ہے، C) یہ ایک چھوٹا، بند میدان ہے، D) یہ ایک ریتیلا ساحل ہے۔")</f>
        <v>A) یہ بالکل صاف ستھرا گھاس کا میدان ہے، B) یہ قدرتی حدود کے ساتھ ایک بڑا، کھلا اور اکثر گرد آلود میدان ہے، C) یہ ایک چھوٹا، بند میدان ہے، D) یہ ایک ریتیلا ساحل ہے۔</v>
      </c>
      <c r="M65" s="5" t="str">
        <f>IFERROR(__xludf.DUMMYFUNCTION("GOOGLETRANSLATE(D65, ""en"", ""ur"")"),"ب) یہ قدرتی حدود کے ساتھ ایک بڑا، کھلا اور اکثر گرد آلود میدان ہے۔")</f>
        <v>ب) یہ قدرتی حدود کے ساتھ ایک بڑا، کھلا اور اکثر گرد آلود میدان ہے۔</v>
      </c>
      <c r="N65" s="5" t="str">
        <f>IFERROR(__xludf.DUMMYFUNCTION("GOOGLETRANSLATE(E65, ""en"", ""ur"")"),"روایتی کھیل قدرتی زمین کی تزئین کا استعمال کرتے ہیں، کھیل کی ابتداء کی ناہموار اور کھلی نوعیت کو اپناتے ہیں۔")</f>
        <v>روایتی کھیل قدرتی زمین کی تزئین کا استعمال کرتے ہیں، کھیل کی ابتداء کی ناہموار اور کھلی نوعیت کو اپناتے ہیں۔</v>
      </c>
    </row>
    <row r="66">
      <c r="A66" s="3">
        <v>65.0</v>
      </c>
      <c r="B66" s="4" t="s">
        <v>1448</v>
      </c>
      <c r="C66" s="4" t="s">
        <v>1449</v>
      </c>
      <c r="D66" s="4" t="s">
        <v>1450</v>
      </c>
      <c r="E66" s="4" t="s">
        <v>1451</v>
      </c>
      <c r="J66" s="5" t="str">
        <f>IFERROR(__xludf.DUMMYFUNCTION("GOOGLETRANSLATE(A66, ""en"", ""ur"")"),"65")</f>
        <v>65</v>
      </c>
      <c r="K66" s="5" t="str">
        <f>IFERROR(__xludf.DUMMYFUNCTION("GOOGLETRANSLATE(B66, ""en"", ""ur"")"),"ایک کھلاڑی کو ""خطرناک سواری"" کے لیے نااہل قرار دیا جاتا ہے۔ ان میں سے کون سا عمل اہل ہوگا؟")</f>
        <v>ایک کھلاڑی کو "خطرناک سواری" کے لیے نااہل قرار دیا جاتا ہے۔ ان میں سے کون سا عمل اہل ہوگا؟</v>
      </c>
      <c r="L66" s="5" t="str">
        <f>IFERROR(__xludf.DUMMYFUNCTION("GOOGLETRANSLATE(C66, ""en"", ""ur"")"),"A) بہت تیز سواری کرنا، B) جان بوجھ کر گرے ہوئے سوار میں سوار ہونا، C) بہت زیادہ سکور کا جشن منانا، D) مختصر چابک کا استعمال")</f>
        <v>A) بہت تیز سواری کرنا، B) جان بوجھ کر گرے ہوئے سوار میں سوار ہونا، C) بہت زیادہ سکور کا جشن منانا، D) مختصر چابک کا استعمال</v>
      </c>
      <c r="M66" s="5" t="str">
        <f>IFERROR(__xludf.DUMMYFUNCTION("GOOGLETRANSLATE(D66, ""en"", ""ur"")"),"ب) جان بوجھ کر گرے ہوئے سوار میں سوار ہونا")</f>
        <v>ب) جان بوجھ کر گرے ہوئے سوار میں سوار ہونا</v>
      </c>
      <c r="N66" s="5" t="str">
        <f>IFERROR(__xludf.DUMMYFUNCTION("GOOGLETRANSLATE(E66, ""en"", ""ur"")"),"کوئی بھی عمل جو دوسرے کھلاڑیوں یا گھوڑوں کی حفاظت کے لیے جان بوجھ کر نظر انداز کرتا ہے اسے خطرناک سواری سمجھا جاتا ہے اور یہ ایک بڑا فاؤل ہے۔")</f>
        <v>کوئی بھی عمل جو دوسرے کھلاڑیوں یا گھوڑوں کی حفاظت کے لیے جان بوجھ کر نظر انداز کرتا ہے اسے خطرناک سواری سمجھا جاتا ہے اور یہ ایک بڑا فاؤل ہے۔</v>
      </c>
    </row>
    <row r="67">
      <c r="A67" s="3">
        <v>66.0</v>
      </c>
      <c r="B67" s="4" t="s">
        <v>1452</v>
      </c>
      <c r="C67" s="4" t="s">
        <v>1453</v>
      </c>
      <c r="D67" s="4" t="s">
        <v>1454</v>
      </c>
      <c r="E67" s="4" t="s">
        <v>1455</v>
      </c>
      <c r="J67" s="5" t="str">
        <f>IFERROR(__xludf.DUMMYFUNCTION("GOOGLETRANSLATE(A67, ""en"", ""ur"")"),"66")</f>
        <v>66</v>
      </c>
      <c r="K67" s="5" t="str">
        <f>IFERROR(__xludf.DUMMYFUNCTION("GOOGLETRANSLATE(B67, ""en"", ""ur"")"),"اگر ٹیم A کا کوئی سوار لاش کو لے جا رہا ہے، تو ٹیم B کے سوار کے لیے قانونی دفاعی اقدام کیا ہے؟")</f>
        <v>اگر ٹیم A کا کوئی سوار لاش کو لے جا رہا ہے، تو ٹیم B کے سوار کے لیے قانونی دفاعی اقدام کیا ہے؟</v>
      </c>
      <c r="L67" s="5" t="str">
        <f>IFERROR(__xludf.DUMMYFUNCTION("GOOGLETRANSLATE(C67, ""en"", ""ur"")"),"A) ٹیم A کے سوار کی لگام پکڑنے کے لئے، B) ساتھ سواری کرنا اور اپنے گھوڑے کو ٹیم A کے گھوڑے کو ایک طرف دھکیلنے کے لئے استعمال کرنا، C) ٹیم A کے سوار کو کوڑے مارنا، D) لاش پر رسی پھینکنا")</f>
        <v>A) ٹیم A کے سوار کی لگام پکڑنے کے لئے، B) ساتھ سواری کرنا اور اپنے گھوڑے کو ٹیم A کے گھوڑے کو ایک طرف دھکیلنے کے لئے استعمال کرنا، C) ٹیم A کے سوار کو کوڑے مارنا، D) لاش پر رسی پھینکنا</v>
      </c>
      <c r="M67" s="5" t="str">
        <f>IFERROR(__xludf.DUMMYFUNCTION("GOOGLETRANSLATE(D67, ""en"", ""ur"")"),"ب) ساتھ سواری کرنا اور اپنے گھوڑے کو ٹیم اے کے گھوڑے کو ایک طرف دھکیلنے کے لیے استعمال کرنا")</f>
        <v>ب) ساتھ سواری کرنا اور اپنے گھوڑے کو ٹیم اے کے گھوڑے کو ایک طرف دھکیلنے کے لیے استعمال کرنا</v>
      </c>
      <c r="N67" s="5" t="str">
        <f>IFERROR(__xludf.DUMMYFUNCTION("GOOGLETRANSLATE(E67, ""en"", ""ur"")"),"اپنے گھوڑے کو قانونی طور پر مداخلت کرنے اور مخالف کے گھوڑے کو دھکیلنے کے لیے استعمال کرنا ایک بنیادی دفاعی اور جارحانہ حربہ ہے۔")</f>
        <v>اپنے گھوڑے کو قانونی طور پر مداخلت کرنے اور مخالف کے گھوڑے کو دھکیلنے کے لیے استعمال کرنا ایک بنیادی دفاعی اور جارحانہ حربہ ہے۔</v>
      </c>
    </row>
    <row r="68">
      <c r="A68" s="3">
        <v>67.0</v>
      </c>
      <c r="B68" s="4" t="s">
        <v>1456</v>
      </c>
      <c r="C68" s="4" t="s">
        <v>1457</v>
      </c>
      <c r="D68" s="4" t="s">
        <v>1458</v>
      </c>
      <c r="E68" s="4" t="s">
        <v>1459</v>
      </c>
      <c r="J68" s="5" t="str">
        <f>IFERROR(__xludf.DUMMYFUNCTION("GOOGLETRANSLATE(A68, ""en"", ""ur"")"),"67")</f>
        <v>67</v>
      </c>
      <c r="K68" s="5" t="str">
        <f>IFERROR(__xludf.DUMMYFUNCTION("GOOGLETRANSLATE(B68, ""en"", ""ur"")"),"ایک مکمل تربیت یافتہ، اشرافیہ بزکشی گھوڑے کی زیادہ قیمت کی بنیادی وجہ کیا ہے؟")</f>
        <v>ایک مکمل تربیت یافتہ، اشرافیہ بزکشی گھوڑے کی زیادہ قیمت کی بنیادی وجہ کیا ہے؟</v>
      </c>
      <c r="L68" s="5" t="str">
        <f>IFERROR(__xludf.DUMMYFUNCTION("GOOGLETRANSLATE(C68, ""en"", ""ur"")"),"A) اس کی کاٹھی کی قیمت، B) اس نے حاصل کیے ہوئے سالوں کی شدید، خصوصی تربیت، C) یہ ایک نایاب نسل ہے، D) اس کے کھانے کی قیمت")</f>
        <v>A) اس کی کاٹھی کی قیمت، B) اس نے حاصل کیے ہوئے سالوں کی شدید، خصوصی تربیت، C) یہ ایک نایاب نسل ہے، D) اس کے کھانے کی قیمت</v>
      </c>
      <c r="M68" s="5" t="str">
        <f>IFERROR(__xludf.DUMMYFUNCTION("GOOGLETRANSLATE(D68, ""en"", ""ur"")"),"ب) اس نے حاصل کی جانے والی شدید، خصوصی تربیت کے سال")</f>
        <v>ب) اس نے حاصل کی جانے والی شدید، خصوصی تربیت کے سال</v>
      </c>
      <c r="N68" s="5" t="str">
        <f>IFERROR(__xludf.DUMMYFUNCTION("GOOGLETRANSLATE(E68, ""en"", ""ur"")"),"ایک اعلیٰ بزکشی گھوڑے کی اہمیت اس کی تربیت اور تجربے میں ہوتی ہے، جسے تیار کرنے میں کئی سال اور بڑی مہارت درکار ہوتی ہے۔")</f>
        <v>ایک اعلیٰ بزکشی گھوڑے کی اہمیت اس کی تربیت اور تجربے میں ہوتی ہے، جسے تیار کرنے میں کئی سال اور بڑی مہارت درکار ہوتی ہے۔</v>
      </c>
    </row>
    <row r="69">
      <c r="A69" s="3">
        <v>68.0</v>
      </c>
      <c r="B69" s="4" t="s">
        <v>1460</v>
      </c>
      <c r="C69" s="4" t="s">
        <v>1461</v>
      </c>
      <c r="D69" s="4" t="s">
        <v>1462</v>
      </c>
      <c r="E69" s="4" t="s">
        <v>1463</v>
      </c>
      <c r="J69" s="5" t="str">
        <f>IFERROR(__xludf.DUMMYFUNCTION("GOOGLETRANSLATE(A69, ""en"", ""ur"")"),"68")</f>
        <v>68</v>
      </c>
      <c r="K69" s="5" t="str">
        <f>IFERROR(__xludf.DUMMYFUNCTION("GOOGLETRANSLATE(B69, ""en"", ""ur"")"),"دائرہ انصاف (دعدالت دائرہ) کا علامتی معنی کیا ہے؟")</f>
        <v>دائرہ انصاف (دعدالت دائرہ) کا علامتی معنی کیا ہے؟</v>
      </c>
      <c r="L69" s="5" t="str">
        <f>IFERROR(__xludf.DUMMYFUNCTION("GOOGLETRANSLATE(C69, ""en"", ""ur"")"),"A)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f>
        <v>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v>
      </c>
      <c r="M69" s="5" t="str">
        <f>IFERROR(__xludf.DUMMYFUNCTION("GOOGLETRANSLATE(D69, ""en"", ""ur"")"),"ب) یہ ایک غیر جانبدار میدان ہے جہاں ایک منصفانہ اسکور بنایا جا سکتا ہے۔")</f>
        <v>ب) یہ ایک غیر جانبدار میدان ہے جہاں ایک منصفانہ اسکور بنایا جا سکتا ہے۔</v>
      </c>
      <c r="N69" s="5" t="str">
        <f>IFERROR(__xludf.DUMMYFUNCTION("GOOGLETRANSLATE(E69, ""en"", ""ur"")"),"اس نام سے ظاہر ہوتا ہے کہ دائرہ انصاف اور سچائی کی جگہ ہے، جہاں سوار کی کامیاب کوشش کو سرکاری اور منصفانہ طور پر تسلیم کیا جاتا ہے۔")</f>
        <v>اس نام سے ظاہر ہوتا ہے کہ دائرہ انصاف اور سچائی کی جگہ ہے، جہاں سوار کی کامیاب کوشش کو سرکاری اور منصفانہ طور پر تسلیم کیا جاتا ہے۔</v>
      </c>
    </row>
    <row r="70">
      <c r="A70" s="3">
        <v>69.0</v>
      </c>
      <c r="B70" s="4" t="s">
        <v>1464</v>
      </c>
      <c r="C70" s="4" t="s">
        <v>1465</v>
      </c>
      <c r="D70" s="4" t="s">
        <v>1466</v>
      </c>
      <c r="E70" s="4" t="s">
        <v>1467</v>
      </c>
      <c r="J70" s="5" t="str">
        <f>IFERROR(__xludf.DUMMYFUNCTION("GOOGLETRANSLATE(A70, ""en"", ""ur"")"),"69")</f>
        <v>69</v>
      </c>
      <c r="K70" s="5" t="str">
        <f>IFERROR(__xludf.DUMMYFUNCTION("GOOGLETRANSLATE(B70, ""en"", ""ur"")"),"ایک سوار لاش کو اٹھانے کے لیے جدوجہد کر رہا ہے۔ اس کا ساتھی اوپر چڑھتا ہے اور اسے اٹھانے میں اس کی مدد کرتا ہے۔ کیا یہ قانونی ہے؟")</f>
        <v>ایک سوار لاش کو اٹھانے کے لیے جدوجہد کر رہا ہے۔ اس کا ساتھی اوپر چڑھتا ہے اور اسے اٹھانے میں اس کی مدد کرتا ہے۔ کیا یہ قانونی ہے؟</v>
      </c>
      <c r="L70" s="5" t="str">
        <f>IFERROR(__xludf.DUMMYFUNCTION("GOOGLETRANSLATE(C70, ""en"", ""ur"")"),"A)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f>
        <v>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v>
      </c>
      <c r="M70" s="5" t="str">
        <f>IFERROR(__xludf.DUMMYFUNCTION("GOOGLETRANSLATE(D70, ""en"", ""ur"")"),"ب) نہیں، ایک وقت میں صرف ایک سوار لاش کے قبضے میں ہو سکتا ہے۔")</f>
        <v>ب) نہیں، ایک وقت میں صرف ایک سوار لاش کے قبضے میں ہو سکتا ہے۔</v>
      </c>
      <c r="N70" s="5" t="str">
        <f>IFERROR(__xludf.DUMMYFUNCTION("GOOGLETRANSLATE(E70, ""en"", ""ur"")"),"ایک سوار کو لاش کا واحد قبضہ حاصل کرنا چاہیے۔ اس طریقے سے ٹیم کے ساتھی کی مدد کی اجازت نہیں ہے۔")</f>
        <v>ایک سوار کو لاش کا واحد قبضہ حاصل کرنا چاہیے۔ اس طریقے سے ٹیم کے ساتھی کی مدد کی اجازت نہیں ہے۔</v>
      </c>
    </row>
    <row r="71">
      <c r="A71" s="3">
        <v>70.0</v>
      </c>
      <c r="B71" s="4" t="s">
        <v>1468</v>
      </c>
      <c r="C71" s="4" t="s">
        <v>1469</v>
      </c>
      <c r="D71" s="4" t="s">
        <v>1470</v>
      </c>
      <c r="E71" s="4" t="s">
        <v>1471</v>
      </c>
      <c r="J71" s="5" t="str">
        <f>IFERROR(__xludf.DUMMYFUNCTION("GOOGLETRANSLATE(A71, ""en"", ""ur"")"),"70")</f>
        <v>70</v>
      </c>
      <c r="K71" s="5" t="str">
        <f>IFERROR(__xludf.DUMMYFUNCTION("GOOGLETRANSLATE(B71, ""en"", ""ur"")"),"بزکشی سیڈل کے اونچے پومل (سامنے) کا بنیادی مقصد کیا ہے؟")</f>
        <v>بزکشی سیڈل کے اونچے پومل (سامنے) کا بنیادی مقصد کیا ہے؟</v>
      </c>
      <c r="L71" s="5" t="str">
        <f>IFERROR(__xludf.DUMMYFUNCTION("GOOGLETRANSLATE(C71, ""en"", ""ur"")"),"A) یہ سوار کے پکڑنے کا ایک ہینڈل ہے، B) یہ سوار کو کاٹھی میں بند کرنے میں مدد کرتا ہے اور ایک تسمہ فراہم کرتا ہے، C) یہ کوڑا باندھنے کی جگہ ہے، D) یہ سجاوٹ کے لیے ہے۔")</f>
        <v>A) یہ سوار کے پکڑنے کا ایک ہینڈل ہے، B) یہ سوار کو کاٹھی میں بند کرنے میں مدد کرتا ہے اور ایک تسمہ فراہم کرتا ہے، C) یہ کوڑا باندھنے کی جگہ ہے، D) یہ سجاوٹ کے لیے ہے۔</v>
      </c>
      <c r="M71" s="5" t="str">
        <f>IFERROR(__xludf.DUMMYFUNCTION("GOOGLETRANSLATE(D71, ""en"", ""ur"")"),"ب) یہ سوار کو کاٹھی میں بند کرنے میں مدد کرتا ہے اور تسمہ فراہم کرتا ہے۔")</f>
        <v>ب) یہ سوار کو کاٹھی میں بند کرنے میں مدد کرتا ہے اور تسمہ فراہم کرتا ہے۔</v>
      </c>
      <c r="N71" s="5" t="str">
        <f>IFERROR(__xludf.DUMMYFUNCTION("GOOGLETRANSLATE(E71, ""en"", ""ur"")"),"اونچی پومل اور کینٹل ایک گہری، محفوظ نشست بناتی ہے، جو پرتشدد کھینچنے اور جھکنے کے دوران گھوڑے پر رہنے کے لیے ضروری ہے۔")</f>
        <v>اونچی پومل اور کینٹل ایک گہری، محفوظ نشست بناتی ہے، جو پرتشدد کھینچنے اور جھکنے کے دوران گھوڑے پر رہنے کے لیے ضروری ہے۔</v>
      </c>
    </row>
    <row r="72">
      <c r="A72" s="3">
        <v>71.0</v>
      </c>
      <c r="B72" s="4" t="s">
        <v>1472</v>
      </c>
      <c r="C72" s="4" t="s">
        <v>1473</v>
      </c>
      <c r="D72" s="4" t="s">
        <v>1474</v>
      </c>
      <c r="E72" s="4" t="s">
        <v>1475</v>
      </c>
      <c r="J72" s="5" t="str">
        <f>IFERROR(__xludf.DUMMYFUNCTION("GOOGLETRANSLATE(A72, ""en"", ""ur"")"),"71")</f>
        <v>71</v>
      </c>
      <c r="K72" s="5" t="str">
        <f>IFERROR(__xludf.DUMMYFUNCTION("GOOGLETRANSLATE(B72, ""en"", ""ur"")"),"گھوڑا اسکرم میں داخل ہونے سے انکار کرتا ہے۔ یہ کیا اشارہ کرتا ہے؟")</f>
        <v>گھوڑا اسکرم میں داخل ہونے سے انکار کرتا ہے۔ یہ کیا اشارہ کرتا ہے؟</v>
      </c>
      <c r="L72" s="5" t="str">
        <f>IFERROR(__xludf.DUMMYFUNCTION("GOOGLETRANSLATE(C72, ""en"", ""ur"")"),"A) گھوڑا ذہین ہے، B) گھوڑے میں کھیل کی ہمت یا تربیت کی کمی ہے، C) گھوڑا تھکا ہوا ہے، D) گھوڑا اپنے سوار کو ناپسند کرتا ہے۔")</f>
        <v>A) گھوڑا ذہین ہے، B) گھوڑے میں کھیل کی ہمت یا تربیت کی کمی ہے، C) گھوڑا تھکا ہوا ہے، D) گھوڑا اپنے سوار کو ناپسند کرتا ہے۔</v>
      </c>
      <c r="M72" s="5" t="str">
        <f>IFERROR(__xludf.DUMMYFUNCTION("GOOGLETRANSLATE(D72, ""en"", ""ur"")"),"ب) گھوڑے میں کھیل کی ہمت یا تربیت کی کمی ہے۔")</f>
        <v>ب) گھوڑے میں کھیل کی ہمت یا تربیت کی کمی ہے۔</v>
      </c>
      <c r="N72" s="5" t="str">
        <f>IFERROR(__xludf.DUMMYFUNCTION("GOOGLETRANSLATE(E72, ""en"", ""ur"")"),"بزکشی گھوڑے کی ایک اہم خصوصیت اس کا ""دل"" یا بہادری ہے۔ ایک گھوڑا جو لڑائی سے دور ہو جائے کھیل کے لیے موزوں نہیں ہے۔")</f>
        <v>بزکشی گھوڑے کی ایک اہم خصوصیت اس کا "دل" یا بہادری ہے۔ ایک گھوڑا جو لڑائی سے دور ہو جائے کھیل کے لیے موزوں نہیں ہے۔</v>
      </c>
    </row>
    <row r="73">
      <c r="A73" s="3">
        <v>72.0</v>
      </c>
      <c r="B73" s="4" t="s">
        <v>1476</v>
      </c>
      <c r="C73" s="4" t="s">
        <v>1477</v>
      </c>
      <c r="D73" s="4" t="s">
        <v>1478</v>
      </c>
      <c r="E73" s="4" t="s">
        <v>1479</v>
      </c>
      <c r="J73" s="5" t="str">
        <f>IFERROR(__xludf.DUMMYFUNCTION("GOOGLETRANSLATE(A73, ""en"", ""ur"")"),"72")</f>
        <v>72</v>
      </c>
      <c r="K73" s="5" t="str">
        <f>IFERROR(__xludf.DUMMYFUNCTION("GOOGLETRANSLATE(B73, ""en"", ""ur"")"),"ایک رسمی میچ میں، اس سوار کے لیے کیا جرمانہ ہے جس نے مطلوبہ ٹیم سیش یا جرسی نہیں پہنی ہو؟")</f>
        <v>ایک رسمی میچ میں، اس سوار کے لیے کیا جرمانہ ہے جس نے مطلوبہ ٹیم سیش یا جرسی نہیں پہنی ہو؟</v>
      </c>
      <c r="L73" s="5" t="str">
        <f>IFERROR(__xludf.DUMMYFUNCTION("GOOGLETRANSLATE(C73, ""en"", ""ur"")"),"A) انہیں میچ شروع کرنے کی اجازت نہیں ہے، B) انہیں ایک پوائنٹ جرمانہ دیا جاتا ہے، C) اس سے کوئی فرق نہیں پڑتا، D) انہیں دوسرے کھلاڑی سے ایک ادھار لینا چاہیے۔")</f>
        <v>A) انہیں میچ شروع کرنے کی اجازت نہیں ہے، B) انہیں ایک پوائنٹ جرمانہ دیا جاتا ہے، C) اس سے کوئی فرق نہیں پڑتا، D) انہیں دوسرے کھلاڑی سے ایک ادھار لینا چاہیے۔</v>
      </c>
      <c r="M73" s="5" t="str">
        <f>IFERROR(__xludf.DUMMYFUNCTION("GOOGLETRANSLATE(D73, ""en"", ""ur"")"),"ا) انہیں میچ شروع کرنے کی اجازت نہیں ہے۔")</f>
        <v>ا) انہیں میچ شروع کرنے کی اجازت نہیں ہے۔</v>
      </c>
      <c r="N73" s="5" t="str">
        <f>IFERROR(__xludf.DUMMYFUNCTION("GOOGLETRANSLATE(E73, ""en"", ""ur"")"),"ریفریوں کی طرف سے شناخت کے لیے مناسب یونیفارم ضروری ہے۔ ایک کھلاڑی اس کے بغیر مقابلہ نہیں کر سکتا۔")</f>
        <v>ریفریوں کی طرف سے شناخت کے لیے مناسب یونیفارم ضروری ہے۔ ایک کھلاڑی اس کے بغیر مقابلہ نہیں کر سکتا۔</v>
      </c>
    </row>
    <row r="74">
      <c r="A74" s="3">
        <v>73.0</v>
      </c>
      <c r="B74" s="4" t="s">
        <v>1480</v>
      </c>
      <c r="C74" s="4" t="s">
        <v>1481</v>
      </c>
      <c r="D74" s="4" t="s">
        <v>1482</v>
      </c>
      <c r="E74" s="4" t="s">
        <v>1483</v>
      </c>
      <c r="J74" s="5" t="str">
        <f>IFERROR(__xludf.DUMMYFUNCTION("GOOGLETRANSLATE(A74, ""en"", ""ur"")"),"73")</f>
        <v>73</v>
      </c>
      <c r="K74" s="5" t="str">
        <f>IFERROR(__xludf.DUMMYFUNCTION("GOOGLETRANSLATE(B74, ""en"", ""ur"")"),"ایک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f>
        <v>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v>
      </c>
      <c r="L74" s="5" t="str">
        <f>IFERROR(__xludf.DUMMYFUNCTION("GOOGLETRANSLATE(C74, ""en"", ""ur"")"),"A)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f>
        <v>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v>
      </c>
      <c r="M74" s="5" t="str">
        <f>IFERROR(__xludf.DUMMYFUNCTION("GOOGLETRANSLATE(D74, ""en"", ""ur"")"),"ب) جی ہاں، لاش کو پکڑنے اور محفوظ کرنے کے لیے ٹانگوں کا استعمال ایک اہم ہنر ہے۔")</f>
        <v>ب) جی ہاں، لاش کو پکڑنے اور محفوظ کرنے کے لیے ٹانگوں کا استعمال ایک اہم ہنر ہے۔</v>
      </c>
      <c r="N74" s="5" t="str">
        <f>IFERROR(__xludf.DUMMYFUNCTION("GOOGLETRANSLATE(E74, ""en"", ""ur"")"),"چپنڈاز کی ٹانگوں کی طاقتور گرفت بھاری لاش کو اپنے قبضے میں رکھنے کا بنیادی ذریعہ ہے۔")</f>
        <v>چپنڈاز کی ٹانگوں کی طاقتور گرفت بھاری لاش کو اپنے قبضے میں رکھنے کا بنیادی ذریعہ ہے۔</v>
      </c>
    </row>
    <row r="75">
      <c r="A75" s="3">
        <v>74.0</v>
      </c>
      <c r="B75" s="4" t="s">
        <v>1484</v>
      </c>
      <c r="C75" s="4" t="s">
        <v>1485</v>
      </c>
      <c r="D75" s="4" t="s">
        <v>1486</v>
      </c>
      <c r="E75" s="4" t="s">
        <v>1487</v>
      </c>
      <c r="J75" s="5" t="str">
        <f>IFERROR(__xludf.DUMMYFUNCTION("GOOGLETRANSLATE(A75, ""en"", ""ur"")"),"74")</f>
        <v>74</v>
      </c>
      <c r="K75" s="5" t="str">
        <f>IFERROR(__xludf.DUMMYFUNCTION("GOOGLETRANSLATE(B75, ""en"", ""ur"")"),"ٹورنامنٹ میں، کیا ہوتا ہے اگر کوئی ٹیم ریفری کی کال پر اختلاف کرتی ہے؟")</f>
        <v>ٹورنامنٹ میں، کیا ہوتا ہے اگر کوئی ٹیم ریفری کی کال پر اختلاف کرتی ہے؟</v>
      </c>
      <c r="L75" s="5" t="str">
        <f>IFERROR(__xludf.DUMMYFUNCTION("GOOGLETRANSLATE(C75, ""en"", ""ur"")"),"A)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f>
        <v>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v>
      </c>
      <c r="M75" s="5" t="str">
        <f>IFERROR(__xludf.DUMMYFUNCTION("GOOGLETRANSLATE(D75, ""en"", ""ur"")"),"ب) ٹیم کا کپتان ہیڈ جج یا کمیٹی کے پاس باضابطہ احتجاج درج کرا سکتا ہے۔")</f>
        <v>ب) ٹیم کا کپتان ہیڈ جج یا کمیٹی کے پاس باضابطہ احتجاج درج کرا سکتا ہے۔</v>
      </c>
      <c r="N75" s="5" t="str">
        <f>IFERROR(__xludf.DUMMYFUNCTION("GOOGLETRANSLATE(E75, ""en"", ""ur"")"),"اگرچہ فیلڈ ریفری کی کال اکثر حتمی ہوتی ہے، تقریب میں کسی اعلیٰ اتھارٹی کے سامنے کسی فیصلے کے خلاف احتجاج کرنے کا باقاعدہ عمل ہوتا ہے۔")</f>
        <v>اگرچہ فیلڈ ریفری کی کال اکثر حتمی ہوتی ہے، تقریب میں کسی اعلیٰ اتھارٹی کے سامنے کسی فیصلے کے خلاف احتجاج کرنے کا باقاعدہ عمل ہوتا ہے۔</v>
      </c>
    </row>
    <row r="76">
      <c r="A76" s="3">
        <v>75.0</v>
      </c>
      <c r="B76" s="4" t="s">
        <v>1488</v>
      </c>
      <c r="C76" s="4" t="s">
        <v>1489</v>
      </c>
      <c r="D76" s="4" t="s">
        <v>1490</v>
      </c>
      <c r="E76" s="4" t="s">
        <v>1491</v>
      </c>
      <c r="J76" s="5" t="str">
        <f>IFERROR(__xludf.DUMMYFUNCTION("GOOGLETRANSLATE(A76, ""en"", ""ur"")"),"75")</f>
        <v>75</v>
      </c>
      <c r="K76" s="5" t="str">
        <f>IFERROR(__xludf.DUMMYFUNCTION("GOOGLETRANSLATE(B76, ""en"", ""ur"")"),"گھوڑوں کو اکثر میچ سے پہلے جو اور انڈے کی زیادہ توانائی والی خوراک کیوں دی جاتی ہے؟")</f>
        <v>گھوڑوں کو اکثر میچ سے پہلے جو اور انڈے کی زیادہ توانائی والی خوراک کیوں دی جاتی ہے؟</v>
      </c>
      <c r="L76" s="5" t="str">
        <f>IFERROR(__xludf.DUMMYFUNCTION("GOOGLETRANSLATE(C76, ""en"", ""ur"")"),"A)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f>
        <v>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v>
      </c>
      <c r="M76" s="5" t="str">
        <f>IFERROR(__xludf.DUMMYFUNCTION("GOOGLETRANSLATE(D76, ""en"", ""ur"")"),"ب) انتہائی ایتھلیٹک کارکردگی کے لیے ضروری کاربوہائیڈریٹ اور پروٹین فراہم کرنا")</f>
        <v>ب) انتہائی ایتھلیٹک کارکردگی کے لیے ضروری کاربوہائیڈریٹ اور پروٹین فراہم کرنا</v>
      </c>
      <c r="N76" s="5" t="str">
        <f>IFERROR(__xludf.DUMMYFUNCTION("GOOGLETRANSLATE(E76, ""en"", ""ur"")"),"یہ روایتی غذا ""کارب-لوڈنگ"" کی ایک شکل ہے، جس کا ڈیزائن گھوڑوں کو سخت کھیل کے لیے زیادہ سے زیادہ ایندھن فراہم کرنے کے لیے بنایا گیا ہے۔")</f>
        <v>یہ روایتی غذا "کارب-لوڈنگ" کی ایک شکل ہے، جس کا ڈیزائن گھوڑوں کو سخت کھیل کے لیے زیادہ سے زیادہ ایندھن فراہم کرنے کے لیے بنایا گیا ہے۔</v>
      </c>
    </row>
    <row r="77">
      <c r="A77" s="3">
        <v>76.0</v>
      </c>
      <c r="B77" s="4" t="s">
        <v>1492</v>
      </c>
      <c r="C77" s="4" t="s">
        <v>1493</v>
      </c>
      <c r="D77" s="4" t="s">
        <v>1494</v>
      </c>
      <c r="E77" s="4" t="s">
        <v>1495</v>
      </c>
      <c r="J77" s="5" t="str">
        <f>IFERROR(__xludf.DUMMYFUNCTION("GOOGLETRANSLATE(A77, ""en"", ""ur"")"),"76")</f>
        <v>76</v>
      </c>
      <c r="K77" s="5" t="str">
        <f>IFERROR(__xludf.DUMMYFUNCTION("GOOGLETRANSLATE(B77, ""en"", ""ur"")"),"ایک سوار کا گھوڑا گرتا ہے، اور سوار نیچے پھنس جاتا ہے۔ دیگر کھلاڑیوں کا فوری ایکشن کیا ہے؟")</f>
        <v>ایک سوار کا گھوڑا گرتا ہے، اور سوار نیچے پھنس جاتا ہے۔ دیگر کھلاڑیوں کا فوری ایکشن کیا ہے؟</v>
      </c>
      <c r="L77" s="5" t="str">
        <f>IFERROR(__xludf.DUMMYFUNCTION("GOOGLETRANSLATE(C77, ""en"", ""ur"")"),"A) وہ کھیل جاری رکھتے ہیں، B) وہ اکثر رک جاتے ہیں اور پھنسے ہوئے سوار کو آزاد کرنے میں مدد کرتے ہیں، C) وہ گھوڑے کو چرانے کی کوشش کرتے ہیں، D) وہ ریفری کے کام کرنے کا انتظار کرتے ہیں۔")</f>
        <v>A) وہ کھیل جاری رکھتے ہیں، B) وہ اکثر رک جاتے ہیں اور پھنسے ہوئے سوار کو آزاد کرنے میں مدد کرتے ہیں، C) وہ گھوڑے کو چرانے کی کوشش کرتے ہیں، D) وہ ریفری کے کام کرنے کا انتظار کرتے ہیں۔</v>
      </c>
      <c r="M77" s="5" t="str">
        <f>IFERROR(__xludf.DUMMYFUNCTION("GOOGLETRANSLATE(D77, ""en"", ""ur"")"),"ب) وہ اکثر رک جاتے ہیں اور پھنسے ہوئے سوار کو آزاد کرنے میں مدد کرتے ہیں۔")</f>
        <v>ب) وہ اکثر رک جاتے ہیں اور پھنسے ہوئے سوار کو آزاد کرنے میں مدد کرتے ہیں۔</v>
      </c>
      <c r="N77" s="5" t="str">
        <f>IFERROR(__xludf.DUMMYFUNCTION("GOOGLETRANSLATE(E77, ""en"", ""ur"")"),"شدید دشمنی کے باوجود عزت کا ایک مضبوط ضابطہ ہے۔ جان لیوا صورتحال میں سوار کی فوری طور پر قریبی، مخالف یا نہیں۔")</f>
        <v>شدید دشمنی کے باوجود عزت کا ایک مضبوط ضابطہ ہے۔ جان لیوا صورتحال میں سوار کی فوری طور پر قریبی، مخالف یا نہیں۔</v>
      </c>
    </row>
    <row r="78">
      <c r="A78" s="3">
        <v>77.0</v>
      </c>
      <c r="B78" s="4" t="s">
        <v>1496</v>
      </c>
      <c r="C78" s="4" t="s">
        <v>1497</v>
      </c>
      <c r="D78" s="4" t="s">
        <v>1498</v>
      </c>
      <c r="E78" s="4" t="s">
        <v>1499</v>
      </c>
      <c r="J78" s="5" t="str">
        <f>IFERROR(__xludf.DUMMYFUNCTION("GOOGLETRANSLATE(A78, ""en"", ""ur"")"),"77")</f>
        <v>77</v>
      </c>
      <c r="K78" s="5" t="str">
        <f>IFERROR(__xludf.DUMMYFUNCTION("GOOGLETRANSLATE(B78, ""en"", ""ur"")"),"باؤنڈری کے قریب ایک سوار لاش کے قبضے میں ہے۔ ایک مخالف قانونی طور پر انہیں اپنے گھوڑے سے دھکیلتا ہے، انہیں حد سے باہر کرنے پر مجبور کرتا ہے۔ کال کیا ہے؟")</f>
        <v>باؤنڈری کے قریب ایک سوار لاش کے قبضے میں ہے۔ ایک مخالف قانونی طور پر انہیں اپنے گھوڑے سے دھکیلتا ہے، انہیں حد سے باہر کرنے پر مجبور کرتا ہے۔ کال کیا ہے؟</v>
      </c>
      <c r="L78" s="5" t="str">
        <f>IFERROR(__xludf.DUMMYFUNCTION("GOOGLETRANSLATE(C78, ""en"", ""ur"")"),"A) مخالف کو دھکا دینے کے لئے ایک فاؤل، B) مخالف کے لئے ایک نقطہ، C) لاش کو درمیان میں دوبارہ ترتیب دیا گیا ہے، D) دونوں سواروں کو ایک انتباہ جاری کیا گیا ہے")</f>
        <v>A) مخالف کو دھکا دینے کے لئے ایک فاؤل، B) مخالف کے لئے ایک نقطہ، C) لاش کو درمیان میں دوبارہ ترتیب دیا گیا ہے، D) دونوں سواروں کو ایک انتباہ جاری کیا گیا ہے</v>
      </c>
      <c r="M78" s="5" t="str">
        <f>IFERROR(__xludf.DUMMYFUNCTION("GOOGLETRANSLATE(D78, ""en"", ""ur"")"),"C) لاش کو مرکز میں دوبارہ ترتیب دیا گیا ہے۔")</f>
        <v>C) لاش کو مرکز میں دوبارہ ترتیب دیا گیا ہے۔</v>
      </c>
      <c r="N78" s="5" t="str">
        <f>IFERROR(__xludf.DUMMYFUNCTION("GOOGLETRANSLATE(E78, ""en"", ""ur"")"),"دھکا قانونی تھا، لیکن نتیجہ یہ ہوا کہ لاش کھیل سے باہر ہوگئی۔ لہذا، ڈرامہ مر گیا ہے اور لاش کو دوبارہ ترتیب دیا گیا ہے.")</f>
        <v>دھکا قانونی تھا، لیکن نتیجہ یہ ہوا کہ لاش کھیل سے باہر ہوگئی۔ لہذا، ڈرامہ مر گیا ہے اور لاش کو دوبارہ ترتیب دیا گیا ہے.</v>
      </c>
    </row>
    <row r="79">
      <c r="A79" s="3">
        <v>78.0</v>
      </c>
      <c r="B79" s="4" t="s">
        <v>1500</v>
      </c>
      <c r="C79" s="4" t="s">
        <v>1501</v>
      </c>
      <c r="D79" s="4" t="s">
        <v>1502</v>
      </c>
      <c r="E79" s="4" t="s">
        <v>1503</v>
      </c>
      <c r="J79" s="5" t="str">
        <f>IFERROR(__xludf.DUMMYFUNCTION("GOOGLETRANSLATE(A79, ""en"", ""ur"")"),"78")</f>
        <v>78</v>
      </c>
      <c r="K79" s="5" t="str">
        <f>IFERROR(__xludf.DUMMYFUNCTION("GOOGLETRANSLATE(B79, ""en"", ""ur"")"),"سواروں کی طرف سے پہنے جانے والے روایتی لحاف والے کوٹ (چاپن) کا سب سے عام رنگ کیا ہے؟")</f>
        <v>سواروں کی طرف سے پہنے جانے والے روایتی لحاف والے کوٹ (چاپن) کا سب سے عام رنگ کیا ہے؟</v>
      </c>
      <c r="L79" s="5" t="str">
        <f>IFERROR(__xludf.DUMMYFUNCTION("GOOGLETRANSLATE(C79, ""en"", ""ur"")"),"A) چمکدار سرخ، B) سفید، C) گہرے، خاموش رنگ جیسے سیاہ، نیلا، یا بھورا، D) چمکدار پیلا")</f>
        <v>A) چمکدار سرخ، B) سفید، C) گہرے، خاموش رنگ جیسے سیاہ، نیلا، یا بھورا، D) چمکدار پیلا</v>
      </c>
      <c r="M79" s="5" t="str">
        <f>IFERROR(__xludf.DUMMYFUNCTION("GOOGLETRANSLATE(D79, ""en"", ""ur"")"),"سی) گہرے، خاموش رنگ جیسے سیاہ، نیلا، یا بھورا")</f>
        <v>سی) گہرے، خاموش رنگ جیسے سیاہ، نیلا، یا بھورا</v>
      </c>
      <c r="N79" s="5" t="str">
        <f>IFERROR(__xludf.DUMMYFUNCTION("GOOGLETRANSLATE(E79, ""en"", ""ur"")"),"جب کہ کچھ سواروں کے پاس ذاتی نوعیت کے کوٹ ہوتے ہیں، سب سے زیادہ روایتی چپن گہرے، عملی رنگوں میں ہوتے ہیں۔")</f>
        <v>جب کہ کچھ سواروں کے پاس ذاتی نوعیت کے کوٹ ہوتے ہیں، سب سے زیادہ روایتی چپن گہرے، عملی رنگوں میں ہوتے ہیں۔</v>
      </c>
    </row>
    <row r="80">
      <c r="A80" s="3">
        <v>79.0</v>
      </c>
      <c r="B80" s="4" t="s">
        <v>1504</v>
      </c>
      <c r="C80" s="4" t="s">
        <v>1505</v>
      </c>
      <c r="D80" s="4" t="s">
        <v>1506</v>
      </c>
      <c r="E80" s="4" t="s">
        <v>1507</v>
      </c>
      <c r="J80" s="5" t="str">
        <f>IFERROR(__xludf.DUMMYFUNCTION("GOOGLETRANSLATE(A80, ""en"", ""ur"")"),"79")</f>
        <v>79</v>
      </c>
      <c r="K80" s="5" t="str">
        <f>IFERROR(__xludf.DUMMYFUNCTION("GOOGLETRANSLATE(B80, ""en"", ""ur"")"),"ایک عام بزکشی میچ کب تک چل سکتا ہے؟")</f>
        <v>ایک عام بزکشی میچ کب تک چل سکتا ہے؟</v>
      </c>
      <c r="L80" s="5" t="str">
        <f>IFERROR(__xludf.DUMMYFUNCTION("GOOGLETRANSLATE(C80, ""en"", ""ur"")"),"A) 10 منٹ، B) 30 منٹ، C) اکثر کئی گھنٹوں کے لیے، متعدد ادوار کے ساتھ، D) یہ غیر وقتی ہوتا ہے۔")</f>
        <v>A) 10 منٹ، B) 30 منٹ، C) اکثر کئی گھنٹوں کے لیے، متعدد ادوار کے ساتھ، D) یہ غیر وقتی ہوتا ہے۔</v>
      </c>
      <c r="M80" s="5" t="str">
        <f>IFERROR(__xludf.DUMMYFUNCTION("GOOGLETRANSLATE(D80, ""en"", ""ur"")"),"ج) اکثر کئی گھنٹوں تک، متعدد ادوار کے ساتھ")</f>
        <v>ج) اکثر کئی گھنٹوں تک، متعدد ادوار کے ساتھ</v>
      </c>
      <c r="N80" s="5" t="str">
        <f>IFERROR(__xludf.DUMMYFUNCTION("GOOGLETRANSLATE(E80, ""en"", ""ur"")"),"باضابطہ بزکشی میچ ایک طویل اور سخت معاملہ ہے، بعض اوقات درمیان میں وقفے کے ساتھ 45 منٹ کے دو حصوں پر مشتمل ہوتا ہے۔")</f>
        <v>باضابطہ بزکشی میچ ایک طویل اور سخت معاملہ ہے، بعض اوقات درمیان میں وقفے کے ساتھ 45 منٹ کے دو حصوں پر مشتمل ہوتا ہے۔</v>
      </c>
    </row>
    <row r="81">
      <c r="A81" s="3">
        <v>80.0</v>
      </c>
      <c r="B81" s="4" t="s">
        <v>1508</v>
      </c>
      <c r="C81" s="4" t="s">
        <v>1509</v>
      </c>
      <c r="D81" s="4" t="s">
        <v>1510</v>
      </c>
      <c r="E81" s="4" t="s">
        <v>1511</v>
      </c>
      <c r="J81" s="5" t="str">
        <f>IFERROR(__xludf.DUMMYFUNCTION("GOOGLETRANSLATE(A81, ""en"", ""ur"")"),"80")</f>
        <v>80</v>
      </c>
      <c r="K81" s="5" t="str">
        <f>IFERROR(__xludf.DUMMYFUNCTION("GOOGLETRANSLATE(B81, ""en"", ""ur"")"),"چپنداز میں ٹانگوں کے مضبوط پٹھے ہونے کی بنیادی وجہ کیا ہے؟")</f>
        <v>چپنداز میں ٹانگوں کے مضبوط پٹھے ہونے کی بنیادی وجہ کیا ہے؟</v>
      </c>
      <c r="L81" s="5" t="str">
        <f>IFERROR(__xludf.DUMMYFUNCTION("GOOGLETRANSLATE(C81, ""en"", ""ur"")"),"A) گھوڑے کے بغیر تیز دوڑنا، B) مخالفین کو لات مارنا، C) گھوڑے کو مضبوطی سے پکڑنا، خاص طور پر جب لاش اٹھانے کے لیے ٹیک لگانا، D) یہ اہم نہیں ہے۔")</f>
        <v>A) گھوڑے کے بغیر تیز دوڑنا، B) مخالفین کو لات مارنا، C) گھوڑے کو مضبوطی سے پکڑنا، خاص طور پر جب لاش اٹھانے کے لیے ٹیک لگانا، D) یہ اہم نہیں ہے۔</v>
      </c>
      <c r="M81" s="5" t="str">
        <f>IFERROR(__xludf.DUMMYFUNCTION("GOOGLETRANSLATE(D81, ""en"", ""ur"")"),"ج) گھوڑے کو مضبوطی سے پکڑنا، خاص طور پر جب لاش کو اٹھانے کے لیے جھکا ہو۔")</f>
        <v>ج) گھوڑے کو مضبوطی سے پکڑنا، خاص طور پر جب لاش کو اٹھانے کے لیے جھکا ہو۔</v>
      </c>
      <c r="N81" s="5" t="str">
        <f>IFERROR(__xludf.DUMMYFUNCTION("GOOGLETRANSLATE(E81, ""en"", ""ur"")"),"سوار کی ٹانگیں گھوڑے کے لیے ان کا لنگر ہیں۔ پرتشدد جدوجہد کے دوران کاٹھی میں رہنے کے لیے لوہے کی گرفت ضروری ہے۔")</f>
        <v>سوار کی ٹانگیں گھوڑے کے لیے ان کا لنگر ہیں۔ پرتشدد جدوجہد کے دوران کاٹھی میں رہنے کے لیے لوہے کی گرفت ضروری ہے۔</v>
      </c>
    </row>
    <row r="82">
      <c r="A82" s="3">
        <v>81.0</v>
      </c>
      <c r="B82" s="4" t="s">
        <v>1512</v>
      </c>
      <c r="C82" s="4" t="s">
        <v>1513</v>
      </c>
      <c r="D82" s="4" t="s">
        <v>1514</v>
      </c>
      <c r="E82" s="4" t="s">
        <v>1515</v>
      </c>
      <c r="J82" s="5" t="str">
        <f>IFERROR(__xludf.DUMMYFUNCTION("GOOGLETRANSLATE(A82, ""en"", ""ur"")"),"81")</f>
        <v>81</v>
      </c>
      <c r="K82" s="5" t="str">
        <f>IFERROR(__xludf.DUMMYFUNCTION("GOOGLETRANSLATE(B82, ""en"", ""ur"")"),"ایک سوار اسکور کرنے والا ہے، لیکن ایک مخالف انہیں پیچھے کھینچنے کے لیے ان کی زین کو پکڑتا ہے۔ کیا یہ قانونی ہے؟")</f>
        <v>ایک سوار اسکور کرنے والا ہے، لیکن ایک مخالف انہیں پیچھے کھینچنے کے لیے ان کی زین کو پکڑتا ہے۔ کیا یہ قانونی ہے؟</v>
      </c>
      <c r="L82" s="5" t="str">
        <f>IFERROR(__xludf.DUMMYFUNCTION("GOOGLETRANSLATE(C82, ""en"", ""ur"")"),"A)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f>
        <v>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v>
      </c>
      <c r="M82" s="5" t="str">
        <f>IFERROR(__xludf.DUMMYFUNCTION("GOOGLETRANSLATE(D82, ""en"", ""ur"")"),"ب) نہیں، مخالف کے سامان کو چھیننا غلط ہے۔")</f>
        <v>ب) نہیں، مخالف کے سامان کو چھیننا غلط ہے۔</v>
      </c>
      <c r="N82" s="5" t="str">
        <f>IFERROR(__xludf.DUMMYFUNCTION("GOOGLETRANSLATE(E82, ""en"", ""ur"")"),"ایک کھلاڑی صرف لاش کے لیے مقابلہ کر سکتا ہے۔ کاٹھی، لگام یا سوار کو پکڑنا غیر قانونی ہے۔")</f>
        <v>ایک کھلاڑی صرف لاش کے لیے مقابلہ کر سکتا ہے۔ کاٹھی، لگام یا سوار کو پکڑنا غیر قانونی ہے۔</v>
      </c>
    </row>
    <row r="83">
      <c r="A83" s="3">
        <v>82.0</v>
      </c>
      <c r="B83" s="4" t="s">
        <v>1516</v>
      </c>
      <c r="C83" s="4" t="s">
        <v>1441</v>
      </c>
      <c r="D83" s="4" t="s">
        <v>1442</v>
      </c>
      <c r="E83" s="4" t="s">
        <v>1443</v>
      </c>
      <c r="J83" s="5" t="str">
        <f>IFERROR(__xludf.DUMMYFUNCTION("GOOGLETRANSLATE(A83, ""en"", ""ur"")"),"82")</f>
        <v>82</v>
      </c>
      <c r="K83" s="5" t="str">
        <f>IFERROR(__xludf.DUMMYFUNCTION("GOOGLETRANSLATE(B83, ""en"", ""ur"")"),"بزکشی گھوڑوں کو لگام کے اشارے سے زیادہ ٹانگوں اور وزن کے اشارے کا جواب دینے کی تربیت کیوں دی جاتی ہے؟")</f>
        <v>بزکشی گھوڑوں کو لگام کے اشارے سے زیادہ ٹانگوں اور وزن کے اشارے کا جواب دینے کی تربیت کیوں دی جاتی ہے؟</v>
      </c>
      <c r="L83" s="5" t="str">
        <f>IFERROR(__xludf.DUMMYFUNCTION("GOOGLETRANSLATE(C83, ""en"", ""ur"")"),"A) لگام اکثر گرا دی جاتی ہے، B) سوار کے ہاتھ لاش کے ساتھ مصروف ہوتے ہیں، اس لیے انہیں اپنی ٹانگوں کے ساتھ چلنا چاہیے، C) یہ زیادہ روایتی ہے، D) یہ ایک اصول ہے۔")</f>
        <v>A) لگام اکثر گرا دی جاتی ہے، B) سوار کے ہاتھ لاش کے ساتھ مصروف ہوتے ہیں، اس لیے انہیں اپنی ٹانگوں کے ساتھ چلنا چاہیے، C) یہ زیادہ روایتی ہے، D) یہ ایک اصول ہے۔</v>
      </c>
      <c r="M83" s="5" t="str">
        <f>IFERROR(__xludf.DUMMYFUNCTION("GOOGLETRANSLATE(D83, ""en"", ""ur"")"),"ب) سوار کے ہاتھ لاش کے ساتھ مصروف ہیں، اس لیے انہیں اپنی ٹانگوں سے آگے بڑھنا چاہیے۔")</f>
        <v>ب) سوار کے ہاتھ لاش کے ساتھ مصروف ہیں، اس لیے انہیں اپنی ٹانگوں سے آگے بڑھنا چاہیے۔</v>
      </c>
      <c r="N83" s="5" t="str">
        <f>IFERROR(__xludf.DUMMYFUNCTION("GOOGLETRANSLATE(E83, ""en"", ""ur"")"),"چپنڈاز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f>
        <v>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v>
      </c>
    </row>
    <row r="84">
      <c r="A84" s="3">
        <v>83.0</v>
      </c>
      <c r="B84" s="4" t="s">
        <v>1517</v>
      </c>
      <c r="C84" s="4" t="s">
        <v>1518</v>
      </c>
      <c r="D84" s="4" t="s">
        <v>1519</v>
      </c>
      <c r="E84" s="4" t="s">
        <v>1520</v>
      </c>
      <c r="J84" s="5" t="str">
        <f>IFERROR(__xludf.DUMMYFUNCTION("GOOGLETRANSLATE(A84, ""en"", ""ur"")"),"83")</f>
        <v>83</v>
      </c>
      <c r="K84" s="5" t="str">
        <f>IFERROR(__xludf.DUMMYFUNCTION("GOOGLETRANSLATE(B84, ""en"", ""ur"")"),"اگر ایک میچ ٹائی پر ختم ہوتا ہے، اور اوور ٹائم کا دورانیہ بھی ٹائی پر ختم ہوتا ہے، تو روایتی کھیل میں حتمی فیصلہ کیا ہو سکتا ہے؟")</f>
        <v>اگر ایک میچ ٹائی پر ختم ہوتا ہے، اور اوور ٹائم کا دورانیہ بھی ٹائی پر ختم ہوتا ہے، تو روایتی کھیل میں حتمی فیصلہ کیا ہو سکتا ہے؟</v>
      </c>
      <c r="L84" s="5" t="str">
        <f>IFERROR(__xludf.DUMMYFUNCTION("GOOGLETRANSLATE(C84, ""en"", ""ur"")"),"A) سکے کا ٹاس، B) میچ ڈرا قرار دیا جاتا ہے، ایک قابل احترام نتیجہ، C) آخری پوائنٹ حاصل کرنے والی ٹیم جیت جاتی ہے، D) ٹیموں کے درمیان گھوڑوں کی دوڑ ہوتی ہے")</f>
        <v>A) سکے کا ٹاس، B) میچ ڈرا قرار دیا جاتا ہے، ایک قابل احترام نتیجہ، C) آخری پوائنٹ حاصل کرنے والی ٹیم جیت جاتی ہے، D) ٹیموں کے درمیان گھوڑوں کی دوڑ ہوتی ہے</v>
      </c>
      <c r="M84" s="5" t="str">
        <f>IFERROR(__xludf.DUMMYFUNCTION("GOOGLETRANSLATE(D84, ""en"", ""ur"")"),"ب) میچ ڈرا قرار دیا گیا، ایک قابل احترام نتیجہ")</f>
        <v>ب) میچ ڈرا قرار دیا گیا، ایک قابل احترام نتیجہ</v>
      </c>
      <c r="N84" s="5" t="str">
        <f>IFERROR(__xludf.DUMMYFUNCTION("GOOGLETRANSLATE(E84, ""en"", ""ur"")"),"کھیل کے روایتی جذبے میں، قرعہ اندازی ایک باعزت نتیجہ ہے جو اس بات کی علامت ہے کہ دو طاقتور قوتیں یکساں طور پر مماثل تھیں۔")</f>
        <v>کھیل کے روایتی جذبے میں، قرعہ اندازی ایک باعزت نتیجہ ہے جو اس بات کی علامت ہے کہ دو طاقتور قوتیں یکساں طور پر مماثل تھیں۔</v>
      </c>
    </row>
    <row r="85">
      <c r="A85" s="3">
        <v>84.0</v>
      </c>
      <c r="B85" s="4" t="s">
        <v>1444</v>
      </c>
      <c r="C85" s="4" t="s">
        <v>1445</v>
      </c>
      <c r="D85" s="4" t="s">
        <v>1446</v>
      </c>
      <c r="E85" s="4" t="s">
        <v>1447</v>
      </c>
      <c r="J85" s="5" t="str">
        <f>IFERROR(__xludf.DUMMYFUNCTION("GOOGLETRANSLATE(A85, ""en"", ""ur"")"),"84")</f>
        <v>84</v>
      </c>
      <c r="K85" s="5" t="str">
        <f>IFERROR(__xludf.DUMMYFUNCTION("GOOGLETRANSLATE(B85, ""en"", ""ur"")"),"گاؤں کی بزکشی گیم کے لیے استعمال ہونے والے میدان کی سب سے عام خصوصیت کیا ہے؟")</f>
        <v>گاؤں کی بزکشی گیم کے لیے استعمال ہونے والے میدان کی سب سے عام خصوصیت کیا ہے؟</v>
      </c>
      <c r="L85" s="5" t="str">
        <f>IFERROR(__xludf.DUMMYFUNCTION("GOOGLETRANSLATE(C85, ""en"", ""ur"")"),"A) یہ بالکل صاف ستھرا گھاس کا میدان ہے، B) یہ قدرتی حدود کے ساتھ ایک بڑا، کھلا اور اکثر گرد آلود میدان ہے، C) یہ ایک چھوٹا، بند میدان ہے، D) یہ ایک ریتیلا ساحل ہے۔")</f>
        <v>A) یہ بالکل صاف ستھرا گھاس کا میدان ہے، B) یہ قدرتی حدود کے ساتھ ایک بڑا، کھلا اور اکثر گرد آلود میدان ہے، C) یہ ایک چھوٹا، بند میدان ہے، D) یہ ایک ریتیلا ساحل ہے۔</v>
      </c>
      <c r="M85" s="5" t="str">
        <f>IFERROR(__xludf.DUMMYFUNCTION("GOOGLETRANSLATE(D85, ""en"", ""ur"")"),"ب) یہ قدرتی حدود کے ساتھ ایک بڑا، کھلا اور اکثر گرد آلود میدان ہے۔")</f>
        <v>ب) یہ قدرتی حدود کے ساتھ ایک بڑا، کھلا اور اکثر گرد آلود میدان ہے۔</v>
      </c>
      <c r="N85" s="5" t="str">
        <f>IFERROR(__xludf.DUMMYFUNCTION("GOOGLETRANSLATE(E85, ""en"", ""ur"")"),"روایتی کھیل قدرتی زمین کی تزئین کا استعمال کرتے ہیں، کھیل کی ابتداء کی ناہموار اور کھلی نوعیت کو اپناتے ہیں۔")</f>
        <v>روایتی کھیل قدرتی زمین کی تزئین کا استعمال کرتے ہیں، کھیل کی ابتداء کی ناہموار اور کھلی نوعیت کو اپناتے ہیں۔</v>
      </c>
    </row>
    <row r="86">
      <c r="A86" s="3">
        <v>85.0</v>
      </c>
      <c r="B86" s="4" t="s">
        <v>1521</v>
      </c>
      <c r="C86" s="4" t="s">
        <v>1522</v>
      </c>
      <c r="D86" s="4" t="s">
        <v>1523</v>
      </c>
      <c r="E86" s="4" t="s">
        <v>1524</v>
      </c>
      <c r="J86" s="5" t="str">
        <f>IFERROR(__xludf.DUMMYFUNCTION("GOOGLETRANSLATE(A86, ""en"", ""ur"")"),"85")</f>
        <v>85</v>
      </c>
      <c r="K86" s="5" t="str">
        <f>IFERROR(__xludf.DUMMYFUNCTION("GOOGLETRANSLATE(B86, ""en"", ""ur"")"),"ایک سوار زخمی ہے اور اسے متبادل کیا جانا چاہیے۔ کیا اصل سوار بعد میں گیم میں واپس آسکتا ہے؟")</f>
        <v>ایک سوار زخمی ہے اور اسے متبادل کیا جانا چاہیے۔ کیا اصل سوار بعد میں گیم میں واپس آسکتا ہے؟</v>
      </c>
      <c r="L86" s="5" t="str">
        <f>IFERROR(__xludf.DUMMYFUNCTION("GOOGLETRANSLATE(C86, ""en"", ""ur"")"),"A)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f>
        <v>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v>
      </c>
      <c r="M86" s="5" t="str">
        <f>IFERROR(__xludf.DUMMYFUNCTION("GOOGLETRANSLATE(D86, ""en"", ""ur"")"),"ب) نہیں، ایک بار کسی کھلاڑی کو متبادل بنا دیا جائے تو وہ واپس نہیں آ سکتے")</f>
        <v>ب) نہیں، ایک بار کسی کھلاڑی کو متبادل بنا دیا جائے تو وہ واپس نہیں آ سکتے</v>
      </c>
      <c r="N86" s="5" t="str">
        <f>IFERROR(__xludf.DUMMYFUNCTION("GOOGLETRANSLATE(E86, ""en"", ""ur"")"),"زیادہ تر رسمی اصولوں کے سیٹوں میں، ایک کھلاڑی جس کی جگہ متبادل کے ذریعے لیا جاتا ہے وہ اپنے بقیہ کے لیے کھیل سے باہر ہو جاتا ہے۔")</f>
        <v>زیادہ تر رسمی اصولوں کے سیٹوں میں، ایک کھلاڑی جس کی جگہ متبادل کے ذریعے لیا جاتا ہے وہ اپنے بقیہ کے لیے کھیل سے باہر ہو جاتا ہے۔</v>
      </c>
    </row>
    <row r="87">
      <c r="A87" s="3">
        <v>86.0</v>
      </c>
      <c r="B87" s="4" t="s">
        <v>1404</v>
      </c>
      <c r="C87" s="4" t="s">
        <v>1525</v>
      </c>
      <c r="D87" s="4" t="s">
        <v>1406</v>
      </c>
      <c r="E87" s="4" t="s">
        <v>1407</v>
      </c>
      <c r="J87" s="5" t="str">
        <f>IFERROR(__xludf.DUMMYFUNCTION("GOOGLETRANSLATE(A87, ""en"", ""ur"")"),"86")</f>
        <v>86</v>
      </c>
      <c r="K87" s="5" t="str">
        <f>IFERROR(__xludf.DUMMYFUNCTION("GOOGLETRANSLATE(B87, ""en"", ""ur"")"),"اگر گھوڑے کے پاس اچھی ""گائے کی عقل"" ہے تو اس کا کیا مطلب ہے؟")</f>
        <v>اگر گھوڑے کے پاس اچھی "گائے کی عقل" ہے تو اس کا کیا مطلب ہے؟</v>
      </c>
      <c r="L87" s="5" t="str">
        <f>IFERROR(__xludf.DUMMYFUNCTION("GOOGLETRANSLATE(C87, ""en"", ""ur"")"),"A)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f>
        <v>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v>
      </c>
      <c r="M87" s="5" t="str">
        <f>IFERROR(__xludf.DUMMYFUNCTION("GOOGLETRANSLATE(D87, ""en"", ""ur"")"),"ج) یہ ایک گھوڑا ہے جو مویشی چرانے کے لیے استعمال ہوتا تھا۔")</f>
        <v>ج) یہ ایک گھوڑا ہے جو مویشی چرانے کے لیے استعمال ہوتا تھا۔</v>
      </c>
      <c r="N87" s="5" t="str">
        <f>IFERROR(__xludf.DUMMYFUNCTION("GOOGLETRANSLATE(E87, ""en"", ""ur"")"),"ایک اچھے گائے پالنے والے گھوڑے کی مہارت — چستی اور چلتے ہوئے جانور کو ٹریک کرنے کی صلاحیت — براہ راست بزکشی کو منتقل کی جا سکتی ہے۔")</f>
        <v>ایک اچھے گائے پالنے والے گھوڑے کی مہارت — چستی اور چلتے ہوئے جانور کو ٹریک کرنے کی صلاحیت — براہ راست بزکشی کو منتقل کی جا سکتی ہے۔</v>
      </c>
    </row>
    <row r="88">
      <c r="A88" s="3">
        <v>87.0</v>
      </c>
      <c r="B88" s="4" t="s">
        <v>1526</v>
      </c>
      <c r="C88" s="4" t="s">
        <v>1527</v>
      </c>
      <c r="D88" s="4" t="s">
        <v>1528</v>
      </c>
      <c r="E88" s="4" t="s">
        <v>1529</v>
      </c>
      <c r="J88" s="5" t="str">
        <f>IFERROR(__xludf.DUMMYFUNCTION("GOOGLETRANSLATE(A88, ""en"", ""ur"")"),"87")</f>
        <v>87</v>
      </c>
      <c r="K88" s="5" t="str">
        <f>IFERROR(__xludf.DUMMYFUNCTION("GOOGLETRANSLATE(B88, ""en"", ""ur"")"),"جان بوجھ کر کسی دوسرے سوار کے گھوڑے کو گرانا کیوں غلط سمجھا جاتا ہے؟")</f>
        <v>جان بوجھ کر کسی دوسرے سوار کے گھوڑے کو گرانا کیوں غلط سمجھا جاتا ہے؟</v>
      </c>
      <c r="L88" s="5" t="str">
        <f>IFERROR(__xludf.DUMMYFUNCTION("GOOGLETRANSLATE(C88, ""en"", ""ur"")"),"A) یہ کوئی فاؤل نہیں ہے، B) یہ ایک انتہائی خطرناک اور غیر کھیلوں جیسا عمل ہے، C) یہ غیر منصفانہ فائدہ دیتا ہے، D) یہ فیلڈ کو نقصان پہنچا سکتا ہے۔")</f>
        <v>A) یہ کوئی فاؤل نہیں ہے، B) یہ ایک انتہائی خطرناک اور غیر کھیلوں جیسا عمل ہے، C) یہ غیر منصفانہ فائدہ دیتا ہے، D) یہ فیلڈ کو نقصان پہنچا سکتا ہے۔</v>
      </c>
      <c r="M88" s="5" t="str">
        <f>IFERROR(__xludf.DUMMYFUNCTION("GOOGLETRANSLATE(D88, ""en"", ""ur"")"),"ب) یہ ایک انتہائی خطرناک اور غیر کھیلوں جیسا عمل ہے۔")</f>
        <v>ب) یہ ایک انتہائی خطرناک اور غیر کھیلوں جیسا عمل ہے۔</v>
      </c>
      <c r="N88" s="5" t="str">
        <f>IFERROR(__xludf.DUMMYFUNCTION("GOOGLETRANSLATE(E88, ""en"", ""ur"")"),"جب کہ تصادم کھیل کا حصہ ہیں، جان بوجھ کر گھوڑے کو ٹرپ کرنا یا گرنے کا سبب بننا ایک بڑی غلطی ہے جس کا مقصد سنگین چوٹ پہنچانا ہے۔")</f>
        <v>جب کہ تصادم کھیل کا حصہ ہیں، جان بوجھ کر گھوڑے کو ٹرپ کرنا یا گرنے کا سبب بننا ایک بڑی غلطی ہے جس کا مقصد سنگین چوٹ پہنچانا ہے۔</v>
      </c>
    </row>
    <row r="89">
      <c r="A89" s="3">
        <v>88.0</v>
      </c>
      <c r="B89" s="4" t="s">
        <v>1456</v>
      </c>
      <c r="C89" s="4" t="s">
        <v>1457</v>
      </c>
      <c r="D89" s="4" t="s">
        <v>1458</v>
      </c>
      <c r="E89" s="4" t="s">
        <v>1459</v>
      </c>
      <c r="J89" s="5" t="str">
        <f>IFERROR(__xludf.DUMMYFUNCTION("GOOGLETRANSLATE(A89, ""en"", ""ur"")"),"88")</f>
        <v>88</v>
      </c>
      <c r="K89" s="5" t="str">
        <f>IFERROR(__xludf.DUMMYFUNCTION("GOOGLETRANSLATE(B89, ""en"", ""ur"")"),"ایک مکمل تربیت یافتہ، اشرافیہ بزکشی گھوڑے کی زیادہ قیمت کی بنیادی وجہ کیا ہے؟")</f>
        <v>ایک مکمل تربیت یافتہ، اشرافیہ بزکشی گھوڑے کی زیادہ قیمت کی بنیادی وجہ کیا ہے؟</v>
      </c>
      <c r="L89" s="5" t="str">
        <f>IFERROR(__xludf.DUMMYFUNCTION("GOOGLETRANSLATE(C89, ""en"", ""ur"")"),"A) اس کی کاٹھی کی قیمت، B) اس نے حاصل کیے ہوئے سالوں کی شدید، خصوصی تربیت، C) یہ ایک نایاب نسل ہے، D) اس کے کھانے کی قیمت")</f>
        <v>A) اس کی کاٹھی کی قیمت، B) اس نے حاصل کیے ہوئے سالوں کی شدید، خصوصی تربیت، C) یہ ایک نایاب نسل ہے، D) اس کے کھانے کی قیمت</v>
      </c>
      <c r="M89" s="5" t="str">
        <f>IFERROR(__xludf.DUMMYFUNCTION("GOOGLETRANSLATE(D89, ""en"", ""ur"")"),"ب) اس نے حاصل کی جانے والی شدید، خصوصی تربیت کے سال")</f>
        <v>ب) اس نے حاصل کی جانے والی شدید، خصوصی تربیت کے سال</v>
      </c>
      <c r="N89" s="5" t="str">
        <f>IFERROR(__xludf.DUMMYFUNCTION("GOOGLETRANSLATE(E89, ""en"", ""ur"")"),"ایک اعلیٰ بزکشی گھوڑے کی اہمیت اس کی تربیت اور تجربے میں ہوتی ہے، جسے تیار کرنے میں کئی سال اور بڑی مہارت درکار ہوتی ہے۔")</f>
        <v>ایک اعلیٰ بزکشی گھوڑے کی اہمیت اس کی تربیت اور تجربے میں ہوتی ہے، جسے تیار کرنے میں کئی سال اور بڑی مہارت درکار ہوتی ہے۔</v>
      </c>
    </row>
    <row r="90">
      <c r="A90" s="3">
        <v>89.0</v>
      </c>
      <c r="B90" s="4" t="s">
        <v>1530</v>
      </c>
      <c r="C90" s="4" t="s">
        <v>1531</v>
      </c>
      <c r="D90" s="4" t="s">
        <v>1532</v>
      </c>
      <c r="E90" s="4" t="s">
        <v>1533</v>
      </c>
      <c r="J90" s="5" t="str">
        <f>IFERROR(__xludf.DUMMYFUNCTION("GOOGLETRANSLATE(A90, ""en"", ""ur"")"),"89")</f>
        <v>89</v>
      </c>
      <c r="K90" s="5" t="str">
        <f>IFERROR(__xludf.DUMMYFUNCTION("GOOGLETRANSLATE(B90, ""en"", ""ur"")"),"کھیل کے دوران سوار کا کوڑا ٹوٹ جاتا ہے۔ وہ کیا کر سکتے ہیں؟")</f>
        <v>کھیل کے دوران سوار کا کوڑا ٹوٹ جاتا ہے۔ وہ کیا کر سکتے ہیں؟</v>
      </c>
      <c r="L90" s="5" t="str">
        <f>IFERROR(__xludf.DUMMYFUNCTION("GOOGLETRANSLATE(C90, ""en"", ""ur"")"),"A) ان کا متبادل ہونا ضروری ہے، B) انہیں بغیر چابک کے جاری رہنا چاہیے، C) ٹیم کا ساتھی انہیں اضافی وہپ دے سکتا ہے، D) وہ نااہل قرار دیے گئے ہیں۔")</f>
        <v>A) ان کا متبادل ہونا ضروری ہے، B) انہیں بغیر چابک کے جاری رہنا چاہیے، C) ٹیم کا ساتھی انہیں اضافی وہپ دے سکتا ہے، D) وہ نااہل قرار دیے گئے ہیں۔</v>
      </c>
      <c r="M90" s="5" t="str">
        <f>IFERROR(__xludf.DUMMYFUNCTION("GOOGLETRANSLATE(D90, ""en"", ""ur"")"),"ب) انہیں بغیر کوڑے کے جاری رکھنا چاہیے۔")</f>
        <v>ب) انہیں بغیر کوڑے کے جاری رکھنا چاہیے۔</v>
      </c>
      <c r="N90" s="5" t="str">
        <f>IFERROR(__xludf.DUMMYFUNCTION("GOOGLETRANSLATE(E90, ""en"", ""ur"")"),"ایک سوار بغیر کوڑے کے چل سکتا ہے۔ اس قسم کے سازوسامان کی خرابی کے لئے کھیل کا کوئی روک نہیں ہے۔")</f>
        <v>ایک سوار بغیر کوڑے کے چل سکتا ہے۔ اس قسم کے سازوسامان کی خرابی کے لئے کھیل کا کوئی روک نہیں ہے۔</v>
      </c>
    </row>
    <row r="91">
      <c r="A91" s="3">
        <v>90.0</v>
      </c>
      <c r="B91" s="4" t="s">
        <v>1460</v>
      </c>
      <c r="C91" s="4" t="s">
        <v>1461</v>
      </c>
      <c r="D91" s="4" t="s">
        <v>1462</v>
      </c>
      <c r="E91" s="4" t="s">
        <v>1463</v>
      </c>
      <c r="J91" s="5" t="str">
        <f>IFERROR(__xludf.DUMMYFUNCTION("GOOGLETRANSLATE(A91, ""en"", ""ur"")"),"90")</f>
        <v>90</v>
      </c>
      <c r="K91" s="5" t="str">
        <f>IFERROR(__xludf.DUMMYFUNCTION("GOOGLETRANSLATE(B91, ""en"", ""ur"")"),"دائرہ انصاف (دعدالت دائرہ) کا علامتی معنی کیا ہے؟")</f>
        <v>دائرہ انصاف (دعدالت دائرہ) کا علامتی معنی کیا ہے؟</v>
      </c>
      <c r="L91" s="5" t="str">
        <f>IFERROR(__xludf.DUMMYFUNCTION("GOOGLETRANSLATE(C91, ""en"", ""ur"")"),"A)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f>
        <v>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v>
      </c>
      <c r="M91" s="5" t="str">
        <f>IFERROR(__xludf.DUMMYFUNCTION("GOOGLETRANSLATE(D91, ""en"", ""ur"")"),"ب) یہ ایک غیر جانبدار میدان ہے جہاں ایک منصفانہ اسکور بنایا جا سکتا ہے۔")</f>
        <v>ب) یہ ایک غیر جانبدار میدان ہے جہاں ایک منصفانہ اسکور بنایا جا سکتا ہے۔</v>
      </c>
      <c r="N91" s="5" t="str">
        <f>IFERROR(__xludf.DUMMYFUNCTION("GOOGLETRANSLATE(E91, ""en"", ""ur"")"),"اس نام سے ظاہر ہوتا ہے کہ دائرہ انصاف اور سچائی کی جگہ ہے، جہاں سوار کی کامیاب کوشش کو سرکاری اور منصفانہ طور پر تسلیم کیا جاتا ہے۔")</f>
        <v>اس نام سے ظاہر ہوتا ہے کہ دائرہ انصاف اور سچائی کی جگہ ہے، جہاں سوار کی کامیاب کوشش کو سرکاری اور منصفانہ طور پر تسلیم کیا جاتا ہے۔</v>
      </c>
    </row>
    <row r="92">
      <c r="A92" s="3">
        <v>91.0</v>
      </c>
      <c r="B92" s="4" t="s">
        <v>1534</v>
      </c>
      <c r="C92" s="4" t="s">
        <v>1535</v>
      </c>
      <c r="D92" s="4" t="s">
        <v>1536</v>
      </c>
      <c r="E92" s="4" t="s">
        <v>1537</v>
      </c>
      <c r="J92" s="5" t="str">
        <f>IFERROR(__xludf.DUMMYFUNCTION("GOOGLETRANSLATE(A92, ""en"", ""ur"")"),"91")</f>
        <v>91</v>
      </c>
      <c r="K92" s="5" t="str">
        <f>IFERROR(__xludf.DUMMYFUNCTION("GOOGLETRANSLATE(B92, ""en"", ""ur"")"),"اگر کوئی سوار لاش کو پکڑ لے لیکن فوراً دو مخالفوں کی طرف سے اسے حد سے باہر کر دیا جائے تو اس کا کیا حکم ہے؟")</f>
        <v>اگر کوئی سوار لاش کو پکڑ لے لیکن فوراً دو مخالفوں کی طرف سے اسے حد سے باہر کر دیا جائے تو اس کا کیا حکم ہے؟</v>
      </c>
      <c r="L92" s="5" t="str">
        <f>IFERROR(__xludf.DUMMYFUNCTION("GOOGLETRANSLATE(C92, ""en"", ""ur"")"),"A)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f>
        <v>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v>
      </c>
      <c r="M92" s="5" t="str">
        <f>IFERROR(__xludf.DUMMYFUNCTION("GOOGLETRANSLATE(D92, ""en"", ""ur"")"),"ب) سوار جس کو زبردستی نکالا گیا تھا، اس کا قبضہ ختم ہو جاتا ہے، اور لاش کو دوبارہ ترتیب دیا جاتا ہے۔")</f>
        <v>ب) سوار جس کو زبردستی نکالا گیا تھا، اس کا قبضہ ختم ہو جاتا ہے، اور لاش کو دوبارہ ترتیب دیا جاتا ہے۔</v>
      </c>
      <c r="N92" s="5" t="str">
        <f>IFERROR(__xludf.DUMMYFUNCTION("GOOGLETRANSLATE(E92, ""en"", ""ur"")"),"حد سے باہر دھکیلنے سے، یہاں تک کہ مخالفین کی طرف سے، اس کے نتیجے میں قبضہ ختم ہو جاتا ہے اور کھیل کو دوبارہ ترتیب دیا جاتا ہے۔")</f>
        <v>حد سے باہر دھکیلنے سے، یہاں تک کہ مخالفین کی طرف سے، اس کے نتیجے میں قبضہ ختم ہو جاتا ہے اور کھیل کو دوبارہ ترتیب دیا جاتا ہے۔</v>
      </c>
    </row>
    <row r="93">
      <c r="A93" s="3">
        <v>92.0</v>
      </c>
      <c r="B93" s="4" t="s">
        <v>1538</v>
      </c>
      <c r="C93" s="4" t="s">
        <v>1539</v>
      </c>
      <c r="D93" s="4" t="s">
        <v>1540</v>
      </c>
      <c r="E93" s="4" t="s">
        <v>1541</v>
      </c>
      <c r="J93" s="5" t="str">
        <f>IFERROR(__xludf.DUMMYFUNCTION("GOOGLETRANSLATE(A93, ""en"", ""ur"")"),"92")</f>
        <v>92</v>
      </c>
      <c r="K93" s="5" t="str">
        <f>IFERROR(__xludf.DUMMYFUNCTION("GOOGLETRANSLATE(B93, ""en"", ""ur"")"),"گھوڑے کی درد کو برداشت کرنے کی صلاحیت کیوں ایک اہم وصف ہے؟")</f>
        <v>گھوڑے کی درد کو برداشت کرنے کی صلاحیت کیوں ایک اہم وصف ہے؟</v>
      </c>
      <c r="L93" s="5" t="str">
        <f>IFERROR(__xludf.DUMMYFUNCTION("GOOGLETRANSLATE(C93, ""en"", ""ur"")"),"A) ایسا نہیں ہے، B) کھیل میں مسلسل، دردناک تصادم اور کوڑے مارے جاتے ہیں، C) یہ سوار کو سخت ہونے دیتا ہے، D) یہ ایک سستے گھوڑے کی علامت ہے۔")</f>
        <v>A) ایسا نہیں ہے، B) کھیل میں مسلسل، دردناک تصادم اور کوڑے مارے جاتے ہیں، C) یہ سوار کو سخت ہونے دیتا ہے، D) یہ ایک سستے گھوڑے کی علامت ہے۔</v>
      </c>
      <c r="M93" s="5" t="str">
        <f>IFERROR(__xludf.DUMMYFUNCTION("GOOGLETRANSLATE(D93, ""en"", ""ur"")"),"ب) گیم میں مسلسل، تکلیف دہ تصادم اور کوڑے مارے جاتے ہیں۔")</f>
        <v>ب) گیم میں مسلسل، تکلیف دہ تصادم اور کوڑے مارے جاتے ہیں۔</v>
      </c>
      <c r="N93" s="5" t="str">
        <f>IFERROR(__xludf.DUMMYFUNCTION("GOOGLETRANSLATE(E93, ""en"", ""ur"")"),"بزکشی ایک ظالمانہ کھیل ہے۔ ایک گھوڑے میں درد اور تھکن سے کھیلنے کے لیے ہمت اور لچک ہونی چاہیے۔")</f>
        <v>بزکشی ایک ظالمانہ کھیل ہے۔ ایک گھوڑے میں درد اور تھکن سے کھیلنے کے لیے ہمت اور لچک ہونی چاہیے۔</v>
      </c>
    </row>
    <row r="94">
      <c r="A94" s="3">
        <v>93.0</v>
      </c>
      <c r="B94" s="4" t="s">
        <v>1542</v>
      </c>
      <c r="C94" s="4" t="s">
        <v>1543</v>
      </c>
      <c r="D94" s="4" t="s">
        <v>1544</v>
      </c>
      <c r="E94" s="4" t="s">
        <v>1545</v>
      </c>
      <c r="J94" s="5" t="str">
        <f>IFERROR(__xludf.DUMMYFUNCTION("GOOGLETRANSLATE(A94, ""en"", ""ur"")"),"93")</f>
        <v>93</v>
      </c>
      <c r="K94" s="5" t="str">
        <f>IFERROR(__xludf.DUMMYFUNCTION("GOOGLETRANSLATE(B94, ""en"", ""ur"")"),"ٹورنامنٹ کے لیے ""آفیشل"" لاش کا انتخاب کیسے کیا جاتا ہے؟")</f>
        <v>ٹورنامنٹ کے لیے "آفیشل" لاش کا انتخاب کیسے کیا جاتا ہے؟</v>
      </c>
      <c r="L94" s="5" t="str">
        <f>IFERROR(__xludf.DUMMYFUNCTION("GOOGLETRANSLATE(C94, ""en"", ""ur"")"),"A)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f>
        <v>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v>
      </c>
      <c r="M94" s="5" t="str">
        <f>IFERROR(__xludf.DUMMYFUNCTION("GOOGLETRANSLATE(D94, ""en"", ""ur"")"),"ج) یہ ایک خاص عمر اور وزن کا بکرا یا بچھڑا ہونا چاہیے، جسے حکام نے منظور کیا ہو۔")</f>
        <v>ج) یہ ایک خاص عمر اور وزن کا بکرا یا بچھڑا ہونا چاہیے، جسے حکام نے منظور کیا ہو۔</v>
      </c>
      <c r="N94" s="5" t="str">
        <f>IFERROR(__xludf.DUMMYFUNCTION("GOOGLETRANSLATE(E94, ""en"", ""ur"")"),"انصاف کو یقینی بنانے کے لیے، لاش کو میچ سے پہلے سائز اور وزن کے لیے معیاری معیار پر پورا اترنا چاہیے۔")</f>
        <v>انصاف کو یقینی بنانے کے لیے، لاش کو میچ سے پہلے سائز اور وزن کے لیے معیاری معیار پر پورا اترنا چاہیے۔</v>
      </c>
    </row>
    <row r="95">
      <c r="A95" s="3">
        <v>94.0</v>
      </c>
      <c r="B95" s="4" t="s">
        <v>1546</v>
      </c>
      <c r="C95" s="4" t="s">
        <v>1547</v>
      </c>
      <c r="D95" s="4" t="s">
        <v>1548</v>
      </c>
      <c r="E95" s="4" t="s">
        <v>1549</v>
      </c>
      <c r="J95" s="5" t="str">
        <f>IFERROR(__xludf.DUMMYFUNCTION("GOOGLETRANSLATE(A95, ""en"", ""ur"")"),"94")</f>
        <v>94</v>
      </c>
      <c r="K95" s="5" t="str">
        <f>IFERROR(__xludf.DUMMYFUNCTION("GOOGLETRANSLATE(B95, ""en"", ""ur"")"),"""ٹھنڈے خون والے"" گھوڑے کی بنیادی خصوصیت کیا ہے، اور یہ بزکشی کے لیے کیوں نا مناسب ہے؟")</f>
        <v>"ٹھنڈے خون والے" گھوڑے کی بنیادی خصوصیت کیا ہے، اور یہ بزکشی کے لیے کیوں نا مناسب ہے؟</v>
      </c>
      <c r="L95" s="5" t="str">
        <f>IFERROR(__xludf.DUMMYFUNCTION("GOOGLETRANSLATE(C95, ""en"", ""ur"")"),"ا)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f>
        <v>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v>
      </c>
      <c r="M95" s="5" t="str">
        <f>IFERROR(__xludf.DUMMYFUNCTION("GOOGLETRANSLATE(D95, ""en"", ""ur"")"),"ب) وہ پرسکون اور سست ہیں؛ ان میں ضروری رفتار اور آگ کی کمی ہے۔")</f>
        <v>ب) وہ پرسکون اور سست ہیں؛ ان میں ضروری رفتار اور آگ کی کمی ہے۔</v>
      </c>
      <c r="N95" s="5" t="str">
        <f>IFERROR(__xludf.DUMMYFUNCTION("GOOGLETRANSLATE(E95, ""en"", ""ur"")"),"بزکاشی کو ""گرم خون والے"" گھوڑوں کی ضرورت ہوتی ہے جو اپنی توانائی، رفتار اور مسابقتی جذبے کے لیے مشہور ہیں۔ ایک پرسکون ڈرافٹ گھوڑا مکمل طور پر غیر موزوں ہوگا۔")</f>
        <v>بزکاشی کو "گرم خون والے" گھوڑوں کی ضرورت ہوتی ہے جو اپنی توانائی، رفتار اور مسابقتی جذبے کے لیے مشہور ہیں۔ ایک پرسکون ڈرافٹ گھوڑا مکمل طور پر غیر موزوں ہوگا۔</v>
      </c>
    </row>
    <row r="96">
      <c r="A96" s="3">
        <v>95.0</v>
      </c>
      <c r="B96" s="4" t="s">
        <v>1550</v>
      </c>
      <c r="C96" s="4" t="s">
        <v>1551</v>
      </c>
      <c r="D96" s="4" t="s">
        <v>1552</v>
      </c>
      <c r="E96" s="4" t="s">
        <v>1553</v>
      </c>
      <c r="J96" s="5" t="str">
        <f>IFERROR(__xludf.DUMMYFUNCTION("GOOGLETRANSLATE(A96, ""en"", ""ur"")"),"95")</f>
        <v>95</v>
      </c>
      <c r="K96" s="5" t="str">
        <f>IFERROR(__xludf.DUMMYFUNCTION("GOOGLETRANSLATE(B96, ""en"", ""ur"")"),"ایک سوار پر دوسرے گھوڑوں کو چوٹ پہنچانے کے لیے چھپے ہوئے تیز نقطہ کے ساتھ زین کا استعمال کرنے کا الزام ہے۔ اگر سچ ہے تو سزا کیا ہے؟")</f>
        <v>ایک سوار پر دوسرے گھوڑوں کو چوٹ پہنچانے کے لیے چھپے ہوئے تیز نقطہ کے ساتھ زین کا استعمال کرنے کا الزام ہے۔ اگر سچ ہے تو سزا کیا ہے؟</v>
      </c>
      <c r="L96" s="5" t="str">
        <f>IFERROR(__xludf.DUMMYFUNCTION("GOOGLETRANSLATE(C96, ""en"", ""ur"")"),"A) ایک انتباہ، B) ایک پوائنٹ کی کٹوتی، C) فوری طور پر نااہلی اور کھیل سے ممکنہ پابندی، D) جرمانہ")</f>
        <v>A) ایک انتباہ، B) ایک پوائنٹ کی کٹوتی، C) فوری طور پر نااہلی اور کھیل سے ممکنہ پابندی، D) جرمانہ</v>
      </c>
      <c r="M96" s="5" t="str">
        <f>IFERROR(__xludf.DUMMYFUNCTION("GOOGLETRANSLATE(D96, ""en"", ""ur"")"),"C) فوری طور پر نااہلی اور کھیل سے ممکنہ پابندی")</f>
        <v>C) فوری طور پر نااہلی اور کھیل سے ممکنہ پابندی</v>
      </c>
      <c r="N96" s="5" t="str">
        <f>IFERROR(__xludf.DUMMYFUNCTION("GOOGLETRANSLATE(E96, ""en"", ""ur"")"),"یہ دھوکہ دہی کی ایک شدید شکل ہے جسے جان بوجھ کر دوسرے جانوروں کو زخمی کرنے کے لیے ڈیزائن کیا گیا ہے اور اسے سخت ترین ممکنہ سزا دی جائے گی۔")</f>
        <v>یہ دھوکہ دہی کی ایک شدید شکل ہے جسے جان بوجھ کر دوسرے جانوروں کو زخمی کرنے کے لیے ڈیزائن کیا گیا ہے اور اسے سخت ترین ممکنہ سزا دی جائے گی۔</v>
      </c>
    </row>
    <row r="97">
      <c r="A97" s="3">
        <v>96.0</v>
      </c>
      <c r="B97" s="4" t="s">
        <v>1554</v>
      </c>
      <c r="C97" s="4" t="s">
        <v>1555</v>
      </c>
      <c r="D97" s="4" t="s">
        <v>1556</v>
      </c>
      <c r="E97" s="4" t="s">
        <v>1557</v>
      </c>
      <c r="J97" s="5" t="str">
        <f>IFERROR(__xludf.DUMMYFUNCTION("GOOGLETRANSLATE(A97, ""en"", ""ur"")"),"96")</f>
        <v>96</v>
      </c>
      <c r="K97" s="5" t="str">
        <f>IFERROR(__xludf.DUMMYFUNCTION("GOOGLETRANSLATE(B97, ""en"", ""ur"")"),"افراتفری والے اسکرم میں سوار کے لئے سب سے اہم مہارت کیا ہے؟")</f>
        <v>افراتفری والے اسکرم میں سوار کے لئے سب سے اہم مہارت کیا ہے؟</v>
      </c>
      <c r="L97" s="5" t="str">
        <f>IFERROR(__xludf.DUMMYFUNCTION("GOOGLETRANSLATE(C97, ""en"", ""ur"")"),"A)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f>
        <v>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v>
      </c>
      <c r="M97" s="5" t="str">
        <f>IFERROR(__xludf.DUMMYFUNCTION("GOOGLETRANSLATE(D97, ""en"", ""ur"")"),"ب) بہت زیادہ دباؤ کے دوران گھوڑے پر رہنے اور پوزیشن برقرار رکھنے کی صلاحیت")</f>
        <v>ب) بہت زیادہ دباؤ کے دوران گھوڑے پر رہنے اور پوزیشن برقرار رکھنے کی صلاحیت</v>
      </c>
      <c r="N97" s="5" t="str">
        <f>IFERROR(__xludf.DUMMYFUNCTION("GOOGLETRANSLATE(E97, ""en"", ""ur"")"),"اس سے پہلے کہ کوئی سوار لاش کے بارے میں سوچ سکے، انہیں اسکرم کے پرتشدد افراتفری سے بچنے کی بنیادی مہارت حاصل کرنی چاہیے۔")</f>
        <v>اس سے پہلے کہ کوئی سوار لاش کے بارے میں سوچ سکے، انہیں اسکرم کے پرتشدد افراتفری سے بچنے کی بنیادی مہارت حاصل کرنی چاہیے۔</v>
      </c>
    </row>
    <row r="98">
      <c r="A98" s="3">
        <v>97.0</v>
      </c>
      <c r="B98" s="4" t="s">
        <v>1558</v>
      </c>
      <c r="C98" s="4" t="s">
        <v>1559</v>
      </c>
      <c r="D98" s="4" t="s">
        <v>1560</v>
      </c>
      <c r="E98" s="4" t="s">
        <v>1561</v>
      </c>
      <c r="J98" s="5" t="str">
        <f>IFERROR(__xludf.DUMMYFUNCTION("GOOGLETRANSLATE(A98, ""en"", ""ur"")"),"97")</f>
        <v>97</v>
      </c>
      <c r="K98" s="5" t="str">
        <f>IFERROR(__xludf.DUMMYFUNCTION("GOOGLETRANSLATE(B98, ""en"", ""ur"")"),"ایک ٹیم میں ""سویپر"" گھوڑے کا کیا کردار ہے؟")</f>
        <v>ایک ٹیم میں "سویپر" گھوڑے کا کیا کردار ہے؟</v>
      </c>
      <c r="L98" s="5" t="str">
        <f>IFERROR(__xludf.DUMMYFUNCTION("GOOGLETRANSLATE(C98, ""en"", ""ur"")"),"A)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f>
        <v>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v>
      </c>
      <c r="M98" s="5" t="str">
        <f>IFERROR(__xludf.DUMMYFUNCTION("GOOGLETRANSLATE(D98, ""en"", ""ur"")"),"ب) ایک گھوڑا جو آزاد ہونے والے مخالفین کا پیچھا کرنے میں اچھا ہے۔")</f>
        <v>ب) ایک گھوڑا جو آزاد ہونے والے مخالفین کا پیچھا کرنے میں اچھا ہے۔</v>
      </c>
      <c r="N98" s="5" t="str">
        <f>IFERROR(__xludf.DUMMYFUNCTION("GOOGLETRANSLATE(E98, ""en"", ""ur"")"),"کچھ گھوڑے سیدھی لکیر میں غیر معمولی طور پر تیز ہوتے ہیں اور ٹیموں کے ذریعہ ان کا استعمال کسی بری اسکورر کا پیچھا کرنے اور اسے چلانے کے لیے کیا جاتا ہے۔")</f>
        <v>کچھ گھوڑے سیدھی لکیر میں غیر معمولی طور پر تیز ہوتے ہیں اور ٹیموں کے ذریعہ ان کا استعمال کسی بری اسکورر کا پیچھا کرنے اور اسے چلانے کے لیے کیا جاتا ہے۔</v>
      </c>
    </row>
    <row r="99">
      <c r="A99" s="3">
        <v>98.0</v>
      </c>
      <c r="B99" s="4" t="s">
        <v>1480</v>
      </c>
      <c r="C99" s="4" t="s">
        <v>1481</v>
      </c>
      <c r="D99" s="4" t="s">
        <v>1482</v>
      </c>
      <c r="E99" s="4" t="s">
        <v>1483</v>
      </c>
      <c r="J99" s="5" t="str">
        <f>IFERROR(__xludf.DUMMYFUNCTION("GOOGLETRANSLATE(A99, ""en"", ""ur"")"),"98")</f>
        <v>98</v>
      </c>
      <c r="K99" s="5" t="str">
        <f>IFERROR(__xludf.DUMMYFUNCTION("GOOGLETRANSLATE(B99, ""en"", ""ur"")"),"ایک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f>
        <v>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v>
      </c>
      <c r="L99" s="5" t="str">
        <f>IFERROR(__xludf.DUMMYFUNCTION("GOOGLETRANSLATE(C99, ""en"", ""ur"")"),"A)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f>
        <v>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v>
      </c>
      <c r="M99" s="5" t="str">
        <f>IFERROR(__xludf.DUMMYFUNCTION("GOOGLETRANSLATE(D99, ""en"", ""ur"")"),"ب) جی ہاں، لاش کو پکڑنے اور محفوظ کرنے کے لیے ٹانگوں کا استعمال ایک اہم ہنر ہے۔")</f>
        <v>ب) جی ہاں، لاش کو پکڑنے اور محفوظ کرنے کے لیے ٹانگوں کا استعمال ایک اہم ہنر ہے۔</v>
      </c>
      <c r="N99" s="5" t="str">
        <f>IFERROR(__xludf.DUMMYFUNCTION("GOOGLETRANSLATE(E99, ""en"", ""ur"")"),"چپنڈاز کی ٹانگوں کی طاقتور گرفت بھاری لاش کو اپنے قبضے میں رکھنے کا بنیادی ذریعہ ہے۔")</f>
        <v>چپنڈاز کی ٹانگوں کی طاقتور گرفت بھاری لاش کو اپنے قبضے میں رکھنے کا بنیادی ذریعہ ہے۔</v>
      </c>
    </row>
    <row r="100">
      <c r="A100" s="3">
        <v>99.0</v>
      </c>
      <c r="B100" s="4" t="s">
        <v>1562</v>
      </c>
      <c r="C100" s="4" t="s">
        <v>1563</v>
      </c>
      <c r="D100" s="4" t="s">
        <v>1564</v>
      </c>
      <c r="E100" s="4" t="s">
        <v>1565</v>
      </c>
      <c r="J100" s="5" t="str">
        <f>IFERROR(__xludf.DUMMYFUNCTION("GOOGLETRANSLATE(A100, ""en"", ""ur"")"),"99")</f>
        <v>99</v>
      </c>
      <c r="K100" s="5" t="str">
        <f>IFERROR(__xludf.DUMMYFUNCTION("GOOGLETRANSLATE(B100, ""en"", ""ur"")"),"ایک ٹورنامنٹ میں، انصاف کے دائرے کا مخصوص رنگ کیا ہے؟")</f>
        <v>ایک ٹورنامنٹ میں، انصاف کے دائرے کا مخصوص رنگ کیا ہے؟</v>
      </c>
      <c r="L100" s="5" t="str">
        <f>IFERROR(__xludf.DUMMYFUNCTION("GOOGLETRANSLATE(C100, ""en"", ""ur"")"),"A) یہ غیر نشان زدہ ہے، B) یہ روشن سفید چاک سے نشان زد ہے، C) یہ سرخ رسی سے نشان زد ہے، D) یہ مستقل طور پر پینٹ شدہ دائرہ ہے۔")</f>
        <v>A) یہ غیر نشان زدہ ہے، B) یہ روشن سفید چاک سے نشان زد ہے، C) یہ سرخ رسی سے نشان زد ہے، D) یہ مستقل طور پر پینٹ شدہ دائرہ ہے۔</v>
      </c>
      <c r="M100" s="5" t="str">
        <f>IFERROR(__xludf.DUMMYFUNCTION("GOOGLETRANSLATE(D100, ""en"", ""ur"")"),"ب) یہ روشن سفید چاک سے نشان زد ہے۔")</f>
        <v>ب) یہ روشن سفید چاک سے نشان زد ہے۔</v>
      </c>
      <c r="N100" s="5" t="str">
        <f>IFERROR(__xludf.DUMMYFUNCTION("GOOGLETRANSLATE(E100, ""en"", ""ur"")"),"سواروں اور ریفریوں کے لیے واضح مرئیت کو یقینی بنانے کے لیے، گول کرنے والے دائرے کو عام طور پر موٹے سفید چاک یا چونے سے کھینچا جاتا ہے۔")</f>
        <v>سواروں اور ریفریوں کے لیے واضح مرئیت کو یقینی بنانے کے لیے، گول کرنے والے دائرے کو عام طور پر موٹے سفید چاک یا چونے سے کھینچا جاتا ہے۔</v>
      </c>
    </row>
    <row r="101">
      <c r="A101" s="3">
        <v>100.0</v>
      </c>
      <c r="B101" s="4" t="s">
        <v>1388</v>
      </c>
      <c r="C101" s="4" t="s">
        <v>1566</v>
      </c>
      <c r="D101" s="4" t="s">
        <v>1567</v>
      </c>
      <c r="E101" s="4" t="s">
        <v>1391</v>
      </c>
      <c r="J101" s="5" t="str">
        <f>IFERROR(__xludf.DUMMYFUNCTION("GOOGLETRANSLATE(A101, ""en"", ""ur"")"),"100")</f>
        <v>100</v>
      </c>
      <c r="K101" s="5" t="str">
        <f>IFERROR(__xludf.DUMMYFUNCTION("GOOGLETRANSLATE(B101, ""en"", ""ur"")"),"ایک ماہر چپنداز کی حتمی نشانی کیا ہے؟")</f>
        <v>ایک ماہر چپنداز کی حتمی نشانی کیا ہے؟</v>
      </c>
      <c r="L101" s="5" t="str">
        <f>IFERROR(__xludf.DUMMYFUNCTION("GOOGLETRANSLATE(C101, ""en"", ""ur"")"),"A)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f>
        <v>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v>
      </c>
      <c r="M101" s="5" t="str">
        <f>IFERROR(__xludf.DUMMYFUNCTION("GOOGLETRANSLATE(D101, ""en"", ""ur"")"),"ب) وہ بغیر کوشش کے بظاہر ایک پوائنٹ اسکور کر سکتے ہیں، جس سے افراتفری کا کھیل آسان نظر آتا ہے۔")</f>
        <v>ب) وہ بغیر کوشش کے بظاہر ایک پوائنٹ اسکور کر سکتے ہیں، جس سے افراتفری کا کھیل آسان نظر آتا ہے۔</v>
      </c>
      <c r="N101" s="5" t="str">
        <f>IFERROR(__xludf.DUMMYFUNCTION("GOOGLETRANSLATE(E101, ""en"", ""ur"")"),"حقیقی مہارت کو ایک آسان فضل اور ذہانت کے ذریعے دکھایا گیا ہے جو ناقابل یقین حد تک مشکل کھیل کو سیال اور سادہ نظر آتا ہے۔")</f>
        <v>حقیقی مہارت کو ایک آسان فضل اور ذہانت کے ذریعے دکھایا گیا ہے جو ناقابل یقین حد تک مشکل کھیل کو سیال اور سادہ نظر آتا ہے۔</v>
      </c>
    </row>
    <row r="102">
      <c r="A102" s="3">
        <v>101.0</v>
      </c>
      <c r="B102" s="4" t="s">
        <v>1568</v>
      </c>
      <c r="C102" s="4" t="s">
        <v>1569</v>
      </c>
      <c r="D102" s="4" t="s">
        <v>1570</v>
      </c>
      <c r="E102" s="4" t="s">
        <v>1571</v>
      </c>
      <c r="J102" s="5" t="str">
        <f>IFERROR(__xludf.DUMMYFUNCTION("GOOGLETRANSLATE(A102, ""en"", ""ur"")"),"101")</f>
        <v>101</v>
      </c>
      <c r="K102" s="5" t="str">
        <f>IFERROR(__xludf.DUMMYFUNCTION("GOOGLETRANSLATE(B102, ""en"", ""ur"")"),"غلط نسل کا گھوڑا رکھنے پر سوار کو نااہل قرار دیا جاتا ہے۔ پاکستان میں روایتی میچ کے لیے سب سے زیادہ مطلوبہ نسل کون سی ہے؟")</f>
        <v>غلط نسل کا گھوڑا رکھنے پر سوار کو نااہل قرار دیا جاتا ہے۔ پاکستان میں روایتی میچ کے لیے سب سے زیادہ مطلوبہ نسل کون سی ہے؟</v>
      </c>
      <c r="L102" s="5" t="str">
        <f>IFERROR(__xludf.DUMMYFUNCTION("GOOGLETRANSLATE(C102, ""en"", ""ur"")"),"A) عربی، B) مکمل نسل، C) ایک مقامی نسل جو وزیری یا بلوچی جیسی سختی کے لیے جانی جاتی ہے، D) شائر")</f>
        <v>A) عربی، B) مکمل نسل، C) ایک مقامی نسل جو وزیری یا بلوچی جیسی سختی کے لیے جانی جاتی ہے، D) شائر</v>
      </c>
      <c r="M102" s="5" t="str">
        <f>IFERROR(__xludf.DUMMYFUNCTION("GOOGLETRANSLATE(D102, ""en"", ""ur"")"),"ج) ایک مقامی نسل جو جفاکشی کے لیے مشہور ہے جیسے وزیری یا بلوچی۔")</f>
        <v>ج) ایک مقامی نسل جو جفاکشی کے لیے مشہور ہے جیسے وزیری یا بلوچی۔</v>
      </c>
      <c r="N102" s="5" t="str">
        <f>IFERROR(__xludf.DUMMYFUNCTION("GOOGLETRANSLATE(E102, ""en"", ""ur"")"),"روایتی کھیل اکثر مقامی نسلوں کو زیادہ اہمیت دیتے ہیں جو خاص طور پر خطے کی آب و ہوا اور کھیل کے تقاضوں کے مطابق ہوتی ہیں۔")</f>
        <v>روایتی کھیل اکثر مقامی نسلوں کو زیادہ اہمیت دیتے ہیں جو خاص طور پر خطے کی آب و ہوا اور کھیل کے تقاضوں کے مطابق ہوتی ہیں۔</v>
      </c>
    </row>
    <row r="103">
      <c r="A103" s="3">
        <v>102.0</v>
      </c>
      <c r="B103" s="4" t="s">
        <v>1572</v>
      </c>
      <c r="C103" s="4" t="s">
        <v>1573</v>
      </c>
      <c r="D103" s="4" t="s">
        <v>1574</v>
      </c>
      <c r="E103" s="4" t="s">
        <v>1575</v>
      </c>
      <c r="J103" s="5" t="str">
        <f>IFERROR(__xludf.DUMMYFUNCTION("GOOGLETRANSLATE(A103, ""en"", ""ur"")"),"102")</f>
        <v>102</v>
      </c>
      <c r="K103" s="5" t="str">
        <f>IFERROR(__xludf.DUMMYFUNCTION("GOOGLETRANSLATE(B103, ""en"", ""ur"")"),"اونچی پشت والی کاٹھی، یا کینٹل کا بنیادی مقصد کیا ہے؟")</f>
        <v>اونچی پشت والی کاٹھی، یا کینٹل کا بنیادی مقصد کیا ہے؟</v>
      </c>
      <c r="L103" s="5" t="str">
        <f>IFERROR(__xludf.DUMMYFUNCTION("GOOGLETRANSLATE(C103, ""en"", ""ur"")"),"A) سجاوٹ کے لیے جگہ فراہم کرنے کے لیے، B) بھاری لاش کو کھینچتے وقت سوار کو پیچھے کی طرف پھسلنے سے روکنے کے لیے، C) سوار کو لمبا بیٹھنے کے لیے، D) یہ خالصتاً کاسمیٹک ہے۔")</f>
        <v>A) سجاوٹ کے لیے جگہ فراہم کرنے کے لیے، B) بھاری لاش کو کھینچتے وقت سوار کو پیچھے کی طرف پھسلنے سے روکنے کے لیے، C) سوار کو لمبا بیٹھنے کے لیے، D) یہ خالصتاً کاسمیٹک ہے۔</v>
      </c>
      <c r="M103" s="5" t="str">
        <f>IFERROR(__xludf.DUMMYFUNCTION("GOOGLETRANSLATE(D103, ""en"", ""ur"")"),"ب) بھاری لاش کو کھینچتے وقت سوار کو پیچھے کی طرف پھسلنے سے روکنا")</f>
        <v>ب) بھاری لاش کو کھینچتے وقت سوار کو پیچھے کی طرف پھسلنے سے روکنا</v>
      </c>
      <c r="N103" s="5" t="str">
        <f>IFERROR(__xludf.DUMMYFUNCTION("GOOGLETRANSLATE(E103, ""en"", ""ur"")"),"ہائی کینٹل ایک تسمہ کے طور پر کام کرتا ہے، جو سوار کو اہم فائدہ اور مدد فراہم کرتا ہے۔")</f>
        <v>ہائی کینٹل ایک تسمہ کے طور پر کام کرتا ہے، جو سوار کو اہم فائدہ اور مدد فراہم کرتا ہے۔</v>
      </c>
    </row>
    <row r="104">
      <c r="A104" s="3">
        <v>103.0</v>
      </c>
      <c r="B104" s="4" t="s">
        <v>1576</v>
      </c>
      <c r="C104" s="4" t="s">
        <v>1577</v>
      </c>
      <c r="D104" s="4" t="s">
        <v>1578</v>
      </c>
      <c r="E104" s="4" t="s">
        <v>1579</v>
      </c>
      <c r="J104" s="5" t="str">
        <f>IFERROR(__xludf.DUMMYFUNCTION("GOOGLETRANSLATE(A104, ""en"", ""ur"")"),"103")</f>
        <v>103</v>
      </c>
      <c r="K104" s="5" t="str">
        <f>IFERROR(__xludf.DUMMYFUNCTION("GOOGLETRANSLATE(B104, ""en"", ""ur"")"),"ایک ریفری کھیل کو روکتا ہے کیونکہ سوار کی روایتی پگڑی (لنگی) ختم ہو گئی ہے اور ان کی بینائی کو مدھم کر رہی ہے۔ کیا یہ صحیح کال ہے؟")</f>
        <v>ایک ریفری کھیل کو روکتا ہے کیونکہ سوار کی روایتی پگڑی (لنگی) ختم ہو گئی ہے اور ان کی بینائی کو مدھم کر رہی ہے۔ کیا یہ صحیح کال ہے؟</v>
      </c>
      <c r="L104" s="5" t="str">
        <f>IFERROR(__xludf.DUMMYFUNCTION("GOOGLETRANSLATE(C104, ""en"", ""ur"")"),"A) نہیں، کھیل جاری رہنا چاہئے، B) ہاں، یہ سوار کی حفاظت کا معاملہ ہے، C) سوار کو نااہل قرار دیا جانا چاہئے، D) مخالف کو ایک پوائنٹ ملتا ہے")</f>
        <v>A) نہیں، کھیل جاری رہنا چاہئے، B) ہاں، یہ سوار کی حفاظت کا معاملہ ہے، C) سوار کو نااہل قرار دیا جانا چاہئے، D) مخالف کو ایک پوائنٹ ملتا ہے</v>
      </c>
      <c r="M104" s="5" t="str">
        <f>IFERROR(__xludf.DUMMYFUNCTION("GOOGLETRANSLATE(D104, ""en"", ""ur"")"),"ب) جی ہاں، یہ سوار کی حفاظت کا معاملہ ہے۔")</f>
        <v>ب) جی ہاں، یہ سوار کی حفاظت کا معاملہ ہے۔</v>
      </c>
      <c r="N104" s="5" t="str">
        <f>IFERROR(__xludf.DUMMYFUNCTION("GOOGLETRANSLATE(E104, ""en"", ""ur"")"),"اگر سامان یا لباس کا کوئی ٹکڑا حفاظتی خطرہ بن جاتا ہے، تو ریفری کھیل کو روک سکتا ہے اور اسے روکنا چاہیے۔")</f>
        <v>اگر سامان یا لباس کا کوئی ٹکڑا حفاظتی خطرہ بن جاتا ہے، تو ریفری کھیل کو روک سکتا ہے اور اسے روکنا چاہیے۔</v>
      </c>
    </row>
    <row r="105">
      <c r="A105" s="3">
        <v>104.0</v>
      </c>
      <c r="B105" s="4" t="s">
        <v>1580</v>
      </c>
      <c r="C105" s="4" t="s">
        <v>1581</v>
      </c>
      <c r="D105" s="4" t="s">
        <v>1582</v>
      </c>
      <c r="E105" s="4" t="s">
        <v>1583</v>
      </c>
      <c r="J105" s="5" t="str">
        <f>IFERROR(__xludf.DUMMYFUNCTION("GOOGLETRANSLATE(A105, ""en"", ""ur"")"),"104")</f>
        <v>104</v>
      </c>
      <c r="K105" s="5" t="str">
        <f>IFERROR(__xludf.DUMMYFUNCTION("GOOGLETRANSLATE(B105, ""en"", ""ur"")"),"گھوڑے کو اس کے ""نرم منہ"" کے لیے سراہا جاتا ہے۔ اس کا کیا مطلب ہے؟")</f>
        <v>گھوڑے کو اس کے "نرم منہ" کے لیے سراہا جاتا ہے۔ اس کا کیا مطلب ہے؟</v>
      </c>
      <c r="L105" s="5" t="str">
        <f>IFERROR(__xludf.DUMMYFUNCTION("GOOGLETRANSLATE(C105, ""en"", ""ur"")"),"A) گھوڑے کے دانت کمزور ہیں، B) گھوڑا لگام سے نرم اشارے پر بہت زیادہ جوابدہ ہے، C) گھوڑا نہیں کاٹتا، D) گھوڑا نرم کھانا کھاتا ہے")</f>
        <v>A) گھوڑے کے دانت کمزور ہیں، B) گھوڑا لگام سے نرم اشارے پر بہت زیادہ جوابدہ ہے، C) گھوڑا نہیں کاٹتا، D) گھوڑا نرم کھانا کھاتا ہے</v>
      </c>
      <c r="M105" s="5" t="str">
        <f>IFERROR(__xludf.DUMMYFUNCTION("GOOGLETRANSLATE(D105, ""en"", ""ur"")"),"ب) گھوڑا لگام سے نرم اشارے کے لئے بہت جوابدہ ہے۔")</f>
        <v>ب) گھوڑا لگام سے نرم اشارے کے لئے بہت جوابدہ ہے۔</v>
      </c>
      <c r="N105" s="5" t="str">
        <f>IFERROR(__xludf.DUMMYFUNCTION("GOOGLETRANSLATE(E105, ""en"", ""ur"")"),"نرم منہ ایک اچھی طرح سے تربیت یافتہ گھوڑے کی علامت ہے جسے ٹھیک ٹھیک اشاروں سے رہنمائی حاصل کی جاسکتی ہے، جو اس وقت اہم ہوتا ہے جب سوار کے ہاتھ پر قبضہ ہوتا ہے۔")</f>
        <v>نرم منہ ایک اچھی طرح سے تربیت یافتہ گھوڑے کی علامت ہے جسے ٹھیک ٹھیک اشاروں سے رہنمائی حاصل کی جاسکتی ہے، جو اس وقت اہم ہوتا ہے جب سوار کے ہاتھ پر قبضہ ہوتا ہے۔</v>
      </c>
    </row>
    <row r="106">
      <c r="A106" s="3">
        <v>105.0</v>
      </c>
      <c r="B106" s="4" t="s">
        <v>1584</v>
      </c>
      <c r="C106" s="4" t="s">
        <v>1585</v>
      </c>
      <c r="D106" s="4" t="s">
        <v>1586</v>
      </c>
      <c r="E106" s="4" t="s">
        <v>1587</v>
      </c>
      <c r="J106" s="5" t="str">
        <f>IFERROR(__xludf.DUMMYFUNCTION("GOOGLETRANSLATE(A106, ""en"", ""ur"")"),"105")</f>
        <v>105</v>
      </c>
      <c r="K106" s="5" t="str">
        <f>IFERROR(__xludf.DUMMYFUNCTION("GOOGLETRANSLATE(B106, ""en"", ""ur"")"),"""زیادہ سے زیادہ کوڑے مارنے"" کے لیے ایک سوار کو سزا دینے کی بنیادی وجہ کیا ہے؟")</f>
        <v>"زیادہ سے زیادہ کوڑے مارنے" کے لیے ایک سوار کو سزا دینے کی بنیادی وجہ کیا ہے؟</v>
      </c>
      <c r="L106" s="5" t="str">
        <f>IFERROR(__xludf.DUMMYFUNCTION("GOOGLETRANSLATE(C106, ""en"", ""ur"")"),"A) یہ جرمانہ نہیں ہے، B) اسے جانوروں پر ظلم سمجھا جاتا ہے، C) یہ گھوڑے کو بہت جلدی تھکا سکتا ہے، D) یہ کوڑے کو نقصان پہنچا سکتا ہے۔")</f>
        <v>A) یہ جرمانہ نہیں ہے، B) اسے جانوروں پر ظلم سمجھا جاتا ہے، C) یہ گھوڑے کو بہت جلدی تھکا سکتا ہے، D) یہ کوڑے کو نقصان پہنچا سکتا ہے۔</v>
      </c>
      <c r="M106" s="5" t="str">
        <f>IFERROR(__xludf.DUMMYFUNCTION("GOOGLETRANSLATE(D106, ""en"", ""ur"")"),"ب) اسے جانوروں پر ظلم سمجھا جاتا ہے۔")</f>
        <v>ب) اسے جانوروں پر ظلم سمجھا جاتا ہے۔</v>
      </c>
      <c r="N106" s="5" t="str">
        <f>IFERROR(__xludf.DUMMYFUNCTION("GOOGLETRANSLATE(E106, ""en"", ""ur"")"),"اگرچہ کوڑے کے استعمال کی اجازت ہے، لیکن اس کا ضرورت سے زیادہ یا بے دردی سے استعمال اچھے گھڑ سواری اور جانوروں کی فلاح و بہبود کے اصولوں کی خلاف ورزی کرتا ہے۔")</f>
        <v>اگرچہ کوڑے کے استعمال کی اجازت ہے، لیکن اس کا ضرورت سے زیادہ یا بے دردی سے استعمال اچھے گھڑ سواری اور جانوروں کی فلاح و بہبود کے اصولوں کی خلاف ورزی کرتا ہے۔</v>
      </c>
    </row>
    <row r="107">
      <c r="A107" s="3">
        <v>106.0</v>
      </c>
      <c r="B107" s="4" t="s">
        <v>1588</v>
      </c>
      <c r="C107" s="4" t="s">
        <v>1589</v>
      </c>
      <c r="D107" s="4" t="s">
        <v>1590</v>
      </c>
      <c r="E107" s="4" t="s">
        <v>1591</v>
      </c>
      <c r="J107" s="5" t="str">
        <f>IFERROR(__xludf.DUMMYFUNCTION("GOOGLETRANSLATE(A107, ""en"", ""ur"")"),"106")</f>
        <v>106</v>
      </c>
      <c r="K107" s="5" t="str">
        <f>IFERROR(__xludf.DUMMYFUNCTION("GOOGLETRANSLATE(B107, ""en"", ""ur"")"),"میچ کے لیے گراؤنڈ انتہائی سخت اور خشک ہے۔ گھوڑوں کو سب سے بڑا خطرہ کیا ہے؟")</f>
        <v>میچ کے لیے گراؤنڈ انتہائی سخت اور خشک ہے۔ گھوڑوں کو سب سے بڑا خطرہ کیا ہے؟</v>
      </c>
      <c r="L107" s="5" t="str">
        <f>IFERROR(__xludf.DUMMYFUNCTION("GOOGLETRANSLATE(C107, ""en"", ""ur"")"),"A) وہ آہستہ چلیں گے، B) وہ بہت زیادہ دھول آلود ہو جائیں گے، C) کھروں اور ٹانگوں کے جوڑوں کو چوٹ لگنے کا خطرہ بڑھ جائے گا، D) ان پر قابو پانا مشکل ہو جائے گا۔")</f>
        <v>A) وہ آہستہ چلیں گے، B) وہ بہت زیادہ دھول آلود ہو جائیں گے، C) کھروں اور ٹانگوں کے جوڑوں کو چوٹ لگنے کا خطرہ بڑھ جائے گا، D) ان پر قابو پانا مشکل ہو جائے گا۔</v>
      </c>
      <c r="M107" s="5" t="str">
        <f>IFERROR(__xludf.DUMMYFUNCTION("GOOGLETRANSLATE(D107, ""en"", ""ur"")"),"ج) کھروں اور ٹانگوں کے جوڑوں میں ہچکولے لگنے کے خطرے میں اضافہ")</f>
        <v>ج) کھروں اور ٹانگوں کے جوڑوں میں ہچکولے لگنے کے خطرے میں اضافہ</v>
      </c>
      <c r="N107" s="5" t="str">
        <f>IFERROR(__xludf.DUMMYFUNCTION("GOOGLETRANSLATE(E107, ""en"", ""ur"")"),"سخت زمین بہت کم جھٹکا جذب کرتی ہے، جس کی وجہ سے گھوڑوں کے لیے صحت مندی کے مسائل کا زیادہ خطرہ ہوتا ہے۔")</f>
        <v>سخت زمین بہت کم جھٹکا جذب کرتی ہے، جس کی وجہ سے گھوڑوں کے لیے صحت مندی کے مسائل کا زیادہ خطرہ ہوتا ہے۔</v>
      </c>
    </row>
    <row r="108">
      <c r="A108" s="3">
        <v>107.0</v>
      </c>
      <c r="B108" s="4" t="s">
        <v>1592</v>
      </c>
      <c r="C108" s="4" t="s">
        <v>1593</v>
      </c>
      <c r="D108" s="4" t="s">
        <v>1594</v>
      </c>
      <c r="E108" s="4" t="s">
        <v>1595</v>
      </c>
      <c r="J108" s="5" t="str">
        <f>IFERROR(__xludf.DUMMYFUNCTION("GOOGLETRANSLATE(A108, ""en"", ""ur"")"),"107")</f>
        <v>107</v>
      </c>
      <c r="K108" s="5" t="str">
        <f>IFERROR(__xludf.DUMMYFUNCTION("GOOGLETRANSLATE(B108, ""en"", ""ur"")"),"ریفری کا کیا حکم ہے اگر کوئی سوار لاش کو پکڑ لے، لیکن پھر کھلاڑیوں کی ایک بڑی تعداد کی رفتار سے اسکورنگ لائن کے اوپر لے جائے؟")</f>
        <v>ریفری کا کیا حکم ہے اگر کوئی سوار لاش کو پکڑ لے، لیکن پھر کھلاڑیوں کی ایک بڑی تعداد کی رفتار سے اسکورنگ لائن کے اوپر لے جائے؟</v>
      </c>
      <c r="L108" s="5" t="str">
        <f>IFERROR(__xludf.DUMMYFUNCTION("GOOGLETRANSLATE(C108, ""en"", ""ur"")"),"A) یہ ایک درست سکور ہے، B) یہ درست سکور نہیں ہے کیونکہ سوار کے پاس انفرادی کنٹرول نہیں تھا، C) پوائنٹ دوبارہ چلایا جاتا ہے، D) پوائنٹ پوری ٹیم کو دیا جاتا ہے۔")</f>
        <v>A) یہ ایک درست سکور ہے، B) یہ درست سکور نہیں ہے کیونکہ سوار کے پاس انفرادی کنٹرول نہیں تھا، C) پوائنٹ دوبارہ چلایا جاتا ہے، D) پوائنٹ پوری ٹیم کو دیا جاتا ہے۔</v>
      </c>
      <c r="M108" s="5" t="str">
        <f>IFERROR(__xludf.DUMMYFUNCTION("GOOGLETRANSLATE(D108, ""en"", ""ur"")"),"ب) یہ درست سکور نہیں ہے کیونکہ سوار کے پاس انفرادی کنٹرول کی کمی تھی۔")</f>
        <v>ب) یہ درست سکور نہیں ہے کیونکہ سوار کے پاس انفرادی کنٹرول کی کمی تھی۔</v>
      </c>
      <c r="N108" s="5" t="str">
        <f>IFERROR(__xludf.DUMMYFUNCTION("GOOGLETRANSLATE(E108, ""en"", ""ur"")"),"گول کرتے وقت سوار کو لاش پر واضح اور انفرادی کنٹرول کا مظاہرہ کرنا چاہیے۔ گھوڑوں کے ہجوم سے دھکیلنا قانونی اسکور نہیں ہے۔")</f>
        <v>گول کرتے وقت سوار کو لاش پر واضح اور انفرادی کنٹرول کا مظاہرہ کرنا چاہیے۔ گھوڑوں کے ہجوم سے دھکیلنا قانونی اسکور نہیں ہے۔</v>
      </c>
    </row>
    <row r="109">
      <c r="A109" s="3">
        <v>108.0</v>
      </c>
      <c r="B109" s="4" t="s">
        <v>1596</v>
      </c>
      <c r="C109" s="4" t="s">
        <v>1597</v>
      </c>
      <c r="D109" s="4" t="s">
        <v>1598</v>
      </c>
      <c r="E109" s="4" t="s">
        <v>1599</v>
      </c>
      <c r="J109" s="5" t="str">
        <f>IFERROR(__xludf.DUMMYFUNCTION("GOOGLETRANSLATE(A109, ""en"", ""ur"")"),"108")</f>
        <v>108</v>
      </c>
      <c r="K109" s="5" t="str">
        <f>IFERROR(__xludf.DUMMYFUNCTION("GOOGLETRANSLATE(B109, ""en"", ""ur"")"),"ایک سوار گھوڑوں کے بغیر ہوتا ہے، اور ان کا گھوڑا کھیل کی پیروی کرتا رہتا ہے اور دوسرے کھلاڑیوں کے ساتھ مداخلت کرتا ہے۔ طریقہ کار کیا ہے؟")</f>
        <v>ایک سوار گھوڑوں کے بغیر ہوتا ہے، اور ان کا گھوڑا کھیل کی پیروی کرتا رہتا ہے اور دوسرے کھلاڑیوں کے ساتھ مداخلت کرتا ہے۔ طریقہ کار کیا ہے؟</v>
      </c>
      <c r="L109" s="5" t="str">
        <f>IFERROR(__xludf.DUMMYFUNCTION("GOOGLETRANSLATE(C109, ""en"", ""ur"")"),"A) گھوڑے کو کھیل جاری رکھنے کی اجازت ہے، B) گھوڑے کو پکڑ کر میدان سے ہٹا دینا چاہیے، C) ٹیم کو جرمانہ کیا جاتا ہے، D) کھیل روک دیا جاتا ہے۔")</f>
        <v>A) گھوڑے کو کھیل جاری رکھنے کی اجازت ہے، B) گھوڑے کو پکڑ کر میدان سے ہٹا دینا چاہیے، C) ٹیم کو جرمانہ کیا جاتا ہے، D) کھیل روک دیا جاتا ہے۔</v>
      </c>
      <c r="M109" s="5" t="str">
        <f>IFERROR(__xludf.DUMMYFUNCTION("GOOGLETRANSLATE(D109, ""en"", ""ur"")"),"ب) گھوڑے کو حکام کے ذریعہ پکڑ کر میدان سے ہٹا دینا چاہئے۔")</f>
        <v>ب) گھوڑے کو حکام کے ذریعہ پکڑ کر میدان سے ہٹا دینا چاہئے۔</v>
      </c>
      <c r="N109" s="5" t="str">
        <f>IFERROR(__xludf.DUMMYFUNCTION("GOOGLETRANSLATE(E109, ""en"", ""ur"")"),"بغیر سواری کا گھوڑا ایک خطرہ ہے اور کھیل کے محفوظ طریقے سے دوبارہ شروع ہونے سے پہلے اسے کھیل کے میدان سے ہٹا دیا جانا چاہیے۔")</f>
        <v>بغیر سواری کا گھوڑا ایک خطرہ ہے اور کھیل کے محفوظ طریقے سے دوبارہ شروع ہونے سے پہلے اسے کھیل کے میدان سے ہٹا دیا جانا چاہیے۔</v>
      </c>
    </row>
    <row r="110">
      <c r="A110" s="3">
        <v>109.0</v>
      </c>
      <c r="B110" s="4" t="s">
        <v>1600</v>
      </c>
      <c r="C110" s="4" t="s">
        <v>1601</v>
      </c>
      <c r="D110" s="4" t="s">
        <v>1602</v>
      </c>
      <c r="E110" s="4" t="s">
        <v>1603</v>
      </c>
      <c r="J110" s="5" t="str">
        <f>IFERROR(__xludf.DUMMYFUNCTION("GOOGLETRANSLATE(A110, ""en"", ""ur"")"),"109")</f>
        <v>109</v>
      </c>
      <c r="K110" s="5" t="str">
        <f>IFERROR(__xludf.DUMMYFUNCTION("GOOGLETRANSLATE(B110, ""en"", ""ur"")"),"بزکشی کے لیے انتہائی پرسکون، پرسکون مزاج کا گھوڑا عام طور پر کیوں نا مناسب ہے؟")</f>
        <v>بزکشی کے لیے انتہائی پرسکون، پرسکون مزاج کا گھوڑا عام طور پر کیوں نا مناسب ہے؟</v>
      </c>
      <c r="L110" s="5" t="str">
        <f>IFERROR(__xludf.DUMMYFUNCTION("GOOGLETRANSLATE(C110, ""en"", ""ur"")"),"A)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f>
        <v>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v>
      </c>
      <c r="M110" s="5" t="str">
        <f>IFERROR(__xludf.DUMMYFUNCTION("GOOGLETRANSLATE(D110, ""en"", ""ur"")"),"ب) اس میں مسابقتی ""آگ"" اور اسکرم میں لڑنے کے لیے درکار جارحیت کی کمی ہوگی۔")</f>
        <v>ب) اس میں مسابقتی "آگ" اور اسکرم میں لڑنے کے لیے درکار جارحیت کی کمی ہوگی۔</v>
      </c>
      <c r="N110" s="5" t="str">
        <f>IFERROR(__xludf.DUMMYFUNCTION("GOOGLETRANSLATE(E110, ""en"", ""ur"")"),"بزکشی کو جرات مندانہ اور جنگجو جذبے کے ساتھ ایک گھوڑے کی ضرورت ہے جو کھیل کے افراتفری اور تشدد سے خوفزدہ نہ ہو۔")</f>
        <v>بزکشی کو جرات مندانہ اور جنگجو جذبے کے ساتھ ایک گھوڑے کی ضرورت ہے جو کھیل کے افراتفری اور تشدد سے خوفزدہ نہ ہو۔</v>
      </c>
    </row>
    <row r="111">
      <c r="A111" s="3">
        <v>110.0</v>
      </c>
      <c r="B111" s="4" t="s">
        <v>1604</v>
      </c>
      <c r="C111" s="4" t="s">
        <v>1605</v>
      </c>
      <c r="D111" s="4" t="s">
        <v>1606</v>
      </c>
      <c r="E111" s="4" t="s">
        <v>1607</v>
      </c>
      <c r="J111" s="5" t="str">
        <f>IFERROR(__xludf.DUMMYFUNCTION("GOOGLETRANSLATE(A111, ""en"", ""ur"")"),"110")</f>
        <v>110</v>
      </c>
      <c r="K111" s="5" t="str">
        <f>IFERROR(__xludf.DUMMYFUNCTION("GOOGLETRANSLATE(B111, ""en"", ""ur"")"),"ایک رسمی میچ میں، ""لائن مین"" یا باؤنڈری ججز کا کیا کردار ہوتا ہے؟")</f>
        <v>ایک رسمی میچ میں، "لائن مین" یا باؤنڈری ججز کا کیا کردار ہوتا ہے؟</v>
      </c>
      <c r="L111" s="5" t="str">
        <f>IFERROR(__xludf.DUMMYFUNCTION("GOOGLETRANSLATE(C111, ""en"", ""ur"")"),"A) وہ اسکور رکھتے ہیں، B) وہ مرکزی ریفری کی مدد کرتے ہیں جب لاش یا سوار حد سے باہر ہو جاتا ہے، C) وہ کھلاڑیوں کو پانی فراہم کرتے ہیں، D) وہ آفیشل ٹائم کیپر ہوتے ہیں۔")</f>
        <v>A) وہ اسکور رکھتے ہیں، B) وہ مرکزی ریفری کی مدد کرتے ہیں جب لاش یا سوار حد سے باہر ہو جاتا ہے، C) وہ کھلاڑیوں کو پانی فراہم کرتے ہیں، D) وہ آفیشل ٹائم کیپر ہوتے ہیں۔</v>
      </c>
      <c r="M111" s="5" t="str">
        <f>IFERROR(__xludf.DUMMYFUNCTION("GOOGLETRANSLATE(D111, ""en"", ""ur"")"),"ب) جب لاش یا سوار حد سے باہر ہو جاتا ہے تو وہ سگنل دے کر مرکزی ریفری کی مدد کرتے ہیں۔")</f>
        <v>ب) جب لاش یا سوار حد سے باہر ہو جاتا ہے تو وہ سگنل دے کر مرکزی ریفری کی مدد کرتے ہیں۔</v>
      </c>
      <c r="N111" s="5" t="str">
        <f>IFERROR(__xludf.DUMMYFUNCTION("GOOGLETRANSLATE(E111, ""en"", ""ur"")"),"ایک بڑے، نشان زدہ فیلڈ پر، لائن مین ریفری کو باؤنڈری پر درست کال کرنے میں مدد کرنے کے لیے ضروری ہیں۔")</f>
        <v>ایک بڑے، نشان زدہ فیلڈ پر، لائن مین ریفری کو باؤنڈری پر درست کال کرنے میں مدد کرنے کے لیے ضروری ہیں۔</v>
      </c>
    </row>
    <row r="112">
      <c r="A112" s="3">
        <v>111.0</v>
      </c>
      <c r="B112" s="4" t="s">
        <v>1608</v>
      </c>
      <c r="C112" s="4" t="s">
        <v>1609</v>
      </c>
      <c r="D112" s="4" t="s">
        <v>1610</v>
      </c>
      <c r="E112" s="4" t="s">
        <v>1611</v>
      </c>
      <c r="J112" s="5" t="str">
        <f>IFERROR(__xludf.DUMMYFUNCTION("GOOGLETRANSLATE(A112, ""en"", ""ur"")"),"111")</f>
        <v>111</v>
      </c>
      <c r="K112" s="5" t="str">
        <f>IFERROR(__xludf.DUMMYFUNCTION("GOOGLETRANSLATE(B112, ""en"", ""ur"")"),"ایک سوار لاش کو پکڑے ہوئے ہے۔ ایک مخالف سواری کرتا ہے اور سوار کی ٹانگ پکڑتا ہے۔ کال کیا ہے؟")</f>
        <v>ایک سوار لاش کو پکڑے ہوئے ہے۔ ایک مخالف سواری کرتا ہے اور سوار کی ٹانگ پکڑتا ہے۔ کال کیا ہے؟</v>
      </c>
      <c r="L112" s="5" t="str">
        <f>IFERROR(__xludf.DUMMYFUNCTION("GOOGLETRANSLATE(C112, ""en"", ""ur"")"),"A) ایک قانونی طور پر ہٹانے کی کوشش، B) رائیڈر کو پکڑنے کے لئے مخالف پر ایک غلط، C) کھیل جاری ہے، D) جس سوار کو روکا گیا تھا اسے جرمانہ ملتا ہے")</f>
        <v>A) ایک قانونی طور پر ہٹانے کی کوشش، B) رائیڈر کو پکڑنے کے لئے مخالف پر ایک غلط، C) کھیل جاری ہے، D) جس سوار کو روکا گیا تھا اسے جرمانہ ملتا ہے</v>
      </c>
      <c r="M112" s="5" t="str">
        <f>IFERROR(__xludf.DUMMYFUNCTION("GOOGLETRANSLATE(D112, ""en"", ""ur"")"),"ب) سوار کو پکڑنے پر مخالف پر فاؤل")</f>
        <v>ب) سوار کو پکڑنے پر مخالف پر فاؤل</v>
      </c>
      <c r="N112" s="5" t="str">
        <f>IFERROR(__xludf.DUMMYFUNCTION("GOOGLETRANSLATE(E112, ""en"", ""ur"")"),"سوار کے جسم کے کسی بھی حصے یا ان کے سامان کو پکڑنا غیر قانونی ہے۔ کھلاڑی صرف لاش کے لیے ہی مقابلہ کر سکتے ہیں۔")</f>
        <v>سوار کے جسم کے کسی بھی حصے یا ان کے سامان کو پکڑنا غیر قانونی ہے۔ کھلاڑی صرف لاش کے لیے ہی مقابلہ کر سکتے ہیں۔</v>
      </c>
    </row>
    <row r="113">
      <c r="A113" s="3">
        <v>112.0</v>
      </c>
      <c r="B113" s="4" t="s">
        <v>1612</v>
      </c>
      <c r="C113" s="4" t="s">
        <v>1613</v>
      </c>
      <c r="D113" s="4" t="s">
        <v>1614</v>
      </c>
      <c r="E113" s="4" t="s">
        <v>1615</v>
      </c>
      <c r="J113" s="5" t="str">
        <f>IFERROR(__xludf.DUMMYFUNCTION("GOOGLETRANSLATE(A113, ""en"", ""ur"")"),"112")</f>
        <v>112</v>
      </c>
      <c r="K113" s="5" t="str">
        <f>IFERROR(__xludf.DUMMYFUNCTION("GOOGLETRANSLATE(B113, ""en"", ""ur"")"),"میچ شروع ہونے سے پہلے ""وارم اپ"" پیریڈ کا بنیادی مقصد کیا ہے؟")</f>
        <v>میچ شروع ہونے سے پہلے "وارم اپ" پیریڈ کا بنیادی مقصد کیا ہے؟</v>
      </c>
      <c r="L113" s="5" t="str">
        <f>IFERROR(__xludf.DUMMYFUNCTION("GOOGLETRANSLATE(C113, ""en"", ""ur"")"),"A)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f>
        <v>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v>
      </c>
      <c r="M113" s="5" t="str">
        <f>IFERROR(__xludf.DUMMYFUNCTION("GOOGLETRANSLATE(D113, ""en"", ""ur"")"),"ب) گھوڑوں اور سواروں کو اپنے پٹھے تیار کرنے اور میدان کے عادی ہونے کی اجازت دینا")</f>
        <v>ب) گھوڑوں اور سواروں کو اپنے پٹھے تیار کرنے اور میدان کے عادی ہونے کی اجازت دینا</v>
      </c>
      <c r="N113" s="5" t="str">
        <f>IFERROR(__xludf.DUMMYFUNCTION("GOOGLETRANSLATE(E113, ""en"", ""ur"")"),"شدید مرکزی تقریب سے پہلے گھوڑوں اور سواروں دونوں کے زخموں کو روکنے کے لیے ایک مناسب وارم اپ بہت ضروری ہے۔")</f>
        <v>شدید مرکزی تقریب سے پہلے گھوڑوں اور سواروں دونوں کے زخموں کو روکنے کے لیے ایک مناسب وارم اپ بہت ضروری ہے۔</v>
      </c>
    </row>
    <row r="114">
      <c r="A114" s="3">
        <v>113.0</v>
      </c>
      <c r="B114" s="4" t="s">
        <v>1616</v>
      </c>
      <c r="C114" s="4" t="s">
        <v>1617</v>
      </c>
      <c r="D114" s="4" t="s">
        <v>1618</v>
      </c>
      <c r="E114" s="4" t="s">
        <v>1619</v>
      </c>
      <c r="J114" s="5" t="str">
        <f>IFERROR(__xludf.DUMMYFUNCTION("GOOGLETRANSLATE(A114, ""en"", ""ur"")"),"113")</f>
        <v>113</v>
      </c>
      <c r="K114" s="5" t="str">
        <f>IFERROR(__xludf.DUMMYFUNCTION("GOOGLETRANSLATE(B114, ""en"", ""ur"")"),"ایک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f>
        <v>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v>
      </c>
      <c r="L114" s="5" t="str">
        <f>IFERROR(__xludf.DUMMYFUNCTION("GOOGLETRANSLATE(C114, ""en"", ""ur"")"),"A)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f>
        <v>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v>
      </c>
      <c r="M114" s="5" t="str">
        <f>IFERROR(__xludf.DUMMYFUNCTION("GOOGLETRANSLATE(D114, ""en"", ""ur"")"),"ب) جی ہاں، دانتوں کا استعمال لاش کو سنبھالنے کا ایک غیر قانونی اور خطرناک طریقہ ہے۔")</f>
        <v>ب) جی ہاں، دانتوں کا استعمال لاش کو سنبھالنے کا ایک غیر قانونی اور خطرناک طریقہ ہے۔</v>
      </c>
      <c r="N114" s="5" t="str">
        <f>IFERROR(__xludf.DUMMYFUNCTION("GOOGLETRANSLATE(E114, ""en"", ""ur"")"),"لاش کو سوار کے ہاتھوں سے پکڑنا چاہیے یا ان کی ٹانگوں سے پکڑنا چاہیے۔ لاش کو کاٹنا فُل ہے۔")</f>
        <v>لاش کو سوار کے ہاتھوں سے پکڑنا چاہیے یا ان کی ٹانگوں سے پکڑنا چاہیے۔ لاش کو کاٹنا فُل ہے۔</v>
      </c>
    </row>
    <row r="115">
      <c r="A115" s="3">
        <v>114.0</v>
      </c>
      <c r="B115" s="4" t="s">
        <v>1420</v>
      </c>
      <c r="C115" s="4" t="s">
        <v>1620</v>
      </c>
      <c r="D115" s="4" t="s">
        <v>1621</v>
      </c>
      <c r="E115" s="4" t="s">
        <v>1423</v>
      </c>
      <c r="J115" s="5" t="str">
        <f>IFERROR(__xludf.DUMMYFUNCTION("GOOGLETRANSLATE(A115, ""en"", ""ur"")"),"114")</f>
        <v>114</v>
      </c>
      <c r="K115" s="5" t="str">
        <f>IFERROR(__xludf.DUMMYFUNCTION("GOOGLETRANSLATE(B115, ""en"", ""ur"")"),"بزکشی میچ کے تناظر میں ""سٹالین فائٹ"" کیا ہے؟")</f>
        <v>بزکشی میچ کے تناظر میں "سٹالین فائٹ" کیا ہے؟</v>
      </c>
      <c r="L115" s="5" t="str">
        <f>IFERROR(__xludf.DUMMYFUNCTION("GOOGLETRANSLATE(C115, ""en"", ""ur"")"),"A) ایک الگ واقعہ، B) جب اسکرم میں دو حریف اسٹالن لاش پر توجہ مرکوز کرنا چھوڑ دیتے ہیں اور ایک دوسرے سے لڑنا شروع کردیتے ہیں، C) ایک مخصوص اسکورنگ اقدام، D) ایک رسمی رقص")</f>
        <v>A) ایک الگ واقعہ، B) جب اسکرم میں دو حریف اسٹالن لاش پر توجہ مرکوز کرنا چھوڑ دیتے ہیں اور ایک دوسرے سے لڑنا شروع کردیتے ہیں، C) ایک مخصوص اسکورنگ اقدام، D) ایک رسمی رقص</v>
      </c>
      <c r="M115" s="5" t="str">
        <f>IFERROR(__xludf.DUMMYFUNCTION("GOOGLETRANSLATE(D115, ""en"", ""ur"")"),"ب) جب اسکرم میں دو حریف گھوڑے لاش پر توجہ مرکوز کرنا چھوڑ دیتے ہیں اور ایک دوسرے سے لڑنا شروع کردیتے ہیں")</f>
        <v>ب) جب اسکرم میں دو حریف گھوڑے لاش پر توجہ مرکوز کرنا چھوڑ دیتے ہیں اور ایک دوسرے سے لڑنا شروع کردیتے ہیں</v>
      </c>
      <c r="N115" s="5" t="str">
        <f>IFERROR(__xludf.DUMMYFUNCTION("GOOGLETRANSLATE(E115, ""en"", ""ur"")"),"اسٹالینز کی زیادہ جارحیت بعض اوقات انہیں فطری طرز عمل کی طرف لوٹنے کا سبب بن سکتی ہے، جس کے نتیجے میں کھیل کے اندر ایک مختصر لیکن پرتشدد لڑائی ہوتی ہے۔")</f>
        <v>اسٹالینز کی زیادہ جارحیت بعض اوقات انہیں فطری طرز عمل کی طرف لوٹنے کا سبب بن سکتی ہے، جس کے نتیجے میں کھیل کے اندر ایک مختصر لیکن پرتشدد لڑائی ہوتی ہے۔</v>
      </c>
    </row>
    <row r="116">
      <c r="A116" s="3">
        <v>115.0</v>
      </c>
      <c r="B116" s="4" t="s">
        <v>1622</v>
      </c>
      <c r="C116" s="4" t="s">
        <v>1623</v>
      </c>
      <c r="D116" s="4" t="s">
        <v>172</v>
      </c>
      <c r="E116" s="4" t="s">
        <v>1624</v>
      </c>
      <c r="J116" s="5" t="str">
        <f>IFERROR(__xludf.DUMMYFUNCTION("GOOGLETRANSLATE(A116, ""en"", ""ur"")"),"115")</f>
        <v>115</v>
      </c>
      <c r="K116" s="5" t="str">
        <f>IFERROR(__xludf.DUMMYFUNCTION("GOOGLETRANSLATE(B116, ""en"", ""ur"")"),"تیز، نوکیلے اسپرس پہننے پر سوار کو نااہل قرار دیا جاتا ہے۔ یہ غیر قانونی کیوں ہیں؟")</f>
        <v>تیز، نوکیلے اسپرس پہننے پر سوار کو نااہل قرار دیا جاتا ہے۔ یہ غیر قانونی کیوں ہیں؟</v>
      </c>
      <c r="L116" s="5" t="str">
        <f>IFERROR(__xludf.DUMMYFUNCTION("GOOGLETRANSLATE(C116, ""en"", ""ur"")"),"A)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f>
        <v>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v>
      </c>
      <c r="M116" s="5" t="str">
        <f>IFERROR(__xludf.DUMMYFUNCTION("GOOGLETRANSLATE(D116, ""en"", ""ur"")"),"D) B اور C دونوں")</f>
        <v>D) B اور C دونوں</v>
      </c>
      <c r="N116" s="5" t="str">
        <f>IFERROR(__xludf.DUMMYFUNCTION("GOOGLETRANSLATE(E116, ""en"", ""ur"")"),"تیز اسپرز کو ایک ایسا ہتھیار سمجھا جاتا ہے جو حریف گھوڑوں اور سواروں دونوں کو غیر قانونی طور پر نقصان پہنچانے کے لیے استعمال کیا جا سکتا ہے، اور یہ سختی سے منع ہیں۔")</f>
        <v>تیز اسپرز کو ایک ایسا ہتھیار سمجھا جاتا ہے جو حریف گھوڑوں اور سواروں دونوں کو غیر قانونی طور پر نقصان پہنچانے کے لیے استعمال کیا جا سکتا ہے، اور یہ سختی سے منع ہیں۔</v>
      </c>
    </row>
    <row r="117">
      <c r="A117" s="3">
        <v>116.0</v>
      </c>
      <c r="B117" s="4" t="s">
        <v>1625</v>
      </c>
      <c r="C117" s="4" t="s">
        <v>1626</v>
      </c>
      <c r="D117" s="4" t="s">
        <v>1627</v>
      </c>
      <c r="E117" s="4" t="s">
        <v>1628</v>
      </c>
      <c r="J117" s="5" t="str">
        <f>IFERROR(__xludf.DUMMYFUNCTION("GOOGLETRANSLATE(A117, ""en"", ""ur"")"),"116")</f>
        <v>116</v>
      </c>
      <c r="K117" s="5" t="str">
        <f>IFERROR(__xludf.DUMMYFUNCTION("GOOGLETRANSLATE(B117, ""en"", ""ur"")"),"چپنداز کی بہترین قلبی تندرستی کی بنیادی وجہ کیا ہے؟")</f>
        <v>چپنداز کی بہترین قلبی تندرستی کی بنیادی وجہ کیا ہے؟</v>
      </c>
      <c r="L117" s="5" t="str">
        <f>IFERROR(__xludf.DUMMYFUNCTION("GOOGLETRANSLATE(C117, ""en"", ""ur"")"),"A)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f>
        <v>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v>
      </c>
      <c r="M117" s="5" t="str">
        <f>IFERROR(__xludf.DUMMYFUNCTION("GOOGLETRANSLATE(D117, ""en"", ""ur"")"),"ب) گھوڑے کو قابو کرنے اور بھاری لاش کے لیے کشتی لڑنے کی جسمانی مشقت بہت زیادہ ہے۔")</f>
        <v>ب) گھوڑے کو قابو کرنے اور بھاری لاش کے لیے کشتی لڑنے کی جسمانی مشقت بہت زیادہ ہے۔</v>
      </c>
      <c r="N117" s="5" t="str">
        <f>IFERROR(__xludf.DUMMYFUNCTION("GOOGLETRANSLATE(E117, ""en"", ""ur"")"),"بزکشی ایک ناقابل یقین حد تک مطالبہ کرنے والا کھیل ہے جس میں سوار سے اعلی درجے کی طاقت اور صلاحیت کی ضرورت ہوتی ہے۔")</f>
        <v>بزکشی ایک ناقابل یقین حد تک مطالبہ کرنے والا کھیل ہے جس میں سوار سے اعلی درجے کی طاقت اور صلاحیت کی ضرورت ہوتی ہے۔</v>
      </c>
    </row>
    <row r="118">
      <c r="A118" s="3">
        <v>117.0</v>
      </c>
      <c r="B118" s="4" t="s">
        <v>1629</v>
      </c>
      <c r="C118" s="4" t="s">
        <v>1630</v>
      </c>
      <c r="D118" s="4" t="s">
        <v>1631</v>
      </c>
      <c r="E118" s="4" t="s">
        <v>1632</v>
      </c>
      <c r="J118" s="5" t="str">
        <f>IFERROR(__xludf.DUMMYFUNCTION("GOOGLETRANSLATE(A118, ""en"", ""ur"")"),"117")</f>
        <v>117</v>
      </c>
      <c r="K118" s="5" t="str">
        <f>IFERROR(__xludf.DUMMYFUNCTION("GOOGLETRANSLATE(B118, ""en"", ""ur"")"),"ریفری کھیل روکتا ہے اور ٹیم B کو ایک پوائنٹ دیتا ہے کیونکہ ٹیم A کا ایک سوار ""خطرناک طریقے سے سواری کر رہا تھا۔"" اس سوار نے کیا کیا ہوگا؟")</f>
        <v>ریفری کھیل روکتا ہے اور ٹیم B کو ایک پوائنٹ دیتا ہے کیونکہ ٹیم A کا ایک سوار "خطرناک طریقے سے سواری کر رہا تھا۔" اس سوار نے کیا کیا ہوگا؟</v>
      </c>
      <c r="L118" s="5" t="str">
        <f>IFERROR(__xludf.DUMMYFUNCTION("GOOGLETRANSLATE(C118, ""en"", ""ur"")"),"A) بہت تیزی سے سوار ہونا، B) ایک لاپرواہی کا مظاہرہ کیا جس نے دوسرے کھلاڑیوں کو خطرے میں ڈال دیا، C) چابک کا استعمال نہیں کیا، D) غلط رنگ پہنا")</f>
        <v>A) بہت تیزی سے سوار ہونا، B) ایک لاپرواہی کا مظاہرہ کیا جس نے دوسرے کھلاڑیوں کو خطرے میں ڈال دیا، C) چابک کا استعمال نہیں کیا، D) غلط رنگ پہنا</v>
      </c>
      <c r="M118" s="5" t="str">
        <f>IFERROR(__xludf.DUMMYFUNCTION("GOOGLETRANSLATE(D118, ""en"", ""ur"")"),"ب) ایک لاپرواہی کا مظاہرہ کیا جس نے دوسرے کھلاڑیوں کو خطرے میں ڈال دیا۔")</f>
        <v>ب) ایک لاپرواہی کا مظاہرہ کیا جس نے دوسرے کھلاڑیوں کو خطرے میں ڈال دیا۔</v>
      </c>
      <c r="N118" s="5" t="str">
        <f>IFERROR(__xludf.DUMMYFUNCTION("GOOGLETRANSLATE(E118, ""en"", ""ur"")"),"ریفری کو اختیار ہے کہ وہ کسی بھی ایسی کارروائی کو جرمانہ کرے جسے وہ دوسروں کی حفاظت کے لیے جان بوجھ کر اور خطرناک نظر انداز کرتے ہیں۔")</f>
        <v>ریفری کو اختیار ہے کہ وہ کسی بھی ایسی کارروائی کو جرمانہ کرے جسے وہ دوسروں کی حفاظت کے لیے جان بوجھ کر اور خطرناک نظر انداز کرتے ہیں۔</v>
      </c>
    </row>
    <row r="119">
      <c r="A119" s="3">
        <v>118.0</v>
      </c>
      <c r="B119" s="4" t="s">
        <v>1633</v>
      </c>
      <c r="C119" s="4" t="s">
        <v>1634</v>
      </c>
      <c r="D119" s="4" t="s">
        <v>1635</v>
      </c>
      <c r="E119" s="4" t="s">
        <v>1636</v>
      </c>
      <c r="J119" s="5" t="str">
        <f>IFERROR(__xludf.DUMMYFUNCTION("GOOGLETRANSLATE(A119, ""en"", ""ur"")"),"118")</f>
        <v>118</v>
      </c>
      <c r="K119" s="5" t="str">
        <f>IFERROR(__xludf.DUMMYFUNCTION("GOOGLETRANSLATE(B119, ""en"", ""ur"")"),"چابک سے نہ ڈرنے کے لیے گھوڑے کو تربیت دینا کیوں ضروری ہے؟")</f>
        <v>چابک سے نہ ڈرنے کے لیے گھوڑے کو تربیت دینا کیوں ضروری ہے؟</v>
      </c>
      <c r="L119" s="5" t="str">
        <f>IFERROR(__xludf.DUMMYFUNCTION("GOOGLETRANSLATE(C119, ""en"", ""ur"")"),"A)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f>
        <v>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v>
      </c>
      <c r="M119" s="5" t="str">
        <f>IFERROR(__xludf.DUMMYFUNCTION("GOOGLETRANSLATE(D119, ""en"", ""ur"")"),"ب) ایک گھوڑا جس کو چابک سے ڈر لگتا ہے جب اسے استعمال کیا جائے تو گھبراہٹ یا بولٹ ہو سکتا ہے۔")</f>
        <v>ب) ایک گھوڑا جس کو چابک سے ڈر لگتا ہے جب اسے استعمال کیا جائے تو گھبراہٹ یا بولٹ ہو سکتا ہے۔</v>
      </c>
      <c r="N119" s="5" t="str">
        <f>IFERROR(__xludf.DUMMYFUNCTION("GOOGLETRANSLATE(E119, ""en"", ""ur"")"),"کوڑا رہنمائی کا ایک ذریعہ ہے۔ گھوڑے کو سگنل کے طور پر جواب دینے کے لیے تربیت دی جانی چاہیے، خوف کے ساتھ ردعمل ظاہر کرنے کے لیے نہیں، جو اسے بے قابو کر دے گا۔")</f>
        <v>کوڑا رہنمائی کا ایک ذریعہ ہے۔ گھوڑے کو سگنل کے طور پر جواب دینے کے لیے تربیت دی جانی چاہیے، خوف کے ساتھ ردعمل ظاہر کرنے کے لیے نہیں، جو اسے بے قابو کر دے گا۔</v>
      </c>
    </row>
    <row r="120">
      <c r="A120" s="3">
        <v>119.0</v>
      </c>
      <c r="B120" s="4" t="s">
        <v>1637</v>
      </c>
      <c r="C120" s="4" t="s">
        <v>1638</v>
      </c>
      <c r="D120" s="4" t="s">
        <v>1639</v>
      </c>
      <c r="E120" s="4" t="s">
        <v>1640</v>
      </c>
      <c r="J120" s="5" t="str">
        <f>IFERROR(__xludf.DUMMYFUNCTION("GOOGLETRANSLATE(A120, ""en"", ""ur"")"),"119")</f>
        <v>119</v>
      </c>
      <c r="K120" s="5" t="str">
        <f>IFERROR(__xludf.DUMMYFUNCTION("GOOGLETRANSLATE(B120, ""en"", ""ur"")"),"روایتی، لمبے لحاف والے لباس کا کیا نام ہے جو کبھی کبھی سواروں کے تحفظ اور حیثیت کے لیے پہنا جاتا ہے؟")</f>
        <v>روایتی، لمبے لحاف والے لباس کا کیا نام ہے جو کبھی کبھی سواروں کے تحفظ اور حیثیت کے لیے پہنا جاتا ہے؟</v>
      </c>
      <c r="L120" s="5" t="str">
        <f>IFERROR(__xludf.DUMMYFUNCTION("GOOGLETRANSLATE(C120, ""en"", ""ur"")"),"A) سلوار قمیض، B) شیروانی، C) چپن، D) کرتہ")</f>
        <v>A) سلوار قمیض، B) شیروانی، C) چپن، D) کرتہ</v>
      </c>
      <c r="M120" s="5" t="str">
        <f>IFERROR(__xludf.DUMMYFUNCTION("GOOGLETRANSLATE(D120, ""en"", ""ur"")"),"ج) چاپان")</f>
        <v>ج) چاپان</v>
      </c>
      <c r="N120" s="5" t="str">
        <f>IFERROR(__xludf.DUMMYFUNCTION("GOOGLETRANSLATE(E120, ""en"", ""ur"")"),"چپن وسطی ایشیا کے لیے روایتی ایک بھاری، بولڈ کوٹ ہے جو حیثیت کی علامت اور حفاظتی لباس دونوں کے طور پر کام کرتا ہے۔")</f>
        <v>چپن وسطی ایشیا کے لیے روایتی ایک بھاری، بولڈ کوٹ ہے جو حیثیت کی علامت اور حفاظتی لباس دونوں کے طور پر کام کرتا ہے۔</v>
      </c>
    </row>
    <row r="121">
      <c r="A121" s="3">
        <v>120.0</v>
      </c>
      <c r="B121" s="4" t="s">
        <v>1641</v>
      </c>
      <c r="C121" s="4" t="s">
        <v>1642</v>
      </c>
      <c r="D121" s="4" t="s">
        <v>1643</v>
      </c>
      <c r="E121" s="4" t="s">
        <v>1644</v>
      </c>
      <c r="J121" s="5" t="str">
        <f>IFERROR(__xludf.DUMMYFUNCTION("GOOGLETRANSLATE(A121, ""en"", ""ur"")"),"120")</f>
        <v>120</v>
      </c>
      <c r="K121" s="5" t="str">
        <f>IFERROR(__xludf.DUMMYFUNCTION("GOOGLETRANSLATE(B121, ""en"", ""ur"")"),"اگر کوئی اسپانسر پہلے اسکور کے لیے بہت بڑا انعام (جیسے ایک نیا ٹرک) پیش کرتا ہے، تو یہ عام طور پر گیم کے آغاز پر کیسے اثر انداز ہوتا ہے؟")</f>
        <v>اگر کوئی اسپانسر پہلے اسکور کے لیے بہت بڑا انعام (جیسے ایک نیا ٹرک) پیش کرتا ہے، تو یہ عام طور پر گیم کے آغاز پر کیسے اثر انداز ہوتا ہے؟</v>
      </c>
      <c r="L121" s="5" t="str">
        <f>IFERROR(__xludf.DUMMYFUNCTION("GOOGLETRANSLATE(C121, ""en"", ""ur"")"),"A)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f>
        <v>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v>
      </c>
      <c r="M121" s="5" t="str">
        <f>IFERROR(__xludf.DUMMYFUNCTION("GOOGLETRANSLATE(D121, ""en"", ""ur"")"),"ب) لاش کے لیے ابتدائی اسکرم غیر معمولی طور پر شدید اور افراتفری کا ہوتا ہے۔")</f>
        <v>ب) لاش کے لیے ابتدائی اسکرم غیر معمولی طور پر شدید اور افراتفری کا ہوتا ہے۔</v>
      </c>
      <c r="N121" s="5" t="str">
        <f>IFERROR(__xludf.DUMMYFUNCTION("GOOGLETRANSLATE(E121, ""en"", ""ur"")"),"پہلے پوائنٹ کے لیے ایک قیمتی انعام ہر سوار کے لیے شروع سے ہی انتہائی جارحانہ ہونے کی زبردست ترغیب دیتا ہے۔")</f>
        <v>پہلے پوائنٹ کے لیے ایک قیمتی انعام ہر سوار کے لیے شروع سے ہی انتہائی جارحانہ ہونے کی زبردست ترغیب دیتا ہے۔</v>
      </c>
    </row>
    <row r="122">
      <c r="A122" s="3">
        <v>121.0</v>
      </c>
      <c r="B122" s="4" t="s">
        <v>1645</v>
      </c>
      <c r="C122" s="4" t="s">
        <v>1609</v>
      </c>
      <c r="D122" s="4" t="s">
        <v>1610</v>
      </c>
      <c r="E122" s="4" t="s">
        <v>1611</v>
      </c>
      <c r="J122" s="5" t="str">
        <f>IFERROR(__xludf.DUMMYFUNCTION("GOOGLETRANSLATE(A122, ""en"", ""ur"")"),"121")</f>
        <v>121</v>
      </c>
      <c r="K122" s="5" t="str">
        <f>IFERROR(__xludf.DUMMYFUNCTION("GOOGLETRANSLATE(B122, ""en"", ""ur"")"),"ایک سوار لاش کو لے جا رہا ہے، اور ایک مخالف سوار کی ٹانگ پکڑ رہا ہے۔ کال کیا ہے؟")</f>
        <v>ایک سوار لاش کو لے جا رہا ہے، اور ایک مخالف سوار کی ٹانگ پکڑ رہا ہے۔ کال کیا ہے؟</v>
      </c>
      <c r="L122" s="5" t="str">
        <f>IFERROR(__xludf.DUMMYFUNCTION("GOOGLETRANSLATE(C122, ""en"", ""ur"")"),"A) ایک قانونی طور پر ہٹانے کی کوشش، B) رائیڈر کو پکڑنے کے لئے مخالف پر ایک غلط، C) کھیل جاری ہے، D) جس سوار کو روکا گیا تھا اسے جرمانہ ملتا ہے")</f>
        <v>A) ایک قانونی طور پر ہٹانے کی کوشش، B) رائیڈر کو پکڑنے کے لئے مخالف پر ایک غلط، C) کھیل جاری ہے، D) جس سوار کو روکا گیا تھا اسے جرمانہ ملتا ہے</v>
      </c>
      <c r="M122" s="5" t="str">
        <f>IFERROR(__xludf.DUMMYFUNCTION("GOOGLETRANSLATE(D122, ""en"", ""ur"")"),"ب) سوار کو پکڑنے پر مخالف پر فاؤل")</f>
        <v>ب) سوار کو پکڑنے پر مخالف پر فاؤل</v>
      </c>
      <c r="N122" s="5" t="str">
        <f>IFERROR(__xludf.DUMMYFUNCTION("GOOGLETRANSLATE(E122, ""en"", ""ur"")"),"سوار کے جسم کے کسی بھی حصے یا ان کے سامان کو پکڑنا غیر قانونی ہے۔ کھلاڑی صرف لاش کے لیے ہی مقابلہ کر سکتے ہیں۔")</f>
        <v>سوار کے جسم کے کسی بھی حصے یا ان کے سامان کو پکڑنا غیر قانونی ہے۔ کھلاڑی صرف لاش کے لیے ہی مقابلہ کر سکتے ہیں۔</v>
      </c>
    </row>
    <row r="123">
      <c r="A123" s="3">
        <v>122.0</v>
      </c>
      <c r="B123" s="4" t="s">
        <v>1646</v>
      </c>
      <c r="C123" s="4" t="s">
        <v>1647</v>
      </c>
      <c r="D123" s="4" t="s">
        <v>1648</v>
      </c>
      <c r="E123" s="4" t="s">
        <v>1649</v>
      </c>
      <c r="J123" s="5" t="str">
        <f>IFERROR(__xludf.DUMMYFUNCTION("GOOGLETRANSLATE(A123, ""en"", ""ur"")"),"122")</f>
        <v>122</v>
      </c>
      <c r="K123" s="5" t="str">
        <f>IFERROR(__xludf.DUMMYFUNCTION("GOOGLETRANSLATE(B123, ""en"", ""ur"")"),"کھیل سے پہلے کے معائنہ کے دوران گھوڑے کے مسترد ہونے کی بنیادی وجہ کیا ہے؟")</f>
        <v>کھیل سے پہلے کے معائنہ کے دوران گھوڑے کے مسترد ہونے کی بنیادی وجہ کیا ہے؟</v>
      </c>
      <c r="L123" s="5" t="str">
        <f>IFERROR(__xludf.DUMMYFUNCTION("GOOGLETRANSLATE(C123, ""en"", ""ur"")"),"A) یہ غلط رنگ ہے، B) یہ لنگڑے پن یا بیماری کی علامات ظاہر کرتا ہے، C) یہ بہت پرانا ہے، D) یہ گھوڑے کی بجائے گھوڑی ہے۔")</f>
        <v>A) یہ غلط رنگ ہے، B) یہ لنگڑے پن یا بیماری کی علامات ظاہر کرتا ہے، C) یہ بہت پرانا ہے، D) یہ گھوڑے کی بجائے گھوڑی ہے۔</v>
      </c>
      <c r="M123" s="5" t="str">
        <f>IFERROR(__xludf.DUMMYFUNCTION("GOOGLETRANSLATE(D123, ""en"", ""ur"")"),"ب) یہ لنگڑے پن یا بیماری کی علامات ظاہر کرتا ہے۔")</f>
        <v>ب) یہ لنگڑے پن یا بیماری کی علامات ظاہر کرتا ہے۔</v>
      </c>
      <c r="N123" s="5" t="str">
        <f>IFERROR(__xludf.DUMMYFUNCTION("GOOGLETRANSLATE(E123, ""en"", ""ur"")"),"ڈاکٹر کا بنیادی کردار جانوروں کی فلاح و بہبود ہے، اور کوئی بھی گھوڑا جو جسمانی طور پر ٹھیک نہیں ہے اسے مقابلہ کرنے سے نااہل کر دیا جائے گا۔")</f>
        <v>ڈاکٹر کا بنیادی کردار جانوروں کی فلاح و بہبود ہے، اور کوئی بھی گھوڑا جو جسمانی طور پر ٹھیک نہیں ہے اسے مقابلہ کرنے سے نااہل کر دیا جائے گا۔</v>
      </c>
    </row>
    <row r="124">
      <c r="A124" s="3">
        <v>123.0</v>
      </c>
      <c r="B124" s="4" t="s">
        <v>1650</v>
      </c>
      <c r="C124" s="4" t="s">
        <v>1651</v>
      </c>
      <c r="D124" s="4" t="s">
        <v>1652</v>
      </c>
      <c r="E124" s="4" t="s">
        <v>1653</v>
      </c>
      <c r="J124" s="5" t="str">
        <f>IFERROR(__xludf.DUMMYFUNCTION("GOOGLETRANSLATE(A124, ""en"", ""ur"")"),"123")</f>
        <v>123</v>
      </c>
      <c r="K124" s="5" t="str">
        <f>IFERROR(__xludf.DUMMYFUNCTION("GOOGLETRANSLATE(B124, ""en"", ""ur"")"),"سوار کے گھوڑے کا ""سخت منہ"" ہوتا ہے۔ سوار کے لیے اس کا کیا مطلب ہے؟")</f>
        <v>سوار کے گھوڑے کا "سخت منہ" ہوتا ہے۔ سوار کے لیے اس کا کیا مطلب ہے؟</v>
      </c>
      <c r="L124" s="5" t="str">
        <f>IFERROR(__xludf.DUMMYFUNCTION("GOOGLETRANSLATE(C124, ""en"", ""ur"")"),"A)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f>
        <v>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v>
      </c>
      <c r="M124" s="5" t="str">
        <f>IFERROR(__xludf.DUMMYFUNCTION("GOOGLETRANSLATE(D124, ""en"", ""ur"")"),"ب) گھوڑا اشاروں کو لگام دینے کے لیے غیر جوابدہ ہے اور اس پر قابو پانا مشکل ہے۔")</f>
        <v>ب) گھوڑا اشاروں کو لگام دینے کے لیے غیر جوابدہ ہے اور اس پر قابو پانا مشکل ہے۔</v>
      </c>
      <c r="N124" s="5" t="str">
        <f>IFERROR(__xludf.DUMMYFUNCTION("GOOGLETRANSLATE(E124, ""en"", ""ur"")"),"ایک ""سخت منہ"" ایک منفی خصلت ہے، جس سے یہ ظاہر ہوتا ہے کہ گھوڑا سوار کے اشاروں کو نظر انداز کرتا ہے، جس سے یہ بزکشی جیسے تکنیکی کھیل کے لیے ناقص ماؤنٹ ہے۔")</f>
        <v>ایک "سخت منہ" ایک منفی خصلت ہے، جس سے یہ ظاہر ہوتا ہے کہ گھوڑا سوار کے اشاروں کو نظر انداز کرتا ہے، جس سے یہ بزکشی جیسے تکنیکی کھیل کے لیے ناقص ماؤنٹ ہے۔</v>
      </c>
    </row>
    <row r="125">
      <c r="A125" s="3">
        <v>124.0</v>
      </c>
      <c r="B125" s="4" t="s">
        <v>1654</v>
      </c>
      <c r="C125" s="4" t="s">
        <v>1655</v>
      </c>
      <c r="D125" s="4" t="s">
        <v>1656</v>
      </c>
      <c r="E125" s="4" t="s">
        <v>1657</v>
      </c>
      <c r="J125" s="5" t="str">
        <f>IFERROR(__xludf.DUMMYFUNCTION("GOOGLETRANSLATE(A125, ""en"", ""ur"")"),"124")</f>
        <v>124</v>
      </c>
      <c r="K125" s="5" t="str">
        <f>IFERROR(__xludf.DUMMYFUNCTION("GOOGLETRANSLATE(B125, ""en"", ""ur"")"),"اگر میت کو گرا دیا جائے اور براہ راست باؤنڈری لائن پر آ جائے تو کیا حکم ہے؟")</f>
        <v>اگر میت کو گرا دیا جائے اور براہ راست باؤنڈری لائن پر آ جائے تو کیا حکم ہے؟</v>
      </c>
      <c r="L125" s="5" t="str">
        <f>IFERROR(__xludf.DUMMYFUNCTION("GOOGLETRANSLATE(C125, ""en"", ""ur"")"),"A)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f>
        <v>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v>
      </c>
      <c r="M125" s="5" t="str">
        <f>IFERROR(__xludf.DUMMYFUNCTION("GOOGLETRANSLATE(D125, ""en"", ""ur"")"),"ب) یہ کھیل سے باہر ہے اور اسے دوبارہ ترتیب دینا ضروری ہے۔")</f>
        <v>ب) یہ کھیل سے باہر ہے اور اسے دوبارہ ترتیب دینا ضروری ہے۔</v>
      </c>
      <c r="N125" s="5" t="str">
        <f>IFERROR(__xludf.DUMMYFUNCTION("GOOGLETRANSLATE(E125, ""en"", ""ur"")"),"باؤنڈری لائن کو ہی کھیل سے باہر سمجھا جاتا ہے۔ لاش پوری طرح کھیت کے اندر ہونی چاہیے۔")</f>
        <v>باؤنڈری لائن کو ہی کھیل سے باہر سمجھا جاتا ہے۔ لاش پوری طرح کھیت کے اندر ہونی چاہیے۔</v>
      </c>
    </row>
    <row r="126">
      <c r="A126" s="3">
        <v>125.0</v>
      </c>
      <c r="B126" s="4" t="s">
        <v>1658</v>
      </c>
      <c r="C126" s="4" t="s">
        <v>1659</v>
      </c>
      <c r="D126" s="4" t="s">
        <v>1660</v>
      </c>
      <c r="E126" s="4" t="s">
        <v>1661</v>
      </c>
      <c r="J126" s="5" t="str">
        <f>IFERROR(__xludf.DUMMYFUNCTION("GOOGLETRANSLATE(A126, ""en"", ""ur"")"),"125")</f>
        <v>125</v>
      </c>
      <c r="K126" s="5" t="str">
        <f>IFERROR(__xludf.DUMMYFUNCTION("GOOGLETRANSLATE(B126, ""en"", ""ur"")"),"پشتون ثقافت میں اکثر شادیوں میں کھیلے جانے والے کھیل کی ثقافتی اہمیت کیا ہے؟")</f>
        <v>پشتون ثقافت میں اکثر شادیوں میں کھیلے جانے والے کھیل کی ثقافتی اہمیت کیا ہے؟</v>
      </c>
      <c r="L126" s="5" t="str">
        <f>IFERROR(__xludf.DUMMYFUNCTION("GOOGLETRANSLATE(C126, ""en"", ""ur"")"),"A) یہ مہمانوں کے لیے تفریح ​​کی ایک شکل ہے، B) یہ خاندانوں کی طاقت، دولت اور عزت کی نمائش ہے، C) یہ شوہر کے انتخاب کا ایک طریقہ ہے، D) یہ ایک ضروری مذہبی تقریب ہے۔")</f>
        <v>A) یہ مہمانوں کے لیے تفریح ​​کی ایک شکل ہے، B) یہ خاندانوں کی طاقت، دولت اور عزت کی نمائش ہے، C) یہ شوہر کے انتخاب کا ایک طریقہ ہے، D) یہ ایک ضروری مذہبی تقریب ہے۔</v>
      </c>
      <c r="M126" s="5" t="str">
        <f>IFERROR(__xludf.DUMMYFUNCTION("GOOGLETRANSLATE(D126, ""en"", ""ur"")"),"ب) یہ خاندانوں کی طاقت، دولت اور عزت کی نمائش ہے۔")</f>
        <v>ب) یہ خاندانوں کی طاقت، دولت اور عزت کی نمائش ہے۔</v>
      </c>
      <c r="N126" s="5" t="str">
        <f>IFERROR(__xludf.DUMMYFUNCTION("GOOGLETRANSLATE(E126, ""en"", ""ur"")"),"ایک بڑے بزکشی میچ کی میزبانی ایک اہم اور باوقار تقریب ہے جو اس میں شامل خاندانوں کی حیثیت کو ظاہر کرتی ہے۔")</f>
        <v>ایک بڑے بزکشی میچ کی میزبانی ایک اہم اور باوقار تقریب ہے جو اس میں شامل خاندانوں کی حیثیت کو ظاہر کرتی ہے۔</v>
      </c>
    </row>
    <row r="127">
      <c r="A127" s="3">
        <v>126.0</v>
      </c>
      <c r="B127" s="4" t="s">
        <v>1662</v>
      </c>
      <c r="C127" s="4" t="s">
        <v>1663</v>
      </c>
      <c r="D127" s="4" t="s">
        <v>1664</v>
      </c>
      <c r="E127" s="4" t="s">
        <v>1665</v>
      </c>
      <c r="J127" s="5" t="str">
        <f>IFERROR(__xludf.DUMMYFUNCTION("GOOGLETRANSLATE(A127, ""en"", ""ur"")"),"126")</f>
        <v>126</v>
      </c>
      <c r="K127" s="5" t="str">
        <f>IFERROR(__xludf.DUMMYFUNCTION("GOOGLETRANSLATE(B127, ""en"", ""ur"")"),"ایک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f>
        <v>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v>
      </c>
      <c r="L127" s="5" t="str">
        <f>IFERROR(__xludf.DUMMYFUNCTION("GOOGLETRANSLATE(C127, ""en"", ""ur"")"),"A) ہاں، ڈرامے کو مکمل کرنے کی اجازت ہے، B) نہیں، وقت ختم ہونے سے پہلے اسکور بنانا ضروری ہے، C) سوار کو آدھا پوائنٹ مل جاتا ہے، D) ٹیمیں اوور ٹائم راؤنڈ کھیلتی ہیں۔")</f>
        <v>A) ہاں، ڈرامے کو مکمل کرنے کی اجازت ہے، B) نہیں، وقت ختم ہونے سے پہلے اسکور بنانا ضروری ہے، C) سوار کو آدھا پوائنٹ مل جاتا ہے، D) ٹیمیں اوور ٹائم راؤنڈ کھیلتی ہیں۔</v>
      </c>
      <c r="M127" s="5" t="str">
        <f>IFERROR(__xludf.DUMMYFUNCTION("GOOGLETRANSLATE(D127, ""en"", ""ur"")"),"ب) نہیں، وقت ختم ہونے سے پہلے سکور بنانا ضروری ہے۔")</f>
        <v>ب) نہیں، وقت ختم ہونے سے پہلے سکور بنانا ضروری ہے۔</v>
      </c>
      <c r="N127" s="5" t="str">
        <f>IFERROR(__xludf.DUMMYFUNCTION("GOOGLETRANSLATE(E127, ""en"", ""ur"")"),"کچھ کھیلوں کے برعکس، آخری سیٹی بجنے پر کھیل ختم ہو جاتا ہے۔ سیٹی بجانے کے بعد مکمل کیا گیا کوئی عمل باطل ہے۔")</f>
        <v>کچھ کھیلوں کے برعکس، آخری سیٹی بجنے پر کھیل ختم ہو جاتا ہے۔ سیٹی بجانے کے بعد مکمل کیا گیا کوئی عمل باطل ہے۔</v>
      </c>
    </row>
    <row r="128">
      <c r="A128" s="3">
        <v>127.0</v>
      </c>
      <c r="B128" s="4" t="s">
        <v>1666</v>
      </c>
      <c r="C128" s="4" t="s">
        <v>1667</v>
      </c>
      <c r="D128" s="4" t="s">
        <v>1668</v>
      </c>
      <c r="E128" s="4" t="s">
        <v>1669</v>
      </c>
      <c r="J128" s="5" t="str">
        <f>IFERROR(__xludf.DUMMYFUNCTION("GOOGLETRANSLATE(A128, ""en"", ""ur"")"),"127")</f>
        <v>127</v>
      </c>
      <c r="K128" s="5" t="str">
        <f>IFERROR(__xludf.DUMMYFUNCTION("GOOGLETRANSLATE(B128, ""en"", ""ur"")"),"ایک سوار کی مضبوط گرفت کی بنیادی وجہ کیا ہے؟")</f>
        <v>ایک سوار کی مضبوط گرفت کی بنیادی وجہ کیا ہے؟</v>
      </c>
      <c r="L128" s="5" t="str">
        <f>IFERROR(__xludf.DUMMYFUNCTION("GOOGLETRANSLATE(C128, ""en"", ""ur"")"),"A) لگام کو مضبوطی سے پکڑنا، B) بھاری اور پھسلنے والی لاش کو اس وقت پکڑنا جب مخالفین اسے کھینچ رہے ہوں، C) کاٹھی پر رہنے میں ان کی مدد کرنا، D) چابک کو قابو میں رکھنا")</f>
        <v>A) لگام کو مضبوطی سے پکڑنا، B) بھاری اور پھسلنے والی لاش کو اس وقت پکڑنا جب مخالفین اسے کھینچ رہے ہوں، C) کاٹھی پر رہنے میں ان کی مدد کرنا، D) چابک کو قابو میں رکھنا</v>
      </c>
      <c r="M128" s="5" t="str">
        <f>IFERROR(__xludf.DUMMYFUNCTION("GOOGLETRANSLATE(D128, ""en"", ""ur"")"),"ب) بھاری اور پھسلتی لاش کو اس وقت پکڑنا جب مخالفین اسے کھینچ رہے ہوں۔")</f>
        <v>ب) بھاری اور پھسلتی لاش کو اس وقت پکڑنا جب مخالفین اسے کھینچ رہے ہوں۔</v>
      </c>
      <c r="N128" s="5" t="str">
        <f>IFERROR(__xludf.DUMMYFUNCTION("GOOGLETRANSLATE(E128, ""en"", ""ur"")"),"پورا کھیل لاش کے قبضے کے گرد گھومتا ہے، جسے برقرار رکھنے کے لیے گرفت کی بے پناہ طاقت کی ضرورت ہوتی ہے۔")</f>
        <v>پورا کھیل لاش کے قبضے کے گرد گھومتا ہے، جسے برقرار رکھنے کے لیے گرفت کی بے پناہ طاقت کی ضرورت ہوتی ہے۔</v>
      </c>
    </row>
    <row r="129">
      <c r="A129" s="3">
        <v>128.0</v>
      </c>
      <c r="B129" s="4" t="s">
        <v>1670</v>
      </c>
      <c r="C129" s="4" t="s">
        <v>1671</v>
      </c>
      <c r="D129" s="4" t="s">
        <v>1672</v>
      </c>
      <c r="E129" s="4" t="s">
        <v>1673</v>
      </c>
      <c r="J129" s="5" t="str">
        <f>IFERROR(__xludf.DUMMYFUNCTION("GOOGLETRANSLATE(A129, ""en"", ""ur"")"),"128")</f>
        <v>128</v>
      </c>
      <c r="K129" s="5" t="str">
        <f>IFERROR(__xludf.DUMMYFUNCTION("GOOGLETRANSLATE(B129, ""en"", ""ur"")"),"چھپے ہوئے تیز دھار کے ساتھ کاٹھی استعمال کرنے پر سوار کو نااہل قرار دیا جاتا ہے۔ یہ ایک سنگین غلطی کیوں ہے؟")</f>
        <v>چھپے ہوئے تیز دھار کے ساتھ کاٹھی استعمال کرنے پر سوار کو نااہل قرار دیا جاتا ہے۔ یہ ایک سنگین غلطی کیوں ہے؟</v>
      </c>
      <c r="L129" s="5" t="str">
        <f>IFERROR(__xludf.DUMMYFUNCTION("GOOGLETRANSLATE(C129, ""en"", ""ur"")"),"A)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f>
        <v>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v>
      </c>
      <c r="M129" s="5" t="str">
        <f>IFERROR(__xludf.DUMMYFUNCTION("GOOGLETRANSLATE(D129, ""en"", ""ur"")"),"ب) اسے مخالف گھوڑوں اور سواروں کو زخمی کرنے کے لیے بطور ہتھیار استعمال کیا جا سکتا ہے۔")</f>
        <v>ب) اسے مخالف گھوڑوں اور سواروں کو زخمی کرنے کے لیے بطور ہتھیار استعمال کیا جا سکتا ہے۔</v>
      </c>
      <c r="N129" s="5" t="str">
        <f>IFERROR(__xludf.DUMMYFUNCTION("GOOGLETRANSLATE(E129, ""en"", ""ur"")"),"ہتھیار بنانے کے لیے ساز و سامان کے ساتھ چھیڑ چھاڑ حفاظت اور کھیلوں کی مہارت کی بڑی خلاف ورزی ہے۔")</f>
        <v>ہتھیار بنانے کے لیے ساز و سامان کے ساتھ چھیڑ چھاڑ حفاظت اور کھیلوں کی مہارت کی بڑی خلاف ورزی ہے۔</v>
      </c>
    </row>
    <row r="130">
      <c r="A130" s="3">
        <v>129.0</v>
      </c>
      <c r="B130" s="4" t="s">
        <v>1674</v>
      </c>
      <c r="C130" s="4" t="s">
        <v>1675</v>
      </c>
      <c r="D130" s="4" t="s">
        <v>1676</v>
      </c>
      <c r="E130" s="4" t="s">
        <v>1677</v>
      </c>
      <c r="J130" s="5" t="str">
        <f>IFERROR(__xludf.DUMMYFUNCTION("GOOGLETRANSLATE(A130, ""en"", ""ur"")"),"129")</f>
        <v>129</v>
      </c>
      <c r="K130" s="5" t="str">
        <f>IFERROR(__xludf.DUMMYFUNCTION("GOOGLETRANSLATE(B130, ""en"", ""ur"")"),"کھیل کے قاراجئی ورژن میں پرچم یا عالم کا کیا کردار ہے؟")</f>
        <v>کھیل کے قاراجئی ورژن میں پرچم یا عالم کا کیا کردار ہے؟</v>
      </c>
      <c r="L130" s="5" t="str">
        <f>IFERROR(__xludf.DUMMYFUNCTION("GOOGLETRANSLATE(C130, ""en"", ""ur"")"),"A)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f>
        <v>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v>
      </c>
      <c r="M130" s="5" t="str">
        <f>IFERROR(__xludf.DUMMYFUNCTION("GOOGLETRANSLATE(D130, ""en"", ""ur"")"),"ب) یہ ایک ٹرننگ مارکر ہے کہ ایک سوار کو گول کرنے سے پہلے اس کے ارد گرد جانا ضروری ہے۔")</f>
        <v>ب) یہ ایک ٹرننگ مارکر ہے کہ ایک سوار کو گول کرنے سے پہلے اس کے ارد گرد جانا ضروری ہے۔</v>
      </c>
      <c r="N130" s="5" t="str">
        <f>IFERROR(__xludf.DUMMYFUNCTION("GOOGLETRANSLATE(E130, ""en"", ""ur"")"),"کورس کی تعریف ابتدائی دائرے، جھنڈے اور اسکورنگ دائرے سے ہوتی ہے۔ درست اسکورنگ رن حاصل کرنے کے لیے سوار کو جھنڈا پاس کرنا چاہیے۔")</f>
        <v>کورس کی تعریف ابتدائی دائرے، جھنڈے اور اسکورنگ دائرے سے ہوتی ہے۔ درست اسکورنگ رن حاصل کرنے کے لیے سوار کو جھنڈا پاس کرنا چاہیے۔</v>
      </c>
    </row>
    <row r="131">
      <c r="A131" s="3">
        <v>130.0</v>
      </c>
      <c r="B131" s="4" t="s">
        <v>1464</v>
      </c>
      <c r="C131" s="4" t="s">
        <v>1465</v>
      </c>
      <c r="D131" s="4" t="s">
        <v>1466</v>
      </c>
      <c r="E131" s="4" t="s">
        <v>1467</v>
      </c>
      <c r="J131" s="5" t="str">
        <f>IFERROR(__xludf.DUMMYFUNCTION("GOOGLETRANSLATE(A131, ""en"", ""ur"")"),"130")</f>
        <v>130</v>
      </c>
      <c r="K131" s="5" t="str">
        <f>IFERROR(__xludf.DUMMYFUNCTION("GOOGLETRANSLATE(B131, ""en"", ""ur"")"),"ایک سوار لاش کو اٹھانے کے لیے جدوجہد کر رہا ہے۔ اس کا ساتھی اوپر چڑھتا ہے اور اسے اٹھانے میں اس کی مدد کرتا ہے۔ کیا یہ قانونی ہے؟")</f>
        <v>ایک سوار لاش کو اٹھانے کے لیے جدوجہد کر رہا ہے۔ اس کا ساتھی اوپر چڑھتا ہے اور اسے اٹھانے میں اس کی مدد کرتا ہے۔ کیا یہ قانونی ہے؟</v>
      </c>
      <c r="L131" s="5" t="str">
        <f>IFERROR(__xludf.DUMMYFUNCTION("GOOGLETRANSLATE(C131, ""en"", ""ur"")"),"A)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f>
        <v>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v>
      </c>
      <c r="M131" s="5" t="str">
        <f>IFERROR(__xludf.DUMMYFUNCTION("GOOGLETRANSLATE(D131, ""en"", ""ur"")"),"ب) نہیں، ایک وقت میں صرف ایک سوار لاش کے قبضے میں ہو سکتا ہے۔")</f>
        <v>ب) نہیں، ایک وقت میں صرف ایک سوار لاش کے قبضے میں ہو سکتا ہے۔</v>
      </c>
      <c r="N131" s="5" t="str">
        <f>IFERROR(__xludf.DUMMYFUNCTION("GOOGLETRANSLATE(E131, ""en"", ""ur"")"),"ایک سوار کو لاش کا واحد قبضہ حاصل کرنا چاہیے۔ اس طریقے سے ٹیم کے ساتھی کی مدد کی اجازت نہیں ہے۔")</f>
        <v>ایک سوار کو لاش کا واحد قبضہ حاصل کرنا چاہیے۔ اس طریقے سے ٹیم کے ساتھی کی مدد کی اجازت نہیں ہے۔</v>
      </c>
    </row>
    <row r="132">
      <c r="A132" s="3">
        <v>131.0</v>
      </c>
      <c r="B132" s="4" t="s">
        <v>1468</v>
      </c>
      <c r="C132" s="4" t="s">
        <v>1469</v>
      </c>
      <c r="D132" s="4" t="s">
        <v>1470</v>
      </c>
      <c r="E132" s="4" t="s">
        <v>1471</v>
      </c>
      <c r="J132" s="5" t="str">
        <f>IFERROR(__xludf.DUMMYFUNCTION("GOOGLETRANSLATE(A132, ""en"", ""ur"")"),"131")</f>
        <v>131</v>
      </c>
      <c r="K132" s="5" t="str">
        <f>IFERROR(__xludf.DUMMYFUNCTION("GOOGLETRANSLATE(B132, ""en"", ""ur"")"),"بزکشی سیڈل کے اونچے پومل (سامنے) کا بنیادی مقصد کیا ہے؟")</f>
        <v>بزکشی سیڈل کے اونچے پومل (سامنے) کا بنیادی مقصد کیا ہے؟</v>
      </c>
      <c r="L132" s="5" t="str">
        <f>IFERROR(__xludf.DUMMYFUNCTION("GOOGLETRANSLATE(C132, ""en"", ""ur"")"),"A) یہ سوار کے پکڑنے کا ایک ہینڈل ہے، B) یہ سوار کو کاٹھی میں بند کرنے میں مدد کرتا ہے اور ایک تسمہ فراہم کرتا ہے، C) یہ کوڑا باندھنے کی جگہ ہے، D) یہ سجاوٹ کے لیے ہے۔")</f>
        <v>A) یہ سوار کے پکڑنے کا ایک ہینڈل ہے، B) یہ سوار کو کاٹھی میں بند کرنے میں مدد کرتا ہے اور ایک تسمہ فراہم کرتا ہے، C) یہ کوڑا باندھنے کی جگہ ہے، D) یہ سجاوٹ کے لیے ہے۔</v>
      </c>
      <c r="M132" s="5" t="str">
        <f>IFERROR(__xludf.DUMMYFUNCTION("GOOGLETRANSLATE(D132, ""en"", ""ur"")"),"ب) یہ سوار کو کاٹھی میں بند کرنے میں مدد کرتا ہے اور تسمہ فراہم کرتا ہے۔")</f>
        <v>ب) یہ سوار کو کاٹھی میں بند کرنے میں مدد کرتا ہے اور تسمہ فراہم کرتا ہے۔</v>
      </c>
      <c r="N132" s="5" t="str">
        <f>IFERROR(__xludf.DUMMYFUNCTION("GOOGLETRANSLATE(E132, ""en"", ""ur"")"),"اونچی پومل اور کینٹل ایک گہری، محفوظ نشست بناتی ہے، جو پرتشدد کھینچنے اور جھکنے کے دوران گھوڑے پر رہنے کے لیے ضروری ہے۔")</f>
        <v>اونچی پومل اور کینٹل ایک گہری، محفوظ نشست بناتی ہے، جو پرتشدد کھینچنے اور جھکنے کے دوران گھوڑے پر رہنے کے لیے ضروری ہے۔</v>
      </c>
    </row>
    <row r="133">
      <c r="A133" s="3">
        <v>132.0</v>
      </c>
      <c r="B133" s="4" t="s">
        <v>1472</v>
      </c>
      <c r="C133" s="4" t="s">
        <v>1473</v>
      </c>
      <c r="D133" s="4" t="s">
        <v>1474</v>
      </c>
      <c r="E133" s="4" t="s">
        <v>1475</v>
      </c>
      <c r="J133" s="5" t="str">
        <f>IFERROR(__xludf.DUMMYFUNCTION("GOOGLETRANSLATE(A133, ""en"", ""ur"")"),"132")</f>
        <v>132</v>
      </c>
      <c r="K133" s="5" t="str">
        <f>IFERROR(__xludf.DUMMYFUNCTION("GOOGLETRANSLATE(B133, ""en"", ""ur"")"),"گھوڑا اسکرم میں داخل ہونے سے انکار کرتا ہے۔ یہ کیا اشارہ کرتا ہے؟")</f>
        <v>گھوڑا اسکرم میں داخل ہونے سے انکار کرتا ہے۔ یہ کیا اشارہ کرتا ہے؟</v>
      </c>
      <c r="L133" s="5" t="str">
        <f>IFERROR(__xludf.DUMMYFUNCTION("GOOGLETRANSLATE(C133, ""en"", ""ur"")"),"A) گھوڑا ذہین ہے، B) گھوڑے میں کھیل کی ہمت یا تربیت کی کمی ہے، C) گھوڑا تھکا ہوا ہے، D) گھوڑا اپنے سوار کو ناپسند کرتا ہے۔")</f>
        <v>A) گھوڑا ذہین ہے، B) گھوڑے میں کھیل کی ہمت یا تربیت کی کمی ہے، C) گھوڑا تھکا ہوا ہے، D) گھوڑا اپنے سوار کو ناپسند کرتا ہے۔</v>
      </c>
      <c r="M133" s="5" t="str">
        <f>IFERROR(__xludf.DUMMYFUNCTION("GOOGLETRANSLATE(D133, ""en"", ""ur"")"),"ب) گھوڑے میں کھیل کی ہمت یا تربیت کی کمی ہے۔")</f>
        <v>ب) گھوڑے میں کھیل کی ہمت یا تربیت کی کمی ہے۔</v>
      </c>
      <c r="N133" s="5" t="str">
        <f>IFERROR(__xludf.DUMMYFUNCTION("GOOGLETRANSLATE(E133, ""en"", ""ur"")"),"بزکشی گھوڑے کی ایک اہم خصوصیت اس کا ""دل"" یا بہادری ہے۔ ایک گھوڑا جو لڑائی سے دور ہو جائے کھیل کے لیے موزوں نہیں ہے۔")</f>
        <v>بزکشی گھوڑے کی ایک اہم خصوصیت اس کا "دل" یا بہادری ہے۔ ایک گھوڑا جو لڑائی سے دور ہو جائے کھیل کے لیے موزوں نہیں ہے۔</v>
      </c>
    </row>
    <row r="134">
      <c r="A134" s="3">
        <v>133.0</v>
      </c>
      <c r="B134" s="4" t="s">
        <v>1476</v>
      </c>
      <c r="C134" s="4" t="s">
        <v>1477</v>
      </c>
      <c r="D134" s="4" t="s">
        <v>1478</v>
      </c>
      <c r="E134" s="4" t="s">
        <v>1479</v>
      </c>
      <c r="J134" s="5" t="str">
        <f>IFERROR(__xludf.DUMMYFUNCTION("GOOGLETRANSLATE(A134, ""en"", ""ur"")"),"133")</f>
        <v>133</v>
      </c>
      <c r="K134" s="5" t="str">
        <f>IFERROR(__xludf.DUMMYFUNCTION("GOOGLETRANSLATE(B134, ""en"", ""ur"")"),"ایک رسمی میچ میں، اس سوار کے لیے کیا جرمانہ ہے جس نے مطلوبہ ٹیم سیش یا جرسی نہیں پہنی ہو؟")</f>
        <v>ایک رسمی میچ میں، اس سوار کے لیے کیا جرمانہ ہے جس نے مطلوبہ ٹیم سیش یا جرسی نہیں پہنی ہو؟</v>
      </c>
      <c r="L134" s="5" t="str">
        <f>IFERROR(__xludf.DUMMYFUNCTION("GOOGLETRANSLATE(C134, ""en"", ""ur"")"),"A) انہیں میچ شروع کرنے کی اجازت نہیں ہے، B) انہیں ایک پوائنٹ جرمانہ دیا جاتا ہے، C) اس سے کوئی فرق نہیں پڑتا، D) انہیں دوسرے کھلاڑی سے ایک ادھار لینا چاہیے۔")</f>
        <v>A) انہیں میچ شروع کرنے کی اجازت نہیں ہے، B) انہیں ایک پوائنٹ جرمانہ دیا جاتا ہے، C) اس سے کوئی فرق نہیں پڑتا، D) انہیں دوسرے کھلاڑی سے ایک ادھار لینا چاہیے۔</v>
      </c>
      <c r="M134" s="5" t="str">
        <f>IFERROR(__xludf.DUMMYFUNCTION("GOOGLETRANSLATE(D134, ""en"", ""ur"")"),"ا) انہیں میچ شروع کرنے کی اجازت نہیں ہے۔")</f>
        <v>ا) انہیں میچ شروع کرنے کی اجازت نہیں ہے۔</v>
      </c>
      <c r="N134" s="5" t="str">
        <f>IFERROR(__xludf.DUMMYFUNCTION("GOOGLETRANSLATE(E134, ""en"", ""ur"")"),"ریفریوں کی طرف سے شناخت کے لیے مناسب یونیفارم ضروری ہے۔ ایک کھلاڑی اس کے بغیر مقابلہ نہیں کر سکتا۔")</f>
        <v>ریفریوں کی طرف سے شناخت کے لیے مناسب یونیفارم ضروری ہے۔ ایک کھلاڑی اس کے بغیر مقابلہ نہیں کر سکتا۔</v>
      </c>
    </row>
    <row r="135">
      <c r="A135" s="3">
        <v>134.0</v>
      </c>
      <c r="B135" s="4" t="s">
        <v>1678</v>
      </c>
      <c r="C135" s="4" t="s">
        <v>1679</v>
      </c>
      <c r="D135" s="4" t="s">
        <v>1680</v>
      </c>
      <c r="E135" s="4" t="s">
        <v>1681</v>
      </c>
      <c r="J135" s="5" t="str">
        <f>IFERROR(__xludf.DUMMYFUNCTION("GOOGLETRANSLATE(A135, ""en"", ""ur"")"),"134")</f>
        <v>134</v>
      </c>
      <c r="K135" s="5" t="str">
        <f>IFERROR(__xludf.DUMMYFUNCTION("GOOGLETRANSLATE(B135, ""en"", ""ur"")"),"ایک سوار لاش کو گرا رہا ہے۔ پیچھے سے ایک مخالف رکنے سے قاصر ہے اور ان کا گھوڑا لاش کو روندتا ہے۔ کیا یہ فضول ہے؟")</f>
        <v>ایک سوار لاش کو گرا رہا ہے۔ پیچھے سے ایک مخالف رکنے سے قاصر ہے اور ان کا گھوڑا لاش کو روندتا ہے۔ کیا یہ فضول ہے؟</v>
      </c>
      <c r="L135" s="5" t="str">
        <f>IFERROR(__xludf.DUMMYFUNCTION("GOOGLETRANSLATE(C135, ""en"", ""ur"")"),"A)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f>
        <v>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v>
      </c>
      <c r="M135" s="5" t="str">
        <f>IFERROR(__xludf.DUMMYFUNCTION("GOOGLETRANSLATE(D135, ""en"", ""ur"")"),"ب) نہیں، یہ افراتفری کے کھیل کا ایک عام حصہ ہے۔")</f>
        <v>ب) نہیں، یہ افراتفری کے کھیل کا ایک عام حصہ ہے۔</v>
      </c>
      <c r="N135" s="5" t="str">
        <f>IFERROR(__xludf.DUMMYFUNCTION("GOOGLETRANSLATE(E135, ""en"", ""ur"")"),"لاش ایک ناہموار چیز ہے، اور اس لمحے کی گرمی میں، اسے گھوڑے دوڑائیں گے۔ یہ ڈرامے کا متوقع حصہ ہے۔")</f>
        <v>لاش ایک ناہموار چیز ہے، اور اس لمحے کی گرمی میں، اسے گھوڑے دوڑائیں گے۔ یہ ڈرامے کا متوقع حصہ ہے۔</v>
      </c>
    </row>
    <row r="136">
      <c r="A136" s="3">
        <v>135.0</v>
      </c>
      <c r="B136" s="4" t="s">
        <v>1682</v>
      </c>
      <c r="C136" s="4" t="s">
        <v>1683</v>
      </c>
      <c r="D136" s="4" t="s">
        <v>361</v>
      </c>
      <c r="E136" s="4" t="s">
        <v>1684</v>
      </c>
      <c r="J136" s="5" t="str">
        <f>IFERROR(__xludf.DUMMYFUNCTION("GOOGLETRANSLATE(A136, ""en"", ""ur"")"),"135")</f>
        <v>135</v>
      </c>
      <c r="K136" s="5" t="str">
        <f>IFERROR(__xludf.DUMMYFUNCTION("GOOGLETRANSLATE(B136, ""en"", ""ur"")"),"اس کی بنیادی وجہ کیا ہے کہ زمینی عملہ (امپائر) بھی اکثر گھوڑوں پر سوار ہوتے ہیں؟")</f>
        <v>اس کی بنیادی وجہ کیا ہے کہ زمینی عملہ (امپائر) بھی اکثر گھوڑوں پر سوار ہوتے ہیں؟</v>
      </c>
      <c r="L136" s="5" t="str">
        <f>IFERROR(__xludf.DUMMYFUNCTION("GOOGLETRANSLATE(C136, ""en"", ""ur"")"),"A) یہ زیادہ روایتی ہے، B) ڈرامے کو جاری رکھنا اور اسکرم میں فاؤل کا واضح نظارہ حاصل کرنا، C) اپنی حفاظت کے لیے، D) مندرجہ بالا سبھی")</f>
        <v>A) یہ زیادہ روایتی ہے، B) ڈرامے کو جاری رکھنا اور اسکرم میں فاؤل کا واضح نظارہ حاصل کرنا، C) اپنی حفاظت کے لیے، D) مندرجہ بالا سبھی</v>
      </c>
      <c r="M136" s="5" t="str">
        <f>IFERROR(__xludf.DUMMYFUNCTION("GOOGLETRANSLATE(D136, ""en"", ""ur"")"),"D) مذکورہ بالا تمام")</f>
        <v>D) مذکورہ بالا تمام</v>
      </c>
      <c r="N136" s="5" t="str">
        <f>IFERROR(__xludf.DUMMYFUNCTION("GOOGLETRANSLATE(E136, ""en"", ""ur"")"),"نصب ہونے سے ریفریز کو کھیل کے ساتھ حرکت کرنے، اسکرم کو دیکھنے اور افراتفری سے محفوظ رہنے کی اجازت دیتا ہے۔")</f>
        <v>نصب ہونے سے ریفریز کو کھیل کے ساتھ حرکت کرنے، اسکرم کو دیکھنے اور افراتفری سے محفوظ رہنے کی اجازت دیتا ہے۔</v>
      </c>
    </row>
    <row r="137">
      <c r="A137" s="3">
        <v>136.0</v>
      </c>
      <c r="B137" s="4" t="s">
        <v>1645</v>
      </c>
      <c r="C137" s="4" t="s">
        <v>1609</v>
      </c>
      <c r="D137" s="4" t="s">
        <v>1610</v>
      </c>
      <c r="E137" s="4" t="s">
        <v>1611</v>
      </c>
      <c r="J137" s="5" t="str">
        <f>IFERROR(__xludf.DUMMYFUNCTION("GOOGLETRANSLATE(A137, ""en"", ""ur"")"),"136")</f>
        <v>136</v>
      </c>
      <c r="K137" s="5" t="str">
        <f>IFERROR(__xludf.DUMMYFUNCTION("GOOGLETRANSLATE(B137, ""en"", ""ur"")"),"ایک سوار لاش کو لے جا رہا ہے، اور ایک مخالف سوار کی ٹانگ پکڑ رہا ہے۔ کال کیا ہے؟")</f>
        <v>ایک سوار لاش کو لے جا رہا ہے، اور ایک مخالف سوار کی ٹانگ پکڑ رہا ہے۔ کال کیا ہے؟</v>
      </c>
      <c r="L137" s="5" t="str">
        <f>IFERROR(__xludf.DUMMYFUNCTION("GOOGLETRANSLATE(C137, ""en"", ""ur"")"),"A) ایک قانونی طور پر ہٹانے کی کوشش، B) رائیڈر کو پکڑنے کے لئے مخالف پر ایک غلط، C) کھیل جاری ہے، D) جس سوار کو روکا گیا تھا اسے جرمانہ ملتا ہے")</f>
        <v>A) ایک قانونی طور پر ہٹانے کی کوشش، B) رائیڈر کو پکڑنے کے لئے مخالف پر ایک غلط، C) کھیل جاری ہے، D) جس سوار کو روکا گیا تھا اسے جرمانہ ملتا ہے</v>
      </c>
      <c r="M137" s="5" t="str">
        <f>IFERROR(__xludf.DUMMYFUNCTION("GOOGLETRANSLATE(D137, ""en"", ""ur"")"),"ب) سوار کو پکڑنے پر مخالف پر فاؤل")</f>
        <v>ب) سوار کو پکڑنے پر مخالف پر فاؤل</v>
      </c>
      <c r="N137" s="5" t="str">
        <f>IFERROR(__xludf.DUMMYFUNCTION("GOOGLETRANSLATE(E137, ""en"", ""ur"")"),"سوار کے جسم کے کسی بھی حصے یا ان کے سامان کو پکڑنا غیر قانونی ہے۔ کھلاڑی صرف لاش کے لیے ہی مقابلہ کر سکتے ہیں۔")</f>
        <v>سوار کے جسم کے کسی بھی حصے یا ان کے سامان کو پکڑنا غیر قانونی ہے۔ کھلاڑی صرف لاش کے لیے ہی مقابلہ کر سکتے ہیں۔</v>
      </c>
    </row>
    <row r="138">
      <c r="A138" s="3">
        <v>137.0</v>
      </c>
      <c r="B138" s="4" t="s">
        <v>1432</v>
      </c>
      <c r="C138" s="4" t="s">
        <v>1433</v>
      </c>
      <c r="D138" s="4" t="s">
        <v>1434</v>
      </c>
      <c r="E138" s="4" t="s">
        <v>1435</v>
      </c>
      <c r="J138" s="5" t="str">
        <f>IFERROR(__xludf.DUMMYFUNCTION("GOOGLETRANSLATE(A138, ""en"", ""ur"")"),"137")</f>
        <v>137</v>
      </c>
      <c r="K138" s="5" t="str">
        <f>IFERROR(__xludf.DUMMYFUNCTION("GOOGLETRANSLATE(B138, ""en"", ""ur"")"),"گھوڑے کو اس کی چستی میں ""بلی کی طرح"" ہونے کی وجہ سے سراہا جاتا ہے۔ اس کا کیا مطلب ہے؟")</f>
        <v>گھوڑے کو اس کی چستی میں "بلی کی طرح" ہونے کی وجہ سے سراہا جاتا ہے۔ اس کا کیا مطلب ہے؟</v>
      </c>
      <c r="L138" s="5" t="str">
        <f>IFERROR(__xludf.DUMMYFUNCTION("GOOGLETRANSLATE(C138, ""en"", ""ur"")"),"A)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f>
        <v>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v>
      </c>
      <c r="M138" s="5" t="str">
        <f>IFERROR(__xludf.DUMMYFUNCTION("GOOGLETRANSLATE(D138, ""en"", ""ur"")"),"ب) گھوڑے میں اپنے پیروں پر قائم رہنے، تیزی سے مڑنے اور اپنا توازن بحال کرنے کی ناقابل یقین صلاحیت ہوتی ہے۔")</f>
        <v>ب) گھوڑے میں اپنے پیروں پر قائم رہنے، تیزی سے مڑنے اور اپنا توازن بحال کرنے کی ناقابل یقین صلاحیت ہوتی ہے۔</v>
      </c>
      <c r="N138" s="5" t="str">
        <f>IFERROR(__xludf.DUMMYFUNCTION("GOOGLETRANSLATE(E138, ""en"", ""ur"")"),"یہ ایک اعلیٰ تعریف ہے، جو افراتفری کے درمیان گھوڑے کی نرمی اور فضل کا حوالہ دیتی ہے۔")</f>
        <v>یہ ایک اعلیٰ تعریف ہے، جو افراتفری کے درمیان گھوڑے کی نرمی اور فضل کا حوالہ دیتی ہے۔</v>
      </c>
    </row>
    <row r="139">
      <c r="A139" s="3">
        <v>138.0</v>
      </c>
      <c r="B139" s="4" t="s">
        <v>1436</v>
      </c>
      <c r="C139" s="4" t="s">
        <v>1437</v>
      </c>
      <c r="D139" s="4" t="s">
        <v>1438</v>
      </c>
      <c r="E139" s="4" t="s">
        <v>1439</v>
      </c>
      <c r="J139" s="5" t="str">
        <f>IFERROR(__xludf.DUMMYFUNCTION("GOOGLETRANSLATE(A139, ""en"", ""ur"")"),"138")</f>
        <v>138</v>
      </c>
      <c r="K139" s="5" t="str">
        <f>IFERROR(__xludf.DUMMYFUNCTION("GOOGLETRANSLATE(B139, ""en"", ""ur"")"),"اگر ٹیم A کے سوار نے لاش کو پکڑ رکھا ہو اور ٹیم B کا سوار ٹیم A کے سوار کی زین پکڑے تو کیا حکم ہے؟")</f>
        <v>اگر ٹیم A کے سوار نے لاش کو پکڑ رکھا ہو اور ٹیم B کا سوار ٹیم A کے سوار کی زین پکڑے تو کیا حکم ہے؟</v>
      </c>
      <c r="L139" s="5" t="str">
        <f>IFERROR(__xludf.DUMMYFUNCTION("GOOGLETRANSLATE(C139, ""en"", ""ur"")"),"A) سوار کو غیر متوازن کرنا ایک قانونی اقدام ہے، B) سامان پکڑنے پر ٹیم B پر یہ فاؤل ہے، C) کھیل جاری ہے، D) ٹیم A کو ایک پوائنٹ دیا جاتا ہے۔")</f>
        <v>A) سوار کو غیر متوازن کرنا ایک قانونی اقدام ہے، B) سامان پکڑنے پر ٹیم B پر یہ فاؤل ہے، C) کھیل جاری ہے، D) ٹیم A کو ایک پوائنٹ دیا جاتا ہے۔</v>
      </c>
      <c r="M139" s="5" t="str">
        <f>IFERROR(__xludf.DUMMYFUNCTION("GOOGLETRANSLATE(D139, ""en"", ""ur"")"),"B) یہ سامان پکڑنے کے لئے ٹیم B پر ایک غلط ہے۔")</f>
        <v>B) یہ سامان پکڑنے کے لئے ٹیم B پر ایک غلط ہے۔</v>
      </c>
      <c r="N139" s="5" t="str">
        <f>IFERROR(__xludf.DUMMYFUNCTION("GOOGLETRANSLATE(E139, ""en"", ""ur"")"),"ایک کھلاڑی فائدہ حاصل کرنے کے لیے مخالف کے ٹیک (کاٹھی، لگام، لگام) کو نہیں پکڑ سکتا۔")</f>
        <v>ایک کھلاڑی فائدہ حاصل کرنے کے لیے مخالف کے ٹیک (کاٹھی، لگام، لگام) کو نہیں پکڑ سکتا۔</v>
      </c>
    </row>
    <row r="140">
      <c r="A140" s="3">
        <v>139.0</v>
      </c>
      <c r="B140" s="4" t="s">
        <v>1685</v>
      </c>
      <c r="C140" s="4" t="s">
        <v>1686</v>
      </c>
      <c r="D140" s="4" t="s">
        <v>1687</v>
      </c>
      <c r="E140" s="4" t="s">
        <v>1688</v>
      </c>
      <c r="J140" s="5" t="str">
        <f>IFERROR(__xludf.DUMMYFUNCTION("GOOGLETRANSLATE(A140, ""en"", ""ur"")"),"139")</f>
        <v>139</v>
      </c>
      <c r="K140" s="5" t="str">
        <f>IFERROR(__xludf.DUMMYFUNCTION("GOOGLETRANSLATE(B140, ""en"", ""ur"")"),"کچھ خطوں میں، بزکشی کا ایک چھوٹا ورژن بچے کس چیز کا استعمال کرتے ہوئے کھیلتے ہیں؟")</f>
        <v>کچھ خطوں میں، بزکشی کا ایک چھوٹا ورژن بچے کس چیز کا استعمال کرتے ہوئے کھیلتے ہیں؟</v>
      </c>
      <c r="L140" s="5" t="str">
        <f>IFERROR(__xludf.DUMMYFUNCTION("GOOGLETRANSLATE(C140, ""en"", ""ur"")"),"A) ایک چھوٹی بکری، B) ایک گیند، C) ایک مرغ، D) ایک بھیڑ")</f>
        <v>A) ایک چھوٹی بکری، B) ایک گیند، C) ایک مرغ، D) ایک بھیڑ</v>
      </c>
      <c r="M140" s="5" t="str">
        <f>IFERROR(__xludf.DUMMYFUNCTION("GOOGLETRANSLATE(D140, ""en"", ""ur"")"),"D) ایک بھیڑ")</f>
        <v>D) ایک بھیڑ</v>
      </c>
      <c r="N140" s="5" t="str">
        <f>IFERROR(__xludf.DUMMYFUNCTION("GOOGLETRANSLATE(E140, ""en"", ""ur"")"),"بھیڑ جیسا چھوٹا، ہلکا جانور کبھی کبھی کھیل کے نوجوانوں کے ورژن کے لیے استعمال ہوتا ہے۔")</f>
        <v>بھیڑ جیسا چھوٹا، ہلکا جانور کبھی کبھی کھیل کے نوجوانوں کے ورژن کے لیے استعمال ہوتا ہے۔</v>
      </c>
    </row>
    <row r="141">
      <c r="A141" s="3">
        <v>140.0</v>
      </c>
      <c r="B141" s="4" t="s">
        <v>1689</v>
      </c>
      <c r="C141" s="4" t="s">
        <v>1690</v>
      </c>
      <c r="D141" s="4" t="s">
        <v>1691</v>
      </c>
      <c r="E141" s="4" t="s">
        <v>1692</v>
      </c>
      <c r="J141" s="5" t="str">
        <f>IFERROR(__xludf.DUMMYFUNCTION("GOOGLETRANSLATE(A141, ""en"", ""ur"")"),"140")</f>
        <v>140</v>
      </c>
      <c r="K141" s="5" t="str">
        <f>IFERROR(__xludf.DUMMYFUNCTION("GOOGLETRANSLATE(B141, ""en"", ""ur"")"),"گاؤں کے روایتی کھیل میں سالیوں (جج یا ثالث) کا کیا کردار ہوتا ہے؟")</f>
        <v>گاؤں کے روایتی کھیل میں سالیوں (جج یا ثالث) کا کیا کردار ہوتا ہے؟</v>
      </c>
      <c r="L141" s="5" t="str">
        <f>IFERROR(__xludf.DUMMYFUNCTION("GOOGLETRANSLATE(C141, ""en"", ""ur"")"),"A)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f>
        <v>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v>
      </c>
      <c r="M141" s="5" t="str">
        <f>IFERROR(__xludf.DUMMYFUNCTION("GOOGLETRANSLATE(D141, ""en"", ""ur"")"),"ب) تنازعات کو حل کرنے میں حتمی، معزز اتھارٹی کے طور پر کام کرنا جو ریفریز نہیں کرسکتے ہیں۔")</f>
        <v>ب) تنازعات کو حل کرنے میں حتمی، معزز اتھارٹی کے طور پر کام کرنا جو ریفریز نہیں کرسکتے ہیں۔</v>
      </c>
      <c r="N141" s="5" t="str">
        <f>IFERROR(__xludf.DUMMYFUNCTION("GOOGLETRANSLATE(E141, ""en"", ""ur"")"),"رسمی قواعد کے بغیر کھیلوں میں، سالیس ایک قابل احترام بزرگ ہیں جن کا لفظ قانون ہے اور جو تمام دلائل کو حل کرتا ہے۔")</f>
        <v>رسمی قواعد کے بغیر کھیلوں میں، سالیس ایک قابل احترام بزرگ ہیں جن کا لفظ قانون ہے اور جو تمام دلائل کو حل کرتا ہے۔</v>
      </c>
    </row>
    <row r="142">
      <c r="A142" s="3">
        <v>141.0</v>
      </c>
      <c r="B142" s="4" t="s">
        <v>1424</v>
      </c>
      <c r="C142" s="4" t="s">
        <v>1425</v>
      </c>
      <c r="D142" s="4" t="s">
        <v>1426</v>
      </c>
      <c r="E142" s="4" t="s">
        <v>1427</v>
      </c>
      <c r="J142" s="5" t="str">
        <f>IFERROR(__xludf.DUMMYFUNCTION("GOOGLETRANSLATE(A142, ""en"", ""ur"")"),"141")</f>
        <v>141</v>
      </c>
      <c r="K142" s="5" t="str">
        <f>IFERROR(__xludf.DUMMYFUNCTION("GOOGLETRANSLATE(B142, ""en"", ""ur"")"),"چپنداز کے لیے بہت مضبوط کور (پیٹ اور کمر کے پٹھے) ہونا کیوں ضروری ہے؟")</f>
        <v>چپنداز کے لیے بہت مضبوط کور (پیٹ اور کمر کے پٹھے) ہونا کیوں ضروری ہے؟</v>
      </c>
      <c r="L142" s="5" t="str">
        <f>IFERROR(__xludf.DUMMYFUNCTION("GOOGLETRANSLATE(C142, ""en"", ""ur"")"),"A) یہ اہم نہیں ہے، B) لاش کو اٹھانے اور لے جانے کے دوران بے تحاشا گھماؤ اور کھینچنے والی قوتوں کو برداشت کرنا، C) زور سے چیخنے کے قابل ہونا، D) کوڑے کے حملوں سے بچانا")</f>
        <v>A) یہ اہم نہیں ہے، B) لاش کو اٹھانے اور لے جانے کے دوران بے تحاشا گھماؤ اور کھینچنے والی قوتوں کو برداشت کرنا، C) زور سے چیخنے کے قابل ہونا، D) کوڑے کے حملوں سے بچانا</v>
      </c>
      <c r="M142" s="5" t="str">
        <f>IFERROR(__xludf.DUMMYFUNCTION("GOOGLETRANSLATE(D142, ""en"", ""ur"")"),"ب) لاش کو اٹھانے اور لے جانے کے دوران زبردست گھماؤ اور کھینچنے والی قوتوں کو برداشت کرنا")</f>
        <v>ب) لاش کو اٹھانے اور لے جانے کے دوران زبردست گھماؤ اور کھینچنے والی قوتوں کو برداشت کرنا</v>
      </c>
      <c r="N142" s="5" t="str">
        <f>IFERROR(__xludf.DUMMYFUNCTION("GOOGLETRANSLATE(E142, ""en"", ""ur"")"),"گھوڑے کی پیٹھ پر بھاری، بدلتے ہوئے وزن کے ساتھ کشتی کرتے وقت سوار کے لیے اپنا توازن اور کرنسی برقرار رکھنے کے لیے ایک مضبوط کور ضروری ہے۔")</f>
        <v>گھوڑے کی پیٹھ پر بھاری، بدلتے ہوئے وزن کے ساتھ کشتی کرتے وقت سوار کے لیے اپنا توازن اور کرنسی برقرار رکھنے کے لیے ایک مضبوط کور ضروری ہے۔</v>
      </c>
    </row>
    <row r="143">
      <c r="A143" s="3">
        <v>142.0</v>
      </c>
      <c r="B143" s="4" t="s">
        <v>1693</v>
      </c>
      <c r="C143" s="4" t="s">
        <v>1694</v>
      </c>
      <c r="D143" s="4" t="s">
        <v>1695</v>
      </c>
      <c r="E143" s="4" t="s">
        <v>1696</v>
      </c>
      <c r="J143" s="5" t="str">
        <f>IFERROR(__xludf.DUMMYFUNCTION("GOOGLETRANSLATE(A143, ""en"", ""ur"")"),"142")</f>
        <v>142</v>
      </c>
      <c r="K143" s="5" t="str">
        <f>IFERROR(__xludf.DUMMYFUNCTION("GOOGLETRANSLATE(B143, ""en"", ""ur"")"),"ایک ٹیم کو جرمانہ کیا جاتا ہے کیونکہ اس کی جرسی پر اس کے اسپانسر کا لوگو بہت بڑا ہے۔ کیا یہ ایک درست اصول ہے؟")</f>
        <v>ایک ٹیم کو جرمانہ کیا جاتا ہے کیونکہ اس کی جرسی پر اس کے اسپانسر کا لوگو بہت بڑا ہے۔ کیا یہ ایک درست اصول ہے؟</v>
      </c>
      <c r="L143" s="5" t="str">
        <f>IFERROR(__xludf.DUMMYFUNCTION("GOOGLETRANSLATE(C143, ""en"", ""ur"")"),"A)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f>
        <v>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v>
      </c>
      <c r="M143" s="5" t="str">
        <f>IFERROR(__xludf.DUMMYFUNCTION("GOOGLETRANSLATE(D143, ""en"", ""ur"")"),"ب) جی ہاں، ٹورنامنٹ لوگو کے سائز اور جگہ کو منظم کر سکتے ہیں تاکہ یکساں شکل برقرار رکھی جا سکے۔")</f>
        <v>ب) جی ہاں، ٹورنامنٹ لوگو کے سائز اور جگہ کو منظم کر سکتے ہیں تاکہ یکساں شکل برقرار رکھی جا سکے۔</v>
      </c>
      <c r="N143" s="5" t="str">
        <f>IFERROR(__xludf.DUMMYFUNCTION("GOOGLETRANSLATE(E143, ""en"", ""ur"")"),"کھیل کے پیشہ ورانہ ورژن میں، اکثر یونیفارم اور اشتہارات کے حوالے سے قوانین ہوتے ہیں۔")</f>
        <v>کھیل کے پیشہ ورانہ ورژن میں، اکثر یونیفارم اور اشتہارات کے حوالے سے قوانین ہوتے ہیں۔</v>
      </c>
    </row>
    <row r="144">
      <c r="A144" s="3">
        <v>143.0</v>
      </c>
      <c r="B144" s="4" t="s">
        <v>1697</v>
      </c>
      <c r="C144" s="4" t="s">
        <v>1698</v>
      </c>
      <c r="D144" s="4" t="s">
        <v>1699</v>
      </c>
      <c r="E144" s="4" t="s">
        <v>1700</v>
      </c>
      <c r="J144" s="5" t="str">
        <f>IFERROR(__xludf.DUMMYFUNCTION("GOOGLETRANSLATE(A144, ""en"", ""ur"")"),"143")</f>
        <v>143</v>
      </c>
      <c r="K144" s="5" t="str">
        <f>IFERROR(__xludf.DUMMYFUNCTION("GOOGLETRANSLATE(B144, ""en"", ""ur"")"),"بزکشی میچ ٹیلی ویژن کے لیے ناقص تماشائی کھیل ہونے کی بنیادی وجہ کیا ہے؟")</f>
        <v>بزکشی میچ ٹیلی ویژن کے لیے ناقص تماشائی کھیل ہونے کی بنیادی وجہ کیا ہے؟</v>
      </c>
      <c r="L144" s="5" t="str">
        <f>IFERROR(__xludf.DUMMYFUNCTION("GOOGLETRANSLATE(C144, ""en"", ""ur"")"),"A) یہ بہت پرتشدد ہے، B) کھیل کا میدان اکثر اتنا بڑا اور افراتفری کا شکار ہوتا ہے جس کو کیمروں کے ذریعے آسانی سے قید کیا جا سکتا ہے، C) قواعد بہت آسان ہیں، D) میچز بہت مختصر ہیں")</f>
        <v>A) یہ بہت پرتشدد ہے، B) کھیل کا میدان اکثر اتنا بڑا اور افراتفری کا شکار ہوتا ہے جس کو کیمروں کے ذریعے آسانی سے قید کیا جا سکتا ہے، C) قواعد بہت آسان ہیں، D) میچز بہت مختصر ہیں</v>
      </c>
      <c r="M144" s="5" t="str">
        <f>IFERROR(__xludf.DUMMYFUNCTION("GOOGLETRANSLATE(D144, ""en"", ""ur"")"),"ب) کھیل کا میدان اکثر اتنا بڑا اور افراتفری کا شکار ہوتا ہے جسے کیمروں کے ذریعے آسانی سے قید کیا جا سکتا ہے۔")</f>
        <v>ب) کھیل کا میدان اکثر اتنا بڑا اور افراتفری کا شکار ہوتا ہے جسے کیمروں کے ذریعے آسانی سے قید کیا جا سکتا ہے۔</v>
      </c>
      <c r="N144" s="5" t="str">
        <f>IFERROR(__xludf.DUMMYFUNCTION("GOOGLETRANSLATE(E144, ""en"", ""ur"")"),"بڑے پیمانے پر پلیئر گیم کی وسیع و عریض، سیال اور اکثر غیر منظم نوعیت کی وجہ سے اس کی پیروی کرنا اور مؤثر طریقے سے نشر کرنا بہت مشکل ہو جاتا ہے۔")</f>
        <v>بڑے پیمانے پر پلیئر گیم کی وسیع و عریض، سیال اور اکثر غیر منظم نوعیت کی وجہ سے اس کی پیروی کرنا اور مؤثر طریقے سے نشر کرنا بہت مشکل ہو جاتا ہے۔</v>
      </c>
    </row>
    <row r="145">
      <c r="A145" s="3">
        <v>144.0</v>
      </c>
      <c r="B145" s="4" t="s">
        <v>1701</v>
      </c>
      <c r="C145" s="4" t="s">
        <v>1702</v>
      </c>
      <c r="D145" s="4" t="s">
        <v>1703</v>
      </c>
      <c r="E145" s="4" t="s">
        <v>1704</v>
      </c>
      <c r="J145" s="5" t="str">
        <f>IFERROR(__xludf.DUMMYFUNCTION("GOOGLETRANSLATE(A145, ""en"", ""ur"")"),"144")</f>
        <v>144</v>
      </c>
      <c r="K145" s="5" t="str">
        <f>IFERROR(__xludf.DUMMYFUNCTION("GOOGLETRANSLATE(B145, ""en"", ""ur"")"),"ایک گھوڑے کو مخالف کے گھوڑے کو ""پن"" کرنے کی تربیت دی جاتی ہے۔ اس کا کیا مطلب ہے؟")</f>
        <v>ایک گھوڑے کو مخالف کے گھوڑے کو "پن" کرنے کی تربیت دی جاتی ہے۔ اس کا کیا مطلب ہے؟</v>
      </c>
      <c r="L145" s="5" t="str">
        <f>IFERROR(__xludf.DUMMYFUNCTION("GOOGLETRANSLATE(C145, ""en"", ""ur"")"),"A)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f>
        <v>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v>
      </c>
      <c r="M145" s="5" t="str">
        <f>IFERROR(__xludf.DUMMYFUNCTION("GOOGLETRANSLATE(D145, ""en"", ""ur"")"),"A) گھوڑا اپنے جسم کو مخالف کے گھوڑے کو باؤنڈری یا دوسرے گھوڑے کے خلاف پھنسانے کے لیے استعمال کرتا ہے۔")</f>
        <v>A) گھوڑا اپنے جسم کو مخالف کے گھوڑے کو باؤنڈری یا دوسرے گھوڑے کے خلاف پھنسانے کے لیے استعمال کرتا ہے۔</v>
      </c>
      <c r="N145" s="5" t="str">
        <f>IFERROR(__xludf.DUMMYFUNCTION("GOOGLETRANSLATE(E145, ""en"", ""ur"")"),"یہ ایک اعلیٰ سطحی مہارت ہے جہاں گھوڑا خود حریف کی نقل و حرکت کو کنٹرول کرنے کا ایک اسٹریٹجک ٹول بن جاتا ہے۔")</f>
        <v>یہ ایک اعلیٰ سطحی مہارت ہے جہاں گھوڑا خود حریف کی نقل و حرکت کو کنٹرول کرنے کا ایک اسٹریٹجک ٹول بن جاتا ہے۔</v>
      </c>
    </row>
    <row r="146">
      <c r="A146" s="3">
        <v>145.0</v>
      </c>
      <c r="B146" s="4" t="s">
        <v>1705</v>
      </c>
      <c r="C146" s="4" t="s">
        <v>1429</v>
      </c>
      <c r="D146" s="4" t="s">
        <v>1430</v>
      </c>
      <c r="E146" s="4" t="s">
        <v>1431</v>
      </c>
      <c r="J146" s="5" t="str">
        <f>IFERROR(__xludf.DUMMYFUNCTION("GOOGLETRANSLATE(A146, ""en"", ""ur"")"),"145")</f>
        <v>145</v>
      </c>
      <c r="K146" s="5" t="str">
        <f>IFERROR(__xludf.DUMMYFUNCTION("GOOGLETRANSLATE(B146, ""en"", ""ur"")"),"اگر میت کو لے جانے والا سوار گھوڑے کے بغیر ہو لیکن گرنے کے دوران لاش کو گول کرنے والے دائرے میں گرانے میں کامیاب ہو جائے تو اس کا کیا حکم ہے؟")</f>
        <v>اگر میت کو لے جانے والا سوار گھوڑے کے بغیر ہو لیکن گرنے کے دوران لاش کو گول کرنے والے دائرے میں گرانے میں کامیاب ہو جائے تو اس کا کیا حکم ہے؟</v>
      </c>
      <c r="L146" s="5" t="str">
        <f>IFERROR(__xludf.DUMMYFUNCTION("GOOGLETRANSLATE(C146, ""en"", ""ur"")"),"A) یہ ایک شاندار اور درست اسکور ہے، B) اسکور درست نہیں ہے کیونکہ سوار کے قابو میں نہیں تھا، C) جزوی اسکور دیا جاتا ہے، D) پوائنٹ دوبارہ چلایا جاتا ہے۔")</f>
        <v>A) یہ ایک شاندار اور درست اسکور ہے، B) اسکور درست نہیں ہے کیونکہ سوار کے قابو میں نہیں تھا، C) جزوی اسکور دیا جاتا ہے، D) پوائنٹ دوبارہ چلایا جاتا ہے۔</v>
      </c>
      <c r="M146" s="5" t="str">
        <f>IFERROR(__xludf.DUMMYFUNCTION("GOOGLETRANSLATE(D146, ""en"", ""ur"")"),"ب) اسکور درست نہیں ہے کیونکہ سوار کے کنٹرول میں نہیں تھا۔")</f>
        <v>ب) اسکور درست نہیں ہے کیونکہ سوار کے کنٹرول میں نہیں تھا۔</v>
      </c>
      <c r="N146" s="5" t="str">
        <f>IFERROR(__xludf.DUMMYFUNCTION("GOOGLETRANSLATE(E146, ""en"", ""ur"")"),"ایک سوار کو مکمل طور پر سوار ہونا چاہیے اور اس کے قانونی ہونے کے لیے اسکور کے وقت اپنے گھوڑے کو قابو میں رکھنا چاہیے۔")</f>
        <v>ایک سوار کو مکمل طور پر سوار ہونا چاہیے اور اس کے قانونی ہونے کے لیے اسکور کے وقت اپنے گھوڑے کو قابو میں رکھنا چاہیے۔</v>
      </c>
    </row>
    <row r="147">
      <c r="A147" s="3">
        <v>146.0</v>
      </c>
      <c r="B147" s="4" t="s">
        <v>1706</v>
      </c>
      <c r="C147" s="4" t="s">
        <v>1707</v>
      </c>
      <c r="D147" s="4" t="s">
        <v>1708</v>
      </c>
      <c r="E147" s="4" t="s">
        <v>1709</v>
      </c>
      <c r="J147" s="5" t="str">
        <f>IFERROR(__xludf.DUMMYFUNCTION("GOOGLETRANSLATE(A147, ""en"", ""ur"")"),"146")</f>
        <v>146</v>
      </c>
      <c r="K147" s="5" t="str">
        <f>IFERROR(__xludf.DUMMYFUNCTION("GOOGLETRANSLATE(B147, ""en"", ""ur"")"),"بزکشی گھوڑے کے لیے مضبوط، صحت مند کھروں کا ہونا کیوں ضروری ہے؟")</f>
        <v>بزکشی گھوڑے کے لیے مضبوط، صحت مند کھروں کا ہونا کیوں ضروری ہے؟</v>
      </c>
      <c r="L147" s="5" t="str">
        <f>IFERROR(__xludf.DUMMYFUNCTION("GOOGLETRANSLATE(C147, ""en"", ""ur"")"),"A)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f>
        <v>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v>
      </c>
      <c r="M147" s="5" t="str">
        <f>IFERROR(__xludf.DUMMYFUNCTION("GOOGLETRANSLATE(D147, ""en"", ""ur"")"),"ب) گیم میں انتہائی تناؤ، تیز موڑ اور اثرات شامل ہیں جو آسانی سے خراب معیار کے کھروں کو نقصان پہنچا سکتے ہیں۔")</f>
        <v>ب) گیم میں انتہائی تناؤ، تیز موڑ اور اثرات شامل ہیں جو آسانی سے خراب معیار کے کھروں کو نقصان پہنچا سکتے ہیں۔</v>
      </c>
      <c r="N147" s="5" t="str">
        <f>IFERROR(__xludf.DUMMYFUNCTION("GOOGLETRANSLATE(E147, ""en"", ""ur"")"),"پرانی کہاوت ""پاؤں نہیں، گھوڑا نہیں"" خاص طور پر بزکشی میں سچ ہے، جہاں جانوروں کی کارکردگی اور بقا کے لیے کھروں کی صحت اہم ہے۔")</f>
        <v>پرانی کہاوت "پاؤں نہیں، گھوڑا نہیں" خاص طور پر بزکشی میں سچ ہے، جہاں جانوروں کی کارکردگی اور بقا کے لیے کھروں کی صحت اہم ہے۔</v>
      </c>
    </row>
    <row r="148">
      <c r="A148" s="3">
        <v>147.0</v>
      </c>
      <c r="B148" s="4" t="s">
        <v>1448</v>
      </c>
      <c r="C148" s="4" t="s">
        <v>1449</v>
      </c>
      <c r="D148" s="4" t="s">
        <v>1450</v>
      </c>
      <c r="E148" s="4" t="s">
        <v>1451</v>
      </c>
      <c r="J148" s="5" t="str">
        <f>IFERROR(__xludf.DUMMYFUNCTION("GOOGLETRANSLATE(A148, ""en"", ""ur"")"),"147")</f>
        <v>147</v>
      </c>
      <c r="K148" s="5" t="str">
        <f>IFERROR(__xludf.DUMMYFUNCTION("GOOGLETRANSLATE(B148, ""en"", ""ur"")"),"ایک کھلاڑی کو ""خطرناک سواری"" کے لیے نااہل قرار دیا جاتا ہے۔ ان میں سے کون سا عمل اہل ہوگا؟")</f>
        <v>ایک کھلاڑی کو "خطرناک سواری" کے لیے نااہل قرار دیا جاتا ہے۔ ان میں سے کون سا عمل اہل ہوگا؟</v>
      </c>
      <c r="L148" s="5" t="str">
        <f>IFERROR(__xludf.DUMMYFUNCTION("GOOGLETRANSLATE(C148, ""en"", ""ur"")"),"A) بہت تیز سواری کرنا، B) جان بوجھ کر گرے ہوئے سوار میں سوار ہونا، C) بہت زیادہ سکور کا جشن منانا، D) مختصر چابک کا استعمال")</f>
        <v>A) بہت تیز سواری کرنا، B) جان بوجھ کر گرے ہوئے سوار میں سوار ہونا، C) بہت زیادہ سکور کا جشن منانا، D) مختصر چابک کا استعمال</v>
      </c>
      <c r="M148" s="5" t="str">
        <f>IFERROR(__xludf.DUMMYFUNCTION("GOOGLETRANSLATE(D148, ""en"", ""ur"")"),"ب) جان بوجھ کر گرے ہوئے سوار میں سوار ہونا")</f>
        <v>ب) جان بوجھ کر گرے ہوئے سوار میں سوار ہونا</v>
      </c>
      <c r="N148" s="5" t="str">
        <f>IFERROR(__xludf.DUMMYFUNCTION("GOOGLETRANSLATE(E148, ""en"", ""ur"")"),"کوئی بھی عمل جو دوسرے کھلاڑیوں یا گھوڑوں کی حفاظت کے لیے جان بوجھ کر نظر انداز کرتا ہے اسے خطرناک سواری سمجھا جاتا ہے اور یہ ایک بڑا فاؤل ہے۔")</f>
        <v>کوئی بھی عمل جو دوسرے کھلاڑیوں یا گھوڑوں کی حفاظت کے لیے جان بوجھ کر نظر انداز کرتا ہے اسے خطرناک سواری سمجھا جاتا ہے اور یہ ایک بڑا فاؤل ہے۔</v>
      </c>
    </row>
    <row r="149">
      <c r="A149" s="3">
        <v>148.0</v>
      </c>
      <c r="B149" s="4" t="s">
        <v>1456</v>
      </c>
      <c r="C149" s="4" t="s">
        <v>1710</v>
      </c>
      <c r="D149" s="4" t="s">
        <v>1711</v>
      </c>
      <c r="E149" s="4" t="s">
        <v>1459</v>
      </c>
      <c r="J149" s="5" t="str">
        <f>IFERROR(__xludf.DUMMYFUNCTION("GOOGLETRANSLATE(A149, ""en"", ""ur"")"),"148")</f>
        <v>148</v>
      </c>
      <c r="K149" s="5" t="str">
        <f>IFERROR(__xludf.DUMMYFUNCTION("GOOGLETRANSLATE(B149, ""en"", ""ur"")"),"ایک مکمل تربیت یافتہ، اشرافیہ بزکشی گھوڑے کی زیادہ قیمت کی بنیادی وجہ کیا ہے؟")</f>
        <v>ایک مکمل تربیت یافتہ، اشرافیہ بزکشی گھوڑے کی زیادہ قیمت کی بنیادی وجہ کیا ہے؟</v>
      </c>
      <c r="L149" s="5" t="str">
        <f>IFERROR(__xludf.DUMMYFUNCTION("GOOGLETRANSLATE(C149, ""en"", ""ur"")"),"A) اس کی کاٹھی کی قیمت، B) 5+ سال کی شدید، خصوصی تربیت اسے حاصل ہوئی ہے، C) یہ ایک نایاب نسل ہے، D) اس کے کھانے کی قیمت")</f>
        <v>A) اس کی کاٹھی کی قیمت، B) 5+ سال کی شدید، خصوصی تربیت اسے حاصل ہوئی ہے، C) یہ ایک نایاب نسل ہے، D) اس کے کھانے کی قیمت</v>
      </c>
      <c r="M149" s="5" t="str">
        <f>IFERROR(__xludf.DUMMYFUNCTION("GOOGLETRANSLATE(D149, ""en"", ""ur"")"),"B) 5+ سال کی شدید، خصوصی تربیت اسے حاصل ہوئی ہے۔")</f>
        <v>B) 5+ سال کی شدید، خصوصی تربیت اسے حاصل ہوئی ہے۔</v>
      </c>
      <c r="N149" s="5" t="str">
        <f>IFERROR(__xludf.DUMMYFUNCTION("GOOGLETRANSLATE(E149, ""en"", ""ur"")"),"ایک اعلیٰ بزکشی گھوڑے کی اہمیت اس کی تربیت اور تجربے میں ہوتی ہے، جسے تیار کرنے میں کئی سال اور بڑی مہارت درکار ہوتی ہے۔")</f>
        <v>ایک اعلیٰ بزکشی گھوڑے کی اہمیت اس کی تربیت اور تجربے میں ہوتی ہے، جسے تیار کرنے میں کئی سال اور بڑی مہارت درکار ہوتی ہے۔</v>
      </c>
    </row>
    <row r="150">
      <c r="A150" s="3">
        <v>149.0</v>
      </c>
      <c r="B150" s="4" t="s">
        <v>1452</v>
      </c>
      <c r="C150" s="4" t="s">
        <v>1712</v>
      </c>
      <c r="D150" s="4" t="s">
        <v>1454</v>
      </c>
      <c r="E150" s="4" t="s">
        <v>1455</v>
      </c>
      <c r="J150" s="5" t="str">
        <f>IFERROR(__xludf.DUMMYFUNCTION("GOOGLETRANSLATE(A150, ""en"", ""ur"")"),"149")</f>
        <v>149</v>
      </c>
      <c r="K150" s="5" t="str">
        <f>IFERROR(__xludf.DUMMYFUNCTION("GOOGLETRANSLATE(B150, ""en"", ""ur"")"),"اگر ٹیم A کا کوئی سوار لاش کو لے جا رہا ہے، تو ٹیم B کے سوار کے لیے قانونی دفاعی اقدام کیا ہے؟")</f>
        <v>اگر ٹیم A کا کوئی سوار لاش کو لے جا رہا ہے، تو ٹیم B کے سوار کے لیے قانونی دفاعی اقدام کیا ہے؟</v>
      </c>
      <c r="L150" s="5" t="str">
        <f>IFERROR(__xludf.DUMMYFUNCTION("GOOGLETRANSLATE(C150, ""en"", ""ur"")"),"A) ٹیم A کے سوار کی لگام پکڑنا، B) ساتھ سواری کرنا اور اپنے گھوڑے کو ٹیم A کے گھوڑے کو ایک طرف دھکیلنے کے لئے استعمال کرنا، C) ٹیم A سوار کو چابک مارنا، D) لاش پر رسی پھینکنا")</f>
        <v>A) ٹیم A کے سوار کی لگام پکڑنا، B) ساتھ سواری کرنا اور اپنے گھوڑے کو ٹیم A کے گھوڑے کو ایک طرف دھکیلنے کے لئے استعمال کرنا، C) ٹیم A سوار کو چابک مارنا، D) لاش پر رسی پھینکنا</v>
      </c>
      <c r="M150" s="5" t="str">
        <f>IFERROR(__xludf.DUMMYFUNCTION("GOOGLETRANSLATE(D150, ""en"", ""ur"")"),"ب) ساتھ سواری کرنا اور اپنے گھوڑے کو ٹیم اے کے گھوڑے کو ایک طرف دھکیلنے کے لیے استعمال کرنا")</f>
        <v>ب) ساتھ سواری کرنا اور اپنے گھوڑے کو ٹیم اے کے گھوڑے کو ایک طرف دھکیلنے کے لیے استعمال کرنا</v>
      </c>
      <c r="N150" s="5" t="str">
        <f>IFERROR(__xludf.DUMMYFUNCTION("GOOGLETRANSLATE(E150, ""en"", ""ur"")"),"اپنے گھوڑے کو قانونی طور پر مداخلت کرنے اور مخالف کے گھوڑے کو دھکیلنے کے لیے استعمال کرنا ایک بنیادی دفاعی اور جارحانہ حربہ ہے۔")</f>
        <v>اپنے گھوڑے کو قانونی طور پر مداخلت کرنے اور مخالف کے گھوڑے کو دھکیلنے کے لیے استعمال کرنا ایک بنیادی دفاعی اور جارحانہ حربہ ہے۔</v>
      </c>
    </row>
    <row r="151">
      <c r="A151" s="3">
        <v>150.0</v>
      </c>
      <c r="B151" s="4" t="s">
        <v>1713</v>
      </c>
      <c r="C151" s="4" t="s">
        <v>1714</v>
      </c>
      <c r="D151" s="4" t="s">
        <v>172</v>
      </c>
      <c r="E151" s="4" t="s">
        <v>1715</v>
      </c>
      <c r="J151" s="5" t="str">
        <f>IFERROR(__xludf.DUMMYFUNCTION("GOOGLETRANSLATE(A151, ""en"", ""ur"")"),"150")</f>
        <v>150</v>
      </c>
      <c r="K151" s="5" t="str">
        <f>IFERROR(__xludf.DUMMYFUNCTION("GOOGLETRANSLATE(B151, ""en"", ""ur"")"),"ایک سوار کامیابی کے ساتھ اسکور کرتا ہے، لیکن پایا جاتا ہے کہ اس نے اپنی کلائی سے چابک باندھ رکھا ہے۔ یہ ایک فاؤل کیوں ہے جو اسکور کو کالعدم کر دے گا؟")</f>
        <v>ایک سوار کامیابی کے ساتھ اسکور کرتا ہے، لیکن پایا جاتا ہے کہ اس نے اپنی کلائی سے چابک باندھ رکھا ہے۔ یہ ایک فاؤل کیوں ہے جو اسکور کو کالعدم کر دے گا؟</v>
      </c>
      <c r="L151" s="5" t="str">
        <f>IFERROR(__xludf.DUMMYFUNCTION("GOOGLETRANSLATE(C151, ""en"", ""ur"")"),"A) یہ فاؤل نہیں ہے، B) یہ کوڑے کو گرنے سے روکتا ہے، غیر منصفانہ فائدہ دیتا ہے، C) یہ خطرناک ہے کیونکہ سوار گرنے سے الجھ سکتا ہے، D) B اور C دونوں")</f>
        <v>A) یہ فاؤل نہیں ہے، B) یہ کوڑے کو گرنے سے روکتا ہے، غیر منصفانہ فائدہ دیتا ہے، C) یہ خطرناک ہے کیونکہ سوار گرنے سے الجھ سکتا ہے، D) B اور C دونوں</v>
      </c>
      <c r="M151" s="5" t="str">
        <f>IFERROR(__xludf.DUMMYFUNCTION("GOOGLETRANSLATE(D151, ""en"", ""ur"")"),"D) B اور C دونوں")</f>
        <v>D) B اور C دونوں</v>
      </c>
      <c r="N151" s="5" t="str">
        <f>IFERROR(__xludf.DUMMYFUNCTION("GOOGLETRANSLATE(E151, ""en"", ""ur"")"),"کوڑے کو باندھنا ایک غیر قانونی ترمیم ہے جو ایک غیر منصفانہ فائدہ ہے (غیر مسلح نہیں کیا جا سکتا) اور ایک سنگین حفاظتی خطرہ۔")</f>
        <v>کوڑے کو باندھنا ایک غیر قانونی ترمیم ہے جو ایک غیر منصفانہ فائدہ ہے (غیر مسلح نہیں کیا جا سکتا) اور ایک سنگین حفاظتی خطرہ۔</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6" t="s">
        <v>605</v>
      </c>
      <c r="B1" s="1" t="s">
        <v>1</v>
      </c>
      <c r="C1" s="1" t="s">
        <v>2</v>
      </c>
      <c r="D1" s="1" t="s">
        <v>3</v>
      </c>
      <c r="E1" s="1" t="s">
        <v>4</v>
      </c>
      <c r="J1" s="2" t="s">
        <v>606</v>
      </c>
      <c r="K1" s="2" t="s">
        <v>6</v>
      </c>
      <c r="L1" s="2" t="s">
        <v>7</v>
      </c>
      <c r="M1" s="2" t="s">
        <v>8</v>
      </c>
      <c r="N1" s="2" t="s">
        <v>9</v>
      </c>
    </row>
    <row r="2">
      <c r="A2" s="3">
        <v>1.0</v>
      </c>
      <c r="B2" s="4" t="s">
        <v>1716</v>
      </c>
      <c r="C2" s="4" t="s">
        <v>1717</v>
      </c>
      <c r="D2" s="4" t="s">
        <v>1718</v>
      </c>
      <c r="E2" s="4" t="s">
        <v>1719</v>
      </c>
      <c r="J2" s="5" t="str">
        <f>IFERROR(__xludf.DUMMYFUNCTION("GOOGLETRANSLATE(A2, ""en"", ""ur"")"),"1")</f>
        <v>1</v>
      </c>
      <c r="K2" s="5" t="str">
        <f>IFERROR(__xludf.DUMMYFUNCTION("GOOGLETRANSLATE(B2, ""en"", ""ur"")"),"گٹکا ایک مارشل آرٹ ہے جو روایتی طور پر کس مذہبی برادری سے وابستہ ہے؟")</f>
        <v>گٹکا ایک مارشل آرٹ ہے جو روایتی طور پر کس مذہبی برادری سے وابستہ ہے؟</v>
      </c>
      <c r="L2" s="5" t="str">
        <f>IFERROR(__xludf.DUMMYFUNCTION("GOOGLETRANSLATE(C2, ""en"", ""ur"")"),"A) ہندو، B) سکھ، C) مسلمان، D) بدھسٹ")</f>
        <v>A) ہندو، B) سکھ، C) مسلمان، D) بدھسٹ</v>
      </c>
      <c r="M2" s="5" t="str">
        <f>IFERROR(__xludf.DUMMYFUNCTION("GOOGLETRANSLATE(D2, ""en"", ""ur"")"),"ب) سکھ")</f>
        <v>ب) سکھ</v>
      </c>
      <c r="N2" s="5" t="str">
        <f>IFERROR(__xludf.DUMMYFUNCTION("GOOGLETRANSLATE(E2, ""en"", ""ur"")"),"گٹکا سکھوں کا روایتی مارشل آرٹ ہے، جو اپنے دفاع اور روحانی نظم و ضبط کے لیے تیار اور مشق کیا جاتا ہے۔")</f>
        <v>گٹکا سکھوں کا روایتی مارشل آرٹ ہے، جو اپنے دفاع اور روحانی نظم و ضبط کے لیے تیار اور مشق کیا جاتا ہے۔</v>
      </c>
    </row>
    <row r="3">
      <c r="A3" s="3">
        <v>2.0</v>
      </c>
      <c r="B3" s="4" t="s">
        <v>1720</v>
      </c>
      <c r="C3" s="4" t="s">
        <v>1721</v>
      </c>
      <c r="D3" s="4" t="s">
        <v>1722</v>
      </c>
      <c r="E3" s="4" t="s">
        <v>1723</v>
      </c>
      <c r="J3" s="5" t="str">
        <f>IFERROR(__xludf.DUMMYFUNCTION("GOOGLETRANSLATE(A3, ""en"", ""ur"")"),"2")</f>
        <v>2</v>
      </c>
      <c r="K3" s="5" t="str">
        <f>IFERROR(__xludf.DUMMYFUNCTION("GOOGLETRANSLATE(B3, ""en"", ""ur"")"),"گٹکا کی باضابطہ ترقی سے سب سے زیادہ وابستہ تاریخی دور کون سا ہے؟")</f>
        <v>گٹکا کی باضابطہ ترقی سے سب سے زیادہ وابستہ تاریخی دور کون سا ہے؟</v>
      </c>
      <c r="L3" s="5" t="str">
        <f>IFERROR(__xludf.DUMMYFUNCTION("GOOGLETRANSLATE(C3, ""en"", ""ur"")"),"A) موری سلطنت، B) گپتا سلطنت، C) مغل سلطنت (16 ویں-18 ویں صدی)، D) برطانوی راج")</f>
        <v>A) موری سلطنت، B) گپتا سلطنت، C) مغل سلطنت (16 ویں-18 ویں صدی)، D) برطانوی راج</v>
      </c>
      <c r="M3" s="5" t="str">
        <f>IFERROR(__xludf.DUMMYFUNCTION("GOOGLETRANSLATE(D3, ""en"", ""ur"")"),"ج) مغلیہ سلطنت (16ویں-18ویں صدی)")</f>
        <v>ج) مغلیہ سلطنت (16ویں-18ویں صدی)</v>
      </c>
      <c r="N3" s="5" t="str">
        <f>IFERROR(__xludf.DUMMYFUNCTION("GOOGLETRANSLATE(E3, ""en"", ""ur"")"),"گٹکا کو منظم کیا گیا تھا اور بعد کے سکھ گرووں کے دور میں مغل ظلم و ستم کے خلاف دفاع کے ایک ذریعہ کے طور پر اسے اہمیت حاصل ہوئی تھی۔")</f>
        <v>گٹکا کو منظم کیا گیا تھا اور بعد کے سکھ گرووں کے دور میں مغل ظلم و ستم کے خلاف دفاع کے ایک ذریعہ کے طور پر اسے اہمیت حاصل ہوئی تھی۔</v>
      </c>
    </row>
    <row r="4">
      <c r="A4" s="3">
        <v>3.0</v>
      </c>
      <c r="B4" s="4" t="s">
        <v>1724</v>
      </c>
      <c r="C4" s="4" t="s">
        <v>1725</v>
      </c>
      <c r="D4" s="4" t="s">
        <v>1726</v>
      </c>
      <c r="E4" s="4" t="s">
        <v>1727</v>
      </c>
      <c r="J4" s="5" t="str">
        <f>IFERROR(__xludf.DUMMYFUNCTION("GOOGLETRANSLATE(A4, ""en"", ""ur"")"),"3")</f>
        <v>3</v>
      </c>
      <c r="K4" s="5" t="str">
        <f>IFERROR(__xludf.DUMMYFUNCTION("GOOGLETRANSLATE(B4, ""en"", ""ur"")"),"خالصہ واریر آرڈر قائم کرنے اور گٹکا کو مقبول بنانے کا سب سے زیادہ سہرا کس سکھ گرو کو جاتا ہے؟")</f>
        <v>خالصہ واریر آرڈر قائم کرنے اور گٹکا کو مقبول بنانے کا سب سے زیادہ سہرا کس سکھ گرو کو جاتا ہے؟</v>
      </c>
      <c r="L4" s="5" t="str">
        <f>IFERROR(__xludf.DUMMYFUNCTION("GOOGLETRANSLATE(C4, ""en"", ""ur"")"),"A) گرو نانک، B) گرو ہرگوبند، C) گرو گوبند سنگھ، D) گرو ارجن دیو")</f>
        <v>A) گرو نانک، B) گرو ہرگوبند، C) گرو گوبند سنگھ، D) گرو ارجن دیو</v>
      </c>
      <c r="M4" s="5" t="str">
        <f>IFERROR(__xludf.DUMMYFUNCTION("GOOGLETRANSLATE(D4, ""en"", ""ur"")"),"ج) گرو گوبند سنگھ")</f>
        <v>ج) گرو گوبند سنگھ</v>
      </c>
      <c r="N4" s="5" t="str">
        <f>IFERROR(__xludf.DUMMYFUNCTION("GOOGLETRANSLATE(E4, ""en"", ""ur"")"),"دسویں گرو، گرو گوبند سنگھ نے سکھ مارشل روایت کو باقاعدہ بنایا اور خالصہ کی بنیاد رکھی، جس نے مارشل ٹریننگ کو سکھ شناخت کا ایک اہم حصہ بنایا۔")</f>
        <v>دسویں گرو، گرو گوبند سنگھ نے سکھ مارشل روایت کو باقاعدہ بنایا اور خالصہ کی بنیاد رکھی، جس نے مارشل ٹریننگ کو سکھ شناخت کا ایک اہم حصہ بنایا۔</v>
      </c>
    </row>
    <row r="5">
      <c r="A5" s="3">
        <v>4.0</v>
      </c>
      <c r="B5" s="4" t="s">
        <v>1728</v>
      </c>
      <c r="C5" s="4" t="s">
        <v>1729</v>
      </c>
      <c r="D5" s="4" t="s">
        <v>1730</v>
      </c>
      <c r="E5" s="4" t="s">
        <v>1731</v>
      </c>
      <c r="J5" s="5" t="str">
        <f>IFERROR(__xludf.DUMMYFUNCTION("GOOGLETRANSLATE(A5, ""en"", ""ur"")"),"4")</f>
        <v>4</v>
      </c>
      <c r="K5" s="5" t="str">
        <f>IFERROR(__xludf.DUMMYFUNCTION("GOOGLETRANSLATE(B5, ""en"", ""ur"")"),"جدید گٹکا میں نیزہ بازی اور ابتدائی تربیت کے لیے استعمال ہونے والا بنیادی ہتھیار کون سا ہے؟")</f>
        <v>جدید گٹکا میں نیزہ بازی اور ابتدائی تربیت کے لیے استعمال ہونے والا بنیادی ہتھیار کون سا ہے؟</v>
      </c>
      <c r="L5" s="5" t="str">
        <f>IFERROR(__xludf.DUMMYFUNCTION("GOOGLETRANSLATE(C5, ""en"", ""ur"")"),"A) ایک اصلی تلوار (تلوار)، B) لکڑی کی چھڑی (سوتی) C) نیزہ (برچھا) D) خنجر (کرپان)")</f>
        <v>A) ایک اصلی تلوار (تلوار)، B) لکڑی کی چھڑی (سوتی) C) نیزہ (برچھا) D) خنجر (کرپان)</v>
      </c>
      <c r="M5" s="5" t="str">
        <f>IFERROR(__xludf.DUMMYFUNCTION("GOOGLETRANSLATE(D5, ""en"", ""ur"")"),"ب) لکڑی کی چھڑی (سوتی)")</f>
        <v>ب) لکڑی کی چھڑی (سوتی)</v>
      </c>
      <c r="N5" s="5" t="str">
        <f>IFERROR(__xludf.DUMMYFUNCTION("GOOGLETRANSLATE(E5, ""en"", ""ur"")"),"سوتی، ایک لکڑی کی چھڑی جسے اکثر چمڑے میں ڈھانپ دیا جاتا ہے، تربیت اور مقابلوں میں تلوار کو محفوظ طریقے سے نقل کرنے کے لیے استعمال کیا جاتا ہے۔")</f>
        <v>سوتی، ایک لکڑی کی چھڑی جسے اکثر چمڑے میں ڈھانپ دیا جاتا ہے، تربیت اور مقابلوں میں تلوار کو محفوظ طریقے سے نقل کرنے کے لیے استعمال کیا جاتا ہے۔</v>
      </c>
    </row>
    <row r="6">
      <c r="A6" s="3">
        <v>5.0</v>
      </c>
      <c r="B6" s="4" t="s">
        <v>1732</v>
      </c>
      <c r="C6" s="4" t="s">
        <v>1733</v>
      </c>
      <c r="D6" s="4" t="s">
        <v>1734</v>
      </c>
      <c r="E6" s="4" t="s">
        <v>1735</v>
      </c>
      <c r="J6" s="5" t="str">
        <f>IFERROR(__xludf.DUMMYFUNCTION("GOOGLETRANSLATE(A6, ""en"", ""ur"")"),"5")</f>
        <v>5</v>
      </c>
      <c r="K6" s="5" t="str">
        <f>IFERROR(__xludf.DUMMYFUNCTION("GOOGLETRANSLATE(B6, ""en"", ""ur"")"),"گٹکا ایک جدید کھیل کا نام ہے جس کا وسیع تر، روایتی سکھ مارشل آرٹ ہے؟")</f>
        <v>گٹکا ایک جدید کھیل کا نام ہے جس کا وسیع تر، روایتی سکھ مارشل آرٹ ہے؟</v>
      </c>
      <c r="L6" s="5" t="str">
        <f>IFERROR(__xludf.DUMMYFUNCTION("GOOGLETRANSLATE(C6, ""en"", ""ur"")"),"A) کلاریپایاتو، B) سلمبم، C) شاستر ودیا، D) پہلوانی")</f>
        <v>A) کلاریپایاتو، B) سلمبم، C) شاستر ودیا، D) پہلوانی</v>
      </c>
      <c r="M6" s="5" t="str">
        <f>IFERROR(__xludf.DUMMYFUNCTION("GOOGLETRANSLATE(D6, ""en"", ""ur"")"),"ج) شاستر ودیا")</f>
        <v>ج) شاستر ودیا</v>
      </c>
      <c r="N6" s="5" t="str">
        <f>IFERROR(__xludf.DUMMYFUNCTION("GOOGLETRANSLATE(E6, ""en"", ""ur"")"),"گٹکا زیادہ جامع ""ہتھیاروں کی سائنس"" کا مسابقتی اور نمائشی پہلو ہے جسے شاستر ودیا کے نام سے جانا جاتا ہے۔")</f>
        <v>گٹکا زیادہ جامع "ہتھیاروں کی سائنس" کا مسابقتی اور نمائشی پہلو ہے جسے شاستر ودیا کے نام سے جانا جاتا ہے۔</v>
      </c>
    </row>
    <row r="7">
      <c r="A7" s="3">
        <v>6.0</v>
      </c>
      <c r="B7" s="4" t="s">
        <v>1736</v>
      </c>
      <c r="C7" s="4" t="s">
        <v>1737</v>
      </c>
      <c r="D7" s="4" t="s">
        <v>1738</v>
      </c>
      <c r="E7" s="4" t="s">
        <v>1739</v>
      </c>
      <c r="J7" s="5" t="str">
        <f>IFERROR(__xludf.DUMMYFUNCTION("GOOGLETRANSLATE(A7, ""en"", ""ur"")"),"6")</f>
        <v>6</v>
      </c>
      <c r="K7" s="5" t="str">
        <f>IFERROR(__xludf.DUMMYFUNCTION("GOOGLETRANSLATE(B7, ""en"", ""ur"")"),"ایک رسمی گٹکا مقابلے میں، بنیادی طور پر ایک مکے بازی کے فاتح کا تعین کیسے کیا جاتا ہے؟")</f>
        <v>ایک رسمی گٹکا مقابلے میں، بنیادی طور پر ایک مکے بازی کے فاتح کا تعین کیسے کیا جاتا ہے؟</v>
      </c>
      <c r="L7" s="5" t="str">
        <f>IFERROR(__xludf.DUMMYFUNCTION("GOOGLETRANSLATE(C7, ""en"", ""ur"")"),"A) ناک آؤٹ کے ذریعے، B) کلین ہٹ کے لیے ججز کے پوائنٹس کے ذریعے، C) سامعین کے ووٹ کے ذریعے، D) مخالف کو غیر مسلح کر کے")</f>
        <v>A) ناک آؤٹ کے ذریعے، B) کلین ہٹ کے لیے ججز کے پوائنٹس کے ذریعے، C) سامعین کے ووٹ کے ذریعے، D) مخالف کو غیر مسلح کر کے</v>
      </c>
      <c r="M7" s="5" t="str">
        <f>IFERROR(__xludf.DUMMYFUNCTION("GOOGLETRANSLATE(D7, ""en"", ""ur"")"),"ب) کلین ہٹ کے لیے ججز کے نکات کے ذریعے")</f>
        <v>ب) کلین ہٹ کے لیے ججز کے نکات کے ذریعے</v>
      </c>
      <c r="N7" s="5" t="str">
        <f>IFERROR(__xludf.DUMMYFUNCTION("GOOGLETRANSLATE(E7, ""en"", ""ur"")"),"جدید کھیل گٹکا ایک پوائنٹ پر مبنی نظام ہے جہاں جج قانونی ٹارگٹ زونز کو ہنر مند اور صاف ستھرائی کے لیے پوائنٹس دیتے ہیں۔")</f>
        <v>جدید کھیل گٹکا ایک پوائنٹ پر مبنی نظام ہے جہاں جج قانونی ٹارگٹ زونز کو ہنر مند اور صاف ستھرائی کے لیے پوائنٹس دیتے ہیں۔</v>
      </c>
    </row>
    <row r="8">
      <c r="A8" s="3">
        <v>7.0</v>
      </c>
      <c r="B8" s="4" t="s">
        <v>1740</v>
      </c>
      <c r="C8" s="4" t="s">
        <v>1741</v>
      </c>
      <c r="D8" s="4" t="s">
        <v>1742</v>
      </c>
      <c r="E8" s="4" t="s">
        <v>1743</v>
      </c>
      <c r="J8" s="5" t="str">
        <f>IFERROR(__xludf.DUMMYFUNCTION("GOOGLETRANSLATE(A8, ""en"", ""ur"")"),"7")</f>
        <v>7</v>
      </c>
      <c r="K8" s="5" t="str">
        <f>IFERROR(__xludf.DUMMYFUNCTION("GOOGLETRANSLATE(B8, ""en"", ""ur"")"),"سکھوں کا کون سا بڑا تہوار، جسے گرو گوبند سنگھ نے قائم کیا تھا، نمایاں طور پر گٹکا کا مظاہرہ کرتا ہے؟")</f>
        <v>سکھوں کا کون سا بڑا تہوار، جسے گرو گوبند سنگھ نے قائم کیا تھا، نمایاں طور پر گٹکا کا مظاہرہ کرتا ہے؟</v>
      </c>
      <c r="L8" s="5" t="str">
        <f>IFERROR(__xludf.DUMMYFUNCTION("GOOGLETRANSLATE(C8, ""en"", ""ur"")"),"A) ویساکھی، B) دیوالی، C) ہولا محلہ، D) ماگھی۔")</f>
        <v>A) ویساکھی، B) دیوالی، C) ہولا محلہ، D) ماگھی۔</v>
      </c>
      <c r="M8" s="5" t="str">
        <f>IFERROR(__xludf.DUMMYFUNCTION("GOOGLETRANSLATE(D8, ""en"", ""ur"")"),"ج) ہولا محلہ")</f>
        <v>ج) ہولا محلہ</v>
      </c>
      <c r="N8" s="5" t="str">
        <f>IFERROR(__xludf.DUMMYFUNCTION("GOOGLETRANSLATE(E8, ""en"", ""ur"")"),"ہولا محلہ، جو آنند پور صاحب میں منعقد ہوتا ہے، ایک تہوار ہے جو سکھوں کی جنگی مہارتوں کو دکھانے کے لیے وقف ہے، جس میں گٹکا ایک مرکزی تقریب ہے۔")</f>
        <v>ہولا محلہ، جو آنند پور صاحب میں منعقد ہوتا ہے، ایک تہوار ہے جو سکھوں کی جنگی مہارتوں کو دکھانے کے لیے وقف ہے، جس میں گٹکا ایک مرکزی تقریب ہے۔</v>
      </c>
    </row>
    <row r="9">
      <c r="A9" s="3">
        <v>8.0</v>
      </c>
      <c r="B9" s="4" t="s">
        <v>1744</v>
      </c>
      <c r="C9" s="4" t="s">
        <v>1745</v>
      </c>
      <c r="D9" s="4" t="s">
        <v>1746</v>
      </c>
      <c r="E9" s="4" t="s">
        <v>1747</v>
      </c>
      <c r="J9" s="5" t="str">
        <f>IFERROR(__xludf.DUMMYFUNCTION("GOOGLETRANSLATE(A9, ""en"", ""ur"")"),"8")</f>
        <v>8</v>
      </c>
      <c r="K9" s="5" t="str">
        <f>IFERROR(__xludf.DUMMYFUNCTION("GOOGLETRANSLATE(B9, ""en"", ""ur"")"),"روایتی گٹکا لڑائی کا موقف کیا ہے جو توازن اور تیاری پر زور دیتا ہے؟")</f>
        <v>روایتی گٹکا لڑائی کا موقف کیا ہے جو توازن اور تیاری پر زور دیتا ہے؟</v>
      </c>
      <c r="L9" s="5" t="str">
        <f>IFERROR(__xludf.DUMMYFUNCTION("GOOGLETRANSLATE(C9, ""en"", ""ur"")"),"A) بیتک، B) آسواری، C) بیر آسن، D) پینتھرا")</f>
        <v>A) بیتک، B) آسواری، C) بیر آسن، D) پینتھرا</v>
      </c>
      <c r="M9" s="5" t="str">
        <f>IFERROR(__xludf.DUMMYFUNCTION("GOOGLETRANSLATE(D9, ""en"", ""ur"")"),"ج) بیر آسن")</f>
        <v>ج) بیر آسن</v>
      </c>
      <c r="N9" s="5" t="str">
        <f>IFERROR(__xludf.DUMMYFUNCTION("GOOGLETRANSLATE(E9, ""en"", ""ur"")"),"بیر آسن (واریر اسٹینس) ایک مستحکم، زمینی موقف ہے جو جرم اور دفاع کے درمیان فوری منتقلی کی اجازت دیتا ہے۔")</f>
        <v>بیر آسن (واریر اسٹینس) ایک مستحکم، زمینی موقف ہے جو جرم اور دفاع کے درمیان فوری منتقلی کی اجازت دیتا ہے۔</v>
      </c>
    </row>
    <row r="10">
      <c r="A10" s="3">
        <v>9.0</v>
      </c>
      <c r="B10" s="4" t="s">
        <v>1748</v>
      </c>
      <c r="C10" s="4" t="s">
        <v>1749</v>
      </c>
      <c r="D10" s="4" t="s">
        <v>1750</v>
      </c>
      <c r="E10" s="4" t="s">
        <v>1751</v>
      </c>
      <c r="J10" s="5" t="str">
        <f>IFERROR(__xludf.DUMMYFUNCTION("GOOGLETRANSLATE(A10, ""en"", ""ur"")"),"9")</f>
        <v>9</v>
      </c>
      <c r="K10" s="5" t="str">
        <f>IFERROR(__xludf.DUMMYFUNCTION("GOOGLETRANSLATE(B10, ""en"", ""ur"")"),"کون سا تاریخی سکھ ملٹری آرڈر اپنی روایتی شکل میں گٹکا کے تحفظ اور مشق کے لیے سب سے زیادہ مشہور ہے؟")</f>
        <v>کون سا تاریخی سکھ ملٹری آرڈر اپنی روایتی شکل میں گٹکا کے تحفظ اور مشق کے لیے سب سے زیادہ مشہور ہے؟</v>
      </c>
      <c r="L10" s="5" t="str">
        <f>IFERROR(__xludf.DUMMYFUNCTION("GOOGLETRANSLATE(C10, ""en"", ""ur"")"),"A) اُداسی، B) نرملا، C) نہنگ، D) رامرائیاس")</f>
        <v>A) اُداسی، B) نرملا، C) نہنگ، D) رامرائیاس</v>
      </c>
      <c r="M10" s="5" t="str">
        <f>IFERROR(__xludf.DUMMYFUNCTION("GOOGLETRANSLATE(D10, ""en"", ""ur"")"),"ج) نہنگ")</f>
        <v>ج) نہنگ</v>
      </c>
      <c r="N10" s="5" t="str">
        <f>IFERROR(__xludf.DUMMYFUNCTION("GOOGLETRANSLATE(E10, ""en"", ""ur"")"),"نہنگ جنگجوؤں نے گٹکا کو صدیوں سے اپنے جنگی ورثے کے زندہ حصے کے طور پر برقرار رکھا اور اس پر عمل کیا ہے۔")</f>
        <v>نہنگ جنگجوؤں نے گٹکا کو صدیوں سے اپنے جنگی ورثے کے زندہ حصے کے طور پر برقرار رکھا اور اس پر عمل کیا ہے۔</v>
      </c>
    </row>
    <row r="11">
      <c r="A11" s="3">
        <v>10.0</v>
      </c>
      <c r="B11" s="4" t="s">
        <v>1752</v>
      </c>
      <c r="C11" s="4" t="s">
        <v>1753</v>
      </c>
      <c r="D11" s="4" t="s">
        <v>1754</v>
      </c>
      <c r="E11" s="4" t="s">
        <v>1755</v>
      </c>
      <c r="J11" s="5" t="str">
        <f>IFERROR(__xludf.DUMMYFUNCTION("GOOGLETRANSLATE(A11, ""en"", ""ur"")"),"10")</f>
        <v>10</v>
      </c>
      <c r="K11" s="5" t="str">
        <f>IFERROR(__xludf.DUMMYFUNCTION("GOOGLETRANSLATE(B11, ""en"", ""ur"")"),"گٹکا کے مقابلے میں ڈھال (فاری) کا بنیادی مقصد کیا ہے؟")</f>
        <v>گٹکا کے مقابلے میں ڈھال (فاری) کا بنیادی مقصد کیا ہے؟</v>
      </c>
      <c r="L11" s="5" t="str">
        <f>IFERROR(__xludf.DUMMYFUNCTION("GOOGLETRANSLATE(C11, ""en"", ""ur"")"),"A) مخالف پر حملہ کرنے کے لیے، B) اسٹرائیک کو روکنے کے لیے ایک دفاعی ٹول کے طور پر استعمال کیا جائے، C) پوائنٹس اسکور کرنے کے لیے، D) مخالف کی توجہ ہٹانے کے لیے")</f>
        <v>A) مخالف پر حملہ کرنے کے لیے، B) اسٹرائیک کو روکنے کے لیے ایک دفاعی ٹول کے طور پر استعمال کیا جائے، C) پوائنٹس اسکور کرنے کے لیے، D) مخالف کی توجہ ہٹانے کے لیے</v>
      </c>
      <c r="M11" s="5" t="str">
        <f>IFERROR(__xludf.DUMMYFUNCTION("GOOGLETRANSLATE(D11, ""en"", ""ur"")"),"ب) حملوں کو روکنے کے لیے ایک دفاعی آلے کے طور پر استعمال کیا جائے۔")</f>
        <v>ب) حملوں کو روکنے کے لیے ایک دفاعی آلے کے طور پر استعمال کیا جائے۔</v>
      </c>
      <c r="N11" s="5" t="str">
        <f>IFERROR(__xludf.DUMMYFUNCTION("GOOGLETRANSLATE(E11, ""en"", ""ur"")"),"شیلڈ ایک خالصتاً دفاعی سامان ہے جو مخالف کی چھڑی سے آنے والے حملوں کو روکنے اور روکنے کے لیے استعمال ہوتا ہے۔")</f>
        <v>شیلڈ ایک خالصتاً دفاعی سامان ہے جو مخالف کی چھڑی سے آنے والے حملوں کو روکنے اور روکنے کے لیے استعمال ہوتا ہے۔</v>
      </c>
    </row>
    <row r="12">
      <c r="A12" s="3">
        <v>11.0</v>
      </c>
      <c r="B12" s="4" t="s">
        <v>1756</v>
      </c>
      <c r="C12" s="4" t="s">
        <v>1757</v>
      </c>
      <c r="D12" s="4" t="s">
        <v>1758</v>
      </c>
      <c r="E12" s="4" t="s">
        <v>1759</v>
      </c>
      <c r="J12" s="5" t="str">
        <f>IFERROR(__xludf.DUMMYFUNCTION("GOOGLETRANSLATE(A12, ""en"", ""ur"")"),"11")</f>
        <v>11</v>
      </c>
      <c r="K12" s="5" t="str">
        <f>IFERROR(__xludf.DUMMYFUNCTION("GOOGLETRANSLATE(B12, ""en"", ""ur"")"),"'گٹکا' کی اصطلاح پنجابی لفظ سے کس لیے نکلی ہے؟")</f>
        <v>'گٹکا' کی اصطلاح پنجابی لفظ سے کس لیے نکلی ہے؟</v>
      </c>
      <c r="L12" s="5" t="str">
        <f>IFERROR(__xludf.DUMMYFUNCTION("GOOGLETRANSLATE(C12, ""en"", ""ur"")"),"A) تلوار، B) لکڑی کی تربیتی چھڑی، C) ڈھال، D) جنگ")</f>
        <v>A) تلوار، B) لکڑی کی تربیتی چھڑی، C) ڈھال، D) جنگ</v>
      </c>
      <c r="M12" s="5" t="str">
        <f>IFERROR(__xludf.DUMMYFUNCTION("GOOGLETRANSLATE(D12, ""en"", ""ur"")"),"ب) لکڑی کی تربیتی چھڑی")</f>
        <v>ب) لکڑی کی تربیتی چھڑی</v>
      </c>
      <c r="N12" s="5" t="str">
        <f>IFERROR(__xludf.DUMMYFUNCTION("GOOGLETRANSLATE(E12, ""en"", ""ur"")"),"اس کھیل کا نام گٹکا یا سوٹی اسٹک سے آیا ہے، جو اس کی مشق اور مقابلے میں استعمال ہونے والا بنیادی آلہ ہے۔")</f>
        <v>اس کھیل کا نام گٹکا یا سوٹی اسٹک سے آیا ہے، جو اس کی مشق اور مقابلے میں استعمال ہونے والا بنیادی آلہ ہے۔</v>
      </c>
    </row>
    <row r="13">
      <c r="A13" s="3">
        <v>12.0</v>
      </c>
      <c r="B13" s="4" t="s">
        <v>1760</v>
      </c>
      <c r="C13" s="4" t="s">
        <v>1761</v>
      </c>
      <c r="D13" s="4" t="s">
        <v>1762</v>
      </c>
      <c r="E13" s="4" t="s">
        <v>1763</v>
      </c>
      <c r="J13" s="5" t="str">
        <f>IFERROR(__xludf.DUMMYFUNCTION("GOOGLETRANSLATE(A13, ""en"", ""ur"")"),"12")</f>
        <v>12</v>
      </c>
      <c r="K13" s="5" t="str">
        <f>IFERROR(__xludf.DUMMYFUNCTION("GOOGLETRANSLATE(B13, ""en"", ""ur"")"),"ایسے کھلاڑی کے لیے کیا سزا ہے جو جان بوجھ کر نامزد جنگی میدان سے باہر قدم رکھتا ہے؟")</f>
        <v>ایسے کھلاڑی کے لیے کیا سزا ہے جو جان بوجھ کر نامزد جنگی میدان سے باہر قدم رکھتا ہے؟</v>
      </c>
      <c r="L13" s="5" t="str">
        <f>IFERROR(__xludf.DUMMYFUNCTION("GOOGLETRANSLATE(C13, ""en"", ""ur"")"),"A) ایک زبانی انتباہ جاری کیا جاتا ہے، B) ایک پوائنٹ کاٹ دیا جاتا ہے، C) کھلاڑی کو نااہل قرار دیا جاتا ہے، D) راؤنڈ دوبارہ شروع ہوتا ہے")</f>
        <v>A) ایک زبانی انتباہ جاری کیا جاتا ہے، B) ایک پوائنٹ کاٹ دیا جاتا ہے، C) کھلاڑی کو نااہل قرار دیا جاتا ہے، D) راؤنڈ دوبارہ شروع ہوتا ہے</v>
      </c>
      <c r="M13" s="5" t="str">
        <f>IFERROR(__xludf.DUMMYFUNCTION("GOOGLETRANSLATE(D13, ""en"", ""ur"")"),"ب) ایک پوائنٹ کاٹ دیا جاتا ہے۔")</f>
        <v>ب) ایک پوائنٹ کاٹ دیا جاتا ہے۔</v>
      </c>
      <c r="N13" s="5" t="str">
        <f>IFERROR(__xludf.DUMMYFUNCTION("GOOGLETRANSLATE(E13, ""en"", ""ur"")"),"کھلاڑی کو اکھاڑہ کی حدود میں رہنا چاہیے۔ لڑائی سے بچنے کے لیے علاقہ چھوڑنا فُل ہے۔")</f>
        <v>کھلاڑی کو اکھاڑہ کی حدود میں رہنا چاہیے۔ لڑائی سے بچنے کے لیے علاقہ چھوڑنا فُل ہے۔</v>
      </c>
    </row>
    <row r="14">
      <c r="A14" s="3">
        <v>13.0</v>
      </c>
      <c r="B14" s="4" t="s">
        <v>1764</v>
      </c>
      <c r="C14" s="4" t="s">
        <v>1765</v>
      </c>
      <c r="D14" s="4" t="s">
        <v>1766</v>
      </c>
      <c r="E14" s="4" t="s">
        <v>1767</v>
      </c>
      <c r="J14" s="5" t="str">
        <f>IFERROR(__xludf.DUMMYFUNCTION("GOOGLETRANSLATE(A14, ""en"", ""ur"")"),"13")</f>
        <v>13</v>
      </c>
      <c r="K14" s="5" t="str">
        <f>IFERROR(__xludf.DUMMYFUNCTION("GOOGLETRANSLATE(B14, ""en"", ""ur"")"),"گٹکا اور دیگر جنوبی ایشیائی مارشل آرٹس کے روایتی تربیتی میدان کو کیا کہتے ہیں؟")</f>
        <v>گٹکا اور دیگر جنوبی ایشیائی مارشل آرٹس کے روایتی تربیتی میدان کو کیا کہتے ہیں؟</v>
      </c>
      <c r="L14" s="5" t="str">
        <f>IFERROR(__xludf.DUMMYFUNCTION("GOOGLETRANSLATE(C14, ""en"", ""ur"")"),"A) شاستر گھر، B) دوجو، C) گوردوارہ، D) اکھاڑا")</f>
        <v>A) شاستر گھر، B) دوجو، C) گوردوارہ، D) اکھاڑا</v>
      </c>
      <c r="M14" s="5" t="str">
        <f>IFERROR(__xludf.DUMMYFUNCTION("GOOGLETRANSLATE(D14, ""en"", ""ur"")"),"ڈی) اکھاڑا")</f>
        <v>ڈی) اکھاڑا</v>
      </c>
      <c r="N14" s="5" t="str">
        <f>IFERROR(__xludf.DUMMYFUNCTION("GOOGLETRANSLATE(E14, ""en"", ""ur"")"),"اکھاڑا ایک روایتی جمنازیم یا تربیتی میدان ہے جہاں مارشل آرٹ کی مشق کی جاتی ہے۔")</f>
        <v>اکھاڑا ایک روایتی جمنازیم یا تربیتی میدان ہے جہاں مارشل آرٹ کی مشق کی جاتی ہے۔</v>
      </c>
    </row>
    <row r="15">
      <c r="A15" s="3">
        <v>14.0</v>
      </c>
      <c r="B15" s="4" t="s">
        <v>1768</v>
      </c>
      <c r="C15" s="4" t="s">
        <v>1769</v>
      </c>
      <c r="D15" s="4" t="s">
        <v>1770</v>
      </c>
      <c r="E15" s="4" t="s">
        <v>1771</v>
      </c>
      <c r="J15" s="5" t="str">
        <f>IFERROR(__xludf.DUMMYFUNCTION("GOOGLETRANSLATE(A15, ""en"", ""ur"")"),"14")</f>
        <v>14</v>
      </c>
      <c r="K15" s="5" t="str">
        <f>IFERROR(__xludf.DUMMYFUNCTION("GOOGLETRANSLATE(B15, ""en"", ""ur"")"),"گٹکا کے فلسفے میں، ""سانت سپاہی"" (سینٹ سپاہی) مثالی کس چیز کی نمائندگی کرتا ہے؟")</f>
        <v>گٹکا کے فلسفے میں، "سانت سپاہی" (سینٹ سپاہی) مثالی کس چیز کی نمائندگی کرتا ہے؟</v>
      </c>
      <c r="L15" s="5" t="str">
        <f>IFERROR(__xludf.DUMMYFUNCTION("GOOGLETRANSLATE(C15, ""en"", ""ur"")"),"A) وہ شخص جو پہلے ولی ہے اور دوسرا سپاہی، B) روحانی عقیدت اور جنگی تیاری کا توازن، C) ایک سپاہی جو سنت بنتا ہے، D) ایک ولی جو فوج کا حکم دیتا ہے")</f>
        <v>A) وہ شخص جو پہلے ولی ہے اور دوسرا سپاہی، B) روحانی عقیدت اور جنگی تیاری کا توازن، C) ایک سپاہی جو سنت بنتا ہے، D) ایک ولی جو فوج کا حکم دیتا ہے</v>
      </c>
      <c r="M15" s="5" t="str">
        <f>IFERROR(__xludf.DUMMYFUNCTION("GOOGLETRANSLATE(D15, ""en"", ""ur"")"),"ب) روحانی عقیدت اور جنگی تیاری کا توازن")</f>
        <v>ب) روحانی عقیدت اور جنگی تیاری کا توازن</v>
      </c>
      <c r="N15" s="5" t="str">
        <f>IFERROR(__xludf.DUMMYFUNCTION("GOOGLETRANSLATE(E15, ""en"", ""ur"")"),"یہ بنیادی سکھ تصور، جو گٹکا کے ذریعے مجسم ہے، ایک روحانی طور پر روشن خیال شخص ہونے کا آئیڈیل ہے جو جسمانی طور پر بھی انصاف کا دفاع کرنے کے لیے تیار ہے۔")</f>
        <v>یہ بنیادی سکھ تصور، جو گٹکا کے ذریعے مجسم ہے، ایک روحانی طور پر روشن خیال شخص ہونے کا آئیڈیل ہے جو جسمانی طور پر بھی انصاف کا دفاع کرنے کے لیے تیار ہے۔</v>
      </c>
    </row>
    <row r="16">
      <c r="A16" s="3">
        <v>15.0</v>
      </c>
      <c r="B16" s="4" t="s">
        <v>1772</v>
      </c>
      <c r="C16" s="4" t="s">
        <v>1773</v>
      </c>
      <c r="D16" s="4" t="s">
        <v>1774</v>
      </c>
      <c r="E16" s="4" t="s">
        <v>1775</v>
      </c>
      <c r="J16" s="5" t="str">
        <f>IFERROR(__xludf.DUMMYFUNCTION("GOOGLETRANSLATE(A16, ""en"", ""ur"")"),"15")</f>
        <v>15</v>
      </c>
      <c r="K16" s="5" t="str">
        <f>IFERROR(__xludf.DUMMYFUNCTION("GOOGLETRANSLATE(B16, ""en"", ""ur"")"),"کس برطانوی نوآبادیاتی قانون نے ہتھیاروں تک رسائی کو محدود کرکے گٹکا کی مشق کو سختی سے روکا؟")</f>
        <v>کس برطانوی نوآبادیاتی قانون نے ہتھیاروں تک رسائی کو محدود کرکے گٹکا کی مشق کو سختی سے روکا؟</v>
      </c>
      <c r="L16" s="5" t="str">
        <f>IFERROR(__xludf.DUMMYFUNCTION("GOOGLETRANSLATE(C16, ""en"", ""ur"")"),"A) دی ورناکولر پریس ایکٹ، B) دی آرمز ایکٹ 1878، C) دی سیڈیشن ایکٹ، D) پبلک سیفٹی ایکٹ")</f>
        <v>A) دی ورناکولر پریس ایکٹ، B) دی آرمز ایکٹ 1878، C) دی سیڈیشن ایکٹ، D) پبلک سیفٹی ایکٹ</v>
      </c>
      <c r="M16" s="5" t="str">
        <f>IFERROR(__xludf.DUMMYFUNCTION("GOOGLETRANSLATE(D16, ""en"", ""ur"")"),"ب) 1878 کا اسلحہ ایکٹ")</f>
        <v>ب) 1878 کا اسلحہ ایکٹ</v>
      </c>
      <c r="N16" s="5" t="str">
        <f>IFERROR(__xludf.DUMMYFUNCTION("GOOGLETRANSLATE(E16, ""en"", ""ur"")"),"اس ایکٹ نے زیادہ تر ہندوستانی آبادی کو غیر مسلح کر دیا، گٹکا جیسے ہتھیاروں پر مبنی فنون کو خفیہ طور پر یا لکڑی کے متبادل کے ساتھ مشق کرنے پر مجبور کیا۔")</f>
        <v>اس ایکٹ نے زیادہ تر ہندوستانی آبادی کو غیر مسلح کر دیا، گٹکا جیسے ہتھیاروں پر مبنی فنون کو خفیہ طور پر یا لکڑی کے متبادل کے ساتھ مشق کرنے پر مجبور کیا۔</v>
      </c>
    </row>
    <row r="17">
      <c r="A17" s="3">
        <v>16.0</v>
      </c>
      <c r="B17" s="4" t="s">
        <v>1776</v>
      </c>
      <c r="C17" s="4" t="s">
        <v>1777</v>
      </c>
      <c r="D17" s="4" t="s">
        <v>1778</v>
      </c>
      <c r="E17" s="4" t="s">
        <v>1779</v>
      </c>
      <c r="J17" s="5" t="str">
        <f>IFERROR(__xludf.DUMMYFUNCTION("GOOGLETRANSLATE(A17, ""en"", ""ur"")"),"16")</f>
        <v>16</v>
      </c>
      <c r="K17" s="5" t="str">
        <f>IFERROR(__xludf.DUMMYFUNCTION("GOOGLETRANSLATE(B17, ""en"", ""ur"")"),"روایتی، دو دھاری تلوار کا کیا نام ہے جو خالصہ کی ایک اہم علامت ہے اور اسے جدید گٹکا میں استعمال کیا جاتا ہے؟")</f>
        <v>روایتی، دو دھاری تلوار کا کیا نام ہے جو خالصہ کی ایک اہم علامت ہے اور اسے جدید گٹکا میں استعمال کیا جاتا ہے؟</v>
      </c>
      <c r="L17" s="5" t="str">
        <f>IFERROR(__xludf.DUMMYFUNCTION("GOOGLETRANSLATE(C17, ""en"", ""ur"")"),"A) کرپن، B) تلور، C) کھنڈا، D) برچھا۔")</f>
        <v>A) کرپن، B) تلور، C) کھنڈا، D) برچھا۔</v>
      </c>
      <c r="M17" s="5" t="str">
        <f>IFERROR(__xludf.DUMMYFUNCTION("GOOGLETRANSLATE(D17, ""en"", ""ur"")"),"ج) کھنڈا۔")</f>
        <v>ج) کھنڈا۔</v>
      </c>
      <c r="N17" s="5" t="str">
        <f>IFERROR(__xludf.DUMMYFUNCTION("GOOGLETRANSLATE(E17, ""en"", ""ur"")"),"کھنڈہ ایک بھاری، سیدھی، دو دھاری تلوار ہے، جو الہی طاقت کی علامت ہے اور سکھ مارشل تاریخ میں ایک بنیادی ہتھیار ہے۔")</f>
        <v>کھنڈہ ایک بھاری، سیدھی، دو دھاری تلوار ہے، جو الہی طاقت کی علامت ہے اور سکھ مارشل تاریخ میں ایک بنیادی ہتھیار ہے۔</v>
      </c>
    </row>
    <row r="18">
      <c r="A18" s="3">
        <v>17.0</v>
      </c>
      <c r="B18" s="4" t="s">
        <v>1780</v>
      </c>
      <c r="C18" s="4" t="s">
        <v>1781</v>
      </c>
      <c r="D18" s="4" t="s">
        <v>1782</v>
      </c>
      <c r="E18" s="4" t="s">
        <v>1783</v>
      </c>
      <c r="J18" s="5" t="str">
        <f>IFERROR(__xludf.DUMMYFUNCTION("GOOGLETRANSLATE(A18, ""en"", ""ur"")"),"17")</f>
        <v>17</v>
      </c>
      <c r="K18" s="5" t="str">
        <f>IFERROR(__xludf.DUMMYFUNCTION("GOOGLETRANSLATE(B18, ""en"", ""ur"")"),"غیر کھیلوں کے رویے کے لیے کیا سزا ہے، جیسے کہ کسی مخالف کو طعنہ دینا؟")</f>
        <v>غیر کھیلوں کے رویے کے لیے کیا سزا ہے، جیسے کہ کسی مخالف کو طعنہ دینا؟</v>
      </c>
      <c r="L18" s="5" t="str">
        <f>IFERROR(__xludf.DUMMYFUNCTION("GOOGLETRANSLATE(C18, ""en"", ""ur"")"),"A) کوئی جرمانہ نہیں ہے، B) ایک انتباہ، اس کے بعد پوائنٹ کی کٹوتی، C) فوری نااہلی، D) راؤنڈ دوبارہ چلایا جاتا ہے")</f>
        <v>A) کوئی جرمانہ نہیں ہے، B) ایک انتباہ، اس کے بعد پوائنٹ کی کٹوتی، C) فوری نااہلی، D) راؤنڈ دوبارہ چلایا جاتا ہے</v>
      </c>
      <c r="M18" s="5" t="str">
        <f>IFERROR(__xludf.DUMMYFUNCTION("GOOGLETRANSLATE(D18, ""en"", ""ur"")"),"ب) ایک انتباہ، اس کے بعد پوائنٹ کی کٹوتی")</f>
        <v>ب) ایک انتباہ، اس کے بعد پوائنٹ کی کٹوتی</v>
      </c>
      <c r="N18" s="5" t="str">
        <f>IFERROR(__xludf.DUMMYFUNCTION("GOOGLETRANSLATE(E18, ""en"", ""ur"")"),"گٹکا احترام اور عاجزی پر زور دیتا ہے۔ طنز کرنا کھیل کے نظم و ضبط کی خلاف ورزی کرتا ہے اور اس پر جرمانہ عائد کیا جاتا ہے۔")</f>
        <v>گٹکا احترام اور عاجزی پر زور دیتا ہے۔ طنز کرنا کھیل کے نظم و ضبط کی خلاف ورزی کرتا ہے اور اس پر جرمانہ عائد کیا جاتا ہے۔</v>
      </c>
    </row>
    <row r="19">
      <c r="A19" s="3">
        <v>18.0</v>
      </c>
      <c r="B19" s="4" t="s">
        <v>1784</v>
      </c>
      <c r="C19" s="4" t="s">
        <v>1785</v>
      </c>
      <c r="D19" s="4" t="s">
        <v>1786</v>
      </c>
      <c r="E19" s="4" t="s">
        <v>1787</v>
      </c>
      <c r="J19" s="5" t="str">
        <f>IFERROR(__xludf.DUMMYFUNCTION("GOOGLETRANSLATE(A19, ""en"", ""ur"")"),"18")</f>
        <v>18</v>
      </c>
      <c r="K19" s="5" t="str">
        <f>IFERROR(__xludf.DUMMYFUNCTION("GOOGLETRANSLATE(B19, ""en"", ""ur"")"),"بین الاقوامی گٹکا مقابلے میں کمانڈ کے لیے سرکاری زبان کیا ہے؟")</f>
        <v>بین الاقوامی گٹکا مقابلے میں کمانڈ کے لیے سرکاری زبان کیا ہے؟</v>
      </c>
      <c r="L19" s="5" t="str">
        <f>IFERROR(__xludf.DUMMYFUNCTION("GOOGLETRANSLATE(C19, ""en"", ""ur"")"),"A) انگریزی، B) ہندی، C) پنجابی، D) تینوں کا مرکب")</f>
        <v>A) انگریزی، B) ہندی، C) پنجابی، D) تینوں کا مرکب</v>
      </c>
      <c r="M19" s="5" t="str">
        <f>IFERROR(__xludf.DUMMYFUNCTION("GOOGLETRANSLATE(D19, ""en"", ""ur"")"),"ج) پنجابی")</f>
        <v>ج) پنجابی</v>
      </c>
      <c r="N19" s="5" t="str">
        <f>IFERROR(__xludf.DUMMYFUNCTION("GOOGLETRANSLATE(E19, ""en"", ""ur"")"),"کھیل کی ثقافتی جڑوں کا احترام کرنے کے لیے، سرکاری احکامات جیسے ""شورو!"" (شروع!) پنجابی میں دیے گئے ہیں۔")</f>
        <v>کھیل کی ثقافتی جڑوں کا احترام کرنے کے لیے، سرکاری احکامات جیسے "شورو!" (شروع!) پنجابی میں دیے گئے ہیں۔</v>
      </c>
    </row>
    <row r="20">
      <c r="A20" s="3">
        <v>19.0</v>
      </c>
      <c r="B20" s="4" t="s">
        <v>1788</v>
      </c>
      <c r="C20" s="4" t="s">
        <v>1789</v>
      </c>
      <c r="D20" s="4" t="s">
        <v>1790</v>
      </c>
      <c r="E20" s="4" t="s">
        <v>1791</v>
      </c>
      <c r="J20" s="5" t="str">
        <f>IFERROR(__xludf.DUMMYFUNCTION("GOOGLETRANSLATE(A20, ""en"", ""ur"")"),"19")</f>
        <v>19</v>
      </c>
      <c r="K20" s="5" t="str">
        <f>IFERROR(__xludf.DUMMYFUNCTION("GOOGLETRANSLATE(B20, ""en"", ""ur"")"),"گٹکا میں ""جور"" کیا ہے؟")</f>
        <v>گٹکا میں "جور" کیا ہے؟</v>
      </c>
      <c r="L20" s="5" t="str">
        <f>IFERROR(__xludf.DUMMYFUNCTION("GOOGLETRANSLATE(C20, ""en"", ""ur"")"),"A) دفاعی بلاک کی ایک قسم، B) میچ میں ڈرا کے لیے اصطلاح، C) نیزہ بازی کی روایتی مشق، D) کک")</f>
        <v>A) دفاعی بلاک کی ایک قسم، B) میچ میں ڈرا کے لیے اصطلاح، C) نیزہ بازی کی روایتی مشق، D) کک</v>
      </c>
      <c r="M20" s="5" t="str">
        <f>IFERROR(__xludf.DUMMYFUNCTION("GOOGLETRANSLATE(D20, ""en"", ""ur"")"),"ج) نیزہ بازی کی روایتی مشق")</f>
        <v>ج) نیزہ بازی کی روایتی مشق</v>
      </c>
      <c r="N20" s="5" t="str">
        <f>IFERROR(__xludf.DUMMYFUNCTION("GOOGLETRANSLATE(E20, ""en"", ""ur"")"),"جور سے مراد جھگڑا یا فرضی لڑائی کی مشق ہے جہاں طلباء اپنی تکنیک کو بہتر بناتے ہیں۔")</f>
        <v>جور سے مراد جھگڑا یا فرضی لڑائی کی مشق ہے جہاں طلباء اپنی تکنیک کو بہتر بناتے ہیں۔</v>
      </c>
    </row>
    <row r="21">
      <c r="A21" s="3">
        <v>20.0</v>
      </c>
      <c r="B21" s="4" t="s">
        <v>1792</v>
      </c>
      <c r="C21" s="4" t="s">
        <v>1793</v>
      </c>
      <c r="D21" s="4" t="s">
        <v>1794</v>
      </c>
      <c r="E21" s="4" t="s">
        <v>1795</v>
      </c>
      <c r="J21" s="5" t="str">
        <f>IFERROR(__xludf.DUMMYFUNCTION("GOOGLETRANSLATE(A21, ""en"", ""ur"")"),"20")</f>
        <v>20</v>
      </c>
      <c r="K21" s="5" t="str">
        <f>IFERROR(__xludf.DUMMYFUNCTION("GOOGLETRANSLATE(B21, ""en"", ""ur"")"),"گٹکا میں تال، گھومنے والی حرکت، جسے گھمن کہا جاتا ہے، کس ہتھیار سے متاثر ہے؟")</f>
        <v>گٹکا میں تال، گھومنے والی حرکت، جسے گھمن کہا جاتا ہے، کس ہتھیار سے متاثر ہے؟</v>
      </c>
      <c r="L21" s="5" t="str">
        <f>IFERROR(__xludf.DUMMYFUNCTION("GOOGLETRANSLATE(C21, ""en"", ""ur"")"),"A) تلوار، B) نیزہ، C) چکر (جنگی کوٹ)، D) خنجر")</f>
        <v>A) تلوار، B) نیزہ، C) چکر (جنگی کوٹ)، D) خنجر</v>
      </c>
      <c r="M21" s="5" t="str">
        <f>IFERROR(__xludf.DUMMYFUNCTION("GOOGLETRANSLATE(D21, ""en"", ""ur"")"),"سی) چکرا (جنگ کا حصہ)")</f>
        <v>سی) چکرا (جنگ کا حصہ)</v>
      </c>
      <c r="N21" s="5" t="str">
        <f>IFERROR(__xludf.DUMMYFUNCTION("GOOGLETRANSLATE(E21, ""en"", ""ur"")"),"مسلسل سرکلر حرکات چکرا کے گھومنے اور پھینکنے کی نقل کرتی ہیں، جو سکھ پھینکنے والا روایتی ہتھیار ہے۔")</f>
        <v>مسلسل سرکلر حرکات چکرا کے گھومنے اور پھینکنے کی نقل کرتی ہیں، جو سکھ پھینکنے والا روایتی ہتھیار ہے۔</v>
      </c>
    </row>
    <row r="22">
      <c r="A22" s="3">
        <v>21.0</v>
      </c>
      <c r="B22" s="4" t="s">
        <v>1796</v>
      </c>
      <c r="C22" s="4" t="s">
        <v>1797</v>
      </c>
      <c r="D22" s="4" t="s">
        <v>1798</v>
      </c>
      <c r="E22" s="4" t="s">
        <v>1799</v>
      </c>
      <c r="J22" s="5" t="str">
        <f>IFERROR(__xludf.DUMMYFUNCTION("GOOGLETRANSLATE(A22, ""en"", ""ur"")"),"21")</f>
        <v>21</v>
      </c>
      <c r="K22" s="5" t="str">
        <f>IFERROR(__xludf.DUMMYFUNCTION("GOOGLETRANSLATE(B22, ""en"", ""ur"")"),"جدید گٹکا میں، آنکھوں پر پٹی باندھنے کی تربیت کا مقصد کیا ہے؟")</f>
        <v>جدید گٹکا میں، آنکھوں پر پٹی باندھنے کی تربیت کا مقصد کیا ہے؟</v>
      </c>
      <c r="L22" s="5" t="str">
        <f>IFERROR(__xludf.DUMMYFUNCTION("GOOGLETRANSLATE(C22, ""en"", ""ur"")"),"A) بہادری کا مظاہرہ کرنا، B) اضطراب، سماعت اور مقامی بیداری کو تیز کرنا، C) یہ خالصتاً رسمی عمل ہے، D) سانس لینے کی تکنیک پر عمل کرنا")</f>
        <v>A) بہادری کا مظاہرہ کرنا، B) اضطراب، سماعت اور مقامی بیداری کو تیز کرنا، C) یہ خالصتاً رسمی عمل ہے، D) سانس لینے کی تکنیک پر عمل کرنا</v>
      </c>
      <c r="M22" s="5" t="str">
        <f>IFERROR(__xludf.DUMMYFUNCTION("GOOGLETRANSLATE(D22, ""en"", ""ur"")"),"ب) اضطراب، سماعت اور مقامی بیداری کو تیز کرنا")</f>
        <v>ب) اضطراب، سماعت اور مقامی بیداری کو تیز کرنا</v>
      </c>
      <c r="N22" s="5" t="str">
        <f>IFERROR(__xludf.DUMMYFUNCTION("GOOGLETRANSLATE(E22, ""en"", ""ur"")"),"آنکھوں پر پٹی باندھنے کی مشقیں پریکٹیشنر کو دوسرے حواس پر انحصار کرنے پر مجبور کرتی ہیں، اور ان کی جنگی جبلتوں کو بہت اعلیٰ سطح تک پہنچاتی ہے۔")</f>
        <v>آنکھوں پر پٹی باندھنے کی مشقیں پریکٹیشنر کو دوسرے حواس پر انحصار کرنے پر مجبور کرتی ہیں، اور ان کی جنگی جبلتوں کو بہت اعلیٰ سطح تک پہنچاتی ہے۔</v>
      </c>
    </row>
    <row r="23">
      <c r="A23" s="3">
        <v>22.0</v>
      </c>
      <c r="B23" s="4" t="s">
        <v>1800</v>
      </c>
      <c r="C23" s="4" t="s">
        <v>1801</v>
      </c>
      <c r="D23" s="4" t="s">
        <v>1802</v>
      </c>
      <c r="E23" s="4" t="s">
        <v>1803</v>
      </c>
      <c r="J23" s="5" t="str">
        <f>IFERROR(__xludf.DUMMYFUNCTION("GOOGLETRANSLATE(A23, ""en"", ""ur"")"),"22")</f>
        <v>22</v>
      </c>
      <c r="K23" s="5" t="str">
        <f>IFERROR(__xludf.DUMMYFUNCTION("GOOGLETRANSLATE(B23, ""en"", ""ur"")"),"طویل فاصلے تک حملوں کے لیے گٹکا میں کون سا ہتھیار، لمبا نیزہ استعمال ہوتا ہے؟")</f>
        <v>طویل فاصلے تک حملوں کے لیے گٹکا میں کون سا ہتھیار، لمبا نیزہ استعمال ہوتا ہے؟</v>
      </c>
      <c r="L23" s="5" t="str">
        <f>IFERROR(__xludf.DUMMYFUNCTION("GOOGLETRANSLATE(C23, ""en"", ""ur"")"),"A) تلور، B) کرپن، C) برچھا، D) کھنڈا۔")</f>
        <v>A) تلور، B) کرپن، C) برچھا، D) کھنڈا۔</v>
      </c>
      <c r="M23" s="5" t="str">
        <f>IFERROR(__xludf.DUMMYFUNCTION("GOOGLETRANSLATE(D23, ""en"", ""ur"")"),"ج) برچھا۔")</f>
        <v>ج) برچھا۔</v>
      </c>
      <c r="N23" s="5" t="str">
        <f>IFERROR(__xludf.DUMMYFUNCTION("GOOGLETRANSLATE(E23, ""en"", ""ur"")"),"برچھا ایک قسم کا نیزہ ہے جو زور لگانے اور مخالفین کو فاصلے پر رکھنے کے لیے استعمال ہوتا ہے۔")</f>
        <v>برچھا ایک قسم کا نیزہ ہے جو زور لگانے اور مخالفین کو فاصلے پر رکھنے کے لیے استعمال ہوتا ہے۔</v>
      </c>
    </row>
    <row r="24">
      <c r="A24" s="3">
        <v>23.0</v>
      </c>
      <c r="B24" s="4" t="s">
        <v>1804</v>
      </c>
      <c r="C24" s="4" t="s">
        <v>1805</v>
      </c>
      <c r="D24" s="4" t="s">
        <v>1806</v>
      </c>
      <c r="E24" s="4" t="s">
        <v>1807</v>
      </c>
      <c r="J24" s="5" t="str">
        <f>IFERROR(__xludf.DUMMYFUNCTION("GOOGLETRANSLATE(A24, ""en"", ""ur"")"),"23")</f>
        <v>23</v>
      </c>
      <c r="K24" s="5" t="str">
        <f>IFERROR(__xludf.DUMMYFUNCTION("GOOGLETRANSLATE(B24, ""en"", ""ur"")"),"کون سا بین الاقوامی ادارہ مسابقتی گٹکا کو منظم اور فروغ دینے کا ذمہ دار ہے؟")</f>
        <v>کون سا بین الاقوامی ادارہ مسابقتی گٹکا کو منظم اور فروغ دینے کا ذمہ دار ہے؟</v>
      </c>
      <c r="L24" s="5" t="str">
        <f>IFERROR(__xludf.DUMMYFUNCTION("GOOGLETRANSLATE(C24, ""en"", ""ur"")"),"اے) انٹرنیشنل اولمپک کمیٹی، بی) گٹکا فیڈریشن آف انڈیا، سی) ورلڈ گٹکا فیڈریشن، ڈی) پنجاب مارشل آرٹس کونسل")</f>
        <v>اے) انٹرنیشنل اولمپک کمیٹی، بی) گٹکا فیڈریشن آف انڈیا، سی) ورلڈ گٹکا فیڈریشن، ڈی) پنجاب مارشل آرٹس کونسل</v>
      </c>
      <c r="M24" s="5" t="str">
        <f>IFERROR(__xludf.DUMMYFUNCTION("GOOGLETRANSLATE(D24, ""en"", ""ur"")"),"ج) ورلڈ گٹکا فیڈریشن")</f>
        <v>ج) ورلڈ گٹکا فیڈریشن</v>
      </c>
      <c r="N24" s="5" t="str">
        <f>IFERROR(__xludf.DUMMYFUNCTION("GOOGLETRANSLATE(E24, ""en"", ""ur"")"),"ڈبلیو جی ایف ایک عالمی گورننگ باڈی ہے جو قوانین کو معیاری بنانے، بین الاقوامی ٹورنامنٹس کے انعقاد اور کھیل کو فروغ دینے کے لیے کام کرتی ہے۔")</f>
        <v>ڈبلیو جی ایف ایک عالمی گورننگ باڈی ہے جو قوانین کو معیاری بنانے، بین الاقوامی ٹورنامنٹس کے انعقاد اور کھیل کو فروغ دینے کے لیے کام کرتی ہے۔</v>
      </c>
    </row>
    <row r="25">
      <c r="A25" s="3">
        <v>24.0</v>
      </c>
      <c r="B25" s="4" t="s">
        <v>1808</v>
      </c>
      <c r="C25" s="4" t="s">
        <v>1809</v>
      </c>
      <c r="D25" s="4" t="s">
        <v>1810</v>
      </c>
      <c r="E25" s="4" t="s">
        <v>1811</v>
      </c>
      <c r="J25" s="5" t="str">
        <f>IFERROR(__xludf.DUMMYFUNCTION("GOOGLETRANSLATE(A25, ""en"", ""ur"")"),"24")</f>
        <v>24</v>
      </c>
      <c r="K25" s="5" t="str">
        <f>IFERROR(__xludf.DUMMYFUNCTION("GOOGLETRANSLATE(B25, ""en"", ""ur"")"),"پاکستان میں گٹکا اکثر لاہور میں کس ثقافتی میلے کے دوران دکھایا جاتا ہے؟")</f>
        <v>پاکستان میں گٹکا اکثر لاہور میں کس ثقافتی میلے کے دوران دکھایا جاتا ہے؟</v>
      </c>
      <c r="L25" s="5" t="str">
        <f>IFERROR(__xludf.DUMMYFUNCTION("GOOGLETRANSLATE(C25, ""en"", ""ur"")"),"A) بسنت، B) میلہ چراغاں (روشنیوں کا تہوار)، C) عید، D) یوم پاکستان پریڈ")</f>
        <v>A) بسنت، B) میلہ چراغاں (روشنیوں کا تہوار)، C) عید، D) یوم پاکستان پریڈ</v>
      </c>
      <c r="M25" s="5" t="str">
        <f>IFERROR(__xludf.DUMMYFUNCTION("GOOGLETRANSLATE(D25, ""en"", ""ur"")"),"ب) میلہ چراغاں (روشنیوں کا تہوار)")</f>
        <v>ب) میلہ چراغاں (روشنیوں کا تہوار)</v>
      </c>
      <c r="N25" s="5" t="str">
        <f>IFERROR(__xludf.DUMMYFUNCTION("GOOGLETRANSLATE(E25, ""en"", ""ur"")"),"شاہ حسین کے مزار پر اس بڑے تہوار کے دوران گٹکا اکثر روایتی ثقافتی مارشل آرٹ کے طور پر پیش کیا جاتا ہے۔")</f>
        <v>شاہ حسین کے مزار پر اس بڑے تہوار کے دوران گٹکا اکثر روایتی ثقافتی مارشل آرٹ کے طور پر پیش کیا جاتا ہے۔</v>
      </c>
    </row>
    <row r="26">
      <c r="A26" s="3">
        <v>25.0</v>
      </c>
      <c r="B26" s="4" t="s">
        <v>1812</v>
      </c>
      <c r="C26" s="4" t="s">
        <v>1813</v>
      </c>
      <c r="D26" s="4" t="s">
        <v>1814</v>
      </c>
      <c r="E26" s="4" t="s">
        <v>1815</v>
      </c>
      <c r="J26" s="5" t="str">
        <f>IFERROR(__xludf.DUMMYFUNCTION("GOOGLETRANSLATE(A26, ""en"", ""ur"")"),"25")</f>
        <v>25</v>
      </c>
      <c r="K26" s="5" t="str">
        <f>IFERROR(__xludf.DUMMYFUNCTION("GOOGLETRANSLATE(B26, ""en"", ""ur"")"),"کون سا ہتھیار عقیدے کا ایک لازمی مذہبی مضمون ہے (5 Ks میں سے ایک) ابتدائی سکھوں کے ذریعہ لیا جاتا ہے؟")</f>
        <v>کون سا ہتھیار عقیدے کا ایک لازمی مذہبی مضمون ہے (5 Ks میں سے ایک) ابتدائی سکھوں کے ذریعہ لیا جاتا ہے؟</v>
      </c>
      <c r="L26" s="5" t="str">
        <f>IFERROR(__xludf.DUMMYFUNCTION("GOOGLETRANSLATE(C26, ""en"", ""ur"")"),"A) کھنڈا، B) تلوار، C) کرپان، D) چکر")</f>
        <v>A) کھنڈا، B) تلوار، C) کرپان، D) چکر</v>
      </c>
      <c r="M26" s="5" t="str">
        <f>IFERROR(__xludf.DUMMYFUNCTION("GOOGLETRANSLATE(D26, ""en"", ""ur"")"),"ج) کرپان")</f>
        <v>ج) کرپان</v>
      </c>
      <c r="N26" s="5" t="str">
        <f>IFERROR(__xludf.DUMMYFUNCTION("GOOGLETRANSLATE(E26, ""en"", ""ur"")"),"کرپان ایک خنجر یا چھوٹی تلوار ہے جو کمزوروں کے دفاع اور انصاف کو برقرار رکھنے کے سکھ کے فرض کی علامت ہے۔ یہ گٹکا میں بھی استعمال ہوتا ہے۔")</f>
        <v>کرپان ایک خنجر یا چھوٹی تلوار ہے جو کمزوروں کے دفاع اور انصاف کو برقرار رکھنے کے سکھ کے فرض کی علامت ہے۔ یہ گٹکا میں بھی استعمال ہوتا ہے۔</v>
      </c>
    </row>
    <row r="27">
      <c r="A27" s="3">
        <v>26.0</v>
      </c>
      <c r="B27" s="4" t="s">
        <v>1816</v>
      </c>
      <c r="C27" s="4" t="s">
        <v>1817</v>
      </c>
      <c r="D27" s="4" t="s">
        <v>1818</v>
      </c>
      <c r="E27" s="4" t="s">
        <v>1819</v>
      </c>
      <c r="J27" s="5" t="str">
        <f>IFERROR(__xludf.DUMMYFUNCTION("GOOGLETRANSLATE(A27, ""en"", ""ur"")"),"26")</f>
        <v>26</v>
      </c>
      <c r="K27" s="5" t="str">
        <f>IFERROR(__xludf.DUMMYFUNCTION("GOOGLETRANSLATE(B27, ""en"", ""ur"")"),"کون سی مشق میں ایک لڑاکا ایک دائرے میں متعدد مخالفین کے خلاف دفاع کرتا ہے؟")</f>
        <v>کون سی مشق میں ایک لڑاکا ایک دائرے میں متعدد مخالفین کے خلاف دفاع کرتا ہے؟</v>
      </c>
      <c r="L27" s="5" t="str">
        <f>IFERROR(__xludf.DUMMYFUNCTION("GOOGLETRANSLATE(C27, ""en"", ""ur"")"),"A) فاری، B) جور، C) گھیراؤ، D) چکری")</f>
        <v>A) فاری، B) جور، C) گھیراؤ، D) چکری</v>
      </c>
      <c r="M27" s="5" t="str">
        <f>IFERROR(__xludf.DUMMYFUNCTION("GOOGLETRANSLATE(D27, ""en"", ""ur"")"),"ج) گھیراؤ")</f>
        <v>ج) گھیراؤ</v>
      </c>
      <c r="N27" s="5" t="str">
        <f>IFERROR(__xludf.DUMMYFUNCTION("GOOGLETRANSLATE(E27, ""en"", ""ur"")"),"گھیراؤ (گھیراؤ) ایک تربیتی مشق ہے جو حملہ آوروں کے گھیرے میں آنے، ہر طرف آگاہی اور دفاع کی تعلیم دیتی ہے۔")</f>
        <v>گھیراؤ (گھیراؤ) ایک تربیتی مشق ہے جو حملہ آوروں کے گھیرے میں آنے، ہر طرف آگاہی اور دفاع کی تعلیم دیتی ہے۔</v>
      </c>
    </row>
    <row r="28">
      <c r="A28" s="3">
        <v>27.0</v>
      </c>
      <c r="B28" s="4" t="s">
        <v>1820</v>
      </c>
      <c r="C28" s="4" t="s">
        <v>1821</v>
      </c>
      <c r="D28" s="4" t="s">
        <v>1822</v>
      </c>
      <c r="E28" s="4" t="s">
        <v>1823</v>
      </c>
      <c r="J28" s="5" t="str">
        <f>IFERROR(__xludf.DUMMYFUNCTION("GOOGLETRANSLATE(A28, ""en"", ""ur"")"),"27")</f>
        <v>27</v>
      </c>
      <c r="K28" s="5" t="str">
        <f>IFERROR(__xludf.DUMMYFUNCTION("GOOGLETRANSLATE(B28, ""en"", ""ur"")"),"ایک ہی میچ میں تین وارننگ ملنے پر کیا جرمانہ ہے؟")</f>
        <v>ایک ہی میچ میں تین وارننگ ملنے پر کیا جرمانہ ہے؟</v>
      </c>
      <c r="L28" s="5" t="str">
        <f>IFERROR(__xludf.DUMMYFUNCTION("GOOGLETRANSLATE(C28, ""en"", ""ur"")"),"A) 5 نکاتی کٹوتی، B) راؤنڈ کی ضبطی، C) میچ سے نااہلی، D) حتمی وارننگ")</f>
        <v>A) 5 نکاتی کٹوتی، B) راؤنڈ کی ضبطی، C) میچ سے نااہلی، D) حتمی وارننگ</v>
      </c>
      <c r="M28" s="5" t="str">
        <f>IFERROR(__xludf.DUMMYFUNCTION("GOOGLETRANSLATE(D28, ""en"", ""ur"")"),"ج) میچ سے نااہلی")</f>
        <v>ج) میچ سے نااہلی</v>
      </c>
      <c r="N28" s="5" t="str">
        <f>IFERROR(__xludf.DUMMYFUNCTION("GOOGLETRANSLATE(E28, ""en"", ""ur"")"),"فاؤل یا بد سلوکی کے لیے تین انتباہات جمع کرنے سے خودکار طور پر نااہلی ہو جاتی ہے۔")</f>
        <v>فاؤل یا بد سلوکی کے لیے تین انتباہات جمع کرنے سے خودکار طور پر نااہلی ہو جاتی ہے۔</v>
      </c>
    </row>
    <row r="29">
      <c r="A29" s="3">
        <v>28.0</v>
      </c>
      <c r="B29" s="4" t="s">
        <v>1824</v>
      </c>
      <c r="C29" s="4" t="s">
        <v>1825</v>
      </c>
      <c r="D29" s="4" t="s">
        <v>1826</v>
      </c>
      <c r="E29" s="4" t="s">
        <v>1827</v>
      </c>
      <c r="J29" s="5" t="str">
        <f>IFERROR(__xludf.DUMMYFUNCTION("GOOGLETRANSLATE(A29, ""en"", ""ur"")"),"28")</f>
        <v>28</v>
      </c>
      <c r="K29" s="5" t="str">
        <f>IFERROR(__xludf.DUMMYFUNCTION("GOOGLETRANSLATE(B29, ""en"", ""ur"")"),"گٹکا کے اسکورنگ کا اکثر باڑ لگانے سے موازنہ کیا جاتا ہے؟")</f>
        <v>گٹکا کے اسکورنگ کا اکثر باڑ لگانے سے موازنہ کیا جاتا ہے؟</v>
      </c>
      <c r="L29" s="5" t="str">
        <f>IFERROR(__xludf.DUMMYFUNCTION("GOOGLETRANSLATE(C29, ""en"", ""ur"")"),"A)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f>
        <v>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v>
      </c>
      <c r="M29" s="5" t="str">
        <f>IFERROR(__xludf.DUMMYFUNCTION("GOOGLETRANSLATE(D29, ""en"", ""ur"")"),"C) صاف، کنٹرول شدہ ""ٹچ"" یا درست ٹارگٹ زونز کو سٹرائیکس کے لیے پوائنٹس دیے جاتے ہیں۔")</f>
        <v>C) صاف، کنٹرول شدہ "ٹچ" یا درست ٹارگٹ زونز کو سٹرائیکس کے لیے پوائنٹس دیے جاتے ہیں۔</v>
      </c>
      <c r="N29" s="5" t="str">
        <f>IFERROR(__xludf.DUMMYFUNCTION("GOOGLETRANSLATE(E29, ""en"", ""ur"")"),"باڑ لگانے کی طرح، مقصد زخمی کرنا نہیں ہے بلکہ قواعد کے مطابق درست ہٹ لگا کر اعلیٰ مہارت کا مظاہرہ کرنا ہے۔")</f>
        <v>باڑ لگانے کی طرح، مقصد زخمی کرنا نہیں ہے بلکہ قواعد کے مطابق درست ہٹ لگا کر اعلیٰ مہارت کا مظاہرہ کرنا ہے۔</v>
      </c>
    </row>
    <row r="30">
      <c r="A30" s="3">
        <v>29.0</v>
      </c>
      <c r="B30" s="4" t="s">
        <v>1828</v>
      </c>
      <c r="C30" s="4" t="s">
        <v>1829</v>
      </c>
      <c r="D30" s="4" t="s">
        <v>1830</v>
      </c>
      <c r="E30" s="4" t="s">
        <v>1831</v>
      </c>
      <c r="J30" s="5" t="str">
        <f>IFERROR(__xludf.DUMMYFUNCTION("GOOGLETRANSLATE(A30, ""en"", ""ur"")"),"29")</f>
        <v>29</v>
      </c>
      <c r="K30" s="5" t="str">
        <f>IFERROR(__xludf.DUMMYFUNCTION("GOOGLETRANSLATE(B30, ""en"", ""ur"")"),"عملی طور پر زندہ بلیڈ کے بجائے لکڑی کی چھڑیوں کے استعمال کی تاریخی وجہ کیا ہے؟")</f>
        <v>عملی طور پر زندہ بلیڈ کے بجائے لکڑی کی چھڑیوں کے استعمال کی تاریخی وجہ کیا ہے؟</v>
      </c>
      <c r="L30" s="5" t="str">
        <f>IFERROR(__xludf.DUMMYFUNCTION("GOOGLETRANSLATE(C30, ""en"", ""ur"")"),"A) وہ سستے تھے، B) 1878 کے برطانوی آرمز ایکٹ نے ہتھیاروں کو محدود کر دیا، لاٹھیوں کے استعمال کو مجبور کیا گیا، C) لکڑی کی لاٹھی زیادہ موثر ہے، D) یہ اصل روایت تھی۔")</f>
        <v>A) وہ سستے تھے، B) 1878 کے برطانوی آرمز ایکٹ نے ہتھیاروں کو محدود کر دیا، لاٹھیوں کے استعمال کو مجبور کیا گیا، C) لکڑی کی لاٹھی زیادہ موثر ہے، D) یہ اصل روایت تھی۔</v>
      </c>
      <c r="M30" s="5" t="str">
        <f>IFERROR(__xludf.DUMMYFUNCTION("GOOGLETRANSLATE(D30, ""en"", ""ur"")"),"ب) 1878 کے برطانوی آرمز ایکٹ نے ہتھیاروں کو محدود کیا، لاٹھیوں کے استعمال پر مجبور")</f>
        <v>ب) 1878 کے برطانوی آرمز ایکٹ نے ہتھیاروں کو محدود کیا، لاٹھیوں کے استعمال پر مجبور</v>
      </c>
      <c r="N30" s="5" t="str">
        <f>IFERROR(__xludf.DUMMYFUNCTION("GOOGLETRANSLATE(E30, ""en"", ""ur"")"),"ہتھیار لے جانے پر برطانوی پابندی نے مارشل آرٹ کو اپنانے پر مجبور کیا، تلوار کی تکنیک پر عمل کرنے کے لیے لکڑی کے ڈنڈے استعمال کیے، جس نے تربیت کو بھی محفوظ بنایا۔")</f>
        <v>ہتھیار لے جانے پر برطانوی پابندی نے مارشل آرٹ کو اپنانے پر مجبور کیا، تلوار کی تکنیک پر عمل کرنے کے لیے لکڑی کے ڈنڈے استعمال کیے، جس نے تربیت کو بھی محفوظ بنایا۔</v>
      </c>
    </row>
    <row r="31">
      <c r="A31" s="3">
        <v>30.0</v>
      </c>
      <c r="B31" s="4" t="s">
        <v>1832</v>
      </c>
      <c r="C31" s="4" t="s">
        <v>1833</v>
      </c>
      <c r="D31" s="4" t="s">
        <v>1834</v>
      </c>
      <c r="E31" s="4" t="s">
        <v>1835</v>
      </c>
      <c r="J31" s="5" t="str">
        <f>IFERROR(__xludf.DUMMYFUNCTION("GOOGLETRANSLATE(A31, ""en"", ""ur"")"),"30")</f>
        <v>30</v>
      </c>
      <c r="K31" s="5" t="str">
        <f>IFERROR(__xludf.DUMMYFUNCTION("GOOGLETRANSLATE(B31, ""en"", ""ur"")"),"گٹکا فلسفہ میں، ""چاردی کلا"" روح کس چیز پر زور دیتی ہے؟")</f>
        <v>گٹکا فلسفہ میں، "چاردی کلا" روح کس چیز پر زور دیتی ہے؟</v>
      </c>
      <c r="L31" s="5" t="str">
        <f>IFERROR(__xludf.DUMMYFUNCTION("GOOGLETRANSLATE(C31, ""en"", ""ur"")"),"A) بدلہ لینے کی خواہش، B) ابدی رجائیت اور بلند روح کی حالت، یہاں تک کہ مصیبت میں بھی، C) انتہائی جارحیت، D) سخت رسم کی پابندی")</f>
        <v>A) بدلہ لینے کی خواہش، B) ابدی رجائیت اور بلند روح کی حالت، یہاں تک کہ مصیبت میں بھی، C) انتہائی جارحیت، D) سخت رسم کی پابندی</v>
      </c>
      <c r="M31" s="5" t="str">
        <f>IFERROR(__xludf.DUMMYFUNCTION("GOOGLETRANSLATE(D31, ""en"", ""ur"")"),"ب) دائمی رجائیت اور بلند روح کی حالت، یہاں تک کہ مصیبت میں بھی")</f>
        <v>ب) دائمی رجائیت اور بلند روح کی حالت، یہاں تک کہ مصیبت میں بھی</v>
      </c>
      <c r="N31" s="5" t="str">
        <f>IFERROR(__xludf.DUMMYFUNCTION("GOOGLETRANSLATE(E31, ""en"", ""ur"")"),"چاردی کلا سکھوں کا ایک بنیادی تصور ہے جو ایک مثبت، لچکدار، اور نڈر ذہنیت کو فروغ دیتا ہے، جو جنگجو کے جذبے کا مرکز ہے۔")</f>
        <v>چاردی کلا سکھوں کا ایک بنیادی تصور ہے جو ایک مثبت، لچکدار، اور نڈر ذہنیت کو فروغ دیتا ہے، جو جنگجو کے جذبے کا مرکز ہے۔</v>
      </c>
    </row>
    <row r="32">
      <c r="A32" s="3">
        <v>31.0</v>
      </c>
      <c r="B32" s="4" t="s">
        <v>1836</v>
      </c>
      <c r="C32" s="4" t="s">
        <v>1837</v>
      </c>
      <c r="D32" s="4" t="s">
        <v>1838</v>
      </c>
      <c r="E32" s="4" t="s">
        <v>1839</v>
      </c>
      <c r="J32" s="5" t="str">
        <f>IFERROR(__xludf.DUMMYFUNCTION("GOOGLETRANSLATE(A32, ""en"", ""ur"")"),"31")</f>
        <v>31</v>
      </c>
      <c r="K32" s="5" t="str">
        <f>IFERROR(__xludf.DUMMYFUNCTION("GOOGLETRANSLATE(B32, ""en"", ""ur"")"),"ان میں سے کون سا روایتی گٹکا ہتھیار نہیں ہے؟")</f>
        <v>ان میں سے کون سا روایتی گٹکا ہتھیار نہیں ہے؟</v>
      </c>
      <c r="L32" s="5" t="str">
        <f>IFERROR(__xludf.DUMMYFUNCTION("GOOGLETRANSLATE(C32, ""en"", ""ur"")"),"اے) سوتی")</f>
        <v>اے) سوتی</v>
      </c>
      <c r="M32" s="5" t="str">
        <f>IFERROR(__xludf.DUMMYFUNCTION("GOOGLETRANSLATE(D32, ""en"", ""ur"")"),"D) ننچاکو (فلیل)")</f>
        <v>D) ننچاکو (فلیل)</v>
      </c>
      <c r="N32" s="5" t="str">
        <f>IFERROR(__xludf.DUMMYFUNCTION("GOOGLETRANSLATE(E32, ""en"", ""ur"")"),"ننچاکو اوکیناوان مارشل آرٹس سے وابستہ ایک ہتھیار ہے اور یہ شاستر ودیا کے روایتی سکھ ہتھیاروں کا حصہ نہیں ہے۔")</f>
        <v>ننچاکو اوکیناوان مارشل آرٹس سے وابستہ ایک ہتھیار ہے اور یہ شاستر ودیا کے روایتی سکھ ہتھیاروں کا حصہ نہیں ہے۔</v>
      </c>
    </row>
    <row r="33">
      <c r="A33" s="3">
        <v>32.0</v>
      </c>
      <c r="B33" s="4" t="s">
        <v>1840</v>
      </c>
      <c r="C33" s="4" t="s">
        <v>1841</v>
      </c>
      <c r="D33" s="4" t="s">
        <v>1842</v>
      </c>
      <c r="E33" s="4" t="s">
        <v>1843</v>
      </c>
      <c r="J33" s="5" t="str">
        <f>IFERROR(__xludf.DUMMYFUNCTION("GOOGLETRANSLATE(A33, ""en"", ""ur"")"),"32")</f>
        <v>32</v>
      </c>
      <c r="K33" s="5" t="str">
        <f>IFERROR(__xludf.DUMMYFUNCTION("GOOGLETRANSLATE(B33, ""en"", ""ur"")"),"ایک ریفری پیلے رنگ کا جھنڈا اٹھاتا ہے۔ یہ عام طور پر کیا معنی رکھتا ہے؟")</f>
        <v>ایک ریفری پیلے رنگ کا جھنڈا اٹھاتا ہے۔ یہ عام طور پر کیا معنی رکھتا ہے؟</v>
      </c>
      <c r="L33" s="5" t="str">
        <f>IFERROR(__xludf.DUMMYFUNCTION("GOOGLETRANSLATE(C33, ""en"", ""ur"")"),"A) ایک پوائنٹ اسکور کیا گیا ہے، B) فائنل راؤنڈ کا آغاز، C) ایک فاؤل کے لئے ایک آفیشل وارننگ دی گئی ہے، D) ایک ٹائم آؤٹ کہا گیا ہے")</f>
        <v>A) ایک پوائنٹ اسکور کیا گیا ہے، B) فائنل راؤنڈ کا آغاز، C) ایک فاؤل کے لئے ایک آفیشل وارننگ دی گئی ہے، D) ایک ٹائم آؤٹ کہا گیا ہے</v>
      </c>
      <c r="M33" s="5" t="str">
        <f>IFERROR(__xludf.DUMMYFUNCTION("GOOGLETRANSLATE(D33, ""en"", ""ur"")"),"C) ایک غلط کے لئے ایک سرکاری انتباہ دیا گیا ہے")</f>
        <v>C) ایک غلط کے لئے ایک سرکاری انتباہ دیا گیا ہے</v>
      </c>
      <c r="N33" s="5" t="str">
        <f>IFERROR(__xludf.DUMMYFUNCTION("GOOGLETRANSLATE(E33, ""en"", ""ur"")"),"کچھ سکورنگ سسٹمز میں، رنگین جھنڈوں کو ججز اور ریفری اپنے فیصلوں کی نشاندہی کرنے کے لیے استعمال کرتے ہیں، جس میں پیلے رنگ اکثر انتباہ کی نشاندہی کرتے ہیں۔")</f>
        <v>کچھ سکورنگ سسٹمز میں، رنگین جھنڈوں کو ججز اور ریفری اپنے فیصلوں کی نشاندہی کرنے کے لیے استعمال کرتے ہیں، جس میں پیلے رنگ اکثر انتباہ کی نشاندہی کرتے ہیں۔</v>
      </c>
    </row>
    <row r="34">
      <c r="A34" s="3">
        <v>33.0</v>
      </c>
      <c r="B34" s="4" t="s">
        <v>1844</v>
      </c>
      <c r="C34" s="4" t="s">
        <v>1845</v>
      </c>
      <c r="D34" s="4" t="s">
        <v>1846</v>
      </c>
      <c r="E34" s="4" t="s">
        <v>1847</v>
      </c>
      <c r="J34" s="5" t="str">
        <f>IFERROR(__xludf.DUMMYFUNCTION("GOOGLETRANSLATE(A34, ""en"", ""ur"")"),"33")</f>
        <v>33</v>
      </c>
      <c r="K34" s="5" t="str">
        <f>IFERROR(__xludf.DUMMYFUNCTION("GOOGLETRANSLATE(B34, ""en"", ""ur"")"),"کس گرو نے گٹکا کی ترقی کو متاثر کرتے ہوئے میری پیری (دنیاوی اور روحانی طاقت) کا تصور پیش کیا؟")</f>
        <v>کس گرو نے گٹکا کی ترقی کو متاثر کرتے ہوئے میری پیری (دنیاوی اور روحانی طاقت) کا تصور پیش کیا؟</v>
      </c>
      <c r="L34" s="5" t="str">
        <f>IFERROR(__xludf.DUMMYFUNCTION("GOOGLETRANSLATE(C34, ""en"", ""ur"")"),"A) گرو انگد، B) گرو ہرگوبند، C) گرو تیغ بہادر، D) گرو نانک")</f>
        <v>A) گرو انگد، B) گرو ہرگوبند، C) گرو تیغ بہادر، D) گرو نانک</v>
      </c>
      <c r="M34" s="5" t="str">
        <f>IFERROR(__xludf.DUMMYFUNCTION("GOOGLETRANSLATE(D34, ""en"", ""ur"")"),"ب) گرو ہرگوبند")</f>
        <v>ب) گرو ہرگوبند</v>
      </c>
      <c r="N34" s="5" t="str">
        <f>IFERROR(__xludf.DUMMYFUNCTION("GOOGLETRANSLATE(E34, ""en"", ""ur"")"),"چھٹے گرو، گرو ہرگوبند نے مارشل روایت کو مضبوط کرتے ہوئے، روحانی اور دنیاوی دونوں اختیار کی ضرورت کی علامت کے لیے دو تلواریں پہنیں۔")</f>
        <v>چھٹے گرو، گرو ہرگوبند نے مارشل روایت کو مضبوط کرتے ہوئے، روحانی اور دنیاوی دونوں اختیار کی ضرورت کی علامت کے لیے دو تلواریں پہنیں۔</v>
      </c>
    </row>
    <row r="35">
      <c r="A35" s="3">
        <v>34.0</v>
      </c>
      <c r="B35" s="4" t="s">
        <v>1848</v>
      </c>
      <c r="C35" s="4" t="s">
        <v>1849</v>
      </c>
      <c r="D35" s="4" t="s">
        <v>1850</v>
      </c>
      <c r="E35" s="4" t="s">
        <v>1851</v>
      </c>
      <c r="J35" s="5" t="str">
        <f>IFERROR(__xludf.DUMMYFUNCTION("GOOGLETRANSLATE(A35, ""en"", ""ur"")"),"34")</f>
        <v>34</v>
      </c>
      <c r="K35" s="5" t="str">
        <f>IFERROR(__xludf.DUMMYFUNCTION("GOOGLETRANSLATE(B35, ""en"", ""ur"")"),"تلواروں اور دیگر ہتھیاروں کو نمائشوں اور جدید مقابلوں کے لیے کیوں کند کیا جاتا ہے؟")</f>
        <v>تلواروں اور دیگر ہتھیاروں کو نمائشوں اور جدید مقابلوں کے لیے کیوں کند کیا جاتا ہے؟</v>
      </c>
      <c r="L35" s="5" t="str">
        <f>IFERROR(__xludf.DUMMYFUNCTION("GOOGLETRANSLATE(C35, ""en"", ""ur"")"),"A) ان کی لاگت کو کم کرنے کے لئے، B) حقیقت پسندانہ مظاہروں کی اجازت دیتے ہوئے سنگین یا مہلک زخموں کو روکنے کے لئے، C) تربیت کے لئے ان کا وزن بڑھانا، D) یہ ایک مذہبی ضرورت ہے۔")</f>
        <v>A) ان کی لاگت کو کم کرنے کے لئے، B) حقیقت پسندانہ مظاہروں کی اجازت دیتے ہوئے سنگین یا مہلک زخموں کو روکنے کے لئے، C) تربیت کے لئے ان کا وزن بڑھانا، D) یہ ایک مذہبی ضرورت ہے۔</v>
      </c>
      <c r="M35" s="5" t="str">
        <f>IFERROR(__xludf.DUMMYFUNCTION("GOOGLETRANSLATE(D35, ""en"", ""ur"")"),"ب) حقیقت پسندانہ مظاہروں کی اجازت دیتے ہوئے سنگین یا مہلک چوٹوں کو روکنا")</f>
        <v>ب) حقیقت پسندانہ مظاہروں کی اجازت دیتے ہوئے سنگین یا مہلک چوٹوں کو روکنا</v>
      </c>
      <c r="N35" s="5" t="str">
        <f>IFERROR(__xludf.DUMMYFUNCTION("GOOGLETRANSLATE(E35, ""en"", ""ur"")"),"کناروں کو بلنٹ کرنے سے فنکاروں اور حریفوں کو محفوظ طریقے سے رفتار اور طاقت کے ساتھ مستند تکنیکوں کی نمائش کرنے کی اجازت ملتی ہے۔")</f>
        <v>کناروں کو بلنٹ کرنے سے فنکاروں اور حریفوں کو محفوظ طریقے سے رفتار اور طاقت کے ساتھ مستند تکنیکوں کی نمائش کرنے کی اجازت ملتی ہے۔</v>
      </c>
    </row>
    <row r="36">
      <c r="A36" s="3">
        <v>35.0</v>
      </c>
      <c r="B36" s="4" t="s">
        <v>1852</v>
      </c>
      <c r="C36" s="4" t="s">
        <v>1853</v>
      </c>
      <c r="D36" s="4" t="s">
        <v>1854</v>
      </c>
      <c r="E36" s="4" t="s">
        <v>1855</v>
      </c>
      <c r="J36" s="5" t="str">
        <f>IFERROR(__xludf.DUMMYFUNCTION("GOOGLETRANSLATE(A36, ""en"", ""ur"")"),"35")</f>
        <v>35</v>
      </c>
      <c r="K36" s="5" t="str">
        <f>IFERROR(__xludf.DUMMYFUNCTION("GOOGLETRANSLATE(B36, ""en"", ""ur"")"),"کس قسم کی ہڑتال اپنے انتہائی خطرے کی وجہ سے سختی سے منع ہے؟")</f>
        <v>کس قسم کی ہڑتال اپنے انتہائی خطرے کی وجہ سے سختی سے منع ہے؟</v>
      </c>
      <c r="L36" s="5" t="str">
        <f>IFERROR(__xludf.DUMMYFUNCTION("GOOGLETRANSLATE(C36, ""en"", ""ur"")"),"A) کندھے پر حملہ، B) گردن یا گلے پر ضرب، C) کلائی پر ضرب، D) گھٹنے پر ضرب")</f>
        <v>A) کندھے پر حملہ، B) گردن یا گلے پر ضرب، C) کلائی پر ضرب، D) گھٹنے پر ضرب</v>
      </c>
      <c r="M36" s="5" t="str">
        <f>IFERROR(__xludf.DUMMYFUNCTION("GOOGLETRANSLATE(D36, ""en"", ""ur"")"),"ب) گردن یا گلے پر حملہ")</f>
        <v>ب) گردن یا گلے پر حملہ</v>
      </c>
      <c r="N36" s="5" t="str">
        <f>IFERROR(__xludf.DUMMYFUNCTION("GOOGLETRANSLATE(E36, ""en"", ""ur"")"),"گردن ایک غیر قانونی ہدف ہے کیونکہ اس علاقے میں ہڑتال سے جان لیوا خطرہ ہوتا ہے۔")</f>
        <v>گردن ایک غیر قانونی ہدف ہے کیونکہ اس علاقے میں ہڑتال سے جان لیوا خطرہ ہوتا ہے۔</v>
      </c>
    </row>
    <row r="37">
      <c r="A37" s="3">
        <v>36.0</v>
      </c>
      <c r="B37" s="4" t="s">
        <v>1856</v>
      </c>
      <c r="C37" s="4" t="s">
        <v>1857</v>
      </c>
      <c r="D37" s="4" t="s">
        <v>1858</v>
      </c>
      <c r="E37" s="4" t="s">
        <v>1859</v>
      </c>
      <c r="J37" s="5" t="str">
        <f>IFERROR(__xludf.DUMMYFUNCTION("GOOGLETRANSLATE(A37, ""en"", ""ur"")"),"36")</f>
        <v>36</v>
      </c>
      <c r="K37" s="5" t="str">
        <f>IFERROR(__xludf.DUMMYFUNCTION("GOOGLETRANSLATE(B37, ""en"", ""ur"")"),"پاکستان میں ثقافتی نمائش کے دوران گٹکا اکثر پنجابی فن کے کون سے مشہور فن کے ساتھ پیش کیا جاتا ہے؟")</f>
        <v>پاکستان میں ثقافتی نمائش کے دوران گٹکا اکثر پنجابی فن کے کون سے مشہور فن کے ساتھ پیش کیا جاتا ہے؟</v>
      </c>
      <c r="L37" s="5" t="str">
        <f>IFERROR(__xludf.DUMMYFUNCTION("GOOGLETRANSLATE(C37, ""en"", ""ur"")"),"A) گڈا، B) بھنگڑا، C) کتھک، D) دھمال")</f>
        <v>A) گڈا، B) بھنگڑا، C) کتھک، D) دھمال</v>
      </c>
      <c r="M37" s="5" t="str">
        <f>IFERROR(__xludf.DUMMYFUNCTION("GOOGLETRANSLATE(D37, ""en"", ""ur"")"),"ب) بھنگڑا")</f>
        <v>ب) بھنگڑا</v>
      </c>
      <c r="N37" s="5" t="str">
        <f>IFERROR(__xludf.DUMMYFUNCTION("GOOGLETRANSLATE(E37, ""en"", ""ur"")"),"بھنگڑے کا پرجوش رقص اور گٹکا کا مارشل ڈسپلے اکثر پنجابی ثقافت کے تہوار اور جنگجو جذبوں کو ظاہر کرنے کے لیے ایک ساتھ جوڑا جاتا ہے۔")</f>
        <v>بھنگڑے کا پرجوش رقص اور گٹکا کا مارشل ڈسپلے اکثر پنجابی ثقافت کے تہوار اور جنگجو جذبوں کو ظاہر کرنے کے لیے ایک ساتھ جوڑا جاتا ہے۔</v>
      </c>
    </row>
    <row r="38">
      <c r="A38" s="3">
        <v>37.0</v>
      </c>
      <c r="B38" s="4" t="s">
        <v>1860</v>
      </c>
      <c r="C38" s="4" t="s">
        <v>1861</v>
      </c>
      <c r="D38" s="4" t="s">
        <v>1862</v>
      </c>
      <c r="E38" s="4" t="s">
        <v>1863</v>
      </c>
      <c r="J38" s="5" t="str">
        <f>IFERROR(__xludf.DUMMYFUNCTION("GOOGLETRANSLATE(A38, ""en"", ""ur"")"),"37")</f>
        <v>37</v>
      </c>
      <c r="K38" s="5" t="str">
        <f>IFERROR(__xludf.DUMMYFUNCTION("GOOGLETRANSLATE(B38, ""en"", ""ur"")"),"لباس کا کون سا رنگ سب سے زیادہ مشہور نہنگ جنگجو کے حکم سے منسلک ہے؟")</f>
        <v>لباس کا کون سا رنگ سب سے زیادہ مشہور نہنگ جنگجو کے حکم سے منسلک ہے؟</v>
      </c>
      <c r="L38" s="5" t="str">
        <f>IFERROR(__xludf.DUMMYFUNCTION("GOOGLETRANSLATE(C38, ""en"", ""ur"")"),"A) سرخ، B) سفید، C) گہرا نیلا، D) سبز")</f>
        <v>A) سرخ، B) سفید، C) گہرا نیلا، D) سبز</v>
      </c>
      <c r="M38" s="5" t="str">
        <f>IFERROR(__xludf.DUMMYFUNCTION("GOOGLETRANSLATE(D38, ""en"", ""ur"")"),"ج) گہرا نیلا")</f>
        <v>ج) گہرا نیلا</v>
      </c>
      <c r="N38" s="5" t="str">
        <f>IFERROR(__xludf.DUMMYFUNCTION("GOOGLETRANSLATE(E38, ""en"", ""ur"")"),"نہنگ سکھ روایتی طور پر مخصوص گہرے نیلے رنگ کے لباس (بانا) اپنی جنگجو شناخت کے حصے کے طور پر پہنتے ہیں۔")</f>
        <v>نہنگ سکھ روایتی طور پر مخصوص گہرے نیلے رنگ کے لباس (بانا) اپنی جنگجو شناخت کے حصے کے طور پر پہنتے ہیں۔</v>
      </c>
    </row>
    <row r="39">
      <c r="A39" s="3">
        <v>38.0</v>
      </c>
      <c r="B39" s="4" t="s">
        <v>1864</v>
      </c>
      <c r="C39" s="4" t="s">
        <v>1865</v>
      </c>
      <c r="D39" s="4" t="s">
        <v>1866</v>
      </c>
      <c r="E39" s="4" t="s">
        <v>1867</v>
      </c>
      <c r="J39" s="5" t="str">
        <f>IFERROR(__xludf.DUMMYFUNCTION("GOOGLETRANSLATE(A39, ""en"", ""ur"")"),"38")</f>
        <v>38</v>
      </c>
      <c r="K39" s="5" t="str">
        <f>IFERROR(__xludf.DUMMYFUNCTION("GOOGLETRANSLATE(B39, ""en"", ""ur"")"),"گٹکا ٹورنامنٹ میں غیر منظور شدہ ہتھیار استعمال کرنے کی کیا سزا ہے؟")</f>
        <v>گٹکا ٹورنامنٹ میں غیر منظور شدہ ہتھیار استعمال کرنے کی کیا سزا ہے؟</v>
      </c>
      <c r="L39" s="5" t="str">
        <f>IFERROR(__xludf.DUMMYFUNCTION("GOOGLETRANSLATE(C39, ""en"", ""ur"")"),"A) وارننگ جاری کی جاتی ہے، B) ہتھیار تبدیل کر دیا جاتا ہے، لیکن میچ جاری رہتا ہے، C) کھلاڑی کو فوری طور پر نااہل قرار دیا جاتا ہے، D) 5 پوائنٹ کا جرمانہ دیا جاتا ہے۔")</f>
        <v>A) وارننگ جاری کی جاتی ہے، B) ہتھیار تبدیل کر دیا جاتا ہے، لیکن میچ جاری رہتا ہے، C) کھلاڑی کو فوری طور پر نااہل قرار دیا جاتا ہے، D) 5 پوائنٹ کا جرمانہ دیا جاتا ہے۔</v>
      </c>
      <c r="M39" s="5" t="str">
        <f>IFERROR(__xludf.DUMMYFUNCTION("GOOGLETRANSLATE(D39, ""en"", ""ur"")"),"ج) کھلاڑی کو فوری طور پر نااہل قرار دے دیا جاتا ہے۔")</f>
        <v>ج) کھلاڑی کو فوری طور پر نااہل قرار دے دیا جاتا ہے۔</v>
      </c>
      <c r="N39" s="5" t="str">
        <f>IFERROR(__xludf.DUMMYFUNCTION("GOOGLETRANSLATE(E39, ""en"", ""ur"")"),"غیر مجاز ہتھیاروں کا استعمال انصاف اور حفاظت سے سمجھوتہ کرتا ہے، جس کی وجہ سے نااہلی ہوتی ہے۔")</f>
        <v>غیر مجاز ہتھیاروں کا استعمال انصاف اور حفاظت سے سمجھوتہ کرتا ہے، جس کی وجہ سے نااہلی ہوتی ہے۔</v>
      </c>
    </row>
    <row r="40">
      <c r="A40" s="3">
        <v>39.0</v>
      </c>
      <c r="B40" s="4" t="s">
        <v>1868</v>
      </c>
      <c r="C40" s="4" t="s">
        <v>1869</v>
      </c>
      <c r="D40" s="4" t="s">
        <v>1870</v>
      </c>
      <c r="E40" s="4" t="s">
        <v>1871</v>
      </c>
      <c r="J40" s="5" t="str">
        <f>IFERROR(__xludf.DUMMYFUNCTION("GOOGLETRANSLATE(A40, ""en"", ""ur"")"),"39")</f>
        <v>39</v>
      </c>
      <c r="K40" s="5" t="str">
        <f>IFERROR(__xludf.DUMMYFUNCTION("GOOGLETRANSLATE(B40, ""en"", ""ur"")"),"جدید گٹکا کے اسکورنگ اور حفاظتی سامان کو کس بین الاقوامی جنگی کھیل نے سب سے زیادہ متاثر کیا ہے؟")</f>
        <v>جدید گٹکا کے اسکورنگ اور حفاظتی سامان کو کس بین الاقوامی جنگی کھیل نے سب سے زیادہ متاثر کیا ہے؟</v>
      </c>
      <c r="L40" s="5" t="str">
        <f>IFERROR(__xludf.DUMMYFUNCTION("GOOGLETRANSLATE(C40, ""en"", ""ur"")"),"A) کراٹے، B) تائیکوانڈو، C) باکسنگ، D) جوڈو")</f>
        <v>A) کراٹے، B) تائیکوانڈو، C) باکسنگ، D) جوڈو</v>
      </c>
      <c r="M40" s="5" t="str">
        <f>IFERROR(__xludf.DUMMYFUNCTION("GOOGLETRANSLATE(D40, ""en"", ""ur"")"),"ب) تائیکوانڈو")</f>
        <v>ب) تائیکوانڈو</v>
      </c>
      <c r="N40" s="5" t="str">
        <f>IFERROR(__xludf.DUMMYFUNCTION("GOOGLETRANSLATE(E40, ""en"", ""ur"")"),"پوائنٹ پر مبنی نظام، رنگین حفاظتی پوشاک کا استعمال، اور کھیل گٹکا میں کلین سٹرائیکس پر زور تائیکوانڈو کے مقابلے کی شکل سے واضح اثر دکھاتا ہے۔")</f>
        <v>پوائنٹ پر مبنی نظام، رنگین حفاظتی پوشاک کا استعمال، اور کھیل گٹکا میں کلین سٹرائیکس پر زور تائیکوانڈو کے مقابلے کی شکل سے واضح اثر دکھاتا ہے۔</v>
      </c>
    </row>
    <row r="41">
      <c r="A41" s="3">
        <v>40.0</v>
      </c>
      <c r="B41" s="4" t="s">
        <v>1872</v>
      </c>
      <c r="C41" s="4" t="s">
        <v>1873</v>
      </c>
      <c r="D41" s="4" t="s">
        <v>1874</v>
      </c>
      <c r="E41" s="4" t="s">
        <v>1875</v>
      </c>
      <c r="J41" s="5" t="str">
        <f>IFERROR(__xludf.DUMMYFUNCTION("GOOGLETRANSLATE(A41, ""en"", ""ur"")"),"40")</f>
        <v>40</v>
      </c>
      <c r="K41" s="5" t="str">
        <f>IFERROR(__xludf.DUMMYFUNCTION("GOOGLETRANSLATE(B41, ""en"", ""ur"")"),"وارم اپ ڈرل فریکھری کا بنیادی مقصد کیا ہے؟")</f>
        <v>وارم اپ ڈرل فریکھری کا بنیادی مقصد کیا ہے؟</v>
      </c>
      <c r="L41" s="5" t="str">
        <f>IFERROR(__xludf.DUMMYFUNCTION("GOOGLETRANSLATE(C41, ""en"", ""ur"")"),"A) سانس لینے پر کنٹرول، B) بازو کھینچنا، C) ہتھیاروں کی لچک، D) فٹ ورک کی تیاری اور چستی")</f>
        <v>A) سانس لینے پر کنٹرول، B) بازو کھینچنا، C) ہتھیاروں کی لچک، D) فٹ ورک کی تیاری اور چستی</v>
      </c>
      <c r="M41" s="5" t="str">
        <f>IFERROR(__xludf.DUMMYFUNCTION("GOOGLETRANSLATE(D41, ""en"", ""ur"")"),"D) فٹ ورک کی تیاری اور چستی")</f>
        <v>D) فٹ ورک کی تیاری اور چستی</v>
      </c>
      <c r="N41" s="5" t="str">
        <f>IFERROR(__xludf.DUMMYFUNCTION("GOOGLETRANSLATE(E41, ""en"", ""ur"")"),"پھریکھری متحرک قدموں اور ہاپنگ کے نمونوں پر مشتمل ہے جو لڑائی کے تقاضوں کے لیے لڑاکا فٹ ورک تیار کرتے ہیں۔")</f>
        <v>پھریکھری متحرک قدموں اور ہاپنگ کے نمونوں پر مشتمل ہے جو لڑائی کے تقاضوں کے لیے لڑاکا فٹ ورک تیار کرتے ہیں۔</v>
      </c>
    </row>
    <row r="42">
      <c r="A42" s="3">
        <v>41.0</v>
      </c>
      <c r="B42" s="4" t="s">
        <v>1876</v>
      </c>
      <c r="C42" s="4" t="s">
        <v>1877</v>
      </c>
      <c r="D42" s="4" t="s">
        <v>1878</v>
      </c>
      <c r="E42" s="4" t="s">
        <v>1879</v>
      </c>
      <c r="J42" s="5" t="str">
        <f>IFERROR(__xludf.DUMMYFUNCTION("GOOGLETRANSLATE(A42, ""en"", ""ur"")"),"41")</f>
        <v>41</v>
      </c>
      <c r="K42" s="5" t="str">
        <f>IFERROR(__xludf.DUMMYFUNCTION("GOOGLETRANSLATE(B42, ""en"", ""ur"")"),"مخالف کے ہیڈ گیئر کے لیے صاف، قانونی ہڑتال کی کیا اہمیت ہے؟")</f>
        <v>مخالف کے ہیڈ گیئر کے لیے صاف، قانونی ہڑتال کی کیا اہمیت ہے؟</v>
      </c>
      <c r="L42" s="5" t="str">
        <f>IFERROR(__xludf.DUMMYFUNCTION("GOOGLETRANSLATE(C42, ""en"", ""ur"")"),"A) 1 پوائنٹ، B) 2 پوائنٹس، C) 3 پوائنٹس، D) یہ ایک غیر قانونی اقدام ہے۔")</f>
        <v>A) 1 پوائنٹ، B) 2 پوائنٹس، C) 3 پوائنٹس، D) یہ ایک غیر قانونی اقدام ہے۔</v>
      </c>
      <c r="M42" s="5" t="str">
        <f>IFERROR(__xludf.DUMMYFUNCTION("GOOGLETRANSLATE(D42, ""en"", ""ur"")"),"ب) 2 پوائنٹس")</f>
        <v>ب) 2 پوائنٹس</v>
      </c>
      <c r="N42" s="5" t="str">
        <f>IFERROR(__xludf.DUMMYFUNCTION("GOOGLETRANSLATE(E42, ""en"", ""ur"")"),"اگرچہ چہرہ غیر قانونی ہے، سرکاری ہیڈ گیئر پر کنٹرول شدہ ہڑتال 2 پوائنٹس کی ایک اعلی اسکورنگ تکنیک ہے۔")</f>
        <v>اگرچہ چہرہ غیر قانونی ہے، سرکاری ہیڈ گیئر پر کنٹرول شدہ ہڑتال 2 پوائنٹس کی ایک اعلی اسکورنگ تکنیک ہے۔</v>
      </c>
    </row>
    <row r="43">
      <c r="A43" s="3">
        <v>42.0</v>
      </c>
      <c r="B43" s="4" t="s">
        <v>1880</v>
      </c>
      <c r="C43" s="4" t="s">
        <v>1881</v>
      </c>
      <c r="D43" s="4" t="s">
        <v>1882</v>
      </c>
      <c r="E43" s="4" t="s">
        <v>1883</v>
      </c>
      <c r="J43" s="5" t="str">
        <f>IFERROR(__xludf.DUMMYFUNCTION("GOOGLETRANSLATE(A43, ""en"", ""ur"")"),"42")</f>
        <v>42</v>
      </c>
      <c r="K43" s="5" t="str">
        <f>IFERROR(__xludf.DUMMYFUNCTION("GOOGLETRANSLATE(B43, ""en"", ""ur"")"),"ایک کھلاڑی کو ""لات مارنے"" کی سزا دی جاتی ہے۔ کیا یہ صحیح کال ہے؟")</f>
        <v>ایک کھلاڑی کو "لات مارنے" کی سزا دی جاتی ہے۔ کیا یہ صحیح کال ہے؟</v>
      </c>
      <c r="L43" s="5" t="str">
        <f>IFERROR(__xludf.DUMMYFUNCTION("GOOGLETRANSLATE(C43, ""en"", ""ur"")"),"A)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f>
        <v>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v>
      </c>
      <c r="M43" s="5" t="str">
        <f>IFERROR(__xludf.DUMMYFUNCTION("GOOGLETRANSLATE(D43, ""en"", ""ur"")"),"ب) جی ہاں، گٹکا ہتھیاروں پر مبنی فن ہے اور اس میں لاتیں استعمال نہیں ہوتی ہیں۔")</f>
        <v>ب) جی ہاں، گٹکا ہتھیاروں پر مبنی فن ہے اور اس میں لاتیں استعمال نہیں ہوتی ہیں۔</v>
      </c>
      <c r="N43" s="5" t="str">
        <f>IFERROR(__xludf.DUMMYFUNCTION("GOOGLETRANSLATE(E43, ""en"", ""ur"")"),"گٹکا لاٹھی اور تلوار کی لڑائی کی ایک شکل ہے۔ حریف کو مارنے کے لیے ہاتھ یا پاؤں کا استعمال کھیل کے ورژن میں غلط ہے۔")</f>
        <v>گٹکا لاٹھی اور تلوار کی لڑائی کی ایک شکل ہے۔ حریف کو مارنے کے لیے ہاتھ یا پاؤں کا استعمال کھیل کے ورژن میں غلط ہے۔</v>
      </c>
    </row>
    <row r="44">
      <c r="A44" s="3">
        <v>43.0</v>
      </c>
      <c r="B44" s="4" t="s">
        <v>1884</v>
      </c>
      <c r="C44" s="4" t="s">
        <v>1885</v>
      </c>
      <c r="D44" s="4" t="s">
        <v>1886</v>
      </c>
      <c r="E44" s="4" t="s">
        <v>1887</v>
      </c>
      <c r="J44" s="5" t="str">
        <f>IFERROR(__xludf.DUMMYFUNCTION("GOOGLETRANSLATE(A44, ""en"", ""ur"")"),"43")</f>
        <v>43</v>
      </c>
      <c r="K44" s="5" t="str">
        <f>IFERROR(__xludf.DUMMYFUNCTION("GOOGLETRANSLATE(B44, ""en"", ""ur"")"),"ایک کھلاڑی میچ جیتتا ہے کیونکہ اس کے مخالف کو نااہل قرار دیا گیا ہے۔ اس فتح کو کیا کہتے ہیں؟")</f>
        <v>ایک کھلاڑی میچ جیتتا ہے کیونکہ اس کے مخالف کو نااہل قرار دیا گیا ہے۔ اس فتح کو کیا کہتے ہیں؟</v>
      </c>
      <c r="L44" s="5" t="str">
        <f>IFERROR(__xludf.DUMMYFUNCTION("GOOGLETRANSLATE(C44, ""en"", ""ur"")"),"A) TKO کی جیت، B) ہار کر جیت، C) نااہلی کی جیت، D) تکنیکی جیت")</f>
        <v>A) TKO کی جیت، B) ہار کر جیت، C) نااہلی کی جیت، D) تکنیکی جیت</v>
      </c>
      <c r="M44" s="5" t="str">
        <f>IFERROR(__xludf.DUMMYFUNCTION("GOOGLETRANSLATE(D44, ""en"", ""ur"")"),"C) نااہلی سے جیت")</f>
        <v>C) نااہلی سے جیت</v>
      </c>
      <c r="N44" s="5" t="str">
        <f>IFERROR(__xludf.DUMMYFUNCTION("GOOGLETRANSLATE(E44, ""en"", ""ur"")"),"اگر کسی کھلاڑی کو قواعد کی خلاف ورزی پر میچ سے ہٹا دیا جاتا ہے تو مخالف کو نااہل قرار دے کر فاتح قرار دیا جاتا ہے۔")</f>
        <v>اگر کسی کھلاڑی کو قواعد کی خلاف ورزی پر میچ سے ہٹا دیا جاتا ہے تو مخالف کو نااہل قرار دے کر فاتح قرار دیا جاتا ہے۔</v>
      </c>
    </row>
    <row r="45">
      <c r="A45" s="3">
        <v>44.0</v>
      </c>
      <c r="B45" s="4" t="s">
        <v>1888</v>
      </c>
      <c r="C45" s="4" t="s">
        <v>1889</v>
      </c>
      <c r="D45" s="4" t="s">
        <v>1890</v>
      </c>
      <c r="E45" s="4" t="s">
        <v>1891</v>
      </c>
      <c r="J45" s="5" t="str">
        <f>IFERROR(__xludf.DUMMYFUNCTION("GOOGLETRANSLATE(A45, ""en"", ""ur"")"),"44")</f>
        <v>44</v>
      </c>
      <c r="K45" s="5" t="str">
        <f>IFERROR(__xludf.DUMMYFUNCTION("GOOGLETRANSLATE(B45, ""en"", ""ur"")"),"ٹیم ایونٹ میں، جیتنے والی ٹیم کا تعین کیسے ہوتا ہے؟")</f>
        <v>ٹیم ایونٹ میں، جیتنے والی ٹیم کا تعین کیسے ہوتا ہے؟</v>
      </c>
      <c r="L45" s="5" t="str">
        <f>IFERROR(__xludf.DUMMYFUNCTION("GOOGLETRANSLATE(C45, ""en"", ""ur"")"),"A)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f>
        <v>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v>
      </c>
      <c r="M45" s="5" t="str">
        <f>IFERROR(__xludf.DUMMYFUNCTION("GOOGLETRANSLATE(D45, ""en"", ""ur"")"),"ب) سب سے زیادہ انفرادی میچ جیتنے والی ٹیم جیت جاتی ہے۔")</f>
        <v>ب) سب سے زیادہ انفرادی میچ جیتنے والی ٹیم جیت جاتی ہے۔</v>
      </c>
      <c r="N45" s="5" t="str">
        <f>IFERROR(__xludf.DUMMYFUNCTION("GOOGLETRANSLATE(E45, ""en"", ""ur"")"),"ایک ٹیم ایونٹ ون آن ون باؤٹس کا ایک سلسلہ ہے۔ انفرادی فتوحات کی اکثریت حاصل کرنے والی ٹیم مجموعی میچ جیت جاتی ہے۔")</f>
        <v>ایک ٹیم ایونٹ ون آن ون باؤٹس کا ایک سلسلہ ہے۔ انفرادی فتوحات کی اکثریت حاصل کرنے والی ٹیم مجموعی میچ جیت جاتی ہے۔</v>
      </c>
    </row>
    <row r="46">
      <c r="A46" s="3">
        <v>45.0</v>
      </c>
      <c r="B46" s="4" t="s">
        <v>1892</v>
      </c>
      <c r="C46" s="4" t="s">
        <v>1893</v>
      </c>
      <c r="D46" s="4" t="s">
        <v>1894</v>
      </c>
      <c r="E46" s="4" t="s">
        <v>1895</v>
      </c>
      <c r="J46" s="5" t="str">
        <f>IFERROR(__xludf.DUMMYFUNCTION("GOOGLETRANSLATE(A46, ""en"", ""ur"")"),"45")</f>
        <v>45</v>
      </c>
      <c r="K46" s="5" t="str">
        <f>IFERROR(__xludf.DUMMYFUNCTION("GOOGLETRANSLATE(B46, ""en"", ""ur"")"),"گٹکا کی کچھ تربیتی چھڑیوں پر چمڑے کی ٹوکری کا کیا مقصد ہے؟")</f>
        <v>گٹکا کی کچھ تربیتی چھڑیوں پر چمڑے کی ٹوکری کا کیا مقصد ہے؟</v>
      </c>
      <c r="L46" s="5" t="str">
        <f>IFERROR(__xludf.DUMMYFUNCTION("GOOGLETRANSLATE(C46, ""en"", ""ur"")"),"A) یہ سجاوٹ کے لیے ہے، B) کھلاڑی کے ہاتھ کو ضربوں سے بچانے کے لیے، C) چھڑی میں وزن ڈالنے کے لیے، D) گرفت کو بہتر بنانے کے لیے")</f>
        <v>A) یہ سجاوٹ کے لیے ہے، B) کھلاڑی کے ہاتھ کو ضربوں سے بچانے کے لیے، C) چھڑی میں وزن ڈالنے کے لیے، D) گرفت کو بہتر بنانے کے لیے</v>
      </c>
      <c r="M46" s="5" t="str">
        <f>IFERROR(__xludf.DUMMYFUNCTION("GOOGLETRANSLATE(D46, ""en"", ""ur"")"),"ب) کھلاڑی کے ہاتھ کو حملوں سے بچانے کے لیے")</f>
        <v>ب) کھلاڑی کے ہاتھ کو حملوں سے بچانے کے لیے</v>
      </c>
      <c r="N46" s="5" t="str">
        <f>IFERROR(__xludf.DUMMYFUNCTION("GOOGLETRANSLATE(E46, ""en"", ""ur"")"),"ٹوکری ہلٹ حفاظتی سازوسامان کا ایک اہم ٹکڑا ہے جو ہنگامہ آرائی کے دوران ہاتھ اور پیروں کو براہ راست مار سے بچاتا ہے۔")</f>
        <v>ٹوکری ہلٹ حفاظتی سازوسامان کا ایک اہم ٹکڑا ہے جو ہنگامہ آرائی کے دوران ہاتھ اور پیروں کو براہ راست مار سے بچاتا ہے۔</v>
      </c>
    </row>
    <row r="47">
      <c r="A47" s="3">
        <v>46.0</v>
      </c>
      <c r="B47" s="4" t="s">
        <v>1896</v>
      </c>
      <c r="C47" s="4" t="s">
        <v>1897</v>
      </c>
      <c r="D47" s="4" t="s">
        <v>172</v>
      </c>
      <c r="E47" s="4" t="s">
        <v>1898</v>
      </c>
      <c r="J47" s="5" t="str">
        <f>IFERROR(__xludf.DUMMYFUNCTION("GOOGLETRANSLATE(A47, ""en"", ""ur"")"),"46")</f>
        <v>46</v>
      </c>
      <c r="K47" s="5" t="str">
        <f>IFERROR(__xludf.DUMMYFUNCTION("GOOGLETRANSLATE(B47, ""en"", ""ur"")"),"ایک کھلاڑی گھومنے والا حملہ (گھمن) کر رہا ہے۔ ان کی بنیادی دفاعی کمزوری کیا ہے؟")</f>
        <v>ایک کھلاڑی گھومنے والا حملہ (گھمن) کر رہا ہے۔ ان کی بنیادی دفاعی کمزوری کیا ہے؟</v>
      </c>
      <c r="L47" s="5" t="str">
        <f>IFERROR(__xludf.DUMMYFUNCTION("GOOGLETRANSLATE(C47, ""en"", ""ur"")"),"A) ان کی ٹانگیں کھلی ہوئی ہیں، B) وہ چکرا سکتے ہیں اور توازن کھو سکتے ہیں، C) ان کی پیٹھ مختصر طور پر مخالف کی طرف ہے، D) B اور C دونوں")</f>
        <v>A) ان کی ٹانگیں کھلی ہوئی ہیں، B) وہ چکرا سکتے ہیں اور توازن کھو سکتے ہیں، C) ان کی پیٹھ مختصر طور پر مخالف کی طرف ہے، D) B اور C دونوں</v>
      </c>
      <c r="M47" s="5" t="str">
        <f>IFERROR(__xludf.DUMMYFUNCTION("GOOGLETRANSLATE(D47, ""en"", ""ur"")"),"D) B اور C دونوں")</f>
        <v>D) B اور C دونوں</v>
      </c>
      <c r="N47" s="5" t="str">
        <f>IFERROR(__xludf.DUMMYFUNCTION("GOOGLETRANSLATE(E47, ""en"", ""ur"")"),"گھومنے والے حملے طاقتور لیکن پرخطر ہوتے ہیں، کیونکہ وہ بدگمانی کا باعث بن سکتے ہیں اور ایک ہنر مند حریف کے لیے ایک لمحاتی دفاعی آغاز کر سکتے ہیں۔")</f>
        <v>گھومنے والے حملے طاقتور لیکن پرخطر ہوتے ہیں، کیونکہ وہ بدگمانی کا باعث بن سکتے ہیں اور ایک ہنر مند حریف کے لیے ایک لمحاتی دفاعی آغاز کر سکتے ہیں۔</v>
      </c>
    </row>
    <row r="48">
      <c r="A48" s="3">
        <v>47.0</v>
      </c>
      <c r="B48" s="4" t="s">
        <v>1899</v>
      </c>
      <c r="C48" s="4" t="s">
        <v>1900</v>
      </c>
      <c r="D48" s="4" t="s">
        <v>1901</v>
      </c>
      <c r="E48" s="4" t="s">
        <v>1902</v>
      </c>
      <c r="J48" s="5" t="str">
        <f>IFERROR(__xludf.DUMMYFUNCTION("GOOGLETRANSLATE(A48, ""en"", ""ur"")"),"47")</f>
        <v>47</v>
      </c>
      <c r="K48" s="5" t="str">
        <f>IFERROR(__xludf.DUMMYFUNCTION("GOOGLETRANSLATE(B48, ""en"", ""ur"")"),"گٹکا میں سب سے بنیادی دفاعی بلاک کا نام کیا ہے؟")</f>
        <v>گٹکا میں سب سے بنیادی دفاعی بلاک کا نام کیا ہے؟</v>
      </c>
      <c r="L48" s="5" t="str">
        <f>IFERROR(__xludf.DUMMYFUNCTION("GOOGLETRANSLATE(C48, ""en"", ""ur"")"),"A) روک، B) ڈھل، C) ور، D) ہملہ")</f>
        <v>A) روک، B) ڈھل، C) ور، D) ہملہ</v>
      </c>
      <c r="M48" s="5" t="str">
        <f>IFERROR(__xludf.DUMMYFUNCTION("GOOGLETRANSLATE(D48, ""en"", ""ur"")"),"A) روک")</f>
        <v>A) روک</v>
      </c>
      <c r="N48" s="5" t="str">
        <f>IFERROR(__xludf.DUMMYFUNCTION("GOOGLETRANSLATE(E48, ""en"", ""ur"")"),"روک ایک آنے والی ہڑتال کو اپنے ہتھیار سے روکنے کی بنیادی تکنیک ہے۔")</f>
        <v>روک ایک آنے والی ہڑتال کو اپنے ہتھیار سے روکنے کی بنیادی تکنیک ہے۔</v>
      </c>
    </row>
    <row r="49">
      <c r="A49" s="3">
        <v>48.0</v>
      </c>
      <c r="B49" s="4" t="s">
        <v>1903</v>
      </c>
      <c r="C49" s="4" t="s">
        <v>1904</v>
      </c>
      <c r="D49" s="4" t="s">
        <v>1905</v>
      </c>
      <c r="E49" s="4" t="s">
        <v>1906</v>
      </c>
      <c r="J49" s="5" t="str">
        <f>IFERROR(__xludf.DUMMYFUNCTION("GOOGLETRANSLATE(A49, ""en"", ""ur"")"),"48")</f>
        <v>48</v>
      </c>
      <c r="K49" s="5" t="str">
        <f>IFERROR(__xludf.DUMMYFUNCTION("GOOGLETRANSLATE(B49, ""en"", ""ur"")"),"ایک کھلاڑی غلطی سے اپنی چھڑی سے ریفری کو مارتا ہے۔ ممکنہ نتیجہ کیا ہے؟")</f>
        <v>ایک کھلاڑی غلطی سے اپنی چھڑی سے ریفری کو مارتا ہے۔ ممکنہ نتیجہ کیا ہے؟</v>
      </c>
      <c r="L49" s="5" t="str">
        <f>IFERROR(__xludf.DUMMYFUNCTION("GOOGLETRANSLATE(C49, ""en"", ""ur"")"),"A) کھلاڑی کو فوری طور پر نااہل قرار دیا جاتا ہے، B) ریفری کنٹرول نہ ہونے پر وارننگ جاری کرتا ہے، C) میچ جاری رہتا ہے، D) مخالف کو ایک پوائنٹ ملتا ہے۔")</f>
        <v>A) کھلاڑی کو فوری طور پر نااہل قرار دیا جاتا ہے، B) ریفری کنٹرول نہ ہونے پر وارننگ جاری کرتا ہے، C) میچ جاری رہتا ہے، D) مخالف کو ایک پوائنٹ ملتا ہے۔</v>
      </c>
      <c r="M49" s="5" t="str">
        <f>IFERROR(__xludf.DUMMYFUNCTION("GOOGLETRANSLATE(D49, ""en"", ""ur"")"),"ب) ریفری کنٹرول کی کمی کے لئے ایک انتباہ جاری کرتا ہے۔")</f>
        <v>ب) ریفری کنٹرول کی کمی کے لئے ایک انتباہ جاری کرتا ہے۔</v>
      </c>
      <c r="N49" s="5" t="str">
        <f>IFERROR(__xludf.DUMMYFUNCTION("GOOGLETRANSLATE(E49, ""en"", ""ur"")"),"حادثاتی طور پر، ایک کھلاڑی ہر وقت اپنے ہتھیار کے لیے ذمہ دار ہوتا ہے۔ ریفری میچ کو روک دے گا اور خطرناک کھیل کے لیے وارننگ جاری کرے گا۔")</f>
        <v>حادثاتی طور پر، ایک کھلاڑی ہر وقت اپنے ہتھیار کے لیے ذمہ دار ہوتا ہے۔ ریفری میچ کو روک دے گا اور خطرناک کھیل کے لیے وارننگ جاری کرے گا۔</v>
      </c>
    </row>
    <row r="50">
      <c r="A50" s="3">
        <v>49.0</v>
      </c>
      <c r="B50" s="4" t="s">
        <v>1907</v>
      </c>
      <c r="C50" s="4" t="s">
        <v>1908</v>
      </c>
      <c r="D50" s="4" t="s">
        <v>1909</v>
      </c>
      <c r="E50" s="4" t="s">
        <v>1910</v>
      </c>
      <c r="J50" s="5" t="str">
        <f>IFERROR(__xludf.DUMMYFUNCTION("GOOGLETRANSLATE(A50, ""en"", ""ur"")"),"49")</f>
        <v>49</v>
      </c>
      <c r="K50" s="5" t="str">
        <f>IFERROR(__xludf.DUMMYFUNCTION("GOOGLETRANSLATE(B50, ""en"", ""ur"")"),"تلور اور کھنڈا میں بنیادی فرق کیا ہے؟")</f>
        <v>تلور اور کھنڈا میں بنیادی فرق کیا ہے؟</v>
      </c>
      <c r="L50" s="5" t="str">
        <f>IFERROR(__xludf.DUMMYFUNCTION("GOOGLETRANSLATE(C50, ""en"", ""ur"")"),"A) تلوار ایک منحنی صابری ہے، جبکہ کھنڈہ ایک سیدھی، دو دھاری تلوار ہے، B) تلوار کند ہے، کھنڈا تیز ہے، C) تلوار ایک لاٹھی ہے، کھنڈہ تلوار ہے، D) کوئی فرق نہیں ہے۔")</f>
        <v>A) تلوار ایک منحنی صابری ہے، جبکہ کھنڈہ ایک سیدھی، دو دھاری تلوار ہے، B) تلوار کند ہے، کھنڈا تیز ہے، C) تلوار ایک لاٹھی ہے، کھنڈہ تلوار ہے، D) کوئی فرق نہیں ہے۔</v>
      </c>
      <c r="M50" s="5" t="str">
        <f>IFERROR(__xludf.DUMMYFUNCTION("GOOGLETRANSLATE(D50, ""en"", ""ur"")"),"ا) تلوار ایک خمیدہ صابری ہے، جبکہ کھنڈہ ایک سیدھی، دو دھاری تلوار ہے۔")</f>
        <v>ا) تلوار ایک خمیدہ صابری ہے، جبکہ کھنڈہ ایک سیدھی، دو دھاری تلوار ہے۔</v>
      </c>
      <c r="N50" s="5" t="str">
        <f>IFERROR(__xludf.DUMMYFUNCTION("GOOGLETRANSLATE(E50, ""en"", ""ur"")"),"یہ دو الگ الگ قسم کی روایتی تلواریں ہیں جو گٹکا میں استعمال ہوتی ہیں، ہر ایک اپنی ہینڈلنگ کی خصوصیات کے ساتھ۔")</f>
        <v>یہ دو الگ الگ قسم کی روایتی تلواریں ہیں جو گٹکا میں استعمال ہوتی ہیں، ہر ایک اپنی ہینڈلنگ کی خصوصیات کے ساتھ۔</v>
      </c>
    </row>
    <row r="51">
      <c r="A51" s="3">
        <v>50.0</v>
      </c>
      <c r="B51" s="4" t="s">
        <v>1911</v>
      </c>
      <c r="C51" s="4" t="s">
        <v>1912</v>
      </c>
      <c r="D51" s="4" t="s">
        <v>1913</v>
      </c>
      <c r="E51" s="4" t="s">
        <v>1914</v>
      </c>
      <c r="J51" s="5" t="str">
        <f>IFERROR(__xludf.DUMMYFUNCTION("GOOGLETRANSLATE(A51, ""en"", ""ur"")"),"50")</f>
        <v>50</v>
      </c>
      <c r="K51" s="5" t="str">
        <f>IFERROR(__xludf.DUMMYFUNCTION("GOOGLETRANSLATE(B51, ""en"", ""ur"")"),"""بیر آسن"" (جنگی موقف) کا اصل مقصد کیا ہے؟")</f>
        <v>"بیر آسن" (جنگی موقف) کا اصل مقصد کیا ہے؟</v>
      </c>
      <c r="L51" s="5" t="str">
        <f>IFERROR(__xludf.DUMMYFUNCTION("GOOGLETRANSLATE(C51, ""en"", ""ur"")"),"A) خوف زدہ نظر آنا، B) استحکام اور طاقت کے لیے کشش ثقل کا کم مرکز فراہم کرنا، C) آرام کرنے کی پوزیشن، D) زیادہ سے زیادہ رفتار کی اجازت دینا")</f>
        <v>A) خوف زدہ نظر آنا، B) استحکام اور طاقت کے لیے کشش ثقل کا کم مرکز فراہم کرنا، C) آرام کرنے کی پوزیشن، D) زیادہ سے زیادہ رفتار کی اجازت دینا</v>
      </c>
      <c r="M51" s="5" t="str">
        <f>IFERROR(__xludf.DUMMYFUNCTION("GOOGLETRANSLATE(D51, ""en"", ""ur"")"),"ب) استحکام اور طاقت کے لیے کشش ثقل کا کم مرکز فراہم کرنا")</f>
        <v>ب) استحکام اور طاقت کے لیے کشش ثقل کا کم مرکز فراہم کرنا</v>
      </c>
      <c r="N51" s="5" t="str">
        <f>IFERROR(__xludf.DUMMYFUNCTION("GOOGLETRANSLATE(E51, ""en"", ""ur"")"),"یہ زمینی موقف حملوں میں طاقت پیدا کرنے اور مخالف کے حملوں کے خلاف مستحکم رہنے کی بنیاد ہے۔")</f>
        <v>یہ زمینی موقف حملوں میں طاقت پیدا کرنے اور مخالف کے حملوں کے خلاف مستحکم رہنے کی بنیاد ہے۔</v>
      </c>
    </row>
    <row r="52">
      <c r="A52" s="3">
        <v>51.0</v>
      </c>
      <c r="B52" s="4" t="s">
        <v>1915</v>
      </c>
      <c r="C52" s="4" t="s">
        <v>1916</v>
      </c>
      <c r="D52" s="4" t="s">
        <v>1917</v>
      </c>
      <c r="E52" s="4" t="s">
        <v>1918</v>
      </c>
      <c r="J52" s="5" t="str">
        <f>IFERROR(__xludf.DUMMYFUNCTION("GOOGLETRANSLATE(A52, ""en"", ""ur"")"),"51")</f>
        <v>51</v>
      </c>
      <c r="K52" s="5" t="str">
        <f>IFERROR(__xludf.DUMMYFUNCTION("GOOGLETRANSLATE(B52, ""en"", ""ur"")"),"گٹکا میں، یودھ کی اصطلاح کیا مراد ہے؟")</f>
        <v>گٹکا میں، یودھ کی اصطلاح کیا مراد ہے؟</v>
      </c>
      <c r="L52" s="5" t="str">
        <f>IFERROR(__xludf.DUMMYFUNCTION("GOOGLETRANSLATE(C52, ""en"", ""ur"")"),"A) ایک ہتھیار، B) ایک تربیتی مشق، C) جنگ اور لڑائی کا فن یا سائنس، D) ایک دفاعی موقف")</f>
        <v>A) ایک ہتھیار، B) ایک تربیتی مشق، C) جنگ اور لڑائی کا فن یا سائنس، D) ایک دفاعی موقف</v>
      </c>
      <c r="M52" s="5" t="str">
        <f>IFERROR(__xludf.DUMMYFUNCTION("GOOGLETRANSLATE(D52, ""en"", ""ur"")"),"ج) جنگ اور جنگ کا فن یا سائنس")</f>
        <v>ج) جنگ اور جنگ کا فن یا سائنس</v>
      </c>
      <c r="N52" s="5" t="str">
        <f>IFERROR(__xludf.DUMMYFUNCTION("GOOGLETRANSLATE(E52, ""en"", ""ur"")"),"یودھ جنگ ​​کے لیے ایک وسیع تر اصطلاح ہے، جس سے گٹکا کی مخصوص تکنیک اور فلسفہ اخذ کیا گیا ہے۔")</f>
        <v>یودھ جنگ ​​کے لیے ایک وسیع تر اصطلاح ہے، جس سے گٹکا کی مخصوص تکنیک اور فلسفہ اخذ کیا گیا ہے۔</v>
      </c>
    </row>
    <row r="53">
      <c r="A53" s="3">
        <v>52.0</v>
      </c>
      <c r="B53" s="4" t="s">
        <v>1919</v>
      </c>
      <c r="C53" s="4" t="s">
        <v>1920</v>
      </c>
      <c r="D53" s="4" t="s">
        <v>1921</v>
      </c>
      <c r="E53" s="4" t="s">
        <v>1922</v>
      </c>
      <c r="J53" s="5" t="str">
        <f>IFERROR(__xludf.DUMMYFUNCTION("GOOGLETRANSLATE(A53, ""en"", ""ur"")"),"52")</f>
        <v>52</v>
      </c>
      <c r="K53" s="5" t="str">
        <f>IFERROR(__xludf.DUMMYFUNCTION("GOOGLETRANSLATE(B53, ""en"", ""ur"")"),"مخالف کی ڈھال پکڑنا کیوں فضول ہے؟")</f>
        <v>مخالف کی ڈھال پکڑنا کیوں فضول ہے؟</v>
      </c>
      <c r="L53" s="5" t="str">
        <f>IFERROR(__xludf.DUMMYFUNCTION("GOOGLETRANSLATE(C53, ""en"", ""ur"")"),"A) یہ فاؤل نہیں ہے، B) یہ مخالف کو اپنا دفاع صحیح طریقے سے کرنے سے روکتا ہے، C) یہ شیلڈ کو نقصان پہنچا سکتا ہے، D) اسے کمزور کھیل سمجھا جاتا ہے۔")</f>
        <v>A) یہ فاؤل نہیں ہے، B) یہ مخالف کو اپنا دفاع صحیح طریقے سے کرنے سے روکتا ہے، C) یہ شیلڈ کو نقصان پہنچا سکتا ہے، D) اسے کمزور کھیل سمجھا جاتا ہے۔</v>
      </c>
      <c r="M53" s="5" t="str">
        <f>IFERROR(__xludf.DUMMYFUNCTION("GOOGLETRANSLATE(D53, ""en"", ""ur"")"),"ب) یہ مخالف کو اپنا دفاع صحیح طریقے سے کرنے سے روکتا ہے۔")</f>
        <v>ب) یہ مخالف کو اپنا دفاع صحیح طریقے سے کرنے سے روکتا ہے۔</v>
      </c>
      <c r="N53" s="5" t="str">
        <f>IFERROR(__xludf.DUMMYFUNCTION("GOOGLETRANSLATE(E53, ""en"", ""ur"")"),"ایک کھلاڑی غیر منصفانہ فائدہ حاصل کرنے کے لیے اپنے مخالف کے دفاعی سامان کو غیر قانونی طور پر متحرک نہیں کر سکتا۔")</f>
        <v>ایک کھلاڑی غیر منصفانہ فائدہ حاصل کرنے کے لیے اپنے مخالف کے دفاعی سامان کو غیر قانونی طور پر متحرک نہیں کر سکتا۔</v>
      </c>
    </row>
    <row r="54">
      <c r="A54" s="3">
        <v>53.0</v>
      </c>
      <c r="B54" s="4" t="s">
        <v>1923</v>
      </c>
      <c r="C54" s="4" t="s">
        <v>1924</v>
      </c>
      <c r="D54" s="4" t="s">
        <v>1925</v>
      </c>
      <c r="E54" s="4" t="s">
        <v>1926</v>
      </c>
      <c r="J54" s="5" t="str">
        <f>IFERROR(__xludf.DUMMYFUNCTION("GOOGLETRANSLATE(A54, ""en"", ""ur"")"),"53")</f>
        <v>53</v>
      </c>
      <c r="K54" s="5" t="str">
        <f>IFERROR(__xludf.DUMMYFUNCTION("GOOGLETRANSLATE(B54, ""en"", ""ur"")"),"کامیاب ""اسلحہ"" تکنیک کی پوائنٹ ویلیو کیا ہے؟")</f>
        <v>کامیاب "اسلحہ" تکنیک کی پوائنٹ ویلیو کیا ہے؟</v>
      </c>
      <c r="L54" s="5" t="str">
        <f>IFERROR(__xludf.DUMMYFUNCTION("GOOGLETRANSLATE(C54, ""en"", ""ur"")"),"A) کوئی پوائنٹ نہیں دیا جاتا، B) 1 پوائنٹ، C) 3 پوائنٹس، D) 5 پوائنٹس")</f>
        <v>A) کوئی پوائنٹ نہیں دیا جاتا، B) 1 پوائنٹ، C) 3 پوائنٹس، D) 5 پوائنٹس</v>
      </c>
      <c r="M54" s="5" t="str">
        <f>IFERROR(__xludf.DUMMYFUNCTION("GOOGLETRANSLATE(D54, ""en"", ""ur"")"),"C) 3 پوائنٹس")</f>
        <v>C) 3 پوائنٹس</v>
      </c>
      <c r="N54" s="5" t="str">
        <f>IFERROR(__xludf.DUMMYFUNCTION("GOOGLETRANSLATE(E54, ""en"", ""ur"")"),"کامیابی کے ساتھ اور محفوظ طریقے سے کسی مخالف کو غیر مسلح کرنا اعلیٰ مہارت کا مظاہرہ ہے اور اسے کچھ اصولوں کے سیٹوں میں اعلیٰ پوائنٹ کی قیمت سے نوازا جاتا ہے۔")</f>
        <v>کامیابی کے ساتھ اور محفوظ طریقے سے کسی مخالف کو غیر مسلح کرنا اعلیٰ مہارت کا مظاہرہ ہے اور اسے کچھ اصولوں کے سیٹوں میں اعلیٰ پوائنٹ کی قیمت سے نوازا جاتا ہے۔</v>
      </c>
    </row>
    <row r="55">
      <c r="A55" s="3">
        <v>54.0</v>
      </c>
      <c r="B55" s="4" t="s">
        <v>1927</v>
      </c>
      <c r="C55" s="4" t="s">
        <v>1928</v>
      </c>
      <c r="D55" s="4" t="s">
        <v>1929</v>
      </c>
      <c r="E55" s="4" t="s">
        <v>1930</v>
      </c>
      <c r="J55" s="5" t="str">
        <f>IFERROR(__xludf.DUMMYFUNCTION("GOOGLETRANSLATE(A55, ""en"", ""ur"")"),"54")</f>
        <v>54</v>
      </c>
      <c r="K55" s="5" t="str">
        <f>IFERROR(__xludf.DUMMYFUNCTION("GOOGLETRANSLATE(B55, ""en"", ""ur"")"),"""پینٹس"" فٹ ورک پیٹرن کا بنیادی مقصد کیا ہے؟")</f>
        <v>"پینٹس" فٹ ورک پیٹرن کا بنیادی مقصد کیا ہے؟</v>
      </c>
      <c r="L55" s="5" t="str">
        <f>IFERROR(__xludf.DUMMYFUNCTION("GOOGLETRANSLATE(C55, ""en"", ""ur"")"),"A) یہ ایک رقص ہے، B) یہ حملے اور دفاع کے زاویے سکھانے کے لیے ایک بنیادی مشق ہے، C) یہ جمپنگ تکنیک ہے، D) یہ سانس لینے کی مشق ہے۔")</f>
        <v>A) یہ ایک رقص ہے، B) یہ حملے اور دفاع کے زاویے سکھانے کے لیے ایک بنیادی مشق ہے، C) یہ جمپنگ تکنیک ہے، D) یہ سانس لینے کی مشق ہے۔</v>
      </c>
      <c r="M55" s="5" t="str">
        <f>IFERROR(__xludf.DUMMYFUNCTION("GOOGLETRANSLATE(D55, ""en"", ""ur"")"),"ب) یہ حملے اور دفاع کے زاویے سکھانے کے لیے ایک بنیادی مشق ہے۔")</f>
        <v>ب) یہ حملے اور دفاع کے زاویے سکھانے کے لیے ایک بنیادی مشق ہے۔</v>
      </c>
      <c r="N55" s="5" t="str">
        <f>IFERROR(__xludf.DUMMYFUNCTION("GOOGLETRANSLATE(E55, ""en"", ""ur"")"),"پینٹس ایک اہم فٹ ورک پیٹرن ہے جو ایک لڑاکا کو روانی سے حرکت کرنے اور فائدہ مند زاویے بنانے کی تربیت دیتا ہے۔")</f>
        <v>پینٹس ایک اہم فٹ ورک پیٹرن ہے جو ایک لڑاکا کو روانی سے حرکت کرنے اور فائدہ مند زاویے بنانے کی تربیت دیتا ہے۔</v>
      </c>
    </row>
    <row r="56">
      <c r="A56" s="3">
        <v>55.0</v>
      </c>
      <c r="B56" s="4" t="s">
        <v>1931</v>
      </c>
      <c r="C56" s="4" t="s">
        <v>1932</v>
      </c>
      <c r="D56" s="4" t="s">
        <v>1933</v>
      </c>
      <c r="E56" s="4" t="s">
        <v>1934</v>
      </c>
      <c r="J56" s="5" t="str">
        <f>IFERROR(__xludf.DUMMYFUNCTION("GOOGLETRANSLATE(A56, ""en"", ""ur"")"),"55")</f>
        <v>55</v>
      </c>
      <c r="K56" s="5" t="str">
        <f>IFERROR(__xludf.DUMMYFUNCTION("GOOGLETRANSLATE(B56, ""en"", ""ur"")"),"ایک کھلاڑی کو ""غیر ہتھیار والے ہاتھ سے مارنے"" پر سزا دی جاتی ہے۔ کیا یہ درست فاؤل ہے؟")</f>
        <v>ایک کھلاڑی کو "غیر ہتھیار والے ہاتھ سے مارنے" پر سزا دی جاتی ہے۔ کیا یہ درست فاؤل ہے؟</v>
      </c>
      <c r="L56" s="5" t="str">
        <f>IFERROR(__xludf.DUMMYFUNCTION("GOOGLETRANSLATE(C56, ""en"", ""ur"")"),"A) نہیں، کھلے ہاتھ سے حملے کی اجازت ہے، B) ہاں، تمام حملے مخصوص ہتھیار سے کیے جائیں، C) صرف اس صورت میں جب ہاتھ مٹھی میں ہو، D) صرف اس صورت میں جب اس سے چوٹ لگی ہو۔")</f>
        <v>A) نہیں، کھلے ہاتھ سے حملے کی اجازت ہے، B) ہاں، تمام حملے مخصوص ہتھیار سے کیے جائیں، C) صرف اس صورت میں جب ہاتھ مٹھی میں ہو، D) صرف اس صورت میں جب اس سے چوٹ لگی ہو۔</v>
      </c>
      <c r="M56" s="5" t="str">
        <f>IFERROR(__xludf.DUMMYFUNCTION("GOOGLETRANSLATE(D56, ""en"", ""ur"")"),"ب) جی ہاں، تمام حملے نامزد ہتھیار سے کیے جانے چاہئیں")</f>
        <v>ب) جی ہاں، تمام حملے نامزد ہتھیار سے کیے جانے چاہئیں</v>
      </c>
      <c r="N56" s="5" t="str">
        <f>IFERROR(__xludf.DUMMYFUNCTION("GOOGLETRANSLATE(E56, ""en"", ""ur"")"),"کھیل گٹکا میں، ایک کھلاڑی اپنے حریف کو مارنے کے لیے اپنے آزاد ہاتھ، مٹھی، یا جسم کے کسی دوسرے حصے کا استعمال نہیں کر سکتا۔")</f>
        <v>کھیل گٹکا میں، ایک کھلاڑی اپنے حریف کو مارنے کے لیے اپنے آزاد ہاتھ، مٹھی، یا جسم کے کسی دوسرے حصے کا استعمال نہیں کر سکتا۔</v>
      </c>
    </row>
    <row r="57">
      <c r="A57" s="3">
        <v>56.0</v>
      </c>
      <c r="B57" s="4" t="s">
        <v>1935</v>
      </c>
      <c r="C57" s="4" t="s">
        <v>1936</v>
      </c>
      <c r="D57" s="4" t="s">
        <v>1937</v>
      </c>
      <c r="E57" s="4" t="s">
        <v>1938</v>
      </c>
      <c r="J57" s="5" t="str">
        <f>IFERROR(__xludf.DUMMYFUNCTION("GOOGLETRANSLATE(A57, ""en"", ""ur"")"),"56")</f>
        <v>56</v>
      </c>
      <c r="K57" s="5" t="str">
        <f>IFERROR(__xludf.DUMMYFUNCTION("GOOGLETRANSLATE(B57, ""en"", ""ur"")"),"ایک طاقتور گھومنے والی ہڑتال کے دوران مشغول بنیادی پٹھوں کا گروپ کیا ہے؟")</f>
        <v>ایک طاقتور گھومنے والی ہڑتال کے دوران مشغول بنیادی پٹھوں کا گروپ کیا ہے؟</v>
      </c>
      <c r="L57" s="5" t="str">
        <f>IFERROR(__xludf.DUMMYFUNCTION("GOOGLETRANSLATE(C57, ""en"", ""ur"")"),"A) بائسپس، B) ٹانگیں، C) کور (پیٹ اور ترچھا)، D) سینہ")</f>
        <v>A) بائسپس، B) ٹانگیں، C) کور (پیٹ اور ترچھا)، D) سینہ</v>
      </c>
      <c r="M57" s="5" t="str">
        <f>IFERROR(__xludf.DUMMYFUNCTION("GOOGLETRANSLATE(D57, ""en"", ""ur"")"),"ج) کور (پیٹ اور ترچھا)")</f>
        <v>ج) کور (پیٹ اور ترچھا)</v>
      </c>
      <c r="N57" s="5" t="str">
        <f>IFERROR(__xludf.DUMMYFUNCTION("GOOGLETRANSLATE(E57, ""en"", ""ur"")"),"گھومنے والی طاقت صرف بازوؤں اور کندھوں سے نہیں بلکہ بنیادی پٹھوں سے پیدا ہوتی ہے۔")</f>
        <v>گھومنے والی طاقت صرف بازوؤں اور کندھوں سے نہیں بلکہ بنیادی پٹھوں سے پیدا ہوتی ہے۔</v>
      </c>
    </row>
    <row r="58">
      <c r="A58" s="3">
        <v>57.0</v>
      </c>
      <c r="B58" s="4" t="s">
        <v>1939</v>
      </c>
      <c r="C58" s="4" t="s">
        <v>1940</v>
      </c>
      <c r="D58" s="4" t="s">
        <v>1941</v>
      </c>
      <c r="E58" s="4" t="s">
        <v>1942</v>
      </c>
      <c r="J58" s="5" t="str">
        <f>IFERROR(__xludf.DUMMYFUNCTION("GOOGLETRANSLATE(A58, ""en"", ""ur"")"),"57")</f>
        <v>57</v>
      </c>
      <c r="K58" s="5" t="str">
        <f>IFERROR(__xludf.DUMMYFUNCTION("GOOGLETRANSLATE(B58, ""en"", ""ur"")"),"اگر کوئی کھلاڑی اپنی ہی غیر قانونی حرکت سے زخمی ہو جائے تو اس کا نتیجہ کیا نکلتا ہے؟")</f>
        <v>اگر کوئی کھلاڑی اپنی ہی غیر قانونی حرکت سے زخمی ہو جائے تو اس کا نتیجہ کیا نکلتا ہے؟</v>
      </c>
      <c r="L58" s="5" t="str">
        <f>IFERROR(__xludf.DUMMYFUNCTION("GOOGLETRANSLATE(C58, ""en"", ""ur"")"),"A) پوائنٹ دوبارہ چلایا جاتا ہے، B) کھلاڑی نااہلی یا ریٹائرمنٹ سے میچ ہار جاتا ہے، C) مخالف کو خبردار کیا جاتا ہے، D) میچ ڈرا قرار دیا جاتا ہے۔")</f>
        <v>A) پوائنٹ دوبارہ چلایا جاتا ہے، B) کھلاڑی نااہلی یا ریٹائرمنٹ سے میچ ہار جاتا ہے، C) مخالف کو خبردار کیا جاتا ہے، D) میچ ڈرا قرار دیا جاتا ہے۔</v>
      </c>
      <c r="M58" s="5" t="str">
        <f>IFERROR(__xludf.DUMMYFUNCTION("GOOGLETRANSLATE(D58, ""en"", ""ur"")"),"ب) کھلاڑی نااہلی یا ریٹائرمنٹ سے میچ ہار جاتا ہے۔")</f>
        <v>ب) کھلاڑی نااہلی یا ریٹائرمنٹ سے میچ ہار جاتا ہے۔</v>
      </c>
      <c r="N58" s="5" t="str">
        <f>IFERROR(__xludf.DUMMYFUNCTION("GOOGLETRANSLATE(E58, ""en"", ""ur"")"),"ایک کھلاڑی جو فاؤل کرتے ہوئے خود کو زخمی کرتا ہے وہ ڈیفالٹ سے نہیں جیت سکتا۔ وہ غیر قانونی اقدام پر نااہل ہیں۔")</f>
        <v>ایک کھلاڑی جو فاؤل کرتے ہوئے خود کو زخمی کرتا ہے وہ ڈیفالٹ سے نہیں جیت سکتا۔ وہ غیر قانونی اقدام پر نااہل ہیں۔</v>
      </c>
    </row>
    <row r="59">
      <c r="A59" s="3">
        <v>58.0</v>
      </c>
      <c r="B59" s="4" t="s">
        <v>1943</v>
      </c>
      <c r="C59" s="4" t="s">
        <v>1944</v>
      </c>
      <c r="D59" s="4" t="s">
        <v>1945</v>
      </c>
      <c r="E59" s="4" t="s">
        <v>1946</v>
      </c>
      <c r="J59" s="5" t="str">
        <f>IFERROR(__xludf.DUMMYFUNCTION("GOOGLETRANSLATE(A59, ""en"", ""ur"")"),"58")</f>
        <v>58</v>
      </c>
      <c r="K59" s="5" t="str">
        <f>IFERROR(__xludf.DUMMYFUNCTION("GOOGLETRANSLATE(B59, ""en"", ""ur"")"),"جدید گٹکا میں ان میں سے کون سا باضابطہ مقابلے کا زمرہ نہیں ہے؟")</f>
        <v>جدید گٹکا میں ان میں سے کون سا باضابطہ مقابلے کا زمرہ نہیں ہے؟</v>
      </c>
      <c r="L59" s="5" t="str">
        <f>IFERROR(__xludf.DUMMYFUNCTION("GOOGLETRANSLATE(C59, ""en"", ""ur"")"),"A) سنگل سوتی (چھڑی)، B) فاری سوتی (چھڑی اور ڈھال)، C) ٹیم گٹکا، D) ننگی دستک گٹکا")</f>
        <v>A) سنگل سوتی (چھڑی)، B) فاری سوتی (چھڑی اور ڈھال)، C) ٹیم گٹکا، D) ننگی دستک گٹکا</v>
      </c>
      <c r="M59" s="5" t="str">
        <f>IFERROR(__xludf.DUMMYFUNCTION("GOOGLETRANSLATE(D59, ""en"", ""ur"")"),"D) ننگا گٹکا")</f>
        <v>D) ننگا گٹکا</v>
      </c>
      <c r="N59" s="5" t="str">
        <f>IFERROR(__xludf.DUMMYFUNCTION("GOOGLETRANSLATE(E59, ""en"", ""ur"")"),"جدید گٹکا خصوصی طور پر ہتھیاروں پر مبنی مارشل آرٹ ہے۔ اس کے مقابلوں میں کوئی سرکاری خالی ہاتھ لڑائی کا زمرہ نہیں ہے۔")</f>
        <v>جدید گٹکا خصوصی طور پر ہتھیاروں پر مبنی مارشل آرٹ ہے۔ اس کے مقابلوں میں کوئی سرکاری خالی ہاتھ لڑائی کا زمرہ نہیں ہے۔</v>
      </c>
    </row>
    <row r="60">
      <c r="A60" s="3">
        <v>59.0</v>
      </c>
      <c r="B60" s="4" t="s">
        <v>1947</v>
      </c>
      <c r="C60" s="4" t="s">
        <v>1948</v>
      </c>
      <c r="D60" s="4" t="s">
        <v>1949</v>
      </c>
      <c r="E60" s="4" t="s">
        <v>1950</v>
      </c>
      <c r="J60" s="5" t="str">
        <f>IFERROR(__xludf.DUMMYFUNCTION("GOOGLETRANSLATE(A60, ""en"", ""ur"")"),"59")</f>
        <v>59</v>
      </c>
      <c r="K60" s="5" t="str">
        <f>IFERROR(__xludf.DUMMYFUNCTION("GOOGLETRANSLATE(B60, ""en"", ""ur"")"),"ٹورنامنٹ میں ""ٹیبل آفیشلز"" کا کیا کردار ہے؟")</f>
        <v>ٹورنامنٹ میں "ٹیبل آفیشلز" کا کیا کردار ہے؟</v>
      </c>
      <c r="L60" s="5" t="str">
        <f>IFERROR(__xludf.DUMMYFUNCTION("GOOGLETRANSLATE(C60, ""en"", ""ur"")"),"A) وہ ریفری ہیں، B) وہ ٹائم کیپنگ، اسکورنگ اور نتائج ریکارڈ کرنے کے ذمہ دار ہیں، C) وہ کوچ ہیں، D) وہ ہتھیاروں کا معائنہ کرتے ہیں")</f>
        <v>A) وہ ریفری ہیں، B) وہ ٹائم کیپنگ، اسکورنگ اور نتائج ریکارڈ کرنے کے ذمہ دار ہیں، C) وہ کوچ ہیں، D) وہ ہتھیاروں کا معائنہ کرتے ہیں</v>
      </c>
      <c r="M60" s="5" t="str">
        <f>IFERROR(__xludf.DUMMYFUNCTION("GOOGLETRANSLATE(D60, ""en"", ""ur"")"),"ب) وہ ٹائم کیپنگ، اسکورنگ، اور نتائج ریکارڈ کرنے کے ذمہ دار ہیں۔")</f>
        <v>ب) وہ ٹائم کیپنگ، اسکورنگ، اور نتائج ریکارڈ کرنے کے ذمہ دار ہیں۔</v>
      </c>
      <c r="N60" s="5" t="str">
        <f>IFERROR(__xludf.DUMMYFUNCTION("GOOGLETRANSLATE(E60, ""en"", ""ur"")"),"میز کے اہلکار میدان میں ریفریوں کی مدد کرتے ہوئے میچ کے انتظامی پہلوؤں کا انتظام کرتے ہیں۔")</f>
        <v>میز کے اہلکار میدان میں ریفریوں کی مدد کرتے ہوئے میچ کے انتظامی پہلوؤں کا انتظام کرتے ہیں۔</v>
      </c>
    </row>
    <row r="61">
      <c r="A61" s="3">
        <v>60.0</v>
      </c>
      <c r="B61" s="4" t="s">
        <v>1951</v>
      </c>
      <c r="C61" s="4" t="s">
        <v>1952</v>
      </c>
      <c r="D61" s="4" t="s">
        <v>361</v>
      </c>
      <c r="E61" s="4" t="s">
        <v>1953</v>
      </c>
      <c r="J61" s="5" t="str">
        <f>IFERROR(__xludf.DUMMYFUNCTION("GOOGLETRANSLATE(A61, ""en"", ""ur"")"),"60")</f>
        <v>60</v>
      </c>
      <c r="K61" s="5" t="str">
        <f>IFERROR(__xludf.DUMMYFUNCTION("GOOGLETRANSLATE(B61, ""en"", ""ur"")"),"حریف کے ساتھ آنکھ کا رابطہ برقرار رکھنا کیوں ضروری سمجھا جاتا ہے؟")</f>
        <v>حریف کے ساتھ آنکھ کا رابطہ برقرار رکھنا کیوں ضروری سمجھا جاتا ہے؟</v>
      </c>
      <c r="L61" s="5" t="str">
        <f>IFERROR(__xludf.DUMMYFUNCTION("GOOGLETRANSLATE(C61, ""en"", ""ur"")"),"A) یہ احترام کی علامت ہے، B) ان کی حرکات و سکنات کا اندازہ لگانا، C) انہیں ڈرانا، D) مندرجہ بالا سب")</f>
        <v>A) یہ احترام کی علامت ہے، B) ان کی حرکات و سکنات کا اندازہ لگانا، C) انہیں ڈرانا، D) مندرجہ بالا سب</v>
      </c>
      <c r="M61" s="5" t="str">
        <f>IFERROR(__xludf.DUMMYFUNCTION("GOOGLETRANSLATE(D61, ""en"", ""ur"")"),"D) مذکورہ بالا تمام")</f>
        <v>D) مذکورہ بالا تمام</v>
      </c>
      <c r="N61" s="5" t="str">
        <f>IFERROR(__xludf.DUMMYFUNCTION("GOOGLETRANSLATE(E61, ""en"", ""ur"")"),"آنکھ سے رابطہ لڑائی میں ذہنی کھیل کا ایک اہم حصہ ہے، جسے حریف کو پڑھنے، اعتماد ظاہر کرنے اور توجہ کو برقرار رکھنے کے لیے استعمال کیا جاتا ہے۔")</f>
        <v>آنکھ سے رابطہ لڑائی میں ذہنی کھیل کا ایک اہم حصہ ہے، جسے حریف کو پڑھنے، اعتماد ظاہر کرنے اور توجہ کو برقرار رکھنے کے لیے استعمال کیا جاتا ہے۔</v>
      </c>
    </row>
    <row r="62">
      <c r="A62" s="3">
        <v>61.0</v>
      </c>
      <c r="B62" s="4" t="s">
        <v>1954</v>
      </c>
      <c r="C62" s="4" t="s">
        <v>1955</v>
      </c>
      <c r="D62" s="4" t="s">
        <v>1956</v>
      </c>
      <c r="E62" s="4" t="s">
        <v>1957</v>
      </c>
      <c r="J62" s="5" t="str">
        <f>IFERROR(__xludf.DUMMYFUNCTION("GOOGLETRANSLATE(A62, ""en"", ""ur"")"),"61")</f>
        <v>61</v>
      </c>
      <c r="K62" s="5" t="str">
        <f>IFERROR(__xludf.DUMMYFUNCTION("GOOGLETRANSLATE(B62, ""en"", ""ur"")"),"ایک طاقتور اسٹرائیک سے کھلاڑی کی شیلڈ ٹوٹ جاتی ہے۔ اس کا کیا حکم ہے؟")</f>
        <v>ایک طاقتور اسٹرائیک سے کھلاڑی کی شیلڈ ٹوٹ جاتی ہے۔ اس کا کیا حکم ہے؟</v>
      </c>
      <c r="L62" s="5" t="str">
        <f>IFERROR(__xludf.DUMMYFUNCTION("GOOGLETRANSLATE(C62, ""en"", ""ur"")"),"A)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f>
        <v>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v>
      </c>
      <c r="M62" s="5" t="str">
        <f>IFERROR(__xludf.DUMMYFUNCTION("GOOGLETRANSLATE(D62, ""en"", ""ur"")"),"ب) پوائنٹ اسٹرائیکر کو دیا جاتا ہے، اور میچ کو متبادل شیلڈ کے لیے روک دیا جاتا ہے۔")</f>
        <v>ب) پوائنٹ اسٹرائیکر کو دیا جاتا ہے، اور میچ کو متبادل شیلڈ کے لیے روک دیا جاتا ہے۔</v>
      </c>
      <c r="N62" s="5" t="str">
        <f>IFERROR(__xludf.DUMMYFUNCTION("GOOGLETRANSLATE(E62, ""en"", ""ur"")"),"ایک قانونی ہڑتال جو مخالف کے سازوسامان کو توڑنے کے لئے کافی طاقتور ہے ایک واضح نکتہ ہے۔ اس کے بعد میچ کو حفاظت کے لیے روک دیا جاتا ہے۔")</f>
        <v>ایک قانونی ہڑتال جو مخالف کے سازوسامان کو توڑنے کے لئے کافی طاقتور ہے ایک واضح نکتہ ہے۔ اس کے بعد میچ کو حفاظت کے لیے روک دیا جاتا ہے۔</v>
      </c>
    </row>
    <row r="63">
      <c r="A63" s="3">
        <v>62.0</v>
      </c>
      <c r="B63" s="4" t="s">
        <v>1958</v>
      </c>
      <c r="C63" s="4" t="s">
        <v>1959</v>
      </c>
      <c r="D63" s="4" t="s">
        <v>1960</v>
      </c>
      <c r="E63" s="4" t="s">
        <v>1961</v>
      </c>
      <c r="J63" s="5" t="str">
        <f>IFERROR(__xludf.DUMMYFUNCTION("GOOGLETRANSLATE(A63, ""en"", ""ur"")"),"62")</f>
        <v>62</v>
      </c>
      <c r="K63" s="5" t="str">
        <f>IFERROR(__xludf.DUMMYFUNCTION("GOOGLETRANSLATE(B63, ""en"", ""ur"")"),"گٹکا میں دفاع پر زور دینے کی فلسفیانہ وجہ کیا ہے؟")</f>
        <v>گٹکا میں دفاع پر زور دینے کی فلسفیانہ وجہ کیا ہے؟</v>
      </c>
      <c r="L63" s="5" t="str">
        <f>IFERROR(__xludf.DUMMYFUNCTION("GOOGLETRANSLATE(C63, ""en"", ""ur"")"),"A) حملہ کرنے سے زیادہ آسان ہے، B) آرٹ اپنے دفاع کے لیے ہے، جارحیت کے لیے نہیں، C) یہ زیادہ پوائنٹس اسکور کرتا ہے، D) یہ مخالف کو تھکا دینے کا ایک طریقہ ہے۔")</f>
        <v>A) حملہ کرنے سے زیادہ آسان ہے، B) آرٹ اپنے دفاع کے لیے ہے، جارحیت کے لیے نہیں، C) یہ زیادہ پوائنٹس اسکور کرتا ہے، D) یہ مخالف کو تھکا دینے کا ایک طریقہ ہے۔</v>
      </c>
      <c r="M63" s="5" t="str">
        <f>IFERROR(__xludf.DUMMYFUNCTION("GOOGLETRANSLATE(D63, ""en"", ""ur"")"),"ب) فن اپنے دفاع کے لیے ہے، جارحیت کے لیے نہیں۔")</f>
        <v>ب) فن اپنے دفاع کے لیے ہے، جارحیت کے لیے نہیں۔</v>
      </c>
      <c r="N63" s="5" t="str">
        <f>IFERROR(__xludf.DUMMYFUNCTION("GOOGLETRANSLATE(E63, ""en"", ""ur"")"),"بنیادی اصول یہ ہے کہ ایک سکھ جنگجو اپنا ہتھیار کمزوروں کے دفاع اور انصاف کو برقرار رکھنے کے لیے کھینچتا ہے، نہ کہ تنازع شروع کرنے کے لیے۔")</f>
        <v>بنیادی اصول یہ ہے کہ ایک سکھ جنگجو اپنا ہتھیار کمزوروں کے دفاع اور انصاف کو برقرار رکھنے کے لیے کھینچتا ہے، نہ کہ تنازع شروع کرنے کے لیے۔</v>
      </c>
    </row>
    <row r="64">
      <c r="A64" s="3">
        <v>63.0</v>
      </c>
      <c r="B64" s="4" t="s">
        <v>1962</v>
      </c>
      <c r="C64" s="4" t="s">
        <v>1963</v>
      </c>
      <c r="D64" s="4" t="s">
        <v>1964</v>
      </c>
      <c r="E64" s="4" t="s">
        <v>1965</v>
      </c>
      <c r="J64" s="5" t="str">
        <f>IFERROR(__xludf.DUMMYFUNCTION("GOOGLETRANSLATE(A64, ""en"", ""ur"")"),"63")</f>
        <v>63</v>
      </c>
      <c r="K64" s="5" t="str">
        <f>IFERROR(__xludf.DUMMYFUNCTION("GOOGLETRANSLATE(B64, ""en"", ""ur"")"),"چکرا ایک ہتھیار ہے جسے کبھی کبھی گٹکا کی نمائشوں میں دکھایا جاتا ہے۔ یہ کیا ہے؟")</f>
        <v>چکرا ایک ہتھیار ہے جسے کبھی کبھی گٹکا کی نمائشوں میں دکھایا جاتا ہے۔ یہ کیا ہے؟</v>
      </c>
      <c r="L64" s="5" t="str">
        <f>IFERROR(__xludf.DUMMYFUNCTION("GOOGLETRANSLATE(C64, ""en"", ""ur"")"),"A) ایک بھاری گدی، B) ایک لچکدار کوڑا، C) ایک تیز، گول سٹیل پھینکنے والی انگوٹھی، D) دو سر والا نیزہ")</f>
        <v>A) ایک بھاری گدی، B) ایک لچکدار کوڑا، C) ایک تیز، گول سٹیل پھینکنے والی انگوٹھی، D) دو سر والا نیزہ</v>
      </c>
      <c r="M64" s="5" t="str">
        <f>IFERROR(__xludf.DUMMYFUNCTION("GOOGLETRANSLATE(D64, ""en"", ""ur"")"),"سی) ایک تیز، سرکلر اسٹیل پھینکنے والی انگوٹھی")</f>
        <v>سی) ایک تیز، سرکلر اسٹیل پھینکنے والی انگوٹھی</v>
      </c>
      <c r="N64" s="5" t="str">
        <f>IFERROR(__xludf.DUMMYFUNCTION("GOOGLETRANSLATE(E64, ""en"", ""ur"")"),"چکر یا چکرم ایک روایتی سکھ پھینکنے والا ہتھیار ہے جو شہادت کی انگلی پر کاتا اور بڑی طاقت اور درستگی کے ساتھ پھینکا جاتا ہے۔")</f>
        <v>چکر یا چکرم ایک روایتی سکھ پھینکنے والا ہتھیار ہے جو شہادت کی انگلی پر کاتا اور بڑی طاقت اور درستگی کے ساتھ پھینکا جاتا ہے۔</v>
      </c>
    </row>
    <row r="65">
      <c r="A65" s="3">
        <v>64.0</v>
      </c>
      <c r="B65" s="4" t="s">
        <v>1966</v>
      </c>
      <c r="C65" s="4" t="s">
        <v>1967</v>
      </c>
      <c r="D65" s="4" t="s">
        <v>1968</v>
      </c>
      <c r="E65" s="4" t="s">
        <v>1969</v>
      </c>
      <c r="J65" s="5" t="str">
        <f>IFERROR(__xludf.DUMMYFUNCTION("GOOGLETRANSLATE(A65, ""en"", ""ur"")"),"64")</f>
        <v>64</v>
      </c>
      <c r="K65" s="5" t="str">
        <f>IFERROR(__xludf.DUMMYFUNCTION("GOOGLETRANSLATE(B65, ""en"", ""ur"")"),"ایک کھلاڑی کو ""تیسرے فریق کی مداخلت"" کے لیے سزا دی جاتی ہے۔ کیا ہوا؟")</f>
        <v>ایک کھلاڑی کو "تیسرے فریق کی مداخلت" کے لیے سزا دی جاتی ہے۔ کیا ہوا؟</v>
      </c>
      <c r="L65" s="5" t="str">
        <f>IFERROR(__xludf.DUMMYFUNCTION("GOOGLETRANSLATE(C65, ""en"", ""ur"")"),"A) ایک تماشائی نے مشورہ دیا، B) کھلاڑی کے کوچ نے میدان میں قدم رکھا، C) ریفری کا دھیان بٹ گیا، D) کھلاڑی نے تین ہتھیار استعمال کیے")</f>
        <v>A) ایک تماشائی نے مشورہ دیا، B) کھلاڑی کے کوچ نے میدان میں قدم رکھا، C) ریفری کا دھیان بٹ گیا، D) کھلاڑی نے تین ہتھیار استعمال کیے</v>
      </c>
      <c r="M65" s="5" t="str">
        <f>IFERROR(__xludf.DUMMYFUNCTION("GOOGLETRANSLATE(D65, ""en"", ""ur"")"),"ب) کھلاڑی کے کوچ نے میدان میں قدم رکھا")</f>
        <v>ب) کھلاڑی کے کوچ نے میدان میں قدم رکھا</v>
      </c>
      <c r="N65" s="5" t="str">
        <f>IFERROR(__xludf.DUMMYFUNCTION("GOOGLETRANSLATE(E65, ""en"", ""ur"")"),"جنگی علاقے میں صرف دو حریف اور ریفری کو اجازت ہے۔ رنگ میں داخل ہونے والا کوچ ایک سنگین فاؤل ہے۔")</f>
        <v>جنگی علاقے میں صرف دو حریف اور ریفری کو اجازت ہے۔ رنگ میں داخل ہونے والا کوچ ایک سنگین فاؤل ہے۔</v>
      </c>
    </row>
    <row r="66">
      <c r="A66" s="3">
        <v>65.0</v>
      </c>
      <c r="B66" s="4" t="s">
        <v>1970</v>
      </c>
      <c r="C66" s="4" t="s">
        <v>1971</v>
      </c>
      <c r="D66" s="4" t="s">
        <v>1972</v>
      </c>
      <c r="E66" s="4" t="s">
        <v>1973</v>
      </c>
      <c r="J66" s="5" t="str">
        <f>IFERROR(__xludf.DUMMYFUNCTION("GOOGLETRANSLATE(A66, ""en"", ""ur"")"),"65")</f>
        <v>65</v>
      </c>
      <c r="K66" s="5" t="str">
        <f>IFERROR(__xludf.DUMMYFUNCTION("GOOGLETRANSLATE(B66, ""en"", ""ur"")"),"گٹکا میں تال کی چال یا فٹ ورک پیٹرن کو کیا کہا جاتا ہے؟")</f>
        <v>گٹکا میں تال کی چال یا فٹ ورک پیٹرن کو کیا کہا جاتا ہے؟</v>
      </c>
      <c r="L66" s="5" t="str">
        <f>IFERROR(__xludf.DUMMYFUNCTION("GOOGLETRANSLATE(C66, ""en"", ""ur"")"),"A) چل، B) کریا، C) آسن، D) تال")</f>
        <v>A) چل، B) کریا، C) آسن، D) تال</v>
      </c>
      <c r="M66" s="5" t="str">
        <f>IFERROR(__xludf.DUMMYFUNCTION("GOOGLETRANSLATE(D66, ""en"", ""ur"")"),"ا) چال")</f>
        <v>ا) چال</v>
      </c>
      <c r="N66" s="5" t="str">
        <f>IFERROR(__xludf.DUMMYFUNCTION("GOOGLETRANSLATE(E66, ""en"", ""ur"")"),"چال سے مراد خصوصیت کی تال کی حرکت اور فٹ ورک ہے جو لڑاکا کو متوازن اور تیار رکھتا ہے۔")</f>
        <v>چال سے مراد خصوصیت کی تال کی حرکت اور فٹ ورک ہے جو لڑاکا کو متوازن اور تیار رکھتا ہے۔</v>
      </c>
    </row>
    <row r="67">
      <c r="A67" s="3">
        <v>66.0</v>
      </c>
      <c r="B67" s="4" t="s">
        <v>1974</v>
      </c>
      <c r="C67" s="4" t="s">
        <v>1975</v>
      </c>
      <c r="D67" s="4" t="s">
        <v>1976</v>
      </c>
      <c r="E67" s="4" t="s">
        <v>1977</v>
      </c>
      <c r="J67" s="5" t="str">
        <f>IFERROR(__xludf.DUMMYFUNCTION("GOOGLETRANSLATE(A67, ""en"", ""ur"")"),"66")</f>
        <v>66</v>
      </c>
      <c r="K67" s="5" t="str">
        <f>IFERROR(__xludf.DUMMYFUNCTION("GOOGLETRANSLATE(B67, ""en"", ""ur"")"),"ایک کھلاڑی کو ""corps-a-corps"" کے لیے سزا دی جاتی ہے۔ گٹکا میں اس کا کیا مطلب ہے؟")</f>
        <v>ایک کھلاڑی کو "corps-a-corps" کے لیے سزا دی جاتی ہے۔ گٹکا میں اس کا کیا مطلب ہے؟</v>
      </c>
      <c r="L67" s="5" t="str">
        <f>IFERROR(__xludf.DUMMYFUNCTION("GOOGLETRANSLATE(C67, ""en"", ""ur"")"),"A) انہوں نے ایک گرے ہوئے مخالف کو مارا، B) انہوں نے جان بوجھ کر جسم سے جسمانی رابطہ کیا، C) انہوں نے غیر قانونی ہتھیار استعمال کیا، D) انہوں نے لڑنے سے انکار کر دیا۔")</f>
        <v>A) انہوں نے ایک گرے ہوئے مخالف کو مارا، B) انہوں نے جان بوجھ کر جسم سے جسمانی رابطہ کیا، C) انہوں نے غیر قانونی ہتھیار استعمال کیا، D) انہوں نے لڑنے سے انکار کر دیا۔</v>
      </c>
      <c r="M67" s="5" t="str">
        <f>IFERROR(__xludf.DUMMYFUNCTION("GOOGLETRANSLATE(D67, ""en"", ""ur"")"),"ب) انہوں نے جان بوجھ کر جسم سے جسمانی رابطہ کیا۔")</f>
        <v>ب) انہوں نے جان بوجھ کر جسم سے جسمانی رابطہ کیا۔</v>
      </c>
      <c r="N67" s="5" t="str">
        <f>IFERROR(__xludf.DUMMYFUNCTION("GOOGLETRANSLATE(E67, ""en"", ""ur"")"),"اسٹک فائٹنگ میں، کھلاڑیوں کو ہتھیار کا فاصلہ برقرار رکھنا چاہیے۔ جان بوجھ کر جسم سے رابطہ کرنا جیسے دھکیلنا یا گرفت کرنا ایک غلط ہے۔")</f>
        <v>اسٹک فائٹنگ میں، کھلاڑیوں کو ہتھیار کا فاصلہ برقرار رکھنا چاہیے۔ جان بوجھ کر جسم سے رابطہ کرنا جیسے دھکیلنا یا گرفت کرنا ایک غلط ہے۔</v>
      </c>
    </row>
    <row r="68">
      <c r="A68" s="3">
        <v>67.0</v>
      </c>
      <c r="B68" s="4" t="s">
        <v>1978</v>
      </c>
      <c r="C68" s="4" t="s">
        <v>1979</v>
      </c>
      <c r="D68" s="4" t="s">
        <v>1980</v>
      </c>
      <c r="E68" s="4" t="s">
        <v>1981</v>
      </c>
      <c r="J68" s="5" t="str">
        <f>IFERROR(__xludf.DUMMYFUNCTION("GOOGLETRANSLATE(A68, ""en"", ""ur"")"),"67")</f>
        <v>67</v>
      </c>
      <c r="K68" s="5" t="str">
        <f>IFERROR(__xludf.DUMMYFUNCTION("GOOGLETRANSLATE(B68, ""en"", ""ur"")"),"گٹکا میں ""چل"" یا تال کی چال کا بنیادی مقصد کیا ہے؟")</f>
        <v>گٹکا میں "چل" یا تال کی چال کا بنیادی مقصد کیا ہے؟</v>
      </c>
      <c r="L68" s="5" t="str">
        <f>IFERROR(__xludf.DUMMYFUNCTION("GOOGLETRANSLATE(C68, ""en"", ""ur"")"),"A) خوبصورت نظر آنے کے لئے، B) تال، وقت، اور حرکت کے لئے مسلسل تیاری کو برقرار رکھنے کے لئے، C) مخالف کو الجھانے کے لئے، D) پٹھوں کو گرم کرنے کے لئے")</f>
        <v>A) خوبصورت نظر آنے کے لئے، B) تال، وقت، اور حرکت کے لئے مسلسل تیاری کو برقرار رکھنے کے لئے، C) مخالف کو الجھانے کے لئے، D) پٹھوں کو گرم کرنے کے لئے</v>
      </c>
      <c r="M68" s="5" t="str">
        <f>IFERROR(__xludf.DUMMYFUNCTION("GOOGLETRANSLATE(D68, ""en"", ""ur"")"),"ب) تال، وقت، اور حرکت کے لیے مستقل تیاری کو برقرار رکھنا")</f>
        <v>ب) تال، وقت، اور حرکت کے لیے مستقل تیاری کو برقرار رکھنا</v>
      </c>
      <c r="N68" s="5" t="str">
        <f>IFERROR(__xludf.DUMMYFUNCTION("GOOGLETRANSLATE(E68, ""en"", ""ur"")"),"خصوصیت والی تال کی حرکت صرف دکھانے کے لیے نہیں ہے۔ یہ لڑاکا کے جسم اور دماغ کو سیال تیاری کی حالت میں رکھتا ہے۔")</f>
        <v>خصوصیت والی تال کی حرکت صرف دکھانے کے لیے نہیں ہے۔ یہ لڑاکا کے جسم اور دماغ کو سیال تیاری کی حالت میں رکھتا ہے۔</v>
      </c>
    </row>
    <row r="69">
      <c r="A69" s="3">
        <v>68.0</v>
      </c>
      <c r="B69" s="4" t="s">
        <v>1982</v>
      </c>
      <c r="C69" s="4" t="s">
        <v>1983</v>
      </c>
      <c r="D69" s="4" t="s">
        <v>1984</v>
      </c>
      <c r="E69" s="4" t="s">
        <v>1985</v>
      </c>
      <c r="J69" s="5" t="str">
        <f>IFERROR(__xludf.DUMMYFUNCTION("GOOGLETRANSLATE(A69, ""en"", ""ur"")"),"68")</f>
        <v>68</v>
      </c>
      <c r="K69" s="5" t="str">
        <f>IFERROR(__xludf.DUMMYFUNCTION("GOOGLETRANSLATE(B69, ""en"", ""ur"")"),"وہ ""گٹکا"" کیا ہے جس سے اس کھیل کا نام پڑا؟")</f>
        <v>وہ "گٹکا" کیا ہے جس سے اس کھیل کا نام پڑا؟</v>
      </c>
      <c r="L69" s="5" t="str">
        <f>IFERROR(__xludf.DUMMYFUNCTION("GOOGLETRANSLATE(C69, ""en"", ""ur"")"),"A) تلوار کی ایک قسم، B) لکڑی کی چھڑی جو تربیت کے لیے استعمال ہوتی ہے، C) ڈھال، D) لڑائی کا میدان")</f>
        <v>A) تلوار کی ایک قسم، B) لکڑی کی چھڑی جو تربیت کے لیے استعمال ہوتی ہے، C) ڈھال، D) لڑائی کا میدان</v>
      </c>
      <c r="M69" s="5" t="str">
        <f>IFERROR(__xludf.DUMMYFUNCTION("GOOGLETRANSLATE(D69, ""en"", ""ur"")"),"ب) لکڑی کی چھڑی جو تربیت کے لیے استعمال ہوتی ہے۔")</f>
        <v>ب) لکڑی کی چھڑی جو تربیت کے لیے استعمال ہوتی ہے۔</v>
      </c>
      <c r="N69" s="5" t="str">
        <f>IFERROR(__xludf.DUMMYFUNCTION("GOOGLETRANSLATE(E69, ""en"", ""ur"")"),"""گٹکا"" نام سے مراد لکڑی کی تربیتی چھڑی ہے، جو اس فن میں اس قدر مرکزی حیثیت رکھتی ہے کہ پورے کھیل کا نام اسی کے نام پر رکھا گیا ہے۔")</f>
        <v>"گٹکا" نام سے مراد لکڑی کی تربیتی چھڑی ہے، جو اس فن میں اس قدر مرکزی حیثیت رکھتی ہے کہ پورے کھیل کا نام اسی کے نام پر رکھا گیا ہے۔</v>
      </c>
    </row>
    <row r="70">
      <c r="A70" s="3">
        <v>69.0</v>
      </c>
      <c r="B70" s="4" t="s">
        <v>1986</v>
      </c>
      <c r="C70" s="4" t="s">
        <v>1987</v>
      </c>
      <c r="D70" s="4" t="s">
        <v>1988</v>
      </c>
      <c r="E70" s="4" t="s">
        <v>1989</v>
      </c>
      <c r="J70" s="5" t="str">
        <f>IFERROR(__xludf.DUMMYFUNCTION("GOOGLETRANSLATE(A70, ""en"", ""ur"")"),"69")</f>
        <v>69</v>
      </c>
      <c r="K70" s="5" t="str">
        <f>IFERROR(__xludf.DUMMYFUNCTION("GOOGLETRANSLATE(B70, ""en"", ""ur"")"),"""سنت سپاہی"" (سینٹ سپاہی) کے آئیڈیل کے مطابق، گٹکا کرنے والے کا حتمی مقصد کیا ہے؟")</f>
        <v>"سنت سپاہی" (سینٹ سپاہی) کے آئیڈیل کے مطابق، گٹکا کرنے والے کا حتمی مقصد کیا ہے؟</v>
      </c>
      <c r="L70" s="5" t="str">
        <f>IFERROR(__xludf.DUMMYFUNCTION("GOOGLETRANSLATE(C70, ""en"", ""ur"")"),"A) سب سے بڑا لڑاکا بننا، B) روشن خیالی حاصل کرنا، C) راستبازی کے دفاع کے لیے روحانی نظم و ضبط اور جنگی مہارت دونوں میں مہارت حاصل کرنا، D) فوج میں شامل ہونا")</f>
        <v>A) سب سے بڑا لڑاکا بننا، B) روشن خیالی حاصل کرنا، C) راستبازی کے دفاع کے لیے روحانی نظم و ضبط اور جنگی مہارت دونوں میں مہارت حاصل کرنا، D) فوج میں شامل ہونا</v>
      </c>
      <c r="M70" s="5" t="str">
        <f>IFERROR(__xludf.DUMMYFUNCTION("GOOGLETRANSLATE(D70, ""en"", ""ur"")"),"ج) راستبازی کے دفاع کے لیے روحانی نظم و ضبط اور جنگی مہارت دونوں میں مہارت حاصل کرنا")</f>
        <v>ج) راستبازی کے دفاع کے لیے روحانی نظم و ضبط اور جنگی مہارت دونوں میں مہارت حاصل کرنا</v>
      </c>
      <c r="N70" s="5" t="str">
        <f>IFERROR(__xludf.DUMMYFUNCTION("GOOGLETRANSLATE(E70, ""en"", ""ur"")"),"""سینٹ سولجر"" خالصہ جنگجو کا آئیڈیل ہے: ایک ایسا شخص جو روحانی طور پر سرشار، اخلاقی طور پر سیدھا، اور انصاف کے دفاع کے لیے جنگی طور پر تیار ہو۔")</f>
        <v>"سینٹ سولجر" خالصہ جنگجو کا آئیڈیل ہے: ایک ایسا شخص جو روحانی طور پر سرشار، اخلاقی طور پر سیدھا، اور انصاف کے دفاع کے لیے جنگی طور پر تیار ہو۔</v>
      </c>
    </row>
    <row r="71">
      <c r="A71" s="3">
        <v>70.0</v>
      </c>
      <c r="B71" s="4" t="s">
        <v>1990</v>
      </c>
      <c r="C71" s="4" t="s">
        <v>1991</v>
      </c>
      <c r="D71" s="4" t="s">
        <v>1992</v>
      </c>
      <c r="E71" s="4" t="s">
        <v>1993</v>
      </c>
      <c r="J71" s="5" t="str">
        <f>IFERROR(__xludf.DUMMYFUNCTION("GOOGLETRANSLATE(A71, ""en"", ""ur"")"),"70")</f>
        <v>70</v>
      </c>
      <c r="K71" s="5" t="str">
        <f>IFERROR(__xludf.DUMMYFUNCTION("GOOGLETRANSLATE(B71, ""en"", ""ur"")"),"کھیل گٹکا میں بنیادی ہدف کا علاقہ کون سا ہے جو سب سے زیادہ پوائنٹس دیتا ہے؟")</f>
        <v>کھیل گٹکا میں بنیادی ہدف کا علاقہ کون سا ہے جو سب سے زیادہ پوائنٹس دیتا ہے؟</v>
      </c>
      <c r="L71" s="5" t="str">
        <f>IFERROR(__xludf.DUMMYFUNCTION("GOOGLETRANSLATE(C71, ""en"", ""ur"")"),"A) مخالف کی چھڑی، B) مخالف کی ڈھال، C) مخالف کا دھڑ، D) مخالف کی ٹانگیں")</f>
        <v>A) مخالف کی چھڑی، B) مخالف کی ڈھال، C) مخالف کا دھڑ، D) مخالف کی ٹانگیں</v>
      </c>
      <c r="M71" s="5" t="str">
        <f>IFERROR(__xludf.DUMMYFUNCTION("GOOGLETRANSLATE(D71, ""en"", ""ur"")"),"ج) مخالف کا دھڑ")</f>
        <v>ج) مخالف کا دھڑ</v>
      </c>
      <c r="N71" s="5" t="str">
        <f>IFERROR(__xludf.DUMMYFUNCTION("GOOGLETRANSLATE(E71, ""en"", ""ur"")"),"ایک مسابقتی میچ میں پوائنٹس اسکور کرنے کا بنیادی طریقہ مین باڈی ایریا پر صاف، کنٹرول شدہ سٹرائیکس ہیں۔")</f>
        <v>ایک مسابقتی میچ میں پوائنٹس اسکور کرنے کا بنیادی طریقہ مین باڈی ایریا پر صاف، کنٹرول شدہ سٹرائیکس ہیں۔</v>
      </c>
    </row>
    <row r="72">
      <c r="A72" s="3">
        <v>71.0</v>
      </c>
      <c r="B72" s="4" t="s">
        <v>1994</v>
      </c>
      <c r="C72" s="4" t="s">
        <v>1995</v>
      </c>
      <c r="D72" s="4" t="s">
        <v>1996</v>
      </c>
      <c r="E72" s="4" t="s">
        <v>1997</v>
      </c>
      <c r="J72" s="5" t="str">
        <f>IFERROR(__xludf.DUMMYFUNCTION("GOOGLETRANSLATE(A72, ""en"", ""ur"")"),"71")</f>
        <v>71</v>
      </c>
      <c r="K72" s="5" t="str">
        <f>IFERROR(__xludf.DUMMYFUNCTION("GOOGLETRANSLATE(B72, ""en"", ""ur"")"),"مندرجہ ذیل میں سے کون سا گٹکا غیر قانونی عمل ہے؟")</f>
        <v>مندرجہ ذیل میں سے کون سا گٹکا غیر قانونی عمل ہے؟</v>
      </c>
      <c r="L72" s="5" t="str">
        <f>IFERROR(__xludf.DUMMYFUNCTION("GOOGLETRANSLATE(C72, ""en"", ""ur"")"),"A) گھومنے والے حملے، B) چھڑی سے روکنا، C) مخالف کو لات مارنا، D) دو ہاتھوں سے حملہ")</f>
        <v>A) گھومنے والے حملے، B) چھڑی سے روکنا، C) مخالف کو لات مارنا، D) دو ہاتھوں سے حملہ</v>
      </c>
      <c r="M72" s="5" t="str">
        <f>IFERROR(__xludf.DUMMYFUNCTION("GOOGLETRANSLATE(D72, ""en"", ""ur"")"),"ج) مخالف کو لات مارنا")</f>
        <v>ج) مخالف کو لات مارنا</v>
      </c>
      <c r="N72" s="5" t="str">
        <f>IFERROR(__xludf.DUMMYFUNCTION("GOOGLETRANSLATE(E72, ""en"", ""ur"")"),"گٹکا ہتھیاروں پر مبنی مارشل آرٹ ہے۔ کھیلوں کے مقابلوں میں خالی ہاتھ مارنا، لاتیں مارنا، یا جوجھ مارنا منع ہے۔")</f>
        <v>گٹکا ہتھیاروں پر مبنی مارشل آرٹ ہے۔ کھیلوں کے مقابلوں میں خالی ہاتھ مارنا، لاتیں مارنا، یا جوجھ مارنا منع ہے۔</v>
      </c>
    </row>
    <row r="73">
      <c r="A73" s="3">
        <v>72.0</v>
      </c>
      <c r="B73" s="4" t="s">
        <v>1998</v>
      </c>
      <c r="C73" s="4" t="s">
        <v>1999</v>
      </c>
      <c r="D73" s="4" t="s">
        <v>2000</v>
      </c>
      <c r="E73" s="4" t="s">
        <v>2001</v>
      </c>
      <c r="J73" s="5" t="str">
        <f>IFERROR(__xludf.DUMMYFUNCTION("GOOGLETRANSLATE(A73, ""en"", ""ur"")"),"72")</f>
        <v>72</v>
      </c>
      <c r="K73" s="5" t="str">
        <f>IFERROR(__xludf.DUMMYFUNCTION("GOOGLETRANSLATE(B73, ""en"", ""ur"")"),"نہنگ کے حکم سے پہننے والے لباس (بانا) کا روایتی رنگ کیا ہے؟")</f>
        <v>نہنگ کے حکم سے پہننے والے لباس (بانا) کا روایتی رنگ کیا ہے؟</v>
      </c>
      <c r="L73" s="5" t="str">
        <f>IFERROR(__xludf.DUMMYFUNCTION("GOOGLETRANSLATE(C73, ""en"", ""ur"")"),"A) زعفران، B) سفید، C) الیکٹرک بلیو، D) سیاہ")</f>
        <v>A) زعفران، B) سفید، C) الیکٹرک بلیو، D) سیاہ</v>
      </c>
      <c r="M73" s="5" t="str">
        <f>IFERROR(__xludf.DUMMYFUNCTION("GOOGLETRANSLATE(D73, ""en"", ""ur"")"),"ج) الیکٹرک بلیو")</f>
        <v>ج) الیکٹرک بلیو</v>
      </c>
      <c r="N73" s="5" t="str">
        <f>IFERROR(__xludf.DUMMYFUNCTION("GOOGLETRANSLATE(E73, ""en"", ""ur"")"),"نہنگ جنگجو ""نیلے پوش"" فوج کے نام سے مشہور ہیں، اور ان کے مخصوص نیلے لباس ان کی شناخت کا ایک اہم حصہ ہیں۔")</f>
        <v>نہنگ جنگجو "نیلے پوش" فوج کے نام سے مشہور ہیں، اور ان کے مخصوص نیلے لباس ان کی شناخت کا ایک اہم حصہ ہیں۔</v>
      </c>
    </row>
    <row r="74">
      <c r="A74" s="3">
        <v>73.0</v>
      </c>
      <c r="B74" s="4" t="s">
        <v>2002</v>
      </c>
      <c r="C74" s="4" t="s">
        <v>2003</v>
      </c>
      <c r="D74" s="4" t="s">
        <v>2004</v>
      </c>
      <c r="E74" s="4" t="s">
        <v>2005</v>
      </c>
      <c r="J74" s="5" t="str">
        <f>IFERROR(__xludf.DUMMYFUNCTION("GOOGLETRANSLATE(A74, ""en"", ""ur"")"),"73")</f>
        <v>73</v>
      </c>
      <c r="K74" s="5" t="str">
        <f>IFERROR(__xludf.DUMMYFUNCTION("GOOGLETRANSLATE(B74, ""en"", ""ur"")"),"فائنل ٹورنامنٹ میچ میں 'ڈرا' یا جور کو کیسے ہینڈل کیا جاتا ہے؟")</f>
        <v>فائنل ٹورنامنٹ میچ میں 'ڈرا' یا جور کو کیسے ہینڈل کیا جاتا ہے؟</v>
      </c>
      <c r="L74" s="5" t="str">
        <f>IFERROR(__xludf.DUMMYFUNCTION("GOOGLETRANSLATE(C74, ""en"", ""ur"")"),"A) یہ مشترکہ فتح ہے، B) واضح فاتح کا تعین کرنے کے لیے ایک اضافی راؤنڈ کھیلا جاتا ہے، C) کم جرمانے والا کھلاڑی جیت جاتا ہے، D) فاتح کا فیصلہ سکے کے ٹاس سے کیا جاتا ہے۔")</f>
        <v>A) یہ مشترکہ فتح ہے، B) واضح فاتح کا تعین کرنے کے لیے ایک اضافی راؤنڈ کھیلا جاتا ہے، C) کم جرمانے والا کھلاڑی جیت جاتا ہے، D) فاتح کا فیصلہ سکے کے ٹاس سے کیا جاتا ہے۔</v>
      </c>
      <c r="M74" s="5" t="str">
        <f>IFERROR(__xludf.DUMMYFUNCTION("GOOGLETRANSLATE(D74, ""en"", ""ur"")"),"ب) واضح فاتح کا تعین کرنے کے لیے ایک اضافی راؤنڈ کھیلا جاتا ہے۔")</f>
        <v>ب) واضح فاتح کا تعین کرنے کے لیے ایک اضافی راؤنڈ کھیلا جاتا ہے۔</v>
      </c>
      <c r="N74" s="5" t="str">
        <f>IFERROR(__xludf.DUMMYFUNCTION("GOOGLETRANSLATE(E74, ""en"", ""ur"")"),"ٹورنامنٹ کی ترتیب میں، ایک فیصلہ کن فاتح کی ضرورت ہوتی ہے، لہذا پوائنٹس پر ٹائی اوور ٹائم راؤنڈ کی طرف لے جاتی ہے۔")</f>
        <v>ٹورنامنٹ کی ترتیب میں، ایک فیصلہ کن فاتح کی ضرورت ہوتی ہے، لہذا پوائنٹس پر ٹائی اوور ٹائم راؤنڈ کی طرف لے جاتی ہے۔</v>
      </c>
    </row>
    <row r="75">
      <c r="A75" s="3">
        <v>74.0</v>
      </c>
      <c r="B75" s="4" t="s">
        <v>2006</v>
      </c>
      <c r="C75" s="4" t="s">
        <v>2007</v>
      </c>
      <c r="D75" s="4" t="s">
        <v>2008</v>
      </c>
      <c r="E75" s="4" t="s">
        <v>2009</v>
      </c>
      <c r="J75" s="5" t="str">
        <f>IFERROR(__xludf.DUMMYFUNCTION("GOOGLETRANSLATE(A75, ""en"", ""ur"")"),"74")</f>
        <v>74</v>
      </c>
      <c r="K75" s="5" t="str">
        <f>IFERROR(__xludf.DUMMYFUNCTION("GOOGLETRANSLATE(B75, ""en"", ""ur"")"),"تلور کی بنیادی خصوصیت کیا ہے؟")</f>
        <v>تلور کی بنیادی خصوصیت کیا ہے؟</v>
      </c>
      <c r="L75" s="5" t="str">
        <f>IFERROR(__xludf.DUMMYFUNCTION("GOOGLETRANSLATE(C75, ""en"", ""ur"")"),"A) یہ دو دھاری تلوار ہے، B) یہ سیدھی تلوار ہے، C) یہ ایک خنجر ہے، ایک دھاری صابری ہے، D) یہ خنجر ہے۔")</f>
        <v>A) یہ دو دھاری تلوار ہے، B) یہ سیدھی تلوار ہے، C) یہ ایک خنجر ہے، ایک دھاری صابری ہے، D) یہ خنجر ہے۔</v>
      </c>
      <c r="M75" s="5" t="str">
        <f>IFERROR(__xludf.DUMMYFUNCTION("GOOGLETRANSLATE(D75, ""en"", ""ur"")"),"C) یہ ایک خمیدہ، واحد کنارہ کرپان ہے۔")</f>
        <v>C) یہ ایک خمیدہ، واحد کنارہ کرپان ہے۔</v>
      </c>
      <c r="N75" s="5" t="str">
        <f>IFERROR(__xludf.DUMMYFUNCTION("GOOGLETRANSLATE(E75, ""en"", ""ur"")"),"تلوار برصغیر پاک و ہند کی کلاسک خمیدہ تلوار ہے، جو مؤثر حملوں کے لیے بنائی گئی ہے۔")</f>
        <v>تلوار برصغیر پاک و ہند کی کلاسک خمیدہ تلوار ہے، جو مؤثر حملوں کے لیے بنائی گئی ہے۔</v>
      </c>
    </row>
    <row r="76">
      <c r="A76" s="3">
        <v>75.0</v>
      </c>
      <c r="B76" s="4" t="s">
        <v>2010</v>
      </c>
      <c r="C76" s="4" t="s">
        <v>2011</v>
      </c>
      <c r="D76" s="4" t="s">
        <v>2012</v>
      </c>
      <c r="E76" s="4" t="s">
        <v>2013</v>
      </c>
      <c r="J76" s="5" t="str">
        <f>IFERROR(__xludf.DUMMYFUNCTION("GOOGLETRANSLATE(A76, ""en"", ""ur"")"),"75")</f>
        <v>75</v>
      </c>
      <c r="K76" s="5" t="str">
        <f>IFERROR(__xludf.DUMMYFUNCTION("GOOGLETRANSLATE(B76, ""en"", ""ur"")"),"ٹیم کے مقابلے میں، ""مقابلہ"" کیا ہے؟")</f>
        <v>ٹیم کے مقابلے میں، "مقابلہ" کیا ہے؟</v>
      </c>
      <c r="L76" s="5" t="str">
        <f>IFERROR(__xludf.DUMMYFUNCTION("GOOGLETRANSLATE(C76, ""en"", ""ur"")"),"A) پوری ٹیم کا میچ، B) مخالف ٹیموں کے دو کھلاڑیوں کے درمیان ون آن ون لڑائی، C) وارم اپ ڈرل، D) راؤنڈز کے درمیان وقفہ")</f>
        <v>A) پوری ٹیم کا میچ، B) مخالف ٹیموں کے دو کھلاڑیوں کے درمیان ون آن ون لڑائی، C) وارم اپ ڈرل، D) راؤنڈز کے درمیان وقفہ</v>
      </c>
      <c r="M76" s="5" t="str">
        <f>IFERROR(__xludf.DUMMYFUNCTION("GOOGLETRANSLATE(D76, ""en"", ""ur"")"),"B) مخالف ٹیموں کے دو کھلاڑیوں کے درمیان ایک ایک سے ایک لڑائی")</f>
        <v>B) مخالف ٹیموں کے دو کھلاڑیوں کے درمیان ایک ایک سے ایک لڑائی</v>
      </c>
      <c r="N76" s="5" t="str">
        <f>IFERROR(__xludf.DUMMYFUNCTION("GOOGLETRANSLATE(E76, ""en"", ""ur"")"),"مجموعی طور پر ٹیم کا میچ انفرادی باؤٹس کی ایک سیریز پر مشتمل ہوتا ہے، اور جو ٹیم سب سے زیادہ مقابلے جیتتی ہے وہ میچ جیت جاتی ہے۔")</f>
        <v>مجموعی طور پر ٹیم کا میچ انفرادی باؤٹس کی ایک سیریز پر مشتمل ہوتا ہے، اور جو ٹیم سب سے زیادہ مقابلے جیتتی ہے وہ میچ جیت جاتی ہے۔</v>
      </c>
    </row>
    <row r="77">
      <c r="A77" s="3">
        <v>76.0</v>
      </c>
      <c r="B77" s="4" t="s">
        <v>2014</v>
      </c>
      <c r="C77" s="4" t="s">
        <v>2015</v>
      </c>
      <c r="D77" s="4" t="s">
        <v>172</v>
      </c>
      <c r="E77" s="4" t="s">
        <v>2016</v>
      </c>
      <c r="J77" s="5" t="str">
        <f>IFERROR(__xludf.DUMMYFUNCTION("GOOGLETRANSLATE(A77, ""en"", ""ur"")"),"76")</f>
        <v>76</v>
      </c>
      <c r="K77" s="5" t="str">
        <f>IFERROR(__xludf.DUMMYFUNCTION("GOOGLETRANSLATE(B77, ""en"", ""ur"")"),"روایتی گٹکا کے تناظر میں پگڑی کا مقصد کیا ہے، اس کی مذہبی اہمیت سے بالاتر ہے؟")</f>
        <v>روایتی گٹکا کے تناظر میں پگڑی کا مقصد کیا ہے، اس کی مذہبی اہمیت سے بالاتر ہے؟</v>
      </c>
      <c r="L77" s="5" t="str">
        <f>IFERROR(__xludf.DUMMYFUNCTION("GOOGLETRANSLATE(C77, ""en"", ""ur"")"),"A) یہ خالصتاً آرائشی ہے، B) یہ سر کے لیے تحفظ کی ایک تہہ فراہم کرتا ہے، C) اسے چھوٹے ہتھیاروں کو ذخیرہ کرنے کے لیے استعمال کیا جاتا ہے، D) B اور C دونوں")</f>
        <v>A) یہ خالصتاً آرائشی ہے، B) یہ سر کے لیے تحفظ کی ایک تہہ فراہم کرتا ہے، C) اسے چھوٹے ہتھیاروں کو ذخیرہ کرنے کے لیے استعمال کیا جاتا ہے، D) B اور C دونوں</v>
      </c>
      <c r="M77" s="5" t="str">
        <f>IFERROR(__xludf.DUMMYFUNCTION("GOOGLETRANSLATE(D77, ""en"", ""ur"")"),"D) B اور C دونوں")</f>
        <v>D) B اور C دونوں</v>
      </c>
      <c r="N77" s="5" t="str">
        <f>IFERROR(__xludf.DUMMYFUNCTION("GOOGLETRANSLATE(E77, ""en"", ""ur"")"),"مضبوطی سے زخم شدہ پگڑی ضربوں کے خلاف اہم تحفظ فراہم کرتی ہے، اور تاریخی طور پر، چھوٹے خنجر یا کوٹ (چاکرا) کو اس کے تہوں میں رکھا جا سکتا ہے۔")</f>
        <v>مضبوطی سے زخم شدہ پگڑی ضربوں کے خلاف اہم تحفظ فراہم کرتی ہے، اور تاریخی طور پر، چھوٹے خنجر یا کوٹ (چاکرا) کو اس کے تہوں میں رکھا جا سکتا ہے۔</v>
      </c>
    </row>
    <row r="78">
      <c r="A78" s="3">
        <v>77.0</v>
      </c>
      <c r="B78" s="4" t="s">
        <v>2017</v>
      </c>
      <c r="C78" s="4" t="s">
        <v>2018</v>
      </c>
      <c r="D78" s="4" t="s">
        <v>2019</v>
      </c>
      <c r="E78" s="4" t="s">
        <v>2020</v>
      </c>
      <c r="J78" s="5" t="str">
        <f>IFERROR(__xludf.DUMMYFUNCTION("GOOGLETRANSLATE(A78, ""en"", ""ur"")"),"77")</f>
        <v>77</v>
      </c>
      <c r="K78" s="5" t="str">
        <f>IFERROR(__xludf.DUMMYFUNCTION("GOOGLETRANSLATE(B78, ""en"", ""ur"")"),"اصطلاح ""فاری سوتی"" سے کیا مراد ہے؟")</f>
        <v>اصطلاح "فاری سوتی" سے کیا مراد ہے؟</v>
      </c>
      <c r="L78" s="5" t="str">
        <f>IFERROR(__xludf.DUMMYFUNCTION("GOOGLETRANSLATE(C78, ""en"", ""ur"")"),"A) ٹیم مقابلہ کی ایک قسم، B) ایک مخصوص ڈسپلن جس میں چھڑی (سوتی) اور ایک ڈھال (فاری) شامل ہوتی ہے، C) دو لاٹھیوں کے ساتھ سولو مظاہرہ، D) ایک تاریخی جنگ")</f>
        <v>A) ٹیم مقابلہ کی ایک قسم، B) ایک مخصوص ڈسپلن جس میں چھڑی (سوتی) اور ایک ڈھال (فاری) شامل ہوتی ہے، C) دو لاٹھیوں کے ساتھ سولو مظاہرہ، D) ایک تاریخی جنگ</v>
      </c>
      <c r="M78" s="5" t="str">
        <f>IFERROR(__xludf.DUMMYFUNCTION("GOOGLETRANSLATE(D78, ""en"", ""ur"")"),"ب) ایک مخصوص نظم جس میں چھڑی (سوتی) اور ایک ڈھال (فاری) شامل ہے")</f>
        <v>ب) ایک مخصوص نظم جس میں چھڑی (سوتی) اور ایک ڈھال (فاری) شامل ہے</v>
      </c>
      <c r="N78" s="5" t="str">
        <f>IFERROR(__xludf.DUMMYFUNCTION("GOOGLETRANSLATE(E78, ""en"", ""ur"")"),"یہ اہم مسابقتی مقابلوں میں سے ایک ہے، جہاں کھلاڑی چھڑی اور چھوٹی شیلڈ کا استعمال کرتے ہوئے آگے بڑھتے ہیں۔")</f>
        <v>یہ اہم مسابقتی مقابلوں میں سے ایک ہے، جہاں کھلاڑی چھڑی اور چھوٹی شیلڈ کا استعمال کرتے ہوئے آگے بڑھتے ہیں۔</v>
      </c>
    </row>
    <row r="79">
      <c r="A79" s="3">
        <v>78.0</v>
      </c>
      <c r="B79" s="4" t="s">
        <v>2021</v>
      </c>
      <c r="C79" s="4" t="s">
        <v>2022</v>
      </c>
      <c r="D79" s="4" t="s">
        <v>2023</v>
      </c>
      <c r="E79" s="4" t="s">
        <v>2024</v>
      </c>
      <c r="J79" s="5" t="str">
        <f>IFERROR(__xludf.DUMMYFUNCTION("GOOGLETRANSLATE(A79, ""en"", ""ur"")"),"78")</f>
        <v>78</v>
      </c>
      <c r="K79" s="5" t="str">
        <f>IFERROR(__xludf.DUMMYFUNCTION("GOOGLETRANSLATE(B79, ""en"", ""ur"")"),"ان میں سے کون سا گٹکا فلسفہ کا کلیدی اصول ہے؟")</f>
        <v>ان میں سے کون سا گٹکا فلسفہ کا کلیدی اصول ہے؟</v>
      </c>
      <c r="L79" s="5" t="str">
        <f>IFERROR(__xludf.DUMMYFUNCTION("GOOGLETRANSLATE(C79, ""en"", ""ur"")"),"A) ""ہر قیمت پر جیت""، B) ""حملہ بہترین دفاع ہے""، C) جسم اور دماغ کو ہتھیار کے ساتھ متحد ہونا چاہیے، D) ""کبھی رحم نہ کریں""")</f>
        <v>A) "ہر قیمت پر جیت"، B) "حملہ بہترین دفاع ہے"، C) جسم اور دماغ کو ہتھیار کے ساتھ متحد ہونا چاہیے، D) "کبھی رحم نہ کریں"</v>
      </c>
      <c r="M79" s="5" t="str">
        <f>IFERROR(__xludf.DUMMYFUNCTION("GOOGLETRANSLATE(D79, ""en"", ""ur"")"),"ج) جسم اور دماغ کو ہتھیار کے ساتھ متحد ہونا چاہیے۔")</f>
        <v>ج) جسم اور دماغ کو ہتھیار کے ساتھ متحد ہونا چاہیے۔</v>
      </c>
      <c r="N79" s="5" t="str">
        <f>IFERROR(__xludf.DUMMYFUNCTION("GOOGLETRANSLATE(E79, ""en"", ""ur"")"),"شاستر ودیا کا ایک بنیادی اصول یہ ہے کہ ہتھیار کو پریکٹیشنر کے اپنے جسم اور روح کی توسیع کے طور پر سمجھا جانا چاہئے۔")</f>
        <v>شاستر ودیا کا ایک بنیادی اصول یہ ہے کہ ہتھیار کو پریکٹیشنر کے اپنے جسم اور روح کی توسیع کے طور پر سمجھا جانا چاہئے۔</v>
      </c>
    </row>
    <row r="80">
      <c r="A80" s="3">
        <v>79.0</v>
      </c>
      <c r="B80" s="4" t="s">
        <v>2025</v>
      </c>
      <c r="C80" s="4" t="s">
        <v>2026</v>
      </c>
      <c r="D80" s="4" t="s">
        <v>2027</v>
      </c>
      <c r="E80" s="4" t="s">
        <v>2028</v>
      </c>
      <c r="J80" s="5" t="str">
        <f>IFERROR(__xludf.DUMMYFUNCTION("GOOGLETRANSLATE(A80, ""en"", ""ur"")"),"79")</f>
        <v>79</v>
      </c>
      <c r="K80" s="5" t="str">
        <f>IFERROR(__xludf.DUMMYFUNCTION("GOOGLETRANSLATE(B80, ""en"", ""ur"")"),"گٹکا کو ""زندہ تاریخ"" سمجھا جانے کی بنیادی وجہ کیا ہے؟")</f>
        <v>گٹکا کو "زندہ تاریخ" سمجھا جانے کی بنیادی وجہ کیا ہے؟</v>
      </c>
      <c r="L80" s="5" t="str">
        <f>IFERROR(__xludf.DUMMYFUNCTION("GOOGLETRANSLATE(C80, ""en"", ""ur"")"),"A) یہ ایک قدیم فن ہے جو آج بھی فعال طور پر استعمال کیا جاتا ہے اور انجام دیا جاتا ہے، B) اس کا مطالعہ صرف تاریخ کی کتابوں میں کیا جاتا ہے، C) 500 سالوں میں اس میں کوئی تبدیلی نہیں آئی، D) یہ مشہور لڑائیوں کا از سر نو عمل ہے۔")</f>
        <v>A) یہ ایک قدیم فن ہے جو آج بھی فعال طور پر استعمال کیا جاتا ہے اور انجام دیا جاتا ہے، B) اس کا مطالعہ صرف تاریخ کی کتابوں میں کیا جاتا ہے، C) 500 سالوں میں اس میں کوئی تبدیلی نہیں آئی، D) یہ مشہور لڑائیوں کا از سر نو عمل ہے۔</v>
      </c>
      <c r="M80" s="5" t="str">
        <f>IFERROR(__xludf.DUMMYFUNCTION("GOOGLETRANSLATE(D80, ""en"", ""ur"")"),"A) یہ ایک قدیم فن ہے جو آج بھی فعال طور پر مشق اور کارکردگی کا مظاہرہ کر رہا ہے۔")</f>
        <v>A) یہ ایک قدیم فن ہے جو آج بھی فعال طور پر مشق اور کارکردگی کا مظاہرہ کر رہا ہے۔</v>
      </c>
      <c r="N80" s="5" t="str">
        <f>IFERROR(__xludf.DUMMYFUNCTION("GOOGLETRANSLATE(E80, ""en"", ""ur"")"),"گٹکا کوئی آثار نہیں ہے۔ یہ ایک متحرک روایت ہے جو نسل در نسل منتقل ہوتی ہے اور ارتقا پذیر ہوتی رہتی ہے۔")</f>
        <v>گٹکا کوئی آثار نہیں ہے۔ یہ ایک متحرک روایت ہے جو نسل در نسل منتقل ہوتی ہے اور ارتقا پذیر ہوتی رہتی ہے۔</v>
      </c>
    </row>
    <row r="81">
      <c r="A81" s="3">
        <v>80.0</v>
      </c>
      <c r="B81" s="4" t="s">
        <v>2029</v>
      </c>
      <c r="C81" s="4" t="s">
        <v>2030</v>
      </c>
      <c r="D81" s="4" t="s">
        <v>2031</v>
      </c>
      <c r="E81" s="4" t="s">
        <v>2032</v>
      </c>
      <c r="J81" s="5" t="str">
        <f>IFERROR(__xludf.DUMMYFUNCTION("GOOGLETRANSLATE(A81, ""en"", ""ur"")"),"80")</f>
        <v>80</v>
      </c>
      <c r="K81" s="5" t="str">
        <f>IFERROR(__xludf.DUMMYFUNCTION("GOOGLETRANSLATE(B81, ""en"", ""ur"")"),"گٹکا میں تال والے فٹ ورک یا ""چل"" کا موازنہ اکثر کس جانور کی چال سے کیا جاتا ہے؟")</f>
        <v>گٹکا میں تال والے فٹ ورک یا "چل" کا موازنہ اکثر کس جانور کی چال سے کیا جاتا ہے؟</v>
      </c>
      <c r="L81" s="5" t="str">
        <f>IFERROR(__xludf.DUMMYFUNCTION("GOOGLETRANSLATE(C81, ""en"", ""ur"")"),"A) ایک شیر، B) ایک ہاتھی، C) ایک شیر، D) ایک گھوڑا")</f>
        <v>A) ایک شیر، B) ایک ہاتھی، C) ایک شیر، D) ایک گھوڑا</v>
      </c>
      <c r="M81" s="5" t="str">
        <f>IFERROR(__xludf.DUMMYFUNCTION("GOOGLETRANSLATE(D81, ""en"", ""ur"")"),"ج) ایک شیر")</f>
        <v>ج) ایک شیر</v>
      </c>
      <c r="N81" s="5" t="str">
        <f>IFERROR(__xludf.DUMMYFUNCTION("GOOGLETRANSLATE(E81, ""en"", ""ur"")"),"طاقتور، بہتی اور شاندار چال کو اکثر ""شیر کی سیر"" کے طور پر بیان کیا جاتا ہے، جو ہمت اور طاقت کی علامت ہے۔")</f>
        <v>طاقتور، بہتی اور شاندار چال کو اکثر "شیر کی سیر" کے طور پر بیان کیا جاتا ہے، جو ہمت اور طاقت کی علامت ہے۔</v>
      </c>
    </row>
    <row r="82">
      <c r="A82" s="3">
        <v>81.0</v>
      </c>
      <c r="B82" s="4" t="s">
        <v>2033</v>
      </c>
      <c r="C82" s="4" t="s">
        <v>2034</v>
      </c>
      <c r="D82" s="4" t="s">
        <v>2035</v>
      </c>
      <c r="E82" s="4" t="s">
        <v>2036</v>
      </c>
      <c r="J82" s="5" t="str">
        <f>IFERROR(__xludf.DUMMYFUNCTION("GOOGLETRANSLATE(A82, ""en"", ""ur"")"),"81")</f>
        <v>81</v>
      </c>
      <c r="K82" s="5" t="str">
        <f>IFERROR(__xludf.DUMMYFUNCTION("GOOGLETRANSLATE(B82, ""en"", ""ur"")"),"ایک کھلاڑی کو بڑے سائز کی شیلڈ استعمال کرنے پر سزا دی جاتی ہے۔ ڈھال کے سائز کو منظم کرنے کا مقصد کیا ہے؟")</f>
        <v>ایک کھلاڑی کو بڑے سائز کی شیلڈ استعمال کرنے پر سزا دی جاتی ہے۔ ڈھال کے سائز کو منظم کرنے کا مقصد کیا ہے؟</v>
      </c>
      <c r="L82" s="5" t="str">
        <f>IFERROR(__xludf.DUMMYFUNCTION("GOOGLETRANSLATE(C82, ""en"", ""ur"")"),"A) شیلڈز کو ہلکا کرنے کے لیے، B) جرم اور دفاع کے درمیان مناسب توازن کو یقینی بنانے کے لیے، C) ریفری کے لیے دیکھنے میں آسانی پیدا کرنے کے لیے، D) مادی اخراجات کو بچانے کے لیے")</f>
        <v>A) شیلڈز کو ہلکا کرنے کے لیے، B) جرم اور دفاع کے درمیان مناسب توازن کو یقینی بنانے کے لیے، C) ریفری کے لیے دیکھنے میں آسانی پیدا کرنے کے لیے، D) مادی اخراجات کو بچانے کے لیے</v>
      </c>
      <c r="M82" s="5" t="str">
        <f>IFERROR(__xludf.DUMMYFUNCTION("GOOGLETRANSLATE(D82, ""en"", ""ur"")"),"ب) جرم اور دفاع کے درمیان منصفانہ توازن کو یقینی بنانا")</f>
        <v>ب) جرم اور دفاع کے درمیان منصفانہ توازن کو یقینی بنانا</v>
      </c>
      <c r="N82" s="5" t="str">
        <f>IFERROR(__xludf.DUMMYFUNCTION("GOOGLETRANSLATE(E82, ""en"", ""ur"")"),"حد سے زیادہ بڑی شیلڈ کسی کھلاڑی کو مارنا تقریباً ناممکن بنا دیتی ہے، اس لیے ہنر مند کھیل کی حوصلہ افزائی کے لیے سائز کو معیاری بنایا جاتا ہے۔")</f>
        <v>حد سے زیادہ بڑی شیلڈ کسی کھلاڑی کو مارنا تقریباً ناممکن بنا دیتی ہے، اس لیے ہنر مند کھیل کی حوصلہ افزائی کے لیے سائز کو معیاری بنایا جاتا ہے۔</v>
      </c>
    </row>
    <row r="83">
      <c r="A83" s="3">
        <v>82.0</v>
      </c>
      <c r="B83" s="4" t="s">
        <v>2037</v>
      </c>
      <c r="C83" s="4" t="s">
        <v>2038</v>
      </c>
      <c r="D83" s="4" t="s">
        <v>2039</v>
      </c>
      <c r="E83" s="4" t="s">
        <v>2040</v>
      </c>
      <c r="J83" s="5" t="str">
        <f>IFERROR(__xludf.DUMMYFUNCTION("GOOGLETRANSLATE(A83, ""en"", ""ur"")"),"82")</f>
        <v>82</v>
      </c>
      <c r="K83" s="5" t="str">
        <f>IFERROR(__xludf.DUMMYFUNCTION("GOOGLETRANSLATE(B83, ""en"", ""ur"")"),"برچھا کیا ہے؟")</f>
        <v>برچھا کیا ہے؟</v>
      </c>
      <c r="L83" s="5" t="str">
        <f>IFERROR(__xludf.DUMMYFUNCTION("GOOGLETRANSLATE(C83, ""en"", ""ur"")"),"A) خنجر کی ایک قسم، B) ایک چھوٹی تلوار، C) لمبا نیزہ، D) جنگی کلہاڑی")</f>
        <v>A) خنجر کی ایک قسم، B) ایک چھوٹی تلوار، C) لمبا نیزہ، D) جنگی کلہاڑی</v>
      </c>
      <c r="M83" s="5" t="str">
        <f>IFERROR(__xludf.DUMMYFUNCTION("GOOGLETRANSLATE(D83, ""en"", ""ur"")"),"ج) ایک لمبا نیزہ")</f>
        <v>ج) ایک لمبا نیزہ</v>
      </c>
      <c r="N83" s="5" t="str">
        <f>IFERROR(__xludf.DUMMYFUNCTION("GOOGLETRANSLATE(E83, ""en"", ""ur"")"),"برچھا ایک نیزہ ہے، سکھوں کے ہتھیاروں میں ایک روایتی ہتھیار ہے جو طویل فاصلے تک چلنے والی لڑائی کے لیے استعمال ہوتا ہے۔")</f>
        <v>برچھا ایک نیزہ ہے، سکھوں کے ہتھیاروں میں ایک روایتی ہتھیار ہے جو طویل فاصلے تک چلنے والی لڑائی کے لیے استعمال ہوتا ہے۔</v>
      </c>
    </row>
    <row r="84">
      <c r="A84" s="3">
        <v>83.0</v>
      </c>
      <c r="B84" s="4" t="s">
        <v>2041</v>
      </c>
      <c r="C84" s="4" t="s">
        <v>2042</v>
      </c>
      <c r="D84" s="4" t="s">
        <v>2043</v>
      </c>
      <c r="E84" s="4" t="s">
        <v>2044</v>
      </c>
      <c r="J84" s="5" t="str">
        <f>IFERROR(__xludf.DUMMYFUNCTION("GOOGLETRANSLATE(A84, ""en"", ""ur"")"),"83")</f>
        <v>83</v>
      </c>
      <c r="K84" s="5" t="str">
        <f>IFERROR(__xludf.DUMMYFUNCTION("GOOGLETRANSLATE(B84, ""en"", ""ur"")"),"فنکارانہ مظاہرے میں، ایک کھلاڑی ""فائر بریتھنگ"" تکنیک کا مظاہرہ کرتا ہے۔ یہ کیا علامت ہے؟")</f>
        <v>فنکارانہ مظاہرے میں، ایک کھلاڑی "فائر بریتھنگ" تکنیک کا مظاہرہ کرتا ہے۔ یہ کیا علامت ہے؟</v>
      </c>
      <c r="L84" s="5" t="str">
        <f>IFERROR(__xludf.DUMMYFUNCTION("GOOGLETRANSLATE(C84, ""en"", ""ur"")"),"A) جنگجو کی تباہ کن طاقت، B) خالصہ کی الہی توانائی اور آتشی جذبہ، C) یہ ایک جادوئی چال ہے، D) یہ ایک وارم اپ ورزش ہے")</f>
        <v>A) جنگجو کی تباہ کن طاقت، B) خالصہ کی الہی توانائی اور آتشی جذبہ، C) یہ ایک جادوئی چال ہے، D) یہ ایک وارم اپ ورزش ہے</v>
      </c>
      <c r="M84" s="5" t="str">
        <f>IFERROR(__xludf.DUMMYFUNCTION("GOOGLETRANSLATE(D84, ""en"", ""ur"")"),"ب) خالصہ کی الہی توانائی اور آتشی روح")</f>
        <v>ب) خالصہ کی الہی توانائی اور آتشی روح</v>
      </c>
      <c r="N84" s="5" t="str">
        <f>IFERROR(__xludf.DUMMYFUNCTION("GOOGLETRANSLATE(E84, ""en"", ""ur"")"),"یہ شاندار ڈسپلے سکھ جنگجو کی شدید روحانی اور جنگی توانائی کی علامتی نمائندگی ہے۔")</f>
        <v>یہ شاندار ڈسپلے سکھ جنگجو کی شدید روحانی اور جنگی توانائی کی علامتی نمائندگی ہے۔</v>
      </c>
    </row>
    <row r="85">
      <c r="A85" s="3">
        <v>84.0</v>
      </c>
      <c r="B85" s="4" t="s">
        <v>2045</v>
      </c>
      <c r="C85" s="4" t="s">
        <v>2046</v>
      </c>
      <c r="D85" s="4" t="s">
        <v>2047</v>
      </c>
      <c r="E85" s="4" t="s">
        <v>2048</v>
      </c>
      <c r="J85" s="5" t="str">
        <f>IFERROR(__xludf.DUMMYFUNCTION("GOOGLETRANSLATE(A85, ""en"", ""ur"")"),"84")</f>
        <v>84</v>
      </c>
      <c r="K85" s="5" t="str">
        <f>IFERROR(__xludf.DUMMYFUNCTION("GOOGLETRANSLATE(B85, ""en"", ""ur"")"),"کرپان اور کٹار میں بنیادی فرق کیا ہے؟")</f>
        <v>کرپان اور کٹار میں بنیادی فرق کیا ہے؟</v>
      </c>
      <c r="L85" s="5" t="str">
        <f>IFERROR(__xludf.DUMMYFUNCTION("GOOGLETRANSLATE(C85, ""en"", ""ur"")"),"A) کرپان ایک تلوار ہے، کٹار ایک خنجر ہے، B) کرپن ایک مڑے ہوئے خنجر ہے، جبکہ کٹار ایک دھکا دینے والا خنجر ہے جس میں H کے سائز کا ہینڈل ہے، C) اس میں کوئی فرق نہیں ہے، D) کٹار ایک ہندو ہتھیار ہے، کرپن سکھ ہے۔")</f>
        <v>A) کرپان ایک تلوار ہے، کٹار ایک خنجر ہے، B) کرپن ایک مڑے ہوئے خنجر ہے، جبکہ کٹار ایک دھکا دینے والا خنجر ہے جس میں H کے سائز کا ہینڈل ہے، C) اس میں کوئی فرق نہیں ہے، D) کٹار ایک ہندو ہتھیار ہے، کرپن سکھ ہے۔</v>
      </c>
      <c r="M85" s="5" t="str">
        <f>IFERROR(__xludf.DUMMYFUNCTION("GOOGLETRANSLATE(D85, ""en"", ""ur"")"),"ب) کرپان ایک مڑے ہوئے خنجر ہے، جب کہ کٹار ایک دھکا دینے والا خنجر ہے جس میں ایچ کے سائز کا ہینڈل ہے۔")</f>
        <v>ب) کرپان ایک مڑے ہوئے خنجر ہے، جب کہ کٹار ایک دھکا دینے والا خنجر ہے جس میں ایچ کے سائز کا ہینڈل ہے۔</v>
      </c>
      <c r="N85" s="5" t="str">
        <f>IFERROR(__xludf.DUMMYFUNCTION("GOOGLETRANSLATE(E85, ""en"", ""ur"")"),"کٹار برصغیر پاک و ہند سے چھیدنے والا ایک خصوصی ہتھیار ہے، جسے کبھی کبھی شاستر ودیا میں بھی دکھایا جاتا ہے۔")</f>
        <v>کٹار برصغیر پاک و ہند سے چھیدنے والا ایک خصوصی ہتھیار ہے، جسے کبھی کبھی شاستر ودیا میں بھی دکھایا جاتا ہے۔</v>
      </c>
    </row>
    <row r="86">
      <c r="A86" s="3">
        <v>85.0</v>
      </c>
      <c r="B86" s="4" t="s">
        <v>2049</v>
      </c>
      <c r="C86" s="4" t="s">
        <v>2050</v>
      </c>
      <c r="D86" s="4" t="s">
        <v>2051</v>
      </c>
      <c r="E86" s="4" t="s">
        <v>2052</v>
      </c>
      <c r="J86" s="5" t="str">
        <f>IFERROR(__xludf.DUMMYFUNCTION("GOOGLETRANSLATE(A86, ""en"", ""ur"")"),"85")</f>
        <v>85</v>
      </c>
      <c r="K86" s="5" t="str">
        <f>IFERROR(__xludf.DUMMYFUNCTION("GOOGLETRANSLATE(B86, ""en"", ""ur"")"),"گرے ہوئے مخالف پر وار کرنا کیوں فضول ہے؟")</f>
        <v>گرے ہوئے مخالف پر وار کرنا کیوں فضول ہے؟</v>
      </c>
      <c r="L86" s="5" t="str">
        <f>IFERROR(__xludf.DUMMYFUNCTION("GOOGLETRANSLATE(C86, ""en"", ""ur"")"),"A) اسکور کرنا بہت آسان ہے، B) حفاظت کے لیے اور لڑائی کے اعزاز کو برقرار رکھنے کے لیے، C) یہ میدان کے فرش کو نقصان پہنچا سکتا ہے، D) گرا ہوا کھلاڑی اپنا دفاع نہیں کر سکتا")</f>
        <v>A) اسکور کرنا بہت آسان ہے، B) حفاظت کے لیے اور لڑائی کے اعزاز کو برقرار رکھنے کے لیے، C) یہ میدان کے فرش کو نقصان پہنچا سکتا ہے، D) گرا ہوا کھلاڑی اپنا دفاع نہیں کر سکتا</v>
      </c>
      <c r="M86" s="5" t="str">
        <f>IFERROR(__xludf.DUMMYFUNCTION("GOOGLETRANSLATE(D86, ""en"", ""ur"")"),"ب) حفاظت اور لڑائی کے اعزاز کو برقرار رکھنے کے لیے")</f>
        <v>ب) حفاظت اور لڑائی کے اعزاز کو برقرار رکھنے کے لیے</v>
      </c>
      <c r="N86" s="5" t="str">
        <f>IFERROR(__xludf.DUMMYFUNCTION("GOOGLETRANSLATE(E86, ""en"", ""ur"")"),"گٹکا کے قوانین میں ایک منصفانہ، کھڑے ہونے والی لڑائی کی ضرورت ہوتی ہے۔ گرے ہوئے مخالف پر حملہ کرنا حفاظت اور جنگجو کے ضابطہ اخلاق دونوں کی بڑی خلاف ورزی ہے۔")</f>
        <v>گٹکا کے قوانین میں ایک منصفانہ، کھڑے ہونے والی لڑائی کی ضرورت ہوتی ہے۔ گرے ہوئے مخالف پر حملہ کرنا حفاظت اور جنگجو کے ضابطہ اخلاق دونوں کی بڑی خلاف ورزی ہے۔</v>
      </c>
    </row>
    <row r="87">
      <c r="A87" s="3">
        <v>86.0</v>
      </c>
      <c r="B87" s="4" t="s">
        <v>2053</v>
      </c>
      <c r="C87" s="4" t="s">
        <v>2054</v>
      </c>
      <c r="D87" s="4" t="s">
        <v>2055</v>
      </c>
      <c r="E87" s="4" t="s">
        <v>2056</v>
      </c>
      <c r="J87" s="5" t="str">
        <f>IFERROR(__xludf.DUMMYFUNCTION("GOOGLETRANSLATE(A87, ""en"", ""ur"")"),"86")</f>
        <v>86</v>
      </c>
      <c r="K87" s="5" t="str">
        <f>IFERROR(__xludf.DUMMYFUNCTION("GOOGLETRANSLATE(B87, ""en"", ""ur"")"),"""گٹکا فیڈریشن آف انڈیا"" کا بنیادی مقصد کیا ہے؟")</f>
        <v>"گٹکا فیڈریشن آف انڈیا" کا بنیادی مقصد کیا ہے؟</v>
      </c>
      <c r="L87" s="5" t="str">
        <f>IFERROR(__xludf.DUMMYFUNCTION("GOOGLETRANSLATE(C87, ""en"", ""ur"")"),"A) گٹکا کو ایک جدید، معیاری کھیل کے طور پر فروغ دینا، B) اس فن کو ایک تاریخی بحالی کے طور پر محفوظ کرنا، C) سکولوں میں گٹکا سکھانا، D) نہنگ احکامات کا انتظام کرنا")</f>
        <v>A) گٹکا کو ایک جدید، معیاری کھیل کے طور پر فروغ دینا، B) اس فن کو ایک تاریخی بحالی کے طور پر محفوظ کرنا، C) سکولوں میں گٹکا سکھانا، D) نہنگ احکامات کا انتظام کرنا</v>
      </c>
      <c r="M87" s="5" t="str">
        <f>IFERROR(__xludf.DUMMYFUNCTION("GOOGLETRANSLATE(D87, ""en"", ""ur"")"),"ا) گٹکا کو ایک جدید، معیاری کھیل کے طور پر فروغ دینا")</f>
        <v>ا) گٹکا کو ایک جدید، معیاری کھیل کے طور پر فروغ دینا</v>
      </c>
      <c r="N87" s="5" t="str">
        <f>IFERROR(__xludf.DUMMYFUNCTION("GOOGLETRANSLATE(E87, ""en"", ""ur"")"),"قومی فیڈریشن قوانین کو معیاری بنانے، چیمپئن شپ کے انعقاد اور گٹکا کو ایک مسابقتی کھیل کے طور پر باضابطہ شناخت حاصل کرنے کے لیے کام کرتی ہیں۔")</f>
        <v>قومی فیڈریشن قوانین کو معیاری بنانے، چیمپئن شپ کے انعقاد اور گٹکا کو ایک مسابقتی کھیل کے طور پر باضابطہ شناخت حاصل کرنے کے لیے کام کرتی ہیں۔</v>
      </c>
    </row>
    <row r="88">
      <c r="A88" s="3">
        <v>87.0</v>
      </c>
      <c r="B88" s="4" t="s">
        <v>2057</v>
      </c>
      <c r="C88" s="4" t="s">
        <v>2058</v>
      </c>
      <c r="D88" s="4" t="s">
        <v>2059</v>
      </c>
      <c r="E88" s="4" t="s">
        <v>2060</v>
      </c>
      <c r="J88" s="5" t="str">
        <f>IFERROR(__xludf.DUMMYFUNCTION("GOOGLETRANSLATE(A88, ""en"", ""ur"")"),"87")</f>
        <v>87</v>
      </c>
      <c r="K88" s="5" t="str">
        <f>IFERROR(__xludf.DUMMYFUNCTION("GOOGLETRANSLATE(B88, ""en"", ""ur"")"),"ایک کھلاڑی کے بارے میں کہا جاتا ہے کہ وہ بہترین ""تال"" (تال) رکھتا ہے۔ اس کا کیا مطلب ہے؟")</f>
        <v>ایک کھلاڑی کے بارے میں کہا جاتا ہے کہ وہ بہترین "تال" (تال) رکھتا ہے۔ اس کا کیا مطلب ہے؟</v>
      </c>
      <c r="L88" s="5" t="str">
        <f>IFERROR(__xludf.DUMMYFUNCTION("GOOGLETRANSLATE(C88, ""en"", ""ur"")"),"A) وہ ایک اچھی ڈانسر ہیں، B) ان کی حرکات ڈھول کی تھاپ اور لڑائی کے بہاؤ کے ساتھ بالکل مطابقت رکھتی ہیں، C) وہ بہت تیز ہیں، D) وہ بہت مضبوط ہیں۔")</f>
        <v>A) وہ ایک اچھی ڈانسر ہیں، B) ان کی حرکات ڈھول کی تھاپ اور لڑائی کے بہاؤ کے ساتھ بالکل مطابقت رکھتی ہیں، C) وہ بہت تیز ہیں، D) وہ بہت مضبوط ہیں۔</v>
      </c>
      <c r="M88" s="5" t="str">
        <f>IFERROR(__xludf.DUMMYFUNCTION("GOOGLETRANSLATE(D88, ""en"", ""ur"")"),"ب) ان کی حرکات ڈھول کی تھاپ اور لڑائی کے بہاؤ کے ساتھ بالکل ہم آہنگ ہیں۔")</f>
        <v>ب) ان کی حرکات ڈھول کی تھاپ اور لڑائی کے بہاؤ کے ساتھ بالکل ہم آہنگ ہیں۔</v>
      </c>
      <c r="N88" s="5" t="str">
        <f>IFERROR(__xludf.DUMMYFUNCTION("GOOGLETRANSLATE(E88, ""en"", ""ur"")"),"تال تال اور وقت کا گہرا احساس ہے جو کھلاڑی کی حرکات کو سیال، موثر اور غیر متوقع ہونے دیتا ہے۔")</f>
        <v>تال تال اور وقت کا گہرا احساس ہے جو کھلاڑی کی حرکات کو سیال، موثر اور غیر متوقع ہونے دیتا ہے۔</v>
      </c>
    </row>
    <row r="89">
      <c r="A89" s="3">
        <v>88.0</v>
      </c>
      <c r="B89" s="4" t="s">
        <v>2061</v>
      </c>
      <c r="C89" s="4" t="s">
        <v>2062</v>
      </c>
      <c r="D89" s="4" t="s">
        <v>2063</v>
      </c>
      <c r="E89" s="4" t="s">
        <v>2064</v>
      </c>
      <c r="J89" s="5" t="str">
        <f>IFERROR(__xludf.DUMMYFUNCTION("GOOGLETRANSLATE(A89, ""en"", ""ur"")"),"88")</f>
        <v>88</v>
      </c>
      <c r="K89" s="5" t="str">
        <f>IFERROR(__xludf.DUMMYFUNCTION("GOOGLETRANSLATE(B89, ""en"", ""ur"")"),"گٹکا کے لیے چمکور کی جنگ (1704) کی تاریخی اہمیت کیا ہے؟")</f>
        <v>گٹکا کے لیے چمکور کی جنگ (1704) کی تاریخی اہمیت کیا ہے؟</v>
      </c>
      <c r="L89" s="5" t="str">
        <f>IFERROR(__xludf.DUMMYFUNCTION("GOOGLETRANSLATE(C89, ""en"", ""ur"")"),"A) یہ پہلی جنگ تھی جہاں گٹکا استعمال کیا گیا تھا، B) یہ ایک افسانوی آخری اسٹینڈ تھا جہاں سکھوں کی ایک چھوٹی سی تعداد نے ایک بڑی فوج کے خلاف اپنی جنگی مہارت کا استعمال کیا، C) یہ وہ جنگ تھی جہاں گٹکا کو شکست ہوئی، D) یہ ایک بحری جنگ تھی۔")</f>
        <v>A) یہ پہلی جنگ تھی جہاں گٹکا استعمال کیا گیا تھا، B) یہ ایک افسانوی آخری اسٹینڈ تھا جہاں سکھوں کی ایک چھوٹی سی تعداد نے ایک بڑی فوج کے خلاف اپنی جنگی مہارت کا استعمال کیا، C) یہ وہ جنگ تھی جہاں گٹکا کو شکست ہوئی، D) یہ ایک بحری جنگ تھی۔</v>
      </c>
      <c r="M89" s="5" t="str">
        <f>IFERROR(__xludf.DUMMYFUNCTION("GOOGLETRANSLATE(D89, ""en"", ""ur"")"),"ب) یہ ایک افسانوی آخری موقف تھا جہاں سکھوں کی ایک چھوٹی سی تعداد نے اپنی جنگی صلاحیتوں کو ایک بڑی فوج کے خلاف استعمال کیا۔")</f>
        <v>ب) یہ ایک افسانوی آخری موقف تھا جہاں سکھوں کی ایک چھوٹی سی تعداد نے اپنی جنگی صلاحیتوں کو ایک بڑی فوج کے خلاف استعمال کیا۔</v>
      </c>
      <c r="N89" s="5" t="str">
        <f>IFERROR(__xludf.DUMMYFUNCTION("GOOGLETRANSLATE(E89, ""en"", ""ur"")"),"یہ جنگ سکھ تاریخ کا ایک اہم واقعہ ہے، جو خالصہ جنگجوؤں کی ہمت اور تاثیر اور ان کی جنگی تربیت کی علامت ہے۔")</f>
        <v>یہ جنگ سکھ تاریخ کا ایک اہم واقعہ ہے، جو خالصہ جنگجوؤں کی ہمت اور تاثیر اور ان کی جنگی تربیت کی علامت ہے۔</v>
      </c>
    </row>
    <row r="90">
      <c r="A90" s="3">
        <v>89.0</v>
      </c>
      <c r="B90" s="4" t="s">
        <v>2065</v>
      </c>
      <c r="C90" s="4" t="s">
        <v>2066</v>
      </c>
      <c r="D90" s="4" t="s">
        <v>2067</v>
      </c>
      <c r="E90" s="4" t="s">
        <v>2068</v>
      </c>
      <c r="J90" s="5" t="str">
        <f>IFERROR(__xludf.DUMMYFUNCTION("GOOGLETRANSLATE(A90, ""en"", ""ur"")"),"89")</f>
        <v>89</v>
      </c>
      <c r="K90" s="5" t="str">
        <f>IFERROR(__xludf.DUMMYFUNCTION("GOOGLETRANSLATE(B90, ""en"", ""ur"")"),"مندرجہ ذیل میں سے کون سا گٹکا کے ""نہنگ"" طرز کا ایک اہم عنصر ہے؟")</f>
        <v>مندرجہ ذیل میں سے کون سا گٹکا کے "نہنگ" طرز کا ایک اہم عنصر ہے؟</v>
      </c>
      <c r="L90" s="5" t="str">
        <f>IFERROR(__xludf.DUMMYFUNCTION("GOOGLETRANSLATE(C90, ""en"", ""ur"")"),"A) سست، مراقبہ کی حرکات پر توجہ، B) روایتی اور اکثر غیر ملکی ہتھیاروں کی وسیع اقسام کا استعمال، C) ایک سخت غیر رابطہ اصول، D) شیلڈز کی عدم موجودگی")</f>
        <v>A) سست، مراقبہ کی حرکات پر توجہ، B) روایتی اور اکثر غیر ملکی ہتھیاروں کی وسیع اقسام کا استعمال، C) ایک سخت غیر رابطہ اصول، D) شیلڈز کی عدم موجودگی</v>
      </c>
      <c r="M90" s="5" t="str">
        <f>IFERROR(__xludf.DUMMYFUNCTION("GOOGLETRANSLATE(D90, ""en"", ""ur"")"),"ب) روایتی اور اکثر غیر ملکی ہتھیاروں کی وسیع اقسام کا استعمال")</f>
        <v>ب) روایتی اور اکثر غیر ملکی ہتھیاروں کی وسیع اقسام کا استعمال</v>
      </c>
      <c r="N90" s="5" t="str">
        <f>IFERROR(__xludf.DUMMYFUNCTION("GOOGLETRANSLATE(E90, ""en"", ""ur"")"),"نہنگ کے مظاہرے اکثر معیاری لاٹھی اور ڈھال سے پرے ہتھیاروں کے وسیع ذخیرے کی نمائش کرتے ہیں، جس میں کوٹ، نیزے اور خنجر شامل ہیں۔")</f>
        <v>نہنگ کے مظاہرے اکثر معیاری لاٹھی اور ڈھال سے پرے ہتھیاروں کے وسیع ذخیرے کی نمائش کرتے ہیں، جس میں کوٹ، نیزے اور خنجر شامل ہیں۔</v>
      </c>
    </row>
    <row r="91">
      <c r="A91" s="3">
        <v>90.0</v>
      </c>
      <c r="B91" s="4" t="s">
        <v>2069</v>
      </c>
      <c r="C91" s="4" t="s">
        <v>2070</v>
      </c>
      <c r="D91" s="4" t="s">
        <v>2071</v>
      </c>
      <c r="E91" s="4" t="s">
        <v>2072</v>
      </c>
      <c r="J91" s="5" t="str">
        <f>IFERROR(__xludf.DUMMYFUNCTION("GOOGLETRANSLATE(A91, ""en"", ""ur"")"),"90")</f>
        <v>90</v>
      </c>
      <c r="K91" s="5" t="str">
        <f>IFERROR(__xludf.DUMMYFUNCTION("GOOGLETRANSLATE(B91, ""en"", ""ur"")"),"گٹکا کی کارکردگی میں ""جنگی نشان"" (جنگ کے معیار یا جھنڈے) کا کیا مقصد ہے؟")</f>
        <v>گٹکا کی کارکردگی میں "جنگی نشان" (جنگ کے معیار یا جھنڈے) کا کیا مقصد ہے؟</v>
      </c>
      <c r="L91" s="5" t="str">
        <f>IFERROR(__xludf.DUMMYFUNCTION("GOOGLETRANSLATE(C91, ""en"", ""ur"")"),"A) انہیں ہتھیار کے طور پر استعمال کیا جاتا ہے، B) یہ خالصتاً آرائشی ہیں، C) یہ اکھاڑہ یا رجمنٹ کی عزت اور شناخت کی نمائندگی کرتے ہیں، D) انہیں ریفری کو اشارہ کرنے کے لیے استعمال کیا جاتا ہے۔")</f>
        <v>A) انہیں ہتھیار کے طور پر استعمال کیا جاتا ہے، B) یہ خالصتاً آرائشی ہیں، C) یہ اکھاڑہ یا رجمنٹ کی عزت اور شناخت کی نمائندگی کرتے ہیں، D) انہیں ریفری کو اشارہ کرنے کے لیے استعمال کیا جاتا ہے۔</v>
      </c>
      <c r="M91" s="5" t="str">
        <f>IFERROR(__xludf.DUMMYFUNCTION("GOOGLETRANSLATE(D91, ""en"", ""ur"")"),"ج) وہ اکھاڑے یا رجمنٹ کی عزت اور شناخت کی نمائندگی کرتے ہیں۔")</f>
        <v>ج) وہ اکھاڑے یا رجمنٹ کی عزت اور شناخت کی نمائندگی کرتے ہیں۔</v>
      </c>
      <c r="N91" s="5" t="str">
        <f>IFERROR(__xludf.DUMMYFUNCTION("GOOGLETRANSLATE(E91, ""en"", ""ur"")"),"فوجی جنگ کے معیارات کی طرح، یہ جھنڈے ایک ریلینگ پوائنٹ اور گروپ کے نسب اور فخر کی ایک طاقتور علامت ہیں۔")</f>
        <v>فوجی جنگ کے معیارات کی طرح، یہ جھنڈے ایک ریلینگ پوائنٹ اور گروپ کے نسب اور فخر کی ایک طاقتور علامت ہیں۔</v>
      </c>
    </row>
    <row r="92">
      <c r="A92" s="3">
        <v>91.0</v>
      </c>
      <c r="B92" s="4" t="s">
        <v>2073</v>
      </c>
      <c r="C92" s="4" t="s">
        <v>2074</v>
      </c>
      <c r="D92" s="4" t="s">
        <v>2075</v>
      </c>
      <c r="E92" s="4" t="s">
        <v>2076</v>
      </c>
      <c r="J92" s="5" t="str">
        <f>IFERROR(__xludf.DUMMYFUNCTION("GOOGLETRANSLATE(A92, ""en"", ""ur"")"),"91")</f>
        <v>91</v>
      </c>
      <c r="K92" s="5" t="str">
        <f>IFERROR(__xludf.DUMMYFUNCTION("GOOGLETRANSLATE(B92, ""en"", ""ur"")"),"ایک کھلاڑی کو ""لو ہٹ"" کی سزا دی جاتی ہے۔ ہڑتال کا امکان کہاں پہنچ گیا؟")</f>
        <v>ایک کھلاڑی کو "لو ہٹ" کی سزا دی جاتی ہے۔ ہڑتال کا امکان کہاں پہنچ گیا؟</v>
      </c>
      <c r="L92" s="5" t="str">
        <f>IFERROR(__xludf.DUMMYFUNCTION("GOOGLETRANSLATE(C92, ""en"", ""ur"")"),"A) سینے پر، B) کندھے پر، C) کمر کے نیچے یا ٹانگوں پر، D) ڈھال پر")</f>
        <v>A) سینے پر، B) کندھے پر، C) کمر کے نیچے یا ٹانگوں پر، D) ڈھال پر</v>
      </c>
      <c r="M92" s="5" t="str">
        <f>IFERROR(__xludf.DUMMYFUNCTION("GOOGLETRANSLATE(D92, ""en"", ""ur"")"),"ج) کمر کے نیچے یا ٹانگوں پر")</f>
        <v>ج) کمر کے نیچے یا ٹانگوں پر</v>
      </c>
      <c r="N92" s="5" t="str">
        <f>IFERROR(__xludf.DUMMYFUNCTION("GOOGLETRANSLATE(E92, ""en"", ""ur"")"),"کھیل گٹکا میں، قانونی ہدف کا حصہ بالائی جسم ہے۔ ٹانگوں پر یا بیلٹ کے نیچے مارنا فاؤل ہیں۔")</f>
        <v>کھیل گٹکا میں، قانونی ہدف کا حصہ بالائی جسم ہے۔ ٹانگوں پر یا بیلٹ کے نیچے مارنا فاؤل ہیں۔</v>
      </c>
    </row>
    <row r="93">
      <c r="A93" s="3">
        <v>92.0</v>
      </c>
      <c r="B93" s="4" t="s">
        <v>2077</v>
      </c>
      <c r="C93" s="4" t="s">
        <v>2078</v>
      </c>
      <c r="D93" s="4" t="s">
        <v>2079</v>
      </c>
      <c r="E93" s="4" t="s">
        <v>2080</v>
      </c>
      <c r="J93" s="5" t="str">
        <f>IFERROR(__xludf.DUMMYFUNCTION("GOOGLETRANSLATE(A93, ""en"", ""ur"")"),"92")</f>
        <v>92</v>
      </c>
      <c r="K93" s="5" t="str">
        <f>IFERROR(__xludf.DUMMYFUNCTION("GOOGLETRANSLATE(B93, ""en"", ""ur"")"),"اصطلاح ""سنگل اسٹک"" (ایک سوتی) سے کیا مراد ہے؟")</f>
        <v>اصطلاح "سنگل اسٹک" (ایک سوتی) سے کیا مراد ہے؟</v>
      </c>
      <c r="L93" s="5" t="str">
        <f>IFERROR(__xludf.DUMMYFUNCTION("GOOGLETRANSLATE(C93, ""en"", ""ur"")"),"A) صرف ایک راؤنڈ کے ساتھ مقابلہ، B) ایک ڈسپلن جہاں کھلاڑی ایک ہی چھڑی سے لڑتے ہیں اور بغیر شیلڈ کے، C) ایک مخصوص قسم کی ٹریننگ اسٹک، D) ٹورنامنٹ کا بہترین کھلاڑی")</f>
        <v>A) صرف ایک راؤنڈ کے ساتھ مقابلہ، B) ایک ڈسپلن جہاں کھلاڑی ایک ہی چھڑی سے لڑتے ہیں اور بغیر شیلڈ کے، C) ایک مخصوص قسم کی ٹریننگ اسٹک، D) ٹورنامنٹ کا بہترین کھلاڑی</v>
      </c>
      <c r="M93" s="5" t="str">
        <f>IFERROR(__xludf.DUMMYFUNCTION("GOOGLETRANSLATE(D93, ""en"", ""ur"")"),"ب) ایک نظم جہاں کھلاڑی ایک ہی لاٹھی اور بغیر ڈھال سے لڑتے ہیں۔")</f>
        <v>ب) ایک نظم جہاں کھلاڑی ایک ہی لاٹھی اور بغیر ڈھال سے لڑتے ہیں۔</v>
      </c>
      <c r="N93" s="5" t="str">
        <f>IFERROR(__xludf.DUMMYFUNCTION("GOOGLETRANSLATE(E93, ""en"", ""ur"")"),"یہ گٹکا کا ایک زمرہ ہے جس کے لیے بہت زیادہ مہارت کی ضرورت ہوتی ہے، کیونکہ کھلاڑی کو جرم اور دفاع دونوں کے لیے اپنا ہتھیار استعمال کرنا چاہیے۔")</f>
        <v>یہ گٹکا کا ایک زمرہ ہے جس کے لیے بہت زیادہ مہارت کی ضرورت ہوتی ہے، کیونکہ کھلاڑی کو جرم اور دفاع دونوں کے لیے اپنا ہتھیار استعمال کرنا چاہیے۔</v>
      </c>
    </row>
    <row r="94">
      <c r="A94" s="3">
        <v>93.0</v>
      </c>
      <c r="B94" s="4" t="s">
        <v>2081</v>
      </c>
      <c r="C94" s="4" t="s">
        <v>2082</v>
      </c>
      <c r="D94" s="4" t="s">
        <v>2083</v>
      </c>
      <c r="E94" s="4" t="s">
        <v>2084</v>
      </c>
      <c r="J94" s="5" t="str">
        <f>IFERROR(__xludf.DUMMYFUNCTION("GOOGLETRANSLATE(A94, ""en"", ""ur"")"),"93")</f>
        <v>93</v>
      </c>
      <c r="K94" s="5" t="str">
        <f>IFERROR(__xludf.DUMMYFUNCTION("GOOGLETRANSLATE(B94, ""en"", ""ur"")"),"ایک کھلاڑی کے لیے ""موبائل موقف"" کو برقرار رکھنا کیوں ضروری ہے؟")</f>
        <v>ایک کھلاڑی کے لیے "موبائل موقف" کو برقرار رکھنا کیوں ضروری ہے؟</v>
      </c>
      <c r="L94" s="5" t="str">
        <f>IFERROR(__xludf.DUMMYFUNCTION("GOOGLETRANSLATE(C94, ""en"", ""ur"")"),"A) ججوں کے لئے بہتر نظر آنے کے لئے، B) حملوں سے بچنے اور نئے زاویہ بنانے کے لئے تیز فٹ ورک کی اجازت دینے کے لئے، C) ان کے پٹھوں کو گرم رکھنے کے لئے، D) ڈھول کی تال کی پیروی کرنے کے لئے")</f>
        <v>A) ججوں کے لئے بہتر نظر آنے کے لئے، B) حملوں سے بچنے اور نئے زاویہ بنانے کے لئے تیز فٹ ورک کی اجازت دینے کے لئے، C) ان کے پٹھوں کو گرم رکھنے کے لئے، D) ڈھول کی تال کی پیروی کرنے کے لئے</v>
      </c>
      <c r="M94" s="5" t="str">
        <f>IFERROR(__xludf.DUMMYFUNCTION("GOOGLETRANSLATE(D94, ""en"", ""ur"")"),"ب) حملوں سے بچنے اور نئے زاویے بنانے کے لیے تیزی سے فٹ ورک کی اجازت دینا")</f>
        <v>ب) حملوں سے بچنے اور نئے زاویے بنانے کے لیے تیزی سے فٹ ورک کی اجازت دینا</v>
      </c>
      <c r="N94" s="5" t="str">
        <f>IFERROR(__xludf.DUMMYFUNCTION("GOOGLETRANSLATE(E94, ""en"", ""ur"")"),"ایک مستحکم لڑاکا ایک آسان ہدف ہے۔ ایک موبائل موقف، پاؤں کی گیندوں پر وزن کے ساتھ، متحرک لڑائی کے لیے ضروری ہے۔")</f>
        <v>ایک مستحکم لڑاکا ایک آسان ہدف ہے۔ ایک موبائل موقف، پاؤں کی گیندوں پر وزن کے ساتھ، متحرک لڑائی کے لیے ضروری ہے۔</v>
      </c>
    </row>
    <row r="95">
      <c r="A95" s="3">
        <v>94.0</v>
      </c>
      <c r="B95" s="4" t="s">
        <v>2085</v>
      </c>
      <c r="C95" s="4" t="s">
        <v>2086</v>
      </c>
      <c r="D95" s="4" t="s">
        <v>2087</v>
      </c>
      <c r="E95" s="4" t="s">
        <v>2088</v>
      </c>
      <c r="J95" s="5" t="str">
        <f>IFERROR(__xludf.DUMMYFUNCTION("GOOGLETRANSLATE(A95, ""en"", ""ur"")"),"94")</f>
        <v>94</v>
      </c>
      <c r="K95" s="5" t="str">
        <f>IFERROR(__xludf.DUMMYFUNCTION("GOOGLETRANSLATE(B95, ""en"", ""ur"")"),"گٹکا کی تاریخ میں ""خالصہ"" کی کیا اہمیت ہے؟")</f>
        <v>گٹکا کی تاریخ میں "خالصہ" کی کیا اہمیت ہے؟</v>
      </c>
      <c r="L95" s="5" t="str">
        <f>IFERROR(__xludf.DUMMYFUNCTION("GOOGLETRANSLATE(C95, ""en"", ""ur"")"),"A) یہ ایک مشہور گٹکا ماسٹر کا نام تھا، B) یہ ابتدائی سکھوں کا اجتماعی ادارہ ہے، جس کی بنیاد گرو گوبند سنگھ نے رکھی تھی، جس نے مارشل ٹریننگ کو ادارہ بنایا، C) یہ تلوار کی ایک قسم ہے، D) یہ ایک بڑا گٹکا ٹورنامنٹ ہے۔")</f>
        <v>A) یہ ایک مشہور گٹکا ماسٹر کا نام تھا، B) یہ ابتدائی سکھوں کا اجتماعی ادارہ ہے، جس کی بنیاد گرو گوبند سنگھ نے رکھی تھی، جس نے مارشل ٹریننگ کو ادارہ بنایا، C) یہ تلوار کی ایک قسم ہے، D) یہ ایک بڑا گٹکا ٹورنامنٹ ہے۔</v>
      </c>
      <c r="M95" s="5" t="str">
        <f>IFERROR(__xludf.DUMMYFUNCTION("GOOGLETRANSLATE(D95, ""en"", ""ur"")"),"ب) یہ ابتدائی سکھوں کا اجتماعی ادارہ ہے، جس کی بنیاد گرو گوبند سنگھ نے رکھی تھی، جس نے مارشل ٹریننگ کو ادارہ بنایا۔")</f>
        <v>ب) یہ ابتدائی سکھوں کا اجتماعی ادارہ ہے، جس کی بنیاد گرو گوبند سنگھ نے رکھی تھی، جس نے مارشل ٹریننگ کو ادارہ بنایا۔</v>
      </c>
      <c r="N95" s="5" t="str">
        <f>IFERROR(__xludf.DUMMYFUNCTION("GOOGLETRANSLATE(E95, ""en"", ""ur"")"),"1699 میں خالصہ کی تخلیق نے سکھوں کو ایک رسمی سنت سپاہی برادری میں تبدیل کر دیا، جس نے گٹکا جیسے مارشل آرٹ کو ایک مذہبی فریضہ بنا دیا۔")</f>
        <v>1699 میں خالصہ کی تخلیق نے سکھوں کو ایک رسمی سنت سپاہی برادری میں تبدیل کر دیا، جس نے گٹکا جیسے مارشل آرٹ کو ایک مذہبی فریضہ بنا دیا۔</v>
      </c>
    </row>
    <row r="96">
      <c r="A96" s="3">
        <v>95.0</v>
      </c>
      <c r="B96" s="4" t="s">
        <v>2089</v>
      </c>
      <c r="C96" s="4" t="s">
        <v>2090</v>
      </c>
      <c r="D96" s="4" t="s">
        <v>2091</v>
      </c>
      <c r="E96" s="4" t="s">
        <v>2092</v>
      </c>
      <c r="J96" s="5" t="str">
        <f>IFERROR(__xludf.DUMMYFUNCTION("GOOGLETRANSLATE(A96, ""en"", ""ur"")"),"95")</f>
        <v>95</v>
      </c>
      <c r="K96" s="5" t="str">
        <f>IFERROR(__xludf.DUMMYFUNCTION("GOOGLETRANSLATE(B96, ""en"", ""ur"")"),"ایک کھلاڑی کو ""ہدف کا احاطہ کرنے"" کے لیے متنبہ کیا جاتا ہے۔ اس کا کیا مطلب ہے؟")</f>
        <v>ایک کھلاڑی کو "ہدف کا احاطہ کرنے" کے لیے متنبہ کیا جاتا ہے۔ اس کا کیا مطلب ہے؟</v>
      </c>
      <c r="L96" s="5" t="str">
        <f>IFERROR(__xludf.DUMMYFUNCTION("GOOGLETRANSLATE(C96, ""en"", ""ur"")"),"A) وہ بہت زیادہ حفاظتی پوشاک پہنے ہوئے ہیں، B) وہ اپنے آزاد ہاتھ یا بازو کو غیر قانونی طور پر ہدف کے علاقے میں مخالف کے نظارے کو روکنے کے لیے استعمال کر رہے ہیں، C) وہ اپنی ڈھال کے پیچھے چھپے ہوئے ہیں، D) وہ پیٹھ پھیر رہے ہیں۔")</f>
        <v>A) وہ بہت زیادہ حفاظتی پوشاک پہنے ہوئے ہیں، B) وہ اپنے آزاد ہاتھ یا بازو کو غیر قانونی طور پر ہدف کے علاقے میں مخالف کے نظارے کو روکنے کے لیے استعمال کر رہے ہیں، C) وہ اپنی ڈھال کے پیچھے چھپے ہوئے ہیں، D) وہ پیٹھ پھیر رہے ہیں۔</v>
      </c>
      <c r="M96" s="5" t="str">
        <f>IFERROR(__xludf.DUMMYFUNCTION("GOOGLETRANSLATE(D96, ""en"", ""ur"")"),"ب) وہ اپنے آزاد ہاتھ یا بازو کو غیر قانونی طور پر ہدف کے علاقے کے مخالف کے نقطہ نظر کو روکنے کے لیے استعمال کر رہے ہیں۔")</f>
        <v>ب) وہ اپنے آزاد ہاتھ یا بازو کو غیر قانونی طور پر ہدف کے علاقے کے مخالف کے نقطہ نظر کو روکنے کے لیے استعمال کر رہے ہیں۔</v>
      </c>
      <c r="N96" s="5" t="str">
        <f>IFERROR(__xludf.DUMMYFUNCTION("GOOGLETRANSLATE(E96, ""en"", ""ur"")"),"اسکورنگ زون کو بچانے کے لیے غیر ہتھیار والے ہاتھ کا استعمال کرنا غلط ہے، کیونکہ یہ ایک غیر فعال اور غیر قانونی دفاعی حربہ ہے۔")</f>
        <v>اسکورنگ زون کو بچانے کے لیے غیر ہتھیار والے ہاتھ کا استعمال کرنا غلط ہے، کیونکہ یہ ایک غیر فعال اور غیر قانونی دفاعی حربہ ہے۔</v>
      </c>
    </row>
    <row r="97">
      <c r="A97" s="3">
        <v>96.0</v>
      </c>
      <c r="B97" s="4" t="s">
        <v>2093</v>
      </c>
      <c r="C97" s="4" t="s">
        <v>2094</v>
      </c>
      <c r="D97" s="4" t="s">
        <v>2095</v>
      </c>
      <c r="E97" s="4" t="s">
        <v>2096</v>
      </c>
      <c r="J97" s="5" t="str">
        <f>IFERROR(__xludf.DUMMYFUNCTION("GOOGLETRANSLATE(A97, ""en"", ""ur"")"),"96")</f>
        <v>96</v>
      </c>
      <c r="K97" s="5" t="str">
        <f>IFERROR(__xludf.DUMMYFUNCTION("GOOGLETRANSLATE(B97, ""en"", ""ur"")"),"چھوٹی، گول شیلڈ (فاری) کا بنیادی مقصد کیا ہے؟")</f>
        <v>چھوٹی، گول شیلڈ (فاری) کا بنیادی مقصد کیا ہے؟</v>
      </c>
      <c r="L97" s="5" t="str">
        <f>IFERROR(__xludf.DUMMYFUNCTION("GOOGLETRANSLATE(C97, ""en"", ""ur"")"),"A) یہ صرف تقریب کے لیے ہے، B) اس کا استعمال سٹرائیک کو روکنے اور اسے ہٹانے کے لیے کیا جاتا ہے، اور قریب سے بلاک کرنے کے لیے، C) یہ پھینکنے والا ہتھیار ہے، D) اسے مخالف پر حملہ کرنے کے لیے استعمال کیا جاتا ہے۔")</f>
        <v>A) یہ صرف تقریب کے لیے ہے، B) اس کا استعمال سٹرائیک کو روکنے اور اسے ہٹانے کے لیے کیا جاتا ہے، اور قریب سے بلاک کرنے کے لیے، C) یہ پھینکنے والا ہتھیار ہے، D) اسے مخالف پر حملہ کرنے کے لیے استعمال کیا جاتا ہے۔</v>
      </c>
      <c r="M97" s="5" t="str">
        <f>IFERROR(__xludf.DUMMYFUNCTION("GOOGLETRANSLATE(D97, ""en"", ""ur"")"),"ب) اس کا استعمال سٹرائیکس کو کم کرنے اور انحراف کرنے کے لیے اور قریبی رینج بلاک کرنے کے لیے کیا جاتا ہے۔")</f>
        <v>ب) اس کا استعمال سٹرائیکس کو کم کرنے اور انحراف کرنے کے لیے اور قریبی رینج بلاک کرنے کے لیے کیا جاتا ہے۔</v>
      </c>
      <c r="N97" s="5" t="str">
        <f>IFERROR(__xludf.DUMMYFUNCTION("GOOGLETRANSLATE(E97, ""en"", ""ur"")"),"فاری ایک فعال دفاعی ٹول ہے جو مخالف کے ہتھیار کو روکنے اور ری ڈائریکٹ کرنے کے لیے استعمال ہوتا ہے۔")</f>
        <v>فاری ایک فعال دفاعی ٹول ہے جو مخالف کے ہتھیار کو روکنے اور ری ڈائریکٹ کرنے کے لیے استعمال ہوتا ہے۔</v>
      </c>
    </row>
    <row r="98">
      <c r="A98" s="3">
        <v>97.0</v>
      </c>
      <c r="B98" s="4" t="s">
        <v>2097</v>
      </c>
      <c r="C98" s="4" t="s">
        <v>2098</v>
      </c>
      <c r="D98" s="4" t="s">
        <v>2099</v>
      </c>
      <c r="E98" s="4" t="s">
        <v>2100</v>
      </c>
      <c r="J98" s="5" t="str">
        <f>IFERROR(__xludf.DUMMYFUNCTION("GOOGLETRANSLATE(A98, ""en"", ""ur"")"),"97")</f>
        <v>97</v>
      </c>
      <c r="K98" s="5" t="str">
        <f>IFERROR(__xludf.DUMMYFUNCTION("GOOGLETRANSLATE(B98, ""en"", ""ur"")"),"کون سی مشہور جنگ اکثر سکھوں کی جنگی صلاحیتوں کی ایک بہترین مثال کے طور پر پیش کی جاتی ہے، جہاں 21 فوجی ہزاروں کے خلاف لڑے؟")</f>
        <v>کون سی مشہور جنگ اکثر سکھوں کی جنگی صلاحیتوں کی ایک بہترین مثال کے طور پر پیش کی جاتی ہے، جہاں 21 فوجی ہزاروں کے خلاف لڑے؟</v>
      </c>
      <c r="L98" s="5" t="str">
        <f>IFERROR(__xludf.DUMMYFUNCTION("GOOGLETRANSLATE(C98, ""en"", ""ur"")"),"A) پانی پت کی جنگ، B) پلاسی کی جنگ، C) سارا گڑھی کی لڑائی، D) بکسر کی جنگ")</f>
        <v>A) پانی پت کی جنگ، B) پلاسی کی جنگ، C) سارا گڑھی کی لڑائی، D) بکسر کی جنگ</v>
      </c>
      <c r="M98" s="5" t="str">
        <f>IFERROR(__xludf.DUMMYFUNCTION("GOOGLETRANSLATE(D98, ""en"", ""ur"")"),"ج) سارا گڑھی کی جنگ")</f>
        <v>ج) سارا گڑھی کی جنگ</v>
      </c>
      <c r="N98" s="5" t="str">
        <f>IFERROR(__xludf.DUMMYFUNCTION("GOOGLETRANSLATE(E98, ""en"", ""ur"")"),"1897 میں سارا گڑھی میں افسانوی آخری اسٹینڈ سکھ فوجی تاریخ کا ایک اہم واقعہ ہے جو گٹکا جیسی روایات کے ذریعے پروان چڑھنے والے جنگجو جذبے کی عکاسی کرتا ہے۔")</f>
        <v>1897 میں سارا گڑھی میں افسانوی آخری اسٹینڈ سکھ فوجی تاریخ کا ایک اہم واقعہ ہے جو گٹکا جیسی روایات کے ذریعے پروان چڑھنے والے جنگجو جذبے کی عکاسی کرتا ہے۔</v>
      </c>
    </row>
    <row r="99">
      <c r="A99" s="3">
        <v>98.0</v>
      </c>
      <c r="B99" s="4" t="s">
        <v>2101</v>
      </c>
      <c r="C99" s="4" t="s">
        <v>2102</v>
      </c>
      <c r="D99" s="4" t="s">
        <v>2103</v>
      </c>
      <c r="E99" s="4" t="s">
        <v>2104</v>
      </c>
      <c r="J99" s="5" t="str">
        <f>IFERROR(__xludf.DUMMYFUNCTION("GOOGLETRANSLATE(A99, ""en"", ""ur"")"),"98")</f>
        <v>98</v>
      </c>
      <c r="K99" s="5" t="str">
        <f>IFERROR(__xludf.DUMMYFUNCTION("GOOGLETRANSLATE(B99, ""en"", ""ur"")"),"چھڑی (سوتی) کے علاوہ، اہم مسابقتی ایونٹ، ""فاری سوتی"" میں استعمال ہونے والا دوسرا بنیادی ہتھیار کون سا ہے؟")</f>
        <v>چھڑی (سوتی) کے علاوہ، اہم مسابقتی ایونٹ، "فاری سوتی" میں استعمال ہونے والا دوسرا بنیادی ہتھیار کون سا ہے؟</v>
      </c>
      <c r="L99" s="5" t="str">
        <f>IFERROR(__xludf.DUMMYFUNCTION("GOOGLETRANSLATE(C99, ""en"", ""ur"")"),"A) دوسری چھڑی، B) خنجر (کرپان) C) ایک چھوٹی سی ڈھال (فاری) D) نیزہ")</f>
        <v>A) دوسری چھڑی، B) خنجر (کرپان) C) ایک چھوٹی سی ڈھال (فاری) D) نیزہ</v>
      </c>
      <c r="M99" s="5" t="str">
        <f>IFERROR(__xludf.DUMMYFUNCTION("GOOGLETRANSLATE(D99, ""en"", ""ur"")"),"ج) ایک چھوٹی سی ڈھال (فاری)")</f>
        <v>ج) ایک چھوٹی سی ڈھال (فاری)</v>
      </c>
      <c r="N99" s="5" t="str">
        <f>IFERROR(__xludf.DUMMYFUNCTION("GOOGLETRANSLATE(E99, ""en"", ""ur"")"),"""فاری سوتی"" مقابلہ کلاسک اسٹک اور شیلڈ ڈسپلن ہے۔ فری شیلڈ کے لیے ایک اور اصطلاح ہے۔")</f>
        <v>"فاری سوتی" مقابلہ کلاسک اسٹک اور شیلڈ ڈسپلن ہے۔ فری شیلڈ کے لیے ایک اور اصطلاح ہے۔</v>
      </c>
    </row>
    <row r="100">
      <c r="A100" s="3">
        <v>99.0</v>
      </c>
      <c r="B100" s="4" t="s">
        <v>2105</v>
      </c>
      <c r="C100" s="4" t="s">
        <v>2106</v>
      </c>
      <c r="D100" s="4" t="s">
        <v>2107</v>
      </c>
      <c r="E100" s="4" t="s">
        <v>2108</v>
      </c>
      <c r="J100" s="5" t="str">
        <f>IFERROR(__xludf.DUMMYFUNCTION("GOOGLETRANSLATE(A100, ""en"", ""ur"")"),"99")</f>
        <v>99</v>
      </c>
      <c r="K100" s="5" t="str">
        <f>IFERROR(__xludf.DUMMYFUNCTION("GOOGLETRANSLATE(B100, ""en"", ""ur"")"),"کیا بنیادی وجہ ہے کہ گٹکا کی تربیت میں جسم کے دونوں اطراف کو یکساں طور پر استعمال کرنے پر زور دیا جاتا ہے؟")</f>
        <v>کیا بنیادی وجہ ہے کہ گٹکا کی تربیت میں جسم کے دونوں اطراف کو یکساں طور پر استعمال کرنے پر زور دیا جاتا ہے؟</v>
      </c>
      <c r="L100" s="5" t="str">
        <f>IFERROR(__xludf.DUMMYFUNCTION("GOOGLETRANSLATE(C100, ""en"", ""ur"")"),"A) یہ زیادہ فنکارانہ ہے، B) لڑاکا کو غیر متوقع اور کسی بھی موقف سے لڑنے کے قابل بنانے کے لیے متعصبانہ مہارتیں پیدا کرنا، C) یہ ایک مذہبی ضرورت ہے، D) یہ توازن برقرار رکھنے میں مدد کرتا ہے۔")</f>
        <v>A) یہ زیادہ فنکارانہ ہے، B) لڑاکا کو غیر متوقع اور کسی بھی موقف سے لڑنے کے قابل بنانے کے لیے متعصبانہ مہارتیں پیدا کرنا، C) یہ ایک مذہبی ضرورت ہے، D) یہ توازن برقرار رکھنے میں مدد کرتا ہے۔</v>
      </c>
      <c r="M100" s="5" t="str">
        <f>IFERROR(__xludf.DUMMYFUNCTION("GOOGLETRANSLATE(D100, ""en"", ""ur"")"),"ب) لڑاکا کو غیر متوقع اور کسی بھی موقف سے لڑنے کے قابل بناتے ہوئے متعصبانہ مہارتوں کو فروغ دینا")</f>
        <v>ب) لڑاکا کو غیر متوقع اور کسی بھی موقف سے لڑنے کے قابل بناتے ہوئے متعصبانہ مہارتوں کو فروغ دینا</v>
      </c>
      <c r="N100" s="5" t="str">
        <f>IFERROR(__xludf.DUMMYFUNCTION("GOOGLETRANSLATE(E100, ""en"", ""ur"")"),"ایک لڑاکا جو موقف بدل سکتا ہے اور اپنے ہتھیار کو مؤثر طریقے سے دونوں ہاتھوں سے چلا سکتا ہے اس کے خلاف دفاع کرنا زیادہ مشکل ہے۔")</f>
        <v>ایک لڑاکا جو موقف بدل سکتا ہے اور اپنے ہتھیار کو مؤثر طریقے سے دونوں ہاتھوں سے چلا سکتا ہے اس کے خلاف دفاع کرنا زیادہ مشکل ہے۔</v>
      </c>
    </row>
    <row r="101">
      <c r="A101" s="3">
        <v>100.0</v>
      </c>
      <c r="B101" s="4" t="s">
        <v>2109</v>
      </c>
      <c r="C101" s="4" t="s">
        <v>2110</v>
      </c>
      <c r="D101" s="4" t="s">
        <v>2111</v>
      </c>
      <c r="E101" s="4" t="s">
        <v>2112</v>
      </c>
      <c r="J101" s="5" t="str">
        <f>IFERROR(__xludf.DUMMYFUNCTION("GOOGLETRANSLATE(A101, ""en"", ""ur"")"),"100")</f>
        <v>100</v>
      </c>
      <c r="K101" s="5" t="str">
        <f>IFERROR(__xludf.DUMMYFUNCTION("GOOGLETRANSLATE(B101, ""en"", ""ur"")"),"گٹکا میں ""سینٹ سپاہی"" (سانٹ سپاہی) مثالی کا حتمی مقصد کیا ہے؟")</f>
        <v>گٹکا میں "سینٹ سپاہی" (سانٹ سپاہی) مثالی کا حتمی مقصد کیا ہے؟</v>
      </c>
      <c r="L101" s="5" t="str">
        <f>IFERROR(__xludf.DUMMYFUNCTION("GOOGLETRANSLATE(C101, ""en"", ""ur"")"),"A) سب سے زیادہ خوفزدہ جنگجو بننا، B) روحانی روشن خیالی کی حالت حاصل کرنا اور انصاف کا محافظ بھی ہونا، C) ہر جنگ جیتنا، D) پیشہ ور سپاہی بننا")</f>
        <v>A) سب سے زیادہ خوفزدہ جنگجو بننا، B) روحانی روشن خیالی کی حالت حاصل کرنا اور انصاف کا محافظ بھی ہونا، C) ہر جنگ جیتنا، D) پیشہ ور سپاہی بننا</v>
      </c>
      <c r="M101" s="5" t="str">
        <f>IFERROR(__xludf.DUMMYFUNCTION("GOOGLETRANSLATE(D101, ""en"", ""ur"")"),"ب) انصاف کا محافظ ہونے کے ساتھ ساتھ روحانی روشن خیالی کی حالت حاصل کرنا")</f>
        <v>ب) انصاف کا محافظ ہونے کے ساتھ ساتھ روحانی روشن خیالی کی حالت حاصل کرنا</v>
      </c>
      <c r="N101" s="5" t="str">
        <f>IFERROR(__xludf.DUMMYFUNCTION("GOOGLETRANSLATE(E101, ""en"", ""ur"")"),"یہ اعلیٰ ترین آئیڈیل ہے: وہ شخص جو گہری روحانیت اور اخلاقی کردار کو طاقت اور بے دفاع لوگوں کے دفاع کے لیے آمادگی کے ساتھ جوڑتا ہے۔")</f>
        <v>یہ اعلیٰ ترین آئیڈیل ہے: وہ شخص جو گہری روحانیت اور اخلاقی کردار کو طاقت اور بے دفاع لوگوں کے دفاع کے لیے آمادگی کے ساتھ جوڑتا ہے۔</v>
      </c>
    </row>
    <row r="102">
      <c r="A102" s="3">
        <v>101.0</v>
      </c>
      <c r="B102" s="4" t="s">
        <v>2113</v>
      </c>
      <c r="C102" s="4" t="s">
        <v>2114</v>
      </c>
      <c r="D102" s="4" t="s">
        <v>2115</v>
      </c>
      <c r="E102" s="4" t="s">
        <v>2116</v>
      </c>
      <c r="J102" s="5" t="str">
        <f>IFERROR(__xludf.DUMMYFUNCTION("GOOGLETRANSLATE(A102, ""en"", ""ur"")"),"101")</f>
        <v>101</v>
      </c>
      <c r="K102" s="5" t="str">
        <f>IFERROR(__xludf.DUMMYFUNCTION("GOOGLETRANSLATE(B102, ""en"", ""ur"")"),"روایتی اکھاڑے میں استاد کا بنیادی کردار کیا ہے؟")</f>
        <v>روایتی اکھاڑے میں استاد کا بنیادی کردار کیا ہے؟</v>
      </c>
      <c r="L102" s="5" t="str">
        <f>IFERROR(__xludf.DUMMYFUNCTION("GOOGLETRANSLATE(C102, ""en"", ""ur"")"),"A) اسپانسر کے طور پر کام کرنا، B) تقریبات کا چیف آرگنائزر بننا، C) تکنیک، فلسفہ اور نظم و ضبط کا بنیادی استاد ہونا، D) میڈیکل آفیسر بننا")</f>
        <v>A) اسپانسر کے طور پر کام کرنا، B) تقریبات کا چیف آرگنائزر بننا، C) تکنیک، فلسفہ اور نظم و ضبط کا بنیادی استاد ہونا، D) میڈیکل آفیسر بننا</v>
      </c>
      <c r="M102" s="5" t="str">
        <f>IFERROR(__xludf.DUMMYFUNCTION("GOOGLETRANSLATE(D102, ""en"", ""ur"")"),"ج) تکنیک، فلسفہ اور نظم و ضبط کا بنیادی استاد ہونا")</f>
        <v>ج) تکنیک، فلسفہ اور نظم و ضبط کا بنیادی استاد ہونا</v>
      </c>
      <c r="N102" s="5" t="str">
        <f>IFERROR(__xludf.DUMMYFUNCTION("GOOGLETRANSLATE(E102, ""en"", ""ur"")"),"استاد ایک تربیتی اسکول میں مرکزی شخصیت ہیں، جو اپنے طلباء (شاگردوں) کی مکمل نشوونما کے لیے ذمہ دار ہیں۔")</f>
        <v>استاد ایک تربیتی اسکول میں مرکزی شخصیت ہیں، جو اپنے طلباء (شاگردوں) کی مکمل نشوونما کے لیے ذمہ دار ہیں۔</v>
      </c>
    </row>
    <row r="103">
      <c r="A103" s="3">
        <v>102.0</v>
      </c>
      <c r="B103" s="4" t="s">
        <v>2117</v>
      </c>
      <c r="C103" s="4" t="s">
        <v>2118</v>
      </c>
      <c r="D103" s="4" t="s">
        <v>2119</v>
      </c>
      <c r="E103" s="4" t="s">
        <v>2120</v>
      </c>
      <c r="J103" s="5" t="str">
        <f>IFERROR(__xludf.DUMMYFUNCTION("GOOGLETRANSLATE(A103, ""en"", ""ur"")"),"102")</f>
        <v>102</v>
      </c>
      <c r="K103" s="5" t="str">
        <f>IFERROR(__xludf.DUMMYFUNCTION("GOOGLETRANSLATE(B103, ""en"", ""ur"")"),"ایک کھلاڑی کو ""گراؤنڈ مخالف کو مارنے"" پر سزا دی جاتی ہے۔ یہ اصول کیا نافذ کرتا ہے؟")</f>
        <v>ایک کھلاڑی کو "گراؤنڈ مخالف کو مارنے" پر سزا دی جاتی ہے۔ یہ اصول کیا نافذ کرتا ہے؟</v>
      </c>
      <c r="L103" s="5" t="str">
        <f>IFERROR(__xludf.DUMMYFUNCTION("GOOGLETRANSLATE(C103, ""en"", ""ur"")"),"A)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f>
        <v>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v>
      </c>
      <c r="M103" s="5" t="str">
        <f>IFERROR(__xludf.DUMMYFUNCTION("GOOGLETRANSLATE(D103, ""en"", ""ur"")"),"الف) یہ کہ لڑائی صرف منصفانہ اور کھڑے ہونے والی ہونی چاہیے۔")</f>
        <v>الف) یہ کہ لڑائی صرف منصفانہ اور کھڑے ہونے والی ہونی چاہیے۔</v>
      </c>
      <c r="N103" s="5" t="str">
        <f>IFERROR(__xludf.DUMMYFUNCTION("GOOGLETRANSLATE(E103, ""en"", ""ur"")"),"کھیل گٹکا ایک کھڑا، ہتھیاروں پر مبنی فن ہے۔ زمین پر موجود حریف پر حملہ کرنا ایک بڑا فُل ہے۔")</f>
        <v>کھیل گٹکا ایک کھڑا، ہتھیاروں پر مبنی فن ہے۔ زمین پر موجود حریف پر حملہ کرنا ایک بڑا فُل ہے۔</v>
      </c>
    </row>
    <row r="104">
      <c r="A104" s="3">
        <v>103.0</v>
      </c>
      <c r="B104" s="4" t="s">
        <v>2121</v>
      </c>
      <c r="C104" s="4" t="s">
        <v>2122</v>
      </c>
      <c r="D104" s="4" t="s">
        <v>2123</v>
      </c>
      <c r="E104" s="4" t="s">
        <v>2124</v>
      </c>
      <c r="J104" s="5" t="str">
        <f>IFERROR(__xludf.DUMMYFUNCTION("GOOGLETRANSLATE(A104, ""en"", ""ur"")"),"103")</f>
        <v>103</v>
      </c>
      <c r="K104" s="5" t="str">
        <f>IFERROR(__xludf.DUMMYFUNCTION("GOOGLETRANSLATE(B104, ""en"", ""ur"")"),"شاستر ودیا میں لفظ ""شاستر"" کا لفظی معنی کیا ہے؟")</f>
        <v>شاستر ودیا میں لفظ "شاستر" کا لفظی معنی کیا ہے؟</v>
      </c>
      <c r="L104" s="5" t="str">
        <f>IFERROR(__xludf.DUMMYFUNCTION("GOOGLETRANSLATE(C104, ""en"", ""ur"")"),"A) سائنس، B) آرٹ، C) ہاتھ سے پکڑا ہوا ہتھیار، D) نظم و ضبط")</f>
        <v>A) سائنس، B) آرٹ، C) ہاتھ سے پکڑا ہوا ہتھیار، D) نظم و ضبط</v>
      </c>
      <c r="M104" s="5" t="str">
        <f>IFERROR(__xludf.DUMMYFUNCTION("GOOGLETRANSLATE(D104, ""en"", ""ur"")"),"ج) ہاتھ سے پکڑا ہوا ہتھیار")</f>
        <v>ج) ہاتھ سے پکڑا ہوا ہتھیار</v>
      </c>
      <c r="N104" s="5" t="str">
        <f>IFERROR(__xludf.DUMMYFUNCTION("GOOGLETRANSLATE(E104, ""en"", ""ur"")"),"شاستر ودیا کا ترجمہ ""ہتھیاروں کی سائنس"" میں ہوتا ہے، جو سکھ مارشل آرٹس کے مکمل نظام کا حوالہ دیتا ہے۔")</f>
        <v>شاستر ودیا کا ترجمہ "ہتھیاروں کی سائنس" میں ہوتا ہے، جو سکھ مارشل آرٹس کے مکمل نظام کا حوالہ دیتا ہے۔</v>
      </c>
    </row>
    <row r="105">
      <c r="A105" s="3">
        <v>104.0</v>
      </c>
      <c r="B105" s="4" t="s">
        <v>2125</v>
      </c>
      <c r="C105" s="4" t="s">
        <v>2126</v>
      </c>
      <c r="D105" s="4" t="s">
        <v>2127</v>
      </c>
      <c r="E105" s="4" t="s">
        <v>2128</v>
      </c>
      <c r="J105" s="5" t="str">
        <f>IFERROR(__xludf.DUMMYFUNCTION("GOOGLETRANSLATE(A105, ""en"", ""ur"")"),"104")</f>
        <v>104</v>
      </c>
      <c r="K105" s="5" t="str">
        <f>IFERROR(__xludf.DUMMYFUNCTION("GOOGLETRANSLATE(B105, ""en"", ""ur"")"),"تہوار میں گٹکا کے مظاہرے اور گٹکا مقابلے کے درمیان مقصد میں بنیادی فرق کیا ہے؟")</f>
        <v>تہوار میں گٹکا کے مظاہرے اور گٹکا مقابلے کے درمیان مقصد میں بنیادی فرق کیا ہے؟</v>
      </c>
      <c r="L105" s="5" t="str">
        <f>IFERROR(__xludf.DUMMYFUNCTION("GOOGLETRANSLATE(C105, ""en"", ""ur"")"),"A)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f>
        <v>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v>
      </c>
      <c r="M105" s="5" t="str">
        <f>IFERROR(__xludf.DUMMYFUNCTION("GOOGLETRANSLATE(D105, ""en"", ""ur"")"),"ب) ایک مظاہرہ فنکارانہ اور رسمی ہوتا ہے، جبکہ مقابلہ جیتنے کے لیے پوائنٹس اسکور کرنے کے بارے میں ہوتا ہے۔")</f>
        <v>ب) ایک مظاہرہ فنکارانہ اور رسمی ہوتا ہے، جبکہ مقابلہ جیتنے کے لیے پوائنٹس اسکور کرنے کے بارے میں ہوتا ہے۔</v>
      </c>
      <c r="N105" s="5" t="str">
        <f>IFERROR(__xludf.DUMMYFUNCTION("GOOGLETRANSLATE(E105, ""en"", ""ur"")"),"مظاہرے فن کی خوبصورتی، تاریخ اور مہارت کو ظاہر کرتے ہیں، جب کہ مقابلوں میں واضح جیتنے والے اور ہارنے والے کے ساتھ کھیلوں کے مقابلے ہوتے ہیں۔")</f>
        <v>مظاہرے فن کی خوبصورتی، تاریخ اور مہارت کو ظاہر کرتے ہیں، جب کہ مقابلوں میں واضح جیتنے والے اور ہارنے والے کے ساتھ کھیلوں کے مقابلے ہوتے ہیں۔</v>
      </c>
    </row>
    <row r="106">
      <c r="A106" s="3">
        <v>105.0</v>
      </c>
      <c r="B106" s="4" t="s">
        <v>2129</v>
      </c>
      <c r="C106" s="4" t="s">
        <v>2130</v>
      </c>
      <c r="D106" s="4" t="s">
        <v>2131</v>
      </c>
      <c r="E106" s="4" t="s">
        <v>2132</v>
      </c>
      <c r="J106" s="5" t="str">
        <f>IFERROR(__xludf.DUMMYFUNCTION("GOOGLETRANSLATE(A106, ""en"", ""ur"")"),"105")</f>
        <v>105</v>
      </c>
      <c r="K106" s="5" t="str">
        <f>IFERROR(__xludf.DUMMYFUNCTION("GOOGLETRANSLATE(B106, ""en"", ""ur"")"),"ان میں سے کون سی اہم ذہنی صفت ہے، ہمت کے علاوہ، جس کا مقصد گٹکا تیار کرنا ہے؟")</f>
        <v>ان میں سے کون سی اہم ذہنی صفت ہے، ہمت کے علاوہ، جس کا مقصد گٹکا تیار کرنا ہے؟</v>
      </c>
      <c r="L106" s="5" t="str">
        <f>IFERROR(__xludf.DUMMYFUNCTION("GOOGLETRANSLATE(C106, ""en"", ""ur"")"),"A) غصہ، B) بے خوفی، C) سکون اور دباؤ میں توجہ، D) انتقام کی خواہش")</f>
        <v>A) غصہ، B) بے خوفی، C) سکون اور دباؤ میں توجہ، D) انتقام کی خواہش</v>
      </c>
      <c r="M106" s="5" t="str">
        <f>IFERROR(__xludf.DUMMYFUNCTION("GOOGLETRANSLATE(D106, ""en"", ""ur"")"),"ج) دباؤ میں سکون اور توجہ")</f>
        <v>ج) دباؤ میں سکون اور توجہ</v>
      </c>
      <c r="N106" s="5" t="str">
        <f>IFERROR(__xludf.DUMMYFUNCTION("GOOGLETRANSLATE(E106, ""en"", ""ur"")"),"گٹکا کا نظم و ضبط ایک پریکٹیشنر کو پرسکون اور کمپوزڈ رہنا سکھاتا ہے، جس سے وہ لڑائی کے افراتفری میں واضح طور پر سوچ سکتے ہیں۔")</f>
        <v>گٹکا کا نظم و ضبط ایک پریکٹیشنر کو پرسکون اور کمپوزڈ رہنا سکھاتا ہے، جس سے وہ لڑائی کے افراتفری میں واضح طور پر سوچ سکتے ہیں۔</v>
      </c>
    </row>
    <row r="107">
      <c r="A107" s="3">
        <v>106.0</v>
      </c>
      <c r="B107" s="4" t="s">
        <v>2133</v>
      </c>
      <c r="C107" s="4" t="s">
        <v>2134</v>
      </c>
      <c r="D107" s="4" t="s">
        <v>2135</v>
      </c>
      <c r="E107" s="4" t="s">
        <v>2136</v>
      </c>
      <c r="J107" s="5" t="str">
        <f>IFERROR(__xludf.DUMMYFUNCTION("GOOGLETRANSLATE(A107, ""en"", ""ur"")"),"106")</f>
        <v>106</v>
      </c>
      <c r="K107" s="5" t="str">
        <f>IFERROR(__xludf.DUMMYFUNCTION("GOOGLETRANSLATE(B107, ""en"", ""ur"")"),"مسابقتی گٹکا میں چمکدار، تھیٹر کی نقل و حرکت کی حوصلہ شکنی کیوں کی جاتی ہے؟")</f>
        <v>مسابقتی گٹکا میں چمکدار، تھیٹر کی نقل و حرکت کی حوصلہ شکنی کیوں کی جاتی ہے؟</v>
      </c>
      <c r="L107" s="5" t="str">
        <f>IFERROR(__xludf.DUMMYFUNCTION("GOOGLETRANSLATE(C107, ""en"", ""ur"")"),"A)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f>
        <v>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v>
      </c>
      <c r="M107" s="5" t="str">
        <f>IFERROR(__xludf.DUMMYFUNCTION("GOOGLETRANSLATE(D107, ""en"", ""ur"")"),"ب) وہ اکثر ناکارہ ہوتے ہیں اور کسی کھلاڑی کو عملی حریف کے لیے کمزور چھوڑ سکتے ہیں۔")</f>
        <v>ب) وہ اکثر ناکارہ ہوتے ہیں اور کسی کھلاڑی کو عملی حریف کے لیے کمزور چھوڑ سکتے ہیں۔</v>
      </c>
      <c r="N107" s="5" t="str">
        <f>IFERROR(__xludf.DUMMYFUNCTION("GOOGLETRANSLATE(E107, ""en"", ""ur"")"),"کھیل گٹکا خالصتاً جمالیاتی حرکات پر موثر، کنٹرول شدہ تکنیکوں کو ترجیح دیتا ہے۔ ایک غیر ضروری اسپن ایک دفاعی آغاز بنا سکتا ہے۔")</f>
        <v>کھیل گٹکا خالصتاً جمالیاتی حرکات پر موثر، کنٹرول شدہ تکنیکوں کو ترجیح دیتا ہے۔ ایک غیر ضروری اسپن ایک دفاعی آغاز بنا سکتا ہے۔</v>
      </c>
    </row>
    <row r="108">
      <c r="A108" s="3">
        <v>107.0</v>
      </c>
      <c r="B108" s="4" t="s">
        <v>2137</v>
      </c>
      <c r="C108" s="4" t="s">
        <v>2138</v>
      </c>
      <c r="D108" s="4" t="s">
        <v>2139</v>
      </c>
      <c r="E108" s="4" t="s">
        <v>2140</v>
      </c>
      <c r="J108" s="5" t="str">
        <f>IFERROR(__xludf.DUMMYFUNCTION("GOOGLETRANSLATE(A108, ""en"", ""ur"")"),"107")</f>
        <v>107</v>
      </c>
      <c r="K108" s="5" t="str">
        <f>IFERROR(__xludf.DUMMYFUNCTION("GOOGLETRANSLATE(B108, ""en"", ""ur"")"),"گٹکا اور پنجاب کے علاقے کے درمیان مضبوط تعلق کی بنیادی تاریخی وجہ کیا ہے؟")</f>
        <v>گٹکا اور پنجاب کے علاقے کے درمیان مضبوط تعلق کی بنیادی تاریخی وجہ کیا ہے؟</v>
      </c>
      <c r="L108" s="5" t="str">
        <f>IFERROR(__xludf.DUMMYFUNCTION("GOOGLETRANSLATE(C108, ""en"", ""ur"")"),"A) یہ واحد خطہ تھا جہاں ہتھیاروں کی اجازت تھی، B) یہ سکھ مذہب کی جائے پیدائش اور سکھ سلطنت کا مرکز تھا، C) یہ علاقہ مشق کے لیے مثالی ہے، D) یہ ایک شاہی فرمان تھا۔")</f>
        <v>A) یہ واحد خطہ تھا جہاں ہتھیاروں کی اجازت تھی، B) یہ سکھ مذہب کی جائے پیدائش اور سکھ سلطنت کا مرکز تھا، C) یہ علاقہ مشق کے لیے مثالی ہے، D) یہ ایک شاہی فرمان تھا۔</v>
      </c>
      <c r="M108" s="5" t="str">
        <f>IFERROR(__xludf.DUMMYFUNCTION("GOOGLETRANSLATE(D108, ""en"", ""ur"")"),"ب) یہ سکھ مت کی جائے پیدائش اور سکھ سلطنت کا مرکز تھا۔")</f>
        <v>ب) یہ سکھ مت کی جائے پیدائش اور سکھ سلطنت کا مرکز تھا۔</v>
      </c>
      <c r="N108" s="5" t="str">
        <f>IFERROR(__xludf.DUMMYFUNCTION("GOOGLETRANSLATE(E108, ""en"", ""ur"")"),"یہ فن اندرونی طور پر سکھ لوگوں کی تاریخ، ثقافت اور شناخت سے جڑا ہوا ہے، جس کا مرکز پنجاب میں ہے۔")</f>
        <v>یہ فن اندرونی طور پر سکھ لوگوں کی تاریخ، ثقافت اور شناخت سے جڑا ہوا ہے، جس کا مرکز پنجاب میں ہے۔</v>
      </c>
    </row>
    <row r="109">
      <c r="A109" s="3">
        <v>108.0</v>
      </c>
      <c r="B109" s="4" t="s">
        <v>2141</v>
      </c>
      <c r="C109" s="4" t="s">
        <v>2142</v>
      </c>
      <c r="D109" s="4" t="s">
        <v>2143</v>
      </c>
      <c r="E109" s="4" t="s">
        <v>2144</v>
      </c>
      <c r="J109" s="5" t="str">
        <f>IFERROR(__xludf.DUMMYFUNCTION("GOOGLETRANSLATE(A109, ""en"", ""ur"")"),"108")</f>
        <v>108</v>
      </c>
      <c r="K109" s="5" t="str">
        <f>IFERROR(__xludf.DUMMYFUNCTION("GOOGLETRANSLATE(B109, ""en"", ""ur"")"),"مخالف کو دھکیلنے کے لیے اپنی شیلڈ کا استعمال کرنے پر ایک کھلاڑی کو خبردار کیا جاتا ہے۔ کیا یہ درست فاؤل ہے؟")</f>
        <v>مخالف کو دھکیلنے کے لیے اپنی شیلڈ کا استعمال کرنے پر ایک کھلاڑی کو خبردار کیا جاتا ہے۔ کیا یہ درست فاؤل ہے؟</v>
      </c>
      <c r="L109" s="5" t="str">
        <f>IFERROR(__xludf.DUMMYFUNCTION("GOOGLETRANSLATE(C109, ""en"", ""ur"")"),"A)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f>
        <v>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v>
      </c>
      <c r="M109" s="5" t="str">
        <f>IFERROR(__xludf.DUMMYFUNCTION("GOOGLETRANSLATE(D109, ""en"", ""ur"")"),"ب) جی ہاں، شیلڈ صرف بلاک کرنے کے لیے ہے، جارحانہ دباؤ کے لیے نہیں۔")</f>
        <v>ب) جی ہاں، شیلڈ صرف بلاک کرنے کے لیے ہے، جارحانہ دباؤ کے لیے نہیں۔</v>
      </c>
      <c r="N109" s="5" t="str">
        <f>IFERROR(__xludf.DUMMYFUNCTION("GOOGLETRANSLATE(E109, ""en"", ""ur"")"),"ڈھال ایک دفاعی آلہ ہے۔ کسی مخالف کو دھکا دینے یا غیر متوازن کرنے کے لیے اس کا استعمال سامان کا غیر قانونی استعمال ہے۔")</f>
        <v>ڈھال ایک دفاعی آلہ ہے۔ کسی مخالف کو دھکا دینے یا غیر متوازن کرنے کے لیے اس کا استعمال سامان کا غیر قانونی استعمال ہے۔</v>
      </c>
    </row>
    <row r="110">
      <c r="A110" s="3">
        <v>109.0</v>
      </c>
      <c r="B110" s="4" t="s">
        <v>2145</v>
      </c>
      <c r="C110" s="4" t="s">
        <v>2146</v>
      </c>
      <c r="D110" s="4" t="s">
        <v>2147</v>
      </c>
      <c r="E110" s="4" t="s">
        <v>2148</v>
      </c>
      <c r="J110" s="5" t="str">
        <f>IFERROR(__xludf.DUMMYFUNCTION("GOOGLETRANSLATE(A110, ""en"", ""ur"")"),"109")</f>
        <v>109</v>
      </c>
      <c r="K110" s="5" t="str">
        <f>IFERROR(__xludf.DUMMYFUNCTION("GOOGLETRANSLATE(B110, ""en"", ""ur"")"),"کچھ روایتی اکھاڑوں میں ""مکمل رابطہ"" کے جھگڑے کا کیا مقصد ہے؟")</f>
        <v>کچھ روایتی اکھاڑوں میں "مکمل رابطہ" کے جھگڑے کا کیا مقصد ہے؟</v>
      </c>
      <c r="L110" s="5" t="str">
        <f>IFERROR(__xludf.DUMMYFUNCTION("GOOGLETRANSLATE(C110, ""en"", ""ur"")"),"A)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f>
        <v>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v>
      </c>
      <c r="M110" s="5" t="str">
        <f>IFERROR(__xludf.DUMMYFUNCTION("GOOGLETRANSLATE(D110, ""en"", ""ur"")"),"ب) حقیقت پسندانہ، ہائی پریشر کے حالات میں طالب علم کی ہمت اور مہارت کو جانچنا")</f>
        <v>ب) حقیقت پسندانہ، ہائی پریشر کے حالات میں طالب علم کی ہمت اور مہارت کو جانچنا</v>
      </c>
      <c r="N110" s="5" t="str">
        <f>IFERROR(__xludf.DUMMYFUNCTION("GOOGLETRANSLATE(E110, ""en"", ""ur"")"),"روایتی تربیت میں، ایک جنگجو کو حقیقی جنگ کی حقیقتوں کے لیے تیار کرنے کے لیے مکمل رابطے کی جنگ ضروری تھی۔")</f>
        <v>روایتی تربیت میں، ایک جنگجو کو حقیقی جنگ کی حقیقتوں کے لیے تیار کرنے کے لیے مکمل رابطے کی جنگ ضروری تھی۔</v>
      </c>
    </row>
    <row r="111">
      <c r="A111" s="3">
        <v>110.0</v>
      </c>
      <c r="B111" s="4" t="s">
        <v>2149</v>
      </c>
      <c r="C111" s="4" t="s">
        <v>2150</v>
      </c>
      <c r="D111" s="4" t="s">
        <v>2151</v>
      </c>
      <c r="E111" s="4" t="s">
        <v>2152</v>
      </c>
      <c r="J111" s="5" t="str">
        <f>IFERROR(__xludf.DUMMYFUNCTION("GOOGLETRANSLATE(A111, ""en"", ""ur"")"),"110")</f>
        <v>110</v>
      </c>
      <c r="K111" s="5" t="str">
        <f>IFERROR(__xludf.DUMMYFUNCTION("GOOGLETRANSLATE(B111, ""en"", ""ur"")"),"گٹکا کو سکھ ورثے کا اہم حصہ سمجھا جانے کی بنیادی وجہ کیا ہے؟")</f>
        <v>گٹکا کو سکھ ورثے کا اہم حصہ سمجھا جانے کی بنیادی وجہ کیا ہے؟</v>
      </c>
      <c r="L111" s="5" t="str">
        <f>IFERROR(__xludf.DUMMYFUNCTION("GOOGLETRANSLATE(C111, ""en"", ""ur"")"),"A) یہ ایک تفریحی کھیل ہے، B) یہ سکھ گرووں اور جنگجوؤں کی تاریخ اور فلسفے سے براہ راست، زندہ کڑی ہے، C) یہ آمدنی کا ایک بڑا ذریعہ ہے، D) یہ ایک اولمپک کھیل ہے۔")</f>
        <v>A) یہ ایک تفریحی کھیل ہے، B) یہ سکھ گرووں اور جنگجوؤں کی تاریخ اور فلسفے سے براہ راست، زندہ کڑی ہے، C) یہ آمدنی کا ایک بڑا ذریعہ ہے، D) یہ ایک اولمپک کھیل ہے۔</v>
      </c>
      <c r="M111" s="5" t="str">
        <f>IFERROR(__xludf.DUMMYFUNCTION("GOOGLETRANSLATE(D111, ""en"", ""ur"")"),"ب) یہ سکھ گرووں اور جنگجوؤں کی تاریخ اور فلسفے سے براہ راست، زندہ کڑی ہے۔")</f>
        <v>ب) یہ سکھ گرووں اور جنگجوؤں کی تاریخ اور فلسفے سے براہ راست، زندہ کڑی ہے۔</v>
      </c>
      <c r="N111" s="5" t="str">
        <f>IFERROR(__xludf.DUMMYFUNCTION("GOOGLETRANSLATE(E111, ""en"", ""ur"")"),"گٹکا کی مشق سکھوں کے لیے اپنی تاریخ سے جڑنے اور ""سنت سپاہی"" کے آئیڈیل کو مجسم کرنے کا ایک طریقہ ہے۔")</f>
        <v>گٹکا کی مشق سکھوں کے لیے اپنی تاریخ سے جڑنے اور "سنت سپاہی" کے آئیڈیل کو مجسم کرنے کا ایک طریقہ ہے۔</v>
      </c>
    </row>
    <row r="112">
      <c r="A112" s="3">
        <v>111.0</v>
      </c>
      <c r="B112" s="4" t="s">
        <v>2153</v>
      </c>
      <c r="C112" s="4" t="s">
        <v>2154</v>
      </c>
      <c r="D112" s="4" t="s">
        <v>2155</v>
      </c>
      <c r="E112" s="4" t="s">
        <v>2156</v>
      </c>
      <c r="J112" s="5" t="str">
        <f>IFERROR(__xludf.DUMMYFUNCTION("GOOGLETRANSLATE(A112, ""en"", ""ur"")"),"111")</f>
        <v>111</v>
      </c>
      <c r="K112" s="5" t="str">
        <f>IFERROR(__xludf.DUMMYFUNCTION("GOOGLETRANSLATE(B112, ""en"", ""ur"")"),"ٹیم ایونٹ میں ایک کھلاڑی کو نااہل قرار دیا جاتا ہے۔ ٹیم کا کیا ہوگا؟")</f>
        <v>ٹیم ایونٹ میں ایک کھلاڑی کو نااہل قرار دیا جاتا ہے۔ ٹیم کا کیا ہوگا؟</v>
      </c>
      <c r="L112" s="5" t="str">
        <f>IFERROR(__xludf.DUMMYFUNCTION("GOOGLETRANSLATE(C112, ""en"", ""ur"")"),"A)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f>
        <v>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v>
      </c>
      <c r="M112" s="5" t="str">
        <f>IFERROR(__xludf.DUMMYFUNCTION("GOOGLETRANSLATE(D112, ""en"", ""ur"")"),"ب) ٹیم کو اس مخصوص مقابلے کو ضائع کرنا ہوگا لیکن وہ میچ جاری رکھ سکتی ہے۔")</f>
        <v>ب) ٹیم کو اس مخصوص مقابلے کو ضائع کرنا ہوگا لیکن وہ میچ جاری رکھ سکتی ہے۔</v>
      </c>
      <c r="N112" s="5" t="str">
        <f>IFERROR(__xludf.DUMMYFUNCTION("GOOGLETRANSLATE(E112, ""en"", ""ur"")"),"نااہل کھلاڑی اپنی انفرادی لڑائی ہار جاتا ہے، لیکن باقی ٹیم اپنے طے شدہ باؤٹس میں مقابلہ جاری رکھ سکتی ہے۔")</f>
        <v>نااہل کھلاڑی اپنی انفرادی لڑائی ہار جاتا ہے، لیکن باقی ٹیم اپنے طے شدہ باؤٹس میں مقابلہ جاری رکھ سکتی ہے۔</v>
      </c>
    </row>
    <row r="113">
      <c r="A113" s="3">
        <v>112.0</v>
      </c>
      <c r="B113" s="4" t="s">
        <v>2157</v>
      </c>
      <c r="C113" s="4" t="s">
        <v>2158</v>
      </c>
      <c r="D113" s="4" t="s">
        <v>2159</v>
      </c>
      <c r="E113" s="4" t="s">
        <v>2160</v>
      </c>
      <c r="J113" s="5" t="str">
        <f>IFERROR(__xludf.DUMMYFUNCTION("GOOGLETRANSLATE(A113, ""en"", ""ur"")"),"112")</f>
        <v>112</v>
      </c>
      <c r="K113" s="5" t="str">
        <f>IFERROR(__xludf.DUMMYFUNCTION("GOOGLETRANSLATE(B113, ""en"", ""ur"")"),"چھڑی کی سرکلر، گھومنے والی حرکت کے لیے کیا اصطلاح ہے؟")</f>
        <v>چھڑی کی سرکلر، گھومنے والی حرکت کے لیے کیا اصطلاح ہے؟</v>
      </c>
      <c r="L113" s="5" t="str">
        <f>IFERROR(__xludf.DUMMYFUNCTION("GOOGLETRANSLATE(C113, ""en"", ""ur"")"),"اے) گھمن، بی) جور، سی) فاری، ڈی) روک")</f>
        <v>اے) گھمن، بی) جور، سی) فاری، ڈی) روک</v>
      </c>
      <c r="M113" s="5" t="str">
        <f>IFERROR(__xludf.DUMMYFUNCTION("GOOGLETRANSLATE(D113, ""en"", ""ur"")"),"ا) گھمن")</f>
        <v>ا) گھمن</v>
      </c>
      <c r="N113" s="5" t="str">
        <f>IFERROR(__xludf.DUMMYFUNCTION("GOOGLETRANSLATE(E113, ""en"", ""ur"")"),"گھمن سے مراد ہتھیار کا مسلسل گھومنا یا گھومنا ہے، جو کنٹرول اور تال کو فروغ دینے کے لیے ایک بنیادی مشق ہے۔")</f>
        <v>گھمن سے مراد ہتھیار کا مسلسل گھومنا یا گھومنا ہے، جو کنٹرول اور تال کو فروغ دینے کے لیے ایک بنیادی مشق ہے۔</v>
      </c>
    </row>
    <row r="114">
      <c r="A114" s="3">
        <v>113.0</v>
      </c>
      <c r="B114" s="4" t="s">
        <v>2161</v>
      </c>
      <c r="C114" s="4" t="s">
        <v>2162</v>
      </c>
      <c r="D114" s="4" t="s">
        <v>2163</v>
      </c>
      <c r="E114" s="4" t="s">
        <v>2164</v>
      </c>
      <c r="J114" s="5" t="str">
        <f>IFERROR(__xludf.DUMMYFUNCTION("GOOGLETRANSLATE(A114, ""en"", ""ur"")"),"113")</f>
        <v>113</v>
      </c>
      <c r="K114" s="5" t="str">
        <f>IFERROR(__xludf.DUMMYFUNCTION("GOOGLETRANSLATE(B114, ""en"", ""ur"")"),"دو مسابقتی کھلاڑیوں کے لیے ایک جیسی مہارت کی سطح کا ہونا کیوں ضروری ہے؟")</f>
        <v>دو مسابقتی کھلاڑیوں کے لیے ایک جیسی مہارت کی سطح کا ہونا کیوں ضروری ہے؟</v>
      </c>
      <c r="L114" s="5" t="str">
        <f>IFERROR(__xludf.DUMMYFUNCTION("GOOGLETRANSLATE(C114, ""en"", ""ur"")"),"A) یہ اہم نہیں ہے، B) ایک منصفانہ اور مسابقتی میچ کو یقینی بنانے کے لئے، C) ایک کھلاڑی کو تھکاوٹ سے روکنے کے لئے، D) ایک ہی عمر کے کھلاڑیوں کا ہونا ایک اصول ہے")</f>
        <v>A) یہ اہم نہیں ہے، B) ایک منصفانہ اور مسابقتی میچ کو یقینی بنانے کے لئے، C) ایک کھلاڑی کو تھکاوٹ سے روکنے کے لئے، D) ایک ہی عمر کے کھلاڑیوں کا ہونا ایک اصول ہے</v>
      </c>
      <c r="M114" s="5" t="str">
        <f>IFERROR(__xludf.DUMMYFUNCTION("GOOGLETRANSLATE(D114, ""en"", ""ur"")"),"ب) منصفانہ اور مسابقتی میچ کو یقینی بنانا")</f>
        <v>ب) منصفانہ اور مسابقتی میچ کو یقینی بنانا</v>
      </c>
      <c r="N114" s="5" t="str">
        <f>IFERROR(__xludf.DUMMYFUNCTION("GOOGLETRANSLATE(E114, ""en"", ""ur"")"),"مہارت میں نمایاں عدم مماثلت کسی بھی کھلاڑی کے لیے حقیقی امتحان نہیں ہے اور کم تجربہ کار حریف کے لیے خطرناک ہو سکتی ہے۔")</f>
        <v>مہارت میں نمایاں عدم مماثلت کسی بھی کھلاڑی کے لیے حقیقی امتحان نہیں ہے اور کم تجربہ کار حریف کے لیے خطرناک ہو سکتی ہے۔</v>
      </c>
    </row>
    <row r="115">
      <c r="A115" s="3">
        <v>114.0</v>
      </c>
      <c r="B115" s="4" t="s">
        <v>2165</v>
      </c>
      <c r="C115" s="4" t="s">
        <v>2166</v>
      </c>
      <c r="D115" s="4" t="s">
        <v>2167</v>
      </c>
      <c r="E115" s="4" t="s">
        <v>2168</v>
      </c>
      <c r="J115" s="5" t="str">
        <f>IFERROR(__xludf.DUMMYFUNCTION("GOOGLETRANSLATE(A115, ""en"", ""ur"")"),"114")</f>
        <v>114</v>
      </c>
      <c r="K115" s="5" t="str">
        <f>IFERROR(__xludf.DUMMYFUNCTION("GOOGLETRANSLATE(B115, ""en"", ""ur"")"),"پوائنٹ سکور کرنے کے لیے ریفری کا کیا اشارہ ہے؟")</f>
        <v>پوائنٹ سکور کرنے کے لیے ریفری کا کیا اشارہ ہے؟</v>
      </c>
      <c r="L115" s="5" t="str">
        <f>IFERROR(__xludf.DUMMYFUNCTION("GOOGLETRANSLATE(C115, ""en"", ""ur"")"),"A) وہ کھلاڑی کے رنگ کا جھنڈا اٹھاتے ہیں، B) وہ دو بار اپنی سیٹی بجاتے ہیں، C) وہ ""پوائنٹ!"" چلاتے ہیں، D) وہ تالیاں بجاتے ہیں۔")</f>
        <v>A) وہ کھلاڑی کے رنگ کا جھنڈا اٹھاتے ہیں، B) وہ دو بار اپنی سیٹی بجاتے ہیں، C) وہ "پوائنٹ!" چلاتے ہیں، D) وہ تالیاں بجاتے ہیں۔</v>
      </c>
      <c r="M115" s="5" t="str">
        <f>IFERROR(__xludf.DUMMYFUNCTION("GOOGLETRANSLATE(D115, ""en"", ""ur"")"),"A) وہ کھلاڑی کے رنگ کا جھنڈا اٹھاتے ہیں۔")</f>
        <v>A) وہ کھلاڑی کے رنگ کا جھنڈا اٹھاتے ہیں۔</v>
      </c>
      <c r="N115" s="5" t="str">
        <f>IFERROR(__xludf.DUMMYFUNCTION("GOOGLETRANSLATE(E115, ""en"", ""ur"")"),"ججز اور ریفری کھلاڑیوں کے کونوں سے مماثل رنگین جھنڈوں (مثلاً سرخ اور نیلے) کا استعمال کرتے ہیں تاکہ یہ اشارہ کیا جا سکے کہ کس کھلاڑی نے پوائنٹ حاصل کیا ہے۔")</f>
        <v>ججز اور ریفری کھلاڑیوں کے کونوں سے مماثل رنگین جھنڈوں (مثلاً سرخ اور نیلے) کا استعمال کرتے ہیں تاکہ یہ اشارہ کیا جا سکے کہ کس کھلاڑی نے پوائنٹ حاصل کیا ہے۔</v>
      </c>
    </row>
    <row r="116">
      <c r="A116" s="3">
        <v>115.0</v>
      </c>
      <c r="B116" s="4" t="s">
        <v>2169</v>
      </c>
      <c r="C116" s="4" t="s">
        <v>2170</v>
      </c>
      <c r="D116" s="4" t="s">
        <v>2171</v>
      </c>
      <c r="E116" s="4" t="s">
        <v>2172</v>
      </c>
      <c r="J116" s="5" t="str">
        <f>IFERROR(__xludf.DUMMYFUNCTION("GOOGLETRANSLATE(A116, ""en"", ""ur"")"),"115")</f>
        <v>115</v>
      </c>
      <c r="K116" s="5" t="str">
        <f>IFERROR(__xludf.DUMMYFUNCTION("GOOGLETRANSLATE(B116, ""en"", ""ur"")"),"کس ہتھیار کو ""وار کوائٹ"" بھی کہا جاتا ہے؟")</f>
        <v>کس ہتھیار کو "وار کوائٹ" بھی کہا جاتا ہے؟</v>
      </c>
      <c r="L116" s="5" t="str">
        <f>IFERROR(__xludf.DUMMYFUNCTION("GOOGLETRANSLATE(C116, ""en"", ""ur"")"),"A) کھنڈا، B) کرپن، C) چکر، D) برچھا۔")</f>
        <v>A) کھنڈا، B) کرپن، C) چکر، D) برچھا۔</v>
      </c>
      <c r="M116" s="5" t="str">
        <f>IFERROR(__xludf.DUMMYFUNCTION("GOOGLETRANSLATE(D116, ""en"", ""ur"")"),"سی) چکر")</f>
        <v>سی) چکر</v>
      </c>
      <c r="N116" s="5" t="str">
        <f>IFERROR(__xludf.DUMMYFUNCTION("GOOGLETRANSLATE(E116, ""en"", ""ur"")"),"چکرا ایک سٹیل پھینکنے والی انگوٹھی ہے، جو سکھ جنگجوؤں کا ایک منفرد اور مشہور ہتھیار ہے۔")</f>
        <v>چکرا ایک سٹیل پھینکنے والی انگوٹھی ہے، جو سکھ جنگجوؤں کا ایک منفرد اور مشہور ہتھیار ہے۔</v>
      </c>
    </row>
    <row r="117">
      <c r="A117" s="3">
        <v>116.0</v>
      </c>
      <c r="B117" s="4" t="s">
        <v>2173</v>
      </c>
      <c r="C117" s="4" t="s">
        <v>2174</v>
      </c>
      <c r="D117" s="4" t="s">
        <v>2175</v>
      </c>
      <c r="E117" s="4" t="s">
        <v>2176</v>
      </c>
      <c r="J117" s="5" t="str">
        <f>IFERROR(__xludf.DUMMYFUNCTION("GOOGLETRANSLATE(A117, ""en"", ""ur"")"),"116")</f>
        <v>116</v>
      </c>
      <c r="K117" s="5" t="str">
        <f>IFERROR(__xludf.DUMMYFUNCTION("GOOGLETRANSLATE(B117, ""en"", ""ur"")"),"ٹریننگ اسٹک کے وزن اور لچک پر سخت قوانین کی بنیادی وجہ کیا ہے؟")</f>
        <v>ٹریننگ اسٹک کے وزن اور لچک پر سخت قوانین کی بنیادی وجہ کیا ہے؟</v>
      </c>
      <c r="L117" s="5" t="str">
        <f>IFERROR(__xludf.DUMMYFUNCTION("GOOGLETRANSLATE(C117, ""en"", ""ur"")"),"A) کھیل کو زیادہ مہنگا بنانے کے لئے، B) تمام حریفوں کے لئے انصاف اور حفاظت کو یقینی بنانے کے لئے، C) لاٹھیوں کو توڑنے میں آسان بنانے کے لئے، D) انہیں یکساں نظر آنے کے لئے")</f>
        <v>A) کھیل کو زیادہ مہنگا بنانے کے لئے، B) تمام حریفوں کے لئے انصاف اور حفاظت کو یقینی بنانے کے لئے، C) لاٹھیوں کو توڑنے میں آسان بنانے کے لئے، D) انہیں یکساں نظر آنے کے لئے</v>
      </c>
      <c r="M117" s="5" t="str">
        <f>IFERROR(__xludf.DUMMYFUNCTION("GOOGLETRANSLATE(D117, ""en"", ""ur"")"),"ب) تمام حریفوں کے لیے انصاف اور حفاظت کو یقینی بنانا")</f>
        <v>ب) تمام حریفوں کے لیے انصاف اور حفاظت کو یقینی بنانا</v>
      </c>
      <c r="N117" s="5" t="str">
        <f>IFERROR(__xludf.DUMMYFUNCTION("GOOGLETRANSLATE(E117, ""en"", ""ur"")"),"معیاری سازوسامان اس بات کو یقینی بناتا ہے کہ کسی بھی کھلاڑی کو غیر منصفانہ فائدہ حاصل نہیں ہے اور یہ کہ ہتھیار قابل پیشن گوئی، محفوظ طریقے سے برتاؤ کرتے ہیں۔")</f>
        <v>معیاری سازوسامان اس بات کو یقینی بناتا ہے کہ کسی بھی کھلاڑی کو غیر منصفانہ فائدہ حاصل نہیں ہے اور یہ کہ ہتھیار قابل پیشن گوئی، محفوظ طریقے سے برتاؤ کرتے ہیں۔</v>
      </c>
    </row>
    <row r="118">
      <c r="A118" s="3">
        <v>117.0</v>
      </c>
      <c r="B118" s="4" t="s">
        <v>2177</v>
      </c>
      <c r="C118" s="4" t="s">
        <v>2178</v>
      </c>
      <c r="D118" s="4" t="s">
        <v>2179</v>
      </c>
      <c r="E118" s="4" t="s">
        <v>2180</v>
      </c>
      <c r="J118" s="5" t="str">
        <f>IFERROR(__xludf.DUMMYFUNCTION("GOOGLETRANSLATE(A118, ""en"", ""ur"")"),"117")</f>
        <v>117</v>
      </c>
      <c r="K118" s="5" t="str">
        <f>IFERROR(__xludf.DUMMYFUNCTION("GOOGLETRANSLATE(B118, ""en"", ""ur"")"),"اصطلاح اکھاڑہ کا اصل تناظر میں کیا مطلب ہے؟")</f>
        <v>اصطلاح اکھاڑہ کا اصل تناظر میں کیا مطلب ہے؟</v>
      </c>
      <c r="L118" s="5" t="str">
        <f>IFERROR(__xludf.DUMMYFUNCTION("GOOGLETRANSLATE(C118, ""en"", ""ur"")"),"A) لڑائی یا کشتی کی جگہ، B) مندر، C) سکول، D) بازار")</f>
        <v>A) لڑائی یا کشتی کی جگہ، B) مندر، C) سکول، D) بازار</v>
      </c>
      <c r="M118" s="5" t="str">
        <f>IFERROR(__xludf.DUMMYFUNCTION("GOOGLETRANSLATE(D118, ""en"", ""ur"")"),"ا) لڑائی یا کشتی کی جگہ")</f>
        <v>ا) لڑائی یا کشتی کی جگہ</v>
      </c>
      <c r="N118" s="5" t="str">
        <f>IFERROR(__xludf.DUMMYFUNCTION("GOOGLETRANSLATE(E118, ""en"", ""ur"")"),"اکھاڑا ہندوستانی مارشل آرٹس اور کشتی کا روایتی جمنازیم یا میدان ہے۔")</f>
        <v>اکھاڑا ہندوستانی مارشل آرٹس اور کشتی کا روایتی جمنازیم یا میدان ہے۔</v>
      </c>
    </row>
    <row r="119">
      <c r="A119" s="3">
        <v>118.0</v>
      </c>
      <c r="B119" s="4" t="s">
        <v>2181</v>
      </c>
      <c r="C119" s="4" t="s">
        <v>2182</v>
      </c>
      <c r="D119" s="4" t="s">
        <v>2183</v>
      </c>
      <c r="E119" s="4" t="s">
        <v>2184</v>
      </c>
      <c r="J119" s="5" t="str">
        <f>IFERROR(__xludf.DUMMYFUNCTION("GOOGLETRANSLATE(A119, ""en"", ""ur"")"),"118")</f>
        <v>118</v>
      </c>
      <c r="K119" s="5" t="str">
        <f>IFERROR(__xludf.DUMMYFUNCTION("GOOGLETRANSLATE(B119, ""en"", ""ur"")"),"ایک کھلاڑی کو ""ہائی اسٹرائیک"" کی سزا دی جاتی ہے۔ اس کا کیا مطلب ہے؟")</f>
        <v>ایک کھلاڑی کو "ہائی اسٹرائیک" کی سزا دی جاتی ہے۔ اس کا کیا مطلب ہے؟</v>
      </c>
      <c r="L119" s="5" t="str">
        <f>IFERROR(__xludf.DUMMYFUNCTION("GOOGLETRANSLATE(C119, ""en"", ""ur"")"),"A) ہڑتال بہت طاقتور تھی، B) ہڑتال کا مقصد کندھوں سے اوپر سر یا گردن پر تھا، C) ہڑتال ایک جمپنگ اسٹرائیک تھی، D) ہڑتال بہت سست تھی۔")</f>
        <v>A) ہڑتال بہت طاقتور تھی، B) ہڑتال کا مقصد کندھوں سے اوپر سر یا گردن پر تھا، C) ہڑتال ایک جمپنگ اسٹرائیک تھی، D) ہڑتال بہت سست تھی۔</v>
      </c>
      <c r="M119" s="5" t="str">
        <f>IFERROR(__xludf.DUMMYFUNCTION("GOOGLETRANSLATE(D119, ""en"", ""ur"")"),"ب) ہڑتال کا مقصد کندھوں سے اوپر سر یا گردن پر تھا۔")</f>
        <v>ب) ہڑتال کا مقصد کندھوں سے اوپر سر یا گردن پر تھا۔</v>
      </c>
      <c r="N119" s="5" t="str">
        <f>IFERROR(__xludf.DUMMYFUNCTION("GOOGLETRANSLATE(E119, ""en"", ""ur"")"),"بہت سے اصولوں میں، سر ایک غیر قانونی ہدف ہے۔ ایک ""ہائی سٹرائیک"" سے مراد اس ممنوعہ علاقے کو مارنے کے لیے ایک فاؤل ہے۔")</f>
        <v>بہت سے اصولوں میں، سر ایک غیر قانونی ہدف ہے۔ ایک "ہائی سٹرائیک" سے مراد اس ممنوعہ علاقے کو مارنے کے لیے ایک فاؤل ہے۔</v>
      </c>
    </row>
    <row r="120">
      <c r="A120" s="3">
        <v>119.0</v>
      </c>
      <c r="B120" s="4" t="s">
        <v>2185</v>
      </c>
      <c r="C120" s="4" t="s">
        <v>2186</v>
      </c>
      <c r="D120" s="4" t="s">
        <v>2187</v>
      </c>
      <c r="E120" s="4" t="s">
        <v>2188</v>
      </c>
      <c r="J120" s="5" t="str">
        <f>IFERROR(__xludf.DUMMYFUNCTION("GOOGLETRANSLATE(A120, ""en"", ""ur"")"),"119")</f>
        <v>119</v>
      </c>
      <c r="K120" s="5" t="str">
        <f>IFERROR(__xludf.DUMMYFUNCTION("GOOGLETRANSLATE(B120, ""en"", ""ur"")"),"گٹکا میں مطابقت پذیر گروپ ڈسپلے (جاٹھا) کا بنیادی مقصد کیا ہے؟")</f>
        <v>گٹکا میں مطابقت پذیر گروپ ڈسپلے (جاٹھا) کا بنیادی مقصد کیا ہے؟</v>
      </c>
      <c r="L120" s="5" t="str">
        <f>IFERROR(__xludf.DUMMYFUNCTION("GOOGLETRANSLATE(C120, ""en"", ""ur"")"),"A) فاتح کا تعین کرنے کے لئے، B) نظم و ضبط، ہم آہنگی اور گروپ کے اتحاد کا مظاہرہ کرنے کے لئے، C) انفرادی لڑائیوں کے لئے گرم جوشی کے لئے، D) یہ احتجاج کی ایک شکل ہے۔")</f>
        <v>A) فاتح کا تعین کرنے کے لئے، B) نظم و ضبط، ہم آہنگی اور گروپ کے اتحاد کا مظاہرہ کرنے کے لئے، C) انفرادی لڑائیوں کے لئے گرم جوشی کے لئے، D) یہ احتجاج کی ایک شکل ہے۔</v>
      </c>
      <c r="M120" s="5" t="str">
        <f>IFERROR(__xludf.DUMMYFUNCTION("GOOGLETRANSLATE(D120, ""en"", ""ur"")"),"ب) گروپ کے نظم و ضبط، ہم آہنگی اور اتحاد کا مظاہرہ کرنا")</f>
        <v>ب) گروپ کے نظم و ضبط، ہم آہنگی اور اتحاد کا مظاہرہ کرنا</v>
      </c>
      <c r="N120" s="5" t="str">
        <f>IFERROR(__xludf.DUMMYFUNCTION("GOOGLETRANSLATE(E120, ""en"", ""ur"")"),"یہ پرفارمنس گٹکا اسکول یا ٹیم کی اجتماعی مہارت اور ہم آہنگی کی ایک طاقتور نمائش ہیں۔")</f>
        <v>یہ پرفارمنس گٹکا اسکول یا ٹیم کی اجتماعی مہارت اور ہم آہنگی کی ایک طاقتور نمائش ہیں۔</v>
      </c>
    </row>
    <row r="121">
      <c r="A121" s="3">
        <v>120.0</v>
      </c>
      <c r="B121" s="4" t="s">
        <v>2189</v>
      </c>
      <c r="C121" s="4" t="s">
        <v>2190</v>
      </c>
      <c r="D121" s="4" t="s">
        <v>2191</v>
      </c>
      <c r="E121" s="4" t="s">
        <v>2192</v>
      </c>
      <c r="J121" s="5" t="str">
        <f>IFERROR(__xludf.DUMMYFUNCTION("GOOGLETRANSLATE(A121, ""en"", ""ur"")"),"120")</f>
        <v>120</v>
      </c>
      <c r="K121" s="5" t="str">
        <f>IFERROR(__xludf.DUMMYFUNCTION("GOOGLETRANSLATE(B121, ""en"", ""ur"")"),"گٹکا کی مشق کو کچھ پریکٹیشنرز مراقبہ کی ایک شکل کیوں سمجھتے ہیں؟")</f>
        <v>گٹکا کی مشق کو کچھ پریکٹیشنرز مراقبہ کی ایک شکل کیوں سمجھتے ہیں؟</v>
      </c>
      <c r="L121" s="5" t="str">
        <f>IFERROR(__xludf.DUMMYFUNCTION("GOOGLETRANSLATE(C121, ""en"", ""ur"")"),"A) یہ خاموشی میں کیا جاتا ہے، B) حرکت اور سانس لینے پر درکار شدید توجہ دماغ کو صاف کر سکتی ہے، C) اس میں طویل عرصے تک خاموش بیٹھنا شامل ہے، D) یہ ایک مذہبی ضرورت ہے۔")</f>
        <v>A) یہ خاموشی میں کیا جاتا ہے، B) حرکت اور سانس لینے پر درکار شدید توجہ دماغ کو صاف کر سکتی ہے، C) اس میں طویل عرصے تک خاموش بیٹھنا شامل ہے، D) یہ ایک مذہبی ضرورت ہے۔</v>
      </c>
      <c r="M121" s="5" t="str">
        <f>IFERROR(__xludf.DUMMYFUNCTION("GOOGLETRANSLATE(D121, ""en"", ""ur"")"),"ب) حرکت اور سانس لینے پر مطلوبہ شدید توجہ ذہن کو صاف کر سکتی ہے۔")</f>
        <v>ب) حرکت اور سانس لینے پر مطلوبہ شدید توجہ ذہن کو صاف کر سکتی ہے۔</v>
      </c>
      <c r="N121" s="5" t="str">
        <f>IFERROR(__xludf.DUMMYFUNCTION("GOOGLETRANSLATE(E121, ""en"", ""ur"")"),"تکنیکوں کو انجام دینے کے لیے درکار گہری ارتکاز ""حرکت پذیر مراقبہ""، جسم اور روح کو یکجا کرنے کی حالت کا باعث بن سکتی ہے۔")</f>
        <v>تکنیکوں کو انجام دینے کے لیے درکار گہری ارتکاز "حرکت پذیر مراقبہ"، جسم اور روح کو یکجا کرنے کی حالت کا باعث بن سکتی ہے۔</v>
      </c>
    </row>
    <row r="122">
      <c r="A122" s="3">
        <v>121.0</v>
      </c>
      <c r="B122" s="4" t="s">
        <v>2193</v>
      </c>
      <c r="C122" s="4" t="s">
        <v>2194</v>
      </c>
      <c r="D122" s="4" t="s">
        <v>2195</v>
      </c>
      <c r="E122" s="4" t="s">
        <v>2196</v>
      </c>
      <c r="J122" s="5" t="str">
        <f>IFERROR(__xludf.DUMMYFUNCTION("GOOGLETRANSLATE(A122, ""en"", ""ur"")"),"121")</f>
        <v>121</v>
      </c>
      <c r="K122" s="5" t="str">
        <f>IFERROR(__xludf.DUMMYFUNCTION("GOOGLETRANSLATE(B122, ""en"", ""ur"")"),"گٹکا میں ان میں سے کون سا اہم دفاعی فٹ ورک پینتریبازی ہے؟")</f>
        <v>گٹکا میں ان میں سے کون سا اہم دفاعی فٹ ورک پینتریبازی ہے؟</v>
      </c>
      <c r="L122" s="5" t="str">
        <f>IFERROR(__xludf.DUMMYFUNCTION("GOOGLETRANSLATE(C122, ""en"", ""ur"")"),"A) فارورڈ چارج، B) ایک سائیڈ سٹیپ یا ""اینگولیشن"" (ڈیپچ)، C) ساکت کھڑا ہونا، D) ایک کم کراؤچ")</f>
        <v>A) فارورڈ چارج، B) ایک سائیڈ سٹیپ یا "اینگولیشن" (ڈیپچ)، C) ساکت کھڑا ہونا، D) ایک کم کراؤچ</v>
      </c>
      <c r="M122" s="5" t="str">
        <f>IFERROR(__xludf.DUMMYFUNCTION("GOOGLETRANSLATE(D122, ""en"", ""ur"")"),"ب) ایک طرف قدم یا ""اینگولیشن"" (ڈیپچ)")</f>
        <v>ب) ایک طرف قدم یا "اینگولیشن" (ڈیپچ)</v>
      </c>
      <c r="N122" s="5" t="str">
        <f>IFERROR(__xludf.DUMMYFUNCTION("GOOGLETRANSLATE(E122, ""en"", ""ur"")"),"سائیڈ سٹیپنگ ایک بنیادی دفاعی مہارت ہے جو لکیری حملے سے بچنے اور جوابی حملے کے لیے ایک زاویہ بنانے کے لیے استعمال ہوتی ہے۔")</f>
        <v>سائیڈ سٹیپنگ ایک بنیادی دفاعی مہارت ہے جو لکیری حملے سے بچنے اور جوابی حملے کے لیے ایک زاویہ بنانے کے لیے استعمال ہوتی ہے۔</v>
      </c>
    </row>
    <row r="123">
      <c r="A123" s="3">
        <v>122.0</v>
      </c>
      <c r="B123" s="4" t="s">
        <v>2197</v>
      </c>
      <c r="C123" s="4" t="s">
        <v>2198</v>
      </c>
      <c r="D123" s="4" t="s">
        <v>2199</v>
      </c>
      <c r="E123" s="4" t="s">
        <v>2200</v>
      </c>
      <c r="J123" s="5" t="str">
        <f>IFERROR(__xludf.DUMMYFUNCTION("GOOGLETRANSLATE(A123, ""en"", ""ur"")"),"122")</f>
        <v>122</v>
      </c>
      <c r="K123" s="5" t="str">
        <f>IFERROR(__xludf.DUMMYFUNCTION("GOOGLETRANSLATE(B123, ""en"", ""ur"")"),"""نہنگ"" کے طرزِ جنگ کی بنیادی خصوصیت کیا ہے؟")</f>
        <v>"نہنگ" کے طرزِ جنگ کی بنیادی خصوصیت کیا ہے؟</v>
      </c>
      <c r="L123" s="5" t="str">
        <f>IFERROR(__xludf.DUMMYFUNCTION("GOOGLETRANSLATE(C123, ""en"", ""ur"")"),"A) یہ بہت دفاعی اور غیر فعال ہے، B) یہ انتہائی جارحانہ، بظاہر افراتفری، لیکن بہت مؤثر ہے، C) یہ صرف ایک قسم کا ہتھیار استعمال کرتا ہے، D) یہ ایک جدید کھیل ہے۔")</f>
        <v>A) یہ بہت دفاعی اور غیر فعال ہے، B) یہ انتہائی جارحانہ، بظاہر افراتفری، لیکن بہت مؤثر ہے، C) یہ صرف ایک قسم کا ہتھیار استعمال کرتا ہے، D) یہ ایک جدید کھیل ہے۔</v>
      </c>
      <c r="M123" s="5" t="str">
        <f>IFERROR(__xludf.DUMMYFUNCTION("GOOGLETRANSLATE(D123, ""en"", ""ur"")"),"ب) یہ انتہائی جارحانہ، بظاہر افراتفری، لیکن بہت موثر ہے۔")</f>
        <v>ب) یہ انتہائی جارحانہ، بظاہر افراتفری، لیکن بہت موثر ہے۔</v>
      </c>
      <c r="N123" s="5" t="str">
        <f>IFERROR(__xludf.DUMMYFUNCTION("GOOGLETRANSLATE(E123, ""en"", ""ur"")"),"نہنگ انداز اپنی خوفناک، ہمہ گیر حملہ آور فطرت کے لیے جانا جاتا ہے، جو مخالفین کو مغلوب کر سکتا ہے۔")</f>
        <v>نہنگ انداز اپنی خوفناک، ہمہ گیر حملہ آور فطرت کے لیے جانا جاتا ہے، جو مخالفین کو مغلوب کر سکتا ہے۔</v>
      </c>
    </row>
    <row r="124">
      <c r="A124" s="3">
        <v>123.0</v>
      </c>
      <c r="B124" s="4" t="s">
        <v>2201</v>
      </c>
      <c r="C124" s="4" t="s">
        <v>2202</v>
      </c>
      <c r="D124" s="4" t="s">
        <v>2203</v>
      </c>
      <c r="E124" s="4" t="s">
        <v>2204</v>
      </c>
      <c r="J124" s="5" t="str">
        <f>IFERROR(__xludf.DUMMYFUNCTION("GOOGLETRANSLATE(A124, ""en"", ""ur"")"),"123")</f>
        <v>123</v>
      </c>
      <c r="K124" s="5" t="str">
        <f>IFERROR(__xludf.DUMMYFUNCTION("GOOGLETRANSLATE(B124, ""en"", ""ur"")"),"مقابلے میں ایک کھلاڑی جدید ہیلمٹ کی بجائے روایتی پگڑی پہنے ہوئے ہے۔ اس میں کیا ہونا چاہیے؟")</f>
        <v>مقابلے میں ایک کھلاڑی جدید ہیلمٹ کی بجائے روایتی پگڑی پہنے ہوئے ہے۔ اس میں کیا ہونا چاہیے؟</v>
      </c>
      <c r="L124" s="5" t="str">
        <f>IFERROR(__xludf.DUMMYFUNCTION("GOOGLETRANSLATE(C124, ""en"", ""ur"")"),"A) ایک مخصوص رنگ، B) اسے ریفری کے ذریعہ منظور کیا جانا چاہئے اور اس میں اکثر اندرونی پیڈنگ (فاررا) ہوتی ہے، C) ایک دھاتی پلیٹ، D) یہ بہت چھوٹی ہونی چاہئے۔")</f>
        <v>A) ایک مخصوص رنگ، B) اسے ریفری کے ذریعہ منظور کیا جانا چاہئے اور اس میں اکثر اندرونی پیڈنگ (فاررا) ہوتی ہے، C) ایک دھاتی پلیٹ، D) یہ بہت چھوٹی ہونی چاہئے۔</v>
      </c>
      <c r="M124" s="5" t="str">
        <f>IFERROR(__xludf.DUMMYFUNCTION("GOOGLETRANSLATE(D124, ""en"", ""ur"")"),"ب) اسے ریفری کے ذریعہ منظور کیا جانا چاہئے اور اس میں اکثر اندرونی پیڈنگ ہوتی ہے (فاررا)")</f>
        <v>ب) اسے ریفری کے ذریعہ منظور کیا جانا چاہئے اور اس میں اکثر اندرونی پیڈنگ ہوتی ہے (فاررا)</v>
      </c>
      <c r="N124" s="5" t="str">
        <f>IFERROR(__xludf.DUMMYFUNCTION("GOOGLETRANSLATE(E124, ""en"", ""ur"")"),"حفاظت کے لیے، اگر روایتی پگڑی پہنی جاتی ہے، تو اسے ایک مخصوص، محفوظ طریقے سے باندھنا چاہیے اور اس میں اکثر حفاظتی عناصر ہوتے ہیں۔")</f>
        <v>حفاظت کے لیے، اگر روایتی پگڑی پہنی جاتی ہے، تو اسے ایک مخصوص، محفوظ طریقے سے باندھنا چاہیے اور اس میں اکثر حفاظتی عناصر ہوتے ہیں۔</v>
      </c>
    </row>
    <row r="125">
      <c r="A125" s="3">
        <v>124.0</v>
      </c>
      <c r="B125" s="4" t="s">
        <v>2205</v>
      </c>
      <c r="C125" s="4" t="s">
        <v>2206</v>
      </c>
      <c r="D125" s="4" t="s">
        <v>2207</v>
      </c>
      <c r="E125" s="4" t="s">
        <v>2208</v>
      </c>
      <c r="J125" s="5" t="str">
        <f>IFERROR(__xludf.DUMMYFUNCTION("GOOGLETRANSLATE(A125, ""en"", ""ur"")"),"124")</f>
        <v>124</v>
      </c>
      <c r="K125" s="5" t="str">
        <f>IFERROR(__xludf.DUMMYFUNCTION("GOOGLETRANSLATE(B125, ""en"", ""ur"")"),"چھوٹی، گول شیلڈ (فاری) کا بنیادی مقصد کیا ہے؟")</f>
        <v>چھوٹی، گول شیلڈ (فاری) کا بنیادی مقصد کیا ہے؟</v>
      </c>
      <c r="L125" s="5" t="str">
        <f>IFERROR(__xludf.DUMMYFUNCTION("GOOGLETRANSLATE(C125, ""en"", ""ur"")"),"A) یہ اتنا بڑا ہے کہ پیچھے چھپ سکتا ہے، B) یہ ہلکا اور چالاک ہے پیری کرنے اور فعال بلاک کرنے کے لیے، C) یہ پھینکنے والا ہتھیار ہے، D) یہ خالصتاً رسمی ہے۔")</f>
        <v>A) یہ اتنا بڑا ہے کہ پیچھے چھپ سکتا ہے، B) یہ ہلکا اور چالاک ہے پیری کرنے اور فعال بلاک کرنے کے لیے، C) یہ پھینکنے والا ہتھیار ہے، D) یہ خالصتاً رسمی ہے۔</v>
      </c>
      <c r="M125" s="5" t="str">
        <f>IFERROR(__xludf.DUMMYFUNCTION("GOOGLETRANSLATE(D125, ""en"", ""ur"")"),"ب) یہ پیرینگ اور فعال بلاکنگ کے لیے ہلکا اور قابل تدبیر ہے۔")</f>
        <v>ب) یہ پیرینگ اور فعال بلاکنگ کے لیے ہلکا اور قابل تدبیر ہے۔</v>
      </c>
      <c r="N125" s="5" t="str">
        <f>IFERROR(__xludf.DUMMYFUNCTION("GOOGLETRANSLATE(E125, ""en"", ""ur"")"),"ایک بڑی ڈھال کے برعکس، فاری کو متحرک طور پر حملوں کو روکنے اور ری ڈائریکٹ کرنے کے لیے استعمال کیا جاتا ہے، نہ کہ غیر فعال دفاع کے لیے۔")</f>
        <v>ایک بڑی ڈھال کے برعکس، فاری کو متحرک طور پر حملوں کو روکنے اور ری ڈائریکٹ کرنے کے لیے استعمال کیا جاتا ہے، نہ کہ غیر فعال دفاع کے لیے۔</v>
      </c>
    </row>
    <row r="126">
      <c r="A126" s="3">
        <v>125.0</v>
      </c>
      <c r="B126" s="4" t="s">
        <v>2209</v>
      </c>
      <c r="C126" s="4" t="s">
        <v>2210</v>
      </c>
      <c r="D126" s="4" t="s">
        <v>2211</v>
      </c>
      <c r="E126" s="4" t="s">
        <v>2212</v>
      </c>
      <c r="J126" s="5" t="str">
        <f>IFERROR(__xludf.DUMMYFUNCTION("GOOGLETRANSLATE(A126, ""en"", ""ur"")"),"125")</f>
        <v>125</v>
      </c>
      <c r="K126" s="5" t="str">
        <f>IFERROR(__xludf.DUMMYFUNCTION("GOOGLETRANSLATE(B126, ""en"", ""ur"")"),"ایک کھلاڑی کو ""جسمانی رابطے"" کے لیے سزا دی جاتی ہے۔ انہوں نے کیا کیا؟")</f>
        <v>ایک کھلاڑی کو "جسمانی رابطے" کے لیے سزا دی جاتی ہے۔ انہوں نے کیا کیا؟</v>
      </c>
      <c r="L126" s="5" t="str">
        <f>IFERROR(__xludf.DUMMYFUNCTION("GOOGLETRANSLATE(C126, ""en"", ""ur"")"),"A) انہیں مخالف نے ٹکر ماری، B) انہوں نے جان بوجھ کر اپنے مخالف کو دھکا دیا یا اس سے جکڑ لیا، C) ان کا پاؤں مخالف کے پاؤں کو چھو گیا، D) انہوں نے ہڑتال کو روک دیا")</f>
        <v>A) انہیں مخالف نے ٹکر ماری، B) انہوں نے جان بوجھ کر اپنے مخالف کو دھکا دیا یا اس سے جکڑ لیا، C) ان کا پاؤں مخالف کے پاؤں کو چھو گیا، D) انہوں نے ہڑتال کو روک دیا</v>
      </c>
      <c r="M126" s="5" t="str">
        <f>IFERROR(__xludf.DUMMYFUNCTION("GOOGLETRANSLATE(D126, ""en"", ""ur"")"),"ب) انہوں نے جان بوجھ کر اپنے مخالف کو دھکیل دیا یا اس سے گرفت کی۔")</f>
        <v>ب) انہوں نے جان بوجھ کر اپنے مخالف کو دھکیل دیا یا اس سے گرفت کی۔</v>
      </c>
      <c r="N126" s="5" t="str">
        <f>IFERROR(__xludf.DUMMYFUNCTION("GOOGLETRANSLATE(E126, ""en"", ""ur"")"),"کھیل گٹکا ہتھیاروں پر مبنی فن ہے۔ کسی کے جسم کو غیر قانونی طور پر دھکیلنے، پکڑنے یا پکڑنے کے لیے استعمال کرنا فُل ہے۔")</f>
        <v>کھیل گٹکا ہتھیاروں پر مبنی فن ہے۔ کسی کے جسم کو غیر قانونی طور پر دھکیلنے، پکڑنے یا پکڑنے کے لیے استعمال کرنا فُل ہے۔</v>
      </c>
    </row>
    <row r="127">
      <c r="A127" s="3">
        <v>126.0</v>
      </c>
      <c r="B127" s="4" t="s">
        <v>2213</v>
      </c>
      <c r="C127" s="4" t="s">
        <v>2214</v>
      </c>
      <c r="D127" s="4" t="s">
        <v>2215</v>
      </c>
      <c r="E127" s="4" t="s">
        <v>2216</v>
      </c>
      <c r="J127" s="5" t="str">
        <f>IFERROR(__xludf.DUMMYFUNCTION("GOOGLETRANSLATE(A127, ""en"", ""ur"")"),"126")</f>
        <v>126</v>
      </c>
      <c r="K127" s="5" t="str">
        <f>IFERROR(__xludf.DUMMYFUNCTION("GOOGLETRANSLATE(B127, ""en"", ""ur"")"),"چھڑی کے کس حصے سے مارنا غیر قانونی ہے؟")</f>
        <v>چھڑی کے کس حصے سے مارنا غیر قانونی ہے؟</v>
      </c>
      <c r="L127" s="5" t="str">
        <f>IFERROR(__xludf.DUMMYFUNCTION("GOOGLETRANSLATE(C127, ""en"", ""ur"")"),"A) ٹپ، B) درمیانی، C) بٹ اینڈ، D) تمام حصے قانونی ہیں۔")</f>
        <v>A) ٹپ، B) درمیانی، C) بٹ اینڈ، D) تمام حصے قانونی ہیں۔</v>
      </c>
      <c r="M127" s="5" t="str">
        <f>IFERROR(__xludf.DUMMYFUNCTION("GOOGLETRANSLATE(D127, ""en"", ""ur"")"),"D) تمام حصے قانونی ہیں۔")</f>
        <v>D) تمام حصے قانونی ہیں۔</v>
      </c>
      <c r="N127" s="5" t="str">
        <f>IFERROR(__xludf.DUMMYFUNCTION("GOOGLETRANSLATE(E127, ""en"", ""ur"")"),"ایک کھلاڑی قانونی طور پر لکڑی کی سوتی کے کسی بھی حصے سے حملہ کر سکتا ہے۔")</f>
        <v>ایک کھلاڑی قانونی طور پر لکڑی کی سوتی کے کسی بھی حصے سے حملہ کر سکتا ہے۔</v>
      </c>
    </row>
    <row r="128">
      <c r="A128" s="3">
        <v>127.0</v>
      </c>
      <c r="B128" s="4" t="s">
        <v>2217</v>
      </c>
      <c r="C128" s="4" t="s">
        <v>2218</v>
      </c>
      <c r="D128" s="4" t="s">
        <v>2219</v>
      </c>
      <c r="E128" s="4" t="s">
        <v>2220</v>
      </c>
      <c r="J128" s="5" t="str">
        <f>IFERROR(__xludf.DUMMYFUNCTION("GOOGLETRANSLATE(A128, ""en"", ""ur"")"),"127")</f>
        <v>127</v>
      </c>
      <c r="K128" s="5" t="str">
        <f>IFERROR(__xludf.DUMMYFUNCTION("GOOGLETRANSLATE(B128, ""en"", ""ur"")"),"فائٹ روکنے کے لیے ریفری کا کیا حکم ہے؟")</f>
        <v>فائٹ روکنے کے لیے ریفری کا کیا حکم ہے؟</v>
      </c>
      <c r="L128" s="5" t="str">
        <f>IFERROR(__xludf.DUMMYFUNCTION("GOOGLETRANSLATE(C128, ""en"", ""ur"")"),"A) ""رک!"" (رکو!)، ب) ""خاتم!"" (ختم!)، سی) ایک لمبی سیٹی بجا، ڈی) ""باس!"" (بس!)")</f>
        <v>A) "رک!" (رکو!)، ب) "خاتم!" (ختم!)، سی) ایک لمبی سیٹی بجا، ڈی) "باس!" (بس!)</v>
      </c>
      <c r="M128" s="5" t="str">
        <f>IFERROR(__xludf.DUMMYFUNCTION("GOOGLETRANSLATE(D128, ""en"", ""ur"")"),"سی) ایک لمبی سیٹی بجانا")</f>
        <v>سی) ایک لمبی سیٹی بجانا</v>
      </c>
      <c r="N128" s="5" t="str">
        <f>IFERROR(__xludf.DUMMYFUNCTION("GOOGLETRANSLATE(E128, ""en"", ""ur"")"),"ریفری کی سیٹی ایک رسمی میچ میں کارروائی شروع کرنے اور روکنے کا بنیادی ذریعہ ہے۔")</f>
        <v>ریفری کی سیٹی ایک رسمی میچ میں کارروائی شروع کرنے اور روکنے کا بنیادی ذریعہ ہے۔</v>
      </c>
    </row>
    <row r="129">
      <c r="A129" s="3">
        <v>128.0</v>
      </c>
      <c r="B129" s="4" t="s">
        <v>2221</v>
      </c>
      <c r="C129" s="4" t="s">
        <v>2222</v>
      </c>
      <c r="D129" s="4" t="s">
        <v>2223</v>
      </c>
      <c r="E129" s="4" t="s">
        <v>2224</v>
      </c>
      <c r="J129" s="5" t="str">
        <f>IFERROR(__xludf.DUMMYFUNCTION("GOOGLETRANSLATE(A129, ""en"", ""ur"")"),"128")</f>
        <v>128</v>
      </c>
      <c r="K129" s="5" t="str">
        <f>IFERROR(__xludf.DUMMYFUNCTION("GOOGLETRANSLATE(B129, ""en"", ""ur"")"),"بچوں کے لیے گٹکا کی تربیت فائدہ مند ہونے کی بنیادی وجہ کیا ہے؟")</f>
        <v>بچوں کے لیے گٹکا کی تربیت فائدہ مند ہونے کی بنیادی وجہ کیا ہے؟</v>
      </c>
      <c r="L129" s="5" t="str">
        <f>IFERROR(__xludf.DUMMYFUNCTION("GOOGLETRANSLATE(C129, ""en"", ""ur"")"),"A) یہ انہیں جارحانہ ہونا سکھاتا ہے، B) یہ نظم و ضبط، توجہ اور جسمانی تندرستی پیدا کرتا ہے، C) یہ سیکھنا آسان کھیل ہے، D) یہ ضمانت دیتا ہے کہ وہ لڑائیاں جیتیں گے۔")</f>
        <v>A) یہ انہیں جارحانہ ہونا سکھاتا ہے، B) یہ نظم و ضبط، توجہ اور جسمانی تندرستی پیدا کرتا ہے، C) یہ سیکھنا آسان کھیل ہے، D) یہ ضمانت دیتا ہے کہ وہ لڑائیاں جیتیں گے۔</v>
      </c>
      <c r="M129" s="5" t="str">
        <f>IFERROR(__xludf.DUMMYFUNCTION("GOOGLETRANSLATE(D129, ""en"", ""ur"")"),"ب) یہ نظم و ضبط، توجہ اور جسمانی تندرستی پیدا کرتا ہے۔")</f>
        <v>ب) یہ نظم و ضبط، توجہ اور جسمانی تندرستی پیدا کرتا ہے۔</v>
      </c>
      <c r="N129" s="5" t="str">
        <f>IFERROR(__xludf.DUMMYFUNCTION("GOOGLETRANSLATE(E129, ""en"", ""ur"")"),"گٹکا کو نوجوانوں کی سرگرمی کے طور پر کردار، ارتکاز اور ایک صحت مند جسم کی نشوونما کی صلاحیت کے لیے بہت اہمیت دی جاتی ہے۔")</f>
        <v>گٹکا کو نوجوانوں کی سرگرمی کے طور پر کردار، ارتکاز اور ایک صحت مند جسم کی نشوونما کی صلاحیت کے لیے بہت اہمیت دی جاتی ہے۔</v>
      </c>
    </row>
    <row r="130">
      <c r="A130" s="3">
        <v>129.0</v>
      </c>
      <c r="B130" s="4" t="s">
        <v>2225</v>
      </c>
      <c r="C130" s="4" t="s">
        <v>2226</v>
      </c>
      <c r="D130" s="4" t="s">
        <v>2227</v>
      </c>
      <c r="E130" s="4" t="s">
        <v>2228</v>
      </c>
      <c r="J130" s="5" t="str">
        <f>IFERROR(__xludf.DUMMYFUNCTION("GOOGLETRANSLATE(A130, ""en"", ""ur"")"),"129")</f>
        <v>129</v>
      </c>
      <c r="K130" s="5" t="str">
        <f>IFERROR(__xludf.DUMMYFUNCTION("GOOGLETRANSLATE(B130, ""en"", ""ur"")"),"فنکارانہ زمرے میں، ""تخلیق"" سے کیا مراد ہے؟")</f>
        <v>فنکارانہ زمرے میں، "تخلیق" سے کیا مراد ہے؟</v>
      </c>
      <c r="L130" s="5" t="str">
        <f>IFERROR(__xludf.DUMMYFUNCTION("GOOGLETRANSLATE(C130, ""en"", ""ur"")"),"A) نئی، غیر روایتی چالیں بنانا، B) روایتی تکنیکوں کو ایک منفرد امتزاج میں مہارت اور سیال جوڑنا، C) ایسے ہتھیار کا استعمال جس کی پہچان نہ ہو، D) کھلاڑی کا لباس")</f>
        <v>A) نئی، غیر روایتی چالیں بنانا، B) روایتی تکنیکوں کو ایک منفرد امتزاج میں مہارت اور سیال جوڑنا، C) ایسے ہتھیار کا استعمال جس کی پہچان نہ ہو، D) کھلاڑی کا لباس</v>
      </c>
      <c r="M130" s="5" t="str">
        <f>IFERROR(__xludf.DUMMYFUNCTION("GOOGLETRANSLATE(D130, ""en"", ""ur"")"),"ب) ایک منفرد امتزاج میں روایتی تکنیکوں کی مہارت اور سیال کو جوڑنا")</f>
        <v>ب) ایک منفرد امتزاج میں روایتی تکنیکوں کی مہارت اور سیال کو جوڑنا</v>
      </c>
      <c r="N130" s="5" t="str">
        <f>IFERROR(__xludf.DUMMYFUNCTION("GOOGLETRANSLATE(E130, ""en"", ""ur"")"),"تخلیقی حرکتوں کو ایجاد کرنے کے بارے میں نہیں ہے، بلکہ فن کے بنیادی عناصر کو ایک شاندار طریقے سے جوڑ کر اس کی گہری سمجھ کا مظاہرہ کرنا ہے۔")</f>
        <v>تخلیقی حرکتوں کو ایجاد کرنے کے بارے میں نہیں ہے، بلکہ فن کے بنیادی عناصر کو ایک شاندار طریقے سے جوڑ کر اس کی گہری سمجھ کا مظاہرہ کرنا ہے۔</v>
      </c>
    </row>
    <row r="131">
      <c r="A131" s="3">
        <v>130.0</v>
      </c>
      <c r="B131" s="4" t="s">
        <v>2229</v>
      </c>
      <c r="C131" s="4" t="s">
        <v>2230</v>
      </c>
      <c r="D131" s="4" t="s">
        <v>2231</v>
      </c>
      <c r="E131" s="4" t="s">
        <v>2232</v>
      </c>
      <c r="J131" s="5" t="str">
        <f>IFERROR(__xludf.DUMMYFUNCTION("GOOGLETRANSLATE(A131, ""en"", ""ur"")"),"130")</f>
        <v>130</v>
      </c>
      <c r="K131" s="5" t="str">
        <f>IFERROR(__xludf.DUMMYFUNCTION("GOOGLETRANSLATE(B131, ""en"", ""ur"")"),"گٹکا چھڑی اور جاپانی بوکن (لکڑی کی تلوار) کے درمیان بنیادی فرق کیا ہے؟")</f>
        <v>گٹکا چھڑی اور جاپانی بوکن (لکڑی کی تلوار) کے درمیان بنیادی فرق کیا ہے؟</v>
      </c>
      <c r="L131" s="5" t="str">
        <f>IFERROR(__xludf.DUMMYFUNCTION("GOOGLETRANSLATE(C131, ""en"", ""ur"")"),"A) بوکن بھاری ہے، B) گٹکا کی چھڑی سیدھی ہے، جب کہ بوکن کٹانہ کی طرح مڑے ہوئے ہے، C) گٹکا کی چھڑی لمبی ہے، D) کوئی فرق نہیں ہے۔")</f>
        <v>A) بوکن بھاری ہے، B) گٹکا کی چھڑی سیدھی ہے، جب کہ بوکن کٹانہ کی طرح مڑے ہوئے ہے، C) گٹکا کی چھڑی لمبی ہے، D) کوئی فرق نہیں ہے۔</v>
      </c>
      <c r="M131" s="5" t="str">
        <f>IFERROR(__xludf.DUMMYFUNCTION("GOOGLETRANSLATE(D131, ""en"", ""ur"")"),"ب) گٹکا کی چھڑی سیدھی ہے، جب کہ بوکن کٹانا کی طرح مڑے ہوئے ہیں۔")</f>
        <v>ب) گٹکا کی چھڑی سیدھی ہے، جب کہ بوکن کٹانا کی طرح مڑے ہوئے ہیں۔</v>
      </c>
      <c r="N131" s="5" t="str">
        <f>IFERROR(__xludf.DUMMYFUNCTION("GOOGLETRANSLATE(E131, ""en"", ""ur"")"),"بوکن کی شکل جاپانی تلوار کی نقل کے لیے بنائی گئی ہے، جب کہ گٹکا سوتی ایک سیدھی چھڑی ہے جسے تلوار یا کھنڈا کی نقالی کے لیے ڈیزائن کیا گیا ہے۔")</f>
        <v>بوکن کی شکل جاپانی تلوار کی نقل کے لیے بنائی گئی ہے، جب کہ گٹکا سوتی ایک سیدھی چھڑی ہے جسے تلوار یا کھنڈا کی نقالی کے لیے ڈیزائن کیا گیا ہے۔</v>
      </c>
    </row>
    <row r="132">
      <c r="A132" s="3">
        <v>131.0</v>
      </c>
      <c r="B132" s="4" t="s">
        <v>2233</v>
      </c>
      <c r="C132" s="4" t="s">
        <v>2234</v>
      </c>
      <c r="D132" s="4" t="s">
        <v>2235</v>
      </c>
      <c r="E132" s="4" t="s">
        <v>2236</v>
      </c>
      <c r="J132" s="5" t="str">
        <f>IFERROR(__xludf.DUMMYFUNCTION("GOOGLETRANSLATE(A132, ""en"", ""ur"")"),"131")</f>
        <v>131</v>
      </c>
      <c r="K132" s="5" t="str">
        <f>IFERROR(__xludf.DUMMYFUNCTION("GOOGLETRANSLATE(B132, ""en"", ""ur"")"),"ایک کھلاڑی کو صحیح ""کھیل کی روح"" نہ دکھانے پر متنبہ کیا جاتا ہے۔ اس کا کیا مطلب ہے؟")</f>
        <v>ایک کھلاڑی کو صحیح "کھیل کی روح" نہ دکھانے پر متنبہ کیا جاتا ہے۔ اس کا کیا مطلب ہے؟</v>
      </c>
      <c r="L132" s="5" t="str">
        <f>IFERROR(__xludf.DUMMYFUNCTION("GOOGLETRANSLATE(C132, ""en"", ""ur"")"),"A) وہ کافی جارحانہ طور پر نہیں لڑ رہے ہیں، B) وہ عزت یا غیرت کی کمی کے ساتھ لڑ رہے ہیں، C) وہ مسکرا نہیں رہے ہیں، D) وہ بہت خاموش ہیں")</f>
        <v>A) وہ کافی جارحانہ طور پر نہیں لڑ رہے ہیں، B) وہ عزت یا غیرت کی کمی کے ساتھ لڑ رہے ہیں، C) وہ مسکرا نہیں رہے ہیں، D) وہ بہت خاموش ہیں</v>
      </c>
      <c r="M132" s="5" t="str">
        <f>IFERROR(__xludf.DUMMYFUNCTION("GOOGLETRANSLATE(D132, ""en"", ""ur"")"),"ب) وہ عزت یا غیرت کی کمی کے ساتھ لڑ رہے ہیں۔")</f>
        <v>ب) وہ عزت یا غیرت کی کمی کے ساتھ لڑ رہے ہیں۔</v>
      </c>
      <c r="N132" s="5" t="str">
        <f>IFERROR(__xludf.DUMMYFUNCTION("GOOGLETRANSLATE(E132, ""en"", ""ur"")"),"یہ غیر اسپورٹس مین طرز عمل کے لیے جرمانہ ہے جو آرٹ کے اخلاقی اصولوں کی خلاف ورزی کرتا ہے۔")</f>
        <v>یہ غیر اسپورٹس مین طرز عمل کے لیے جرمانہ ہے جو آرٹ کے اخلاقی اصولوں کی خلاف ورزی کرتا ہے۔</v>
      </c>
    </row>
    <row r="133">
      <c r="A133" s="3">
        <v>132.0</v>
      </c>
      <c r="B133" s="4" t="s">
        <v>2237</v>
      </c>
      <c r="C133" s="4" t="s">
        <v>2238</v>
      </c>
      <c r="D133" s="4" t="s">
        <v>2239</v>
      </c>
      <c r="E133" s="4" t="s">
        <v>2240</v>
      </c>
      <c r="J133" s="5" t="str">
        <f>IFERROR(__xludf.DUMMYFUNCTION("GOOGLETRANSLATE(A133, ""en"", ""ur"")"),"132")</f>
        <v>132</v>
      </c>
      <c r="K133" s="5" t="str">
        <f>IFERROR(__xludf.DUMMYFUNCTION("GOOGLETRANSLATE(B133, ""en"", ""ur"")"),"اس کی بنیادی وجہ کیا ہے کہ گراؤنڈ ایک اکھاڑہ کی تربیت کا بنیادی مقام ہے؟")</f>
        <v>اس کی بنیادی وجہ کیا ہے کہ گراؤنڈ ایک اکھاڑہ کی تربیت کا بنیادی مقام ہے؟</v>
      </c>
      <c r="L133" s="5" t="str">
        <f>IFERROR(__xludf.DUMMYFUNCTION("GOOGLETRANSLATE(C133, ""en"", ""ur"")"),"A)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f>
        <v>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v>
      </c>
      <c r="M133" s="5" t="str">
        <f>IFERROR(__xludf.DUMMYFUNCTION("GOOGLETRANSLATE(D133, ""en"", ""ur"")"),"ب) نرم زمین ایک معاف کرنے والی سطح ہے جو گرنے سے ہونے والی چوٹوں کو روکتی ہے اور ٹانگوں کی مضبوطی پیدا کرتی ہے۔")</f>
        <v>ب) نرم زمین ایک معاف کرنے والی سطح ہے جو گرنے سے ہونے والی چوٹوں کو روکتی ہے اور ٹانگوں کی مضبوطی پیدا کرتی ہے۔</v>
      </c>
      <c r="N133" s="5" t="str">
        <f>IFERROR(__xludf.DUMMYFUNCTION("GOOGLETRANSLATE(E133, ""en"", ""ur"")"),"روایتی ریسلنگ پٹ ایک محفوظ اور موثر تربیتی ماحول فراہم کرتا ہے۔")</f>
        <v>روایتی ریسلنگ پٹ ایک محفوظ اور موثر تربیتی ماحول فراہم کرتا ہے۔</v>
      </c>
    </row>
    <row r="134">
      <c r="A134" s="3">
        <v>133.0</v>
      </c>
      <c r="B134" s="4" t="s">
        <v>2241</v>
      </c>
      <c r="C134" s="4" t="s">
        <v>2242</v>
      </c>
      <c r="D134" s="4" t="s">
        <v>2243</v>
      </c>
      <c r="E134" s="4" t="s">
        <v>2244</v>
      </c>
      <c r="J134" s="5" t="str">
        <f>IFERROR(__xludf.DUMMYFUNCTION("GOOGLETRANSLATE(A134, ""en"", ""ur"")"),"133")</f>
        <v>133</v>
      </c>
      <c r="K134" s="5" t="str">
        <f>IFERROR(__xludf.DUMMYFUNCTION("GOOGLETRANSLATE(B134, ""en"", ""ur"")"),"""گٹکا ڈرل"" کیا ہے؟")</f>
        <v>"گٹکا ڈرل" کیا ہے؟</v>
      </c>
      <c r="L134" s="5" t="str">
        <f>IFERROR(__xludf.DUMMYFUNCTION("GOOGLETRANSLATE(C134, ""en"", ""ur"")"),"A) لڑائی کی ایک مخصوص تکنیک، B) میچ کا رسمی آغاز، C) ایک تحریک کو مکمل کرنے کے لیے بار بار تربیتی مشق، D) ٹورنامنٹ کا فائنل راؤنڈ")</f>
        <v>A) لڑائی کی ایک مخصوص تکنیک، B) میچ کا رسمی آغاز، C) ایک تحریک کو مکمل کرنے کے لیے بار بار تربیتی مشق، D) ٹورنامنٹ کا فائنل راؤنڈ</v>
      </c>
      <c r="M134" s="5" t="str">
        <f>IFERROR(__xludf.DUMMYFUNCTION("GOOGLETRANSLATE(D134, ""en"", ""ur"")"),"ج) ایک تحریک کو مکمل کرنے کے لیے ایک بار بار تربیتی مشق")</f>
        <v>ج) ایک تحریک کو مکمل کرنے کے لیے ایک بار بار تربیتی مشق</v>
      </c>
      <c r="N134" s="5" t="str">
        <f>IFERROR(__xludf.DUMMYFUNCTION("GOOGLETRANSLATE(E134, ""en"", ""ur"")"),"کسی بھی مارشل آرٹ کی طرح، مشقیں پٹھوں کی یادداشت کی تعمیر اور تکنیک کو دوسری فطرت بنانے کے لیے ضروری ہیں۔")</f>
        <v>کسی بھی مارشل آرٹ کی طرح، مشقیں پٹھوں کی یادداشت کی تعمیر اور تکنیک کو دوسری فطرت بنانے کے لیے ضروری ہیں۔</v>
      </c>
    </row>
    <row r="135">
      <c r="A135" s="3">
        <v>134.0</v>
      </c>
      <c r="B135" s="4" t="s">
        <v>2245</v>
      </c>
      <c r="C135" s="4" t="s">
        <v>2246</v>
      </c>
      <c r="D135" s="4" t="s">
        <v>2247</v>
      </c>
      <c r="E135" s="4" t="s">
        <v>2248</v>
      </c>
      <c r="J135" s="5" t="str">
        <f>IFERROR(__xludf.DUMMYFUNCTION("GOOGLETRANSLATE(A135, ""en"", ""ur"")"),"134")</f>
        <v>134</v>
      </c>
      <c r="K135" s="5" t="str">
        <f>IFERROR(__xludf.DUMMYFUNCTION("GOOGLETRANSLATE(B135, ""en"", ""ur"")"),"ایک کھلاڑی کو ""طویل رابطے"" کے لیے سزا دی جاتی ہے۔ انہوں نے کیا کیا؟")</f>
        <v>ایک کھلاڑی کو "طویل رابطے" کے لیے سزا دی جاتی ہے۔ انہوں نے کیا کیا؟</v>
      </c>
      <c r="L135" s="5" t="str">
        <f>IFERROR(__xludf.DUMMYFUNCTION("GOOGLETRANSLATE(C135, ""en"", ""ur"")"),"A)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f>
        <v>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v>
      </c>
      <c r="M135" s="5" t="str">
        <f>IFERROR(__xludf.DUMMYFUNCTION("GOOGLETRANSLATE(D135, ""en"", ""ur"")"),"ب) انہوں نے وار کرنے کے بجائے مخالف کو اپنی لاٹھی سے دھکیل دیا۔")</f>
        <v>ب) انہوں نے وار کرنے کے بجائے مخالف کو اپنی لاٹھی سے دھکیل دیا۔</v>
      </c>
      <c r="N135" s="5" t="str">
        <f>IFERROR(__xludf.DUMMYFUNCTION("GOOGLETRANSLATE(E135, ""en"", ""ur"")"),"تمام سٹرائیکس صاف ""ٹچز"" ہونی چاہئیں۔ مخالف کو دھکیلنے، دبانے یا غیر قانونی طور پر قابو کرنے کے لیے چھڑی کا استعمال غلط ہے۔")</f>
        <v>تمام سٹرائیکس صاف "ٹچز" ہونی چاہئیں۔ مخالف کو دھکیلنے، دبانے یا غیر قانونی طور پر قابو کرنے کے لیے چھڑی کا استعمال غلط ہے۔</v>
      </c>
    </row>
    <row r="136">
      <c r="A136" s="3">
        <v>135.0</v>
      </c>
      <c r="B136" s="4" t="s">
        <v>2249</v>
      </c>
      <c r="C136" s="4" t="s">
        <v>2250</v>
      </c>
      <c r="D136" s="4" t="s">
        <v>2251</v>
      </c>
      <c r="E136" s="4" t="s">
        <v>2252</v>
      </c>
      <c r="J136" s="5" t="str">
        <f>IFERROR(__xludf.DUMMYFUNCTION("GOOGLETRANSLATE(A136, ""en"", ""ur"")"),"135")</f>
        <v>135</v>
      </c>
      <c r="K136" s="5" t="str">
        <f>IFERROR(__xludf.DUMMYFUNCTION("GOOGLETRANSLATE(B136, ""en"", ""ur"")"),"گٹکا شیلڈ (فاری) کے لیے سب سے اہم معیار کیا ہے؟")</f>
        <v>گٹکا شیلڈ (فاری) کے لیے سب سے اہم معیار کیا ہے؟</v>
      </c>
      <c r="L136" s="5" t="str">
        <f>IFERROR(__xludf.DUMMYFUNCTION("GOOGLETRANSLATE(C136, ""en"", ""ur"")"),"A) یہ بڑا ہونا چاہیے، B) یہ دھات سے بنا ہونا چاہیے، C) یہ ہلکا اور مضبوط ہونا چاہیے، D) اسے سجایا جانا چاہیے۔")</f>
        <v>A) یہ بڑا ہونا چاہیے، B) یہ دھات سے بنا ہونا چاہیے، C) یہ ہلکا اور مضبوط ہونا چاہیے، D) اسے سجایا جانا چاہیے۔</v>
      </c>
      <c r="M136" s="5" t="str">
        <f>IFERROR(__xludf.DUMMYFUNCTION("GOOGLETRANSLATE(D136, ""en"", ""ur"")"),"ج) یہ ہلکا پھلکا اور مضبوط ہونا چاہیے۔")</f>
        <v>ج) یہ ہلکا پھلکا اور مضبوط ہونا چاہیے۔</v>
      </c>
      <c r="N136" s="5" t="str">
        <f>IFERROR(__xludf.DUMMYFUNCTION("GOOGLETRANSLATE(E136, ""en"", ""ur"")"),"شیلڈ کو اتنا ہلکا ہونا چاہیے کہ اسے بلاک کرنے کے لیے تیزی سے منتقل کیا جا سکے، لیکن بار بار ہونے والے اثرات کو برداشت کرنے کے لیے کافی مضبوط ہو۔")</f>
        <v>شیلڈ کو اتنا ہلکا ہونا چاہیے کہ اسے بلاک کرنے کے لیے تیزی سے منتقل کیا جا سکے، لیکن بار بار ہونے والے اثرات کو برداشت کرنے کے لیے کافی مضبوط ہو۔</v>
      </c>
    </row>
    <row r="137">
      <c r="A137" s="3">
        <v>136.0</v>
      </c>
      <c r="B137" s="4" t="s">
        <v>2253</v>
      </c>
      <c r="C137" s="4" t="s">
        <v>2254</v>
      </c>
      <c r="D137" s="4" t="s">
        <v>2255</v>
      </c>
      <c r="E137" s="4" t="s">
        <v>2256</v>
      </c>
      <c r="J137" s="5" t="str">
        <f>IFERROR(__xludf.DUMMYFUNCTION("GOOGLETRANSLATE(A137, ""en"", ""ur"")"),"136")</f>
        <v>136</v>
      </c>
      <c r="K137" s="5" t="str">
        <f>IFERROR(__xludf.DUMMYFUNCTION("GOOGLETRANSLATE(B137, ""en"", ""ur"")"),"ایک مظاہرے میں، ایک کھلاڑی لیٹا ہے اور اس کے پیٹ پر ایک ناریل ہے جو دوسرے کھلاڑی کے ہتھیار سے ٹوٹ گیا ہے۔ یہ کیا ظاہر کرتا ہے؟")</f>
        <v>ایک مظاہرے میں، ایک کھلاڑی لیٹا ہے اور اس کے پیٹ پر ایک ناریل ہے جو دوسرے کھلاڑی کے ہتھیار سے ٹوٹ گیا ہے۔ یہ کیا ظاہر کرتا ہے؟</v>
      </c>
      <c r="L137" s="5" t="str">
        <f>IFERROR(__xludf.DUMMYFUNCTION("GOOGLETRANSLATE(C137, ""en"", ""ur"")"),"A)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f>
        <v>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v>
      </c>
      <c r="M137" s="5" t="str">
        <f>IFERROR(__xludf.DUMMYFUNCTION("GOOGLETRANSLATE(D137, ""en"", ""ur"")"),"C) پریکٹیشنر کی اپنے جسم کو کنٹرول کرنے اور سانس لینے کی تکنیک کے ذریعے اثر کو جذب کرنے کی صلاحیت")</f>
        <v>C) پریکٹیشنر کی اپنے جسم کو کنٹرول کرنے اور سانس لینے کی تکنیک کے ذریعے اثر کو جذب کرنے کی صلاحیت</v>
      </c>
      <c r="N137" s="5" t="str">
        <f>IFERROR(__xludf.DUMMYFUNCTION("GOOGLETRANSLATE(E137, ""en"", ""ur"")"),"یہ اعلی درجے کی تربیت کے ذریعے تیار کردہ اندرونی طاقت اور جسمانی کنٹرول کا ایک مظاہرہ ہے، جیسا کہ دوسرے فنون میں بورڈ توڑنا ہے۔")</f>
        <v>یہ اعلی درجے کی تربیت کے ذریعے تیار کردہ اندرونی طاقت اور جسمانی کنٹرول کا ایک مظاہرہ ہے، جیسا کہ دوسرے فنون میں بورڈ توڑنا ہے۔</v>
      </c>
    </row>
    <row r="138">
      <c r="A138" s="3">
        <v>137.0</v>
      </c>
      <c r="B138" s="4" t="s">
        <v>2257</v>
      </c>
      <c r="C138" s="4" t="s">
        <v>2258</v>
      </c>
      <c r="D138" s="4" t="s">
        <v>2259</v>
      </c>
      <c r="E138" s="4" t="s">
        <v>2260</v>
      </c>
      <c r="J138" s="5" t="str">
        <f>IFERROR(__xludf.DUMMYFUNCTION("GOOGLETRANSLATE(A138, ""en"", ""ur"")"),"137")</f>
        <v>137</v>
      </c>
      <c r="K138" s="5" t="str">
        <f>IFERROR(__xludf.DUMMYFUNCTION("GOOGLETRANSLATE(B138, ""en"", ""ur"")"),"جدید کھیل گٹکا میں قوانین کے سختی سے نفاذ کی بنیادی وجہ کیا ہے؟")</f>
        <v>جدید کھیل گٹکا میں قوانین کے سختی سے نفاذ کی بنیادی وجہ کیا ہے؟</v>
      </c>
      <c r="L138" s="5" t="str">
        <f>IFERROR(__xludf.DUMMYFUNCTION("GOOGLETRANSLATE(C138, ""en"", ""ur"")"),"A) کھیل کو مزید مشکل بنانے کے لیے، B) حریفوں کی حفاظت اور مقابلے کی شفافیت کو یقینی بنانے کے لیے، C) اسے دوسرے مارشل آرٹس جیسا بنانا، D) اسپانسرز کو مطمئن کرنا")</f>
        <v>A) کھیل کو مزید مشکل بنانے کے لیے، B) حریفوں کی حفاظت اور مقابلے کی شفافیت کو یقینی بنانے کے لیے، C) اسے دوسرے مارشل آرٹس جیسا بنانا، D) اسپانسرز کو مطمئن کرنا</v>
      </c>
      <c r="M138" s="5" t="str">
        <f>IFERROR(__xludf.DUMMYFUNCTION("GOOGLETRANSLATE(D138, ""en"", ""ur"")"),"ب) حریفوں کی حفاظت اور مقابلے کی منصفانہ پن کو یقینی بنانا")</f>
        <v>ب) حریفوں کی حفاظت اور مقابلے کی منصفانہ پن کو یقینی بنانا</v>
      </c>
      <c r="N138" s="5" t="str">
        <f>IFERROR(__xludf.DUMMYFUNCTION("GOOGLETRANSLATE(E138, ""en"", ""ur"")"),"روایتی مارشل آرٹ کو ایک محفوظ اور جائز جدید کھیل میں تبدیل کرنے کے لیے ایک واضح اور نافذ کردہ اصول کا سیٹ ضروری ہے۔")</f>
        <v>روایتی مارشل آرٹ کو ایک محفوظ اور جائز جدید کھیل میں تبدیل کرنے کے لیے ایک واضح اور نافذ کردہ اصول کا سیٹ ضروری ہے۔</v>
      </c>
    </row>
    <row r="139">
      <c r="A139" s="3">
        <v>138.0</v>
      </c>
      <c r="B139" s="4" t="s">
        <v>2261</v>
      </c>
      <c r="C139" s="4" t="s">
        <v>2262</v>
      </c>
      <c r="D139" s="4" t="s">
        <v>2263</v>
      </c>
      <c r="E139" s="4" t="s">
        <v>2264</v>
      </c>
      <c r="J139" s="5" t="str">
        <f>IFERROR(__xludf.DUMMYFUNCTION("GOOGLETRANSLATE(A139, ""en"", ""ur"")"),"138")</f>
        <v>138</v>
      </c>
      <c r="K139" s="5" t="str">
        <f>IFERROR(__xludf.DUMMYFUNCTION("GOOGLETRANSLATE(B139, ""en"", ""ur"")"),"ایک کھلاڑی کے بارے میں کہا جاتا ہے کہ وہ اچھا ""بہاؤ"" (روانی) رکھتا ہے۔ اس کا کیا مطلب ہے؟")</f>
        <v>ایک کھلاڑی کے بارے میں کہا جاتا ہے کہ وہ اچھا "بہاؤ" (روانی) رکھتا ہے۔ اس کا کیا مطلب ہے؟</v>
      </c>
      <c r="L139" s="5" t="str">
        <f>IFERROR(__xludf.DUMMYFUNCTION("GOOGLETRANSLATE(C139, ""en"", ""ur"")"),"A) وہ بہت تیز ہیں، B) ان کی حرکتیں ہموار، مسلسل اور اچھی طرح سے جڑی ہوئی ہیں، C) وہ بہت جارحانہ ہیں، D) وہ دفاع کرنے میں اچھے ہیں")</f>
        <v>A) وہ بہت تیز ہیں، B) ان کی حرکتیں ہموار، مسلسل اور اچھی طرح سے جڑی ہوئی ہیں، C) وہ بہت جارحانہ ہیں، D) وہ دفاع کرنے میں اچھے ہیں</v>
      </c>
      <c r="M139" s="5" t="str">
        <f>IFERROR(__xludf.DUMMYFUNCTION("GOOGLETRANSLATE(D139, ""en"", ""ur"")"),"ب) ان کی حرکتیں ہموار، مسلسل اور اچھی طرح سے جڑی ہوئی ہیں۔")</f>
        <v>ب) ان کی حرکتیں ہموار، مسلسل اور اچھی طرح سے جڑی ہوئی ہیں۔</v>
      </c>
      <c r="N139" s="5" t="str">
        <f>IFERROR(__xludf.DUMMYFUNCTION("GOOGLETRANSLATE(E139, ""en"", ""ur"")"),"فنکارانہ گٹکا میں ""بہاؤ"" ایک کلیدی خوبی ہے، جہاں حرکات کے درمیان تبدیلی اتنی ہی اہم ہوتی ہے جتنی کہ خود تحریکیں۔")</f>
        <v>فنکارانہ گٹکا میں "بہاؤ" ایک کلیدی خوبی ہے، جہاں حرکات کے درمیان تبدیلی اتنی ہی اہم ہوتی ہے جتنی کہ خود تحریکیں۔</v>
      </c>
    </row>
    <row r="140">
      <c r="A140" s="3">
        <v>139.0</v>
      </c>
      <c r="B140" s="4" t="s">
        <v>2265</v>
      </c>
      <c r="C140" s="4" t="s">
        <v>2266</v>
      </c>
      <c r="D140" s="4" t="s">
        <v>2267</v>
      </c>
      <c r="E140" s="4" t="s">
        <v>2268</v>
      </c>
      <c r="J140" s="5" t="str">
        <f>IFERROR(__xludf.DUMMYFUNCTION("GOOGLETRANSLATE(A140, ""en"", ""ur"")"),"139")</f>
        <v>139</v>
      </c>
      <c r="K140" s="5" t="str">
        <f>IFERROR(__xludf.DUMMYFUNCTION("GOOGLETRANSLATE(B140, ""en"", ""ur"")"),"ان میں سے کون سا ""شاستر ودیا"" فلسفہ کا اہم حصہ ہے؟")</f>
        <v>ان میں سے کون سا "شاستر ودیا" فلسفہ کا اہم حصہ ہے؟</v>
      </c>
      <c r="L140" s="5" t="str">
        <f>IFERROR(__xludf.DUMMYFUNCTION("GOOGLETRANSLATE(C140, ""en"", ""ur"")"),"A) ہتھیار انا کا آلہ ہے، B) ہتھیار خود کی توسیع ہے اور اس کا احترام کیا جانا چاہئے، C) ہتھیار صرف حملے کے لئے استعمال کیا جانا چاہئے، D) ہتھیار ہاتھ سے کم اہم ہے")</f>
        <v>A) ہتھیار انا کا آلہ ہے، B) ہتھیار خود کی توسیع ہے اور اس کا احترام کیا جانا چاہئے، C) ہتھیار صرف حملے کے لئے استعمال کیا جانا چاہئے، D) ہتھیار ہاتھ سے کم اہم ہے</v>
      </c>
      <c r="M140" s="5" t="str">
        <f>IFERROR(__xludf.DUMMYFUNCTION("GOOGLETRANSLATE(D140, ""en"", ""ur"")"),"ب) ہتھیار خود کی توسیع ہے اور اس کا احترام کیا جانا چاہئے۔")</f>
        <v>ب) ہتھیار خود کی توسیع ہے اور اس کا احترام کیا جانا چاہئے۔</v>
      </c>
      <c r="N140" s="5" t="str">
        <f>IFERROR(__xludf.DUMMYFUNCTION("GOOGLETRANSLATE(E140, ""en"", ""ur"")"),"یہ اصول سکھاتا ہے کہ پریکٹیشنر اور ان کا ہتھیار ایک ہیں، جس کے لیے احترام اور ذمہ داری کے گہرے احساس کی ضرورت ہوتی ہے۔")</f>
        <v>یہ اصول سکھاتا ہے کہ پریکٹیشنر اور ان کا ہتھیار ایک ہیں، جس کے لیے احترام اور ذمہ داری کے گہرے احساس کی ضرورت ہوتی ہے۔</v>
      </c>
    </row>
    <row r="141">
      <c r="A141" s="3">
        <v>140.0</v>
      </c>
      <c r="B141" s="4" t="s">
        <v>2269</v>
      </c>
      <c r="C141" s="4" t="s">
        <v>2270</v>
      </c>
      <c r="D141" s="4" t="s">
        <v>2271</v>
      </c>
      <c r="E141" s="4" t="s">
        <v>2272</v>
      </c>
      <c r="J141" s="5" t="str">
        <f>IFERROR(__xludf.DUMMYFUNCTION("GOOGLETRANSLATE(A141, ""en"", ""ur"")"),"140")</f>
        <v>140</v>
      </c>
      <c r="K141" s="5" t="str">
        <f>IFERROR(__xludf.DUMMYFUNCTION("GOOGLETRANSLATE(B141, ""en"", ""ur"")"),"اگر کوئی کھلاڑی غلطی سے اپنے ہی ہتھیار سے زخمی ہو جائے (مثلاً، اپنی ہی ٹانگ کو مارنا) تو ریفری کا کیا عمل ہے؟")</f>
        <v>اگر کوئی کھلاڑی غلطی سے اپنے ہی ہتھیار سے زخمی ہو جائے (مثلاً، اپنی ہی ٹانگ کو مارنا) تو ریفری کا کیا عمل ہے؟</v>
      </c>
      <c r="L141" s="5" t="str">
        <f>IFERROR(__xludf.DUMMYFUNCTION("GOOGLETRANSLATE(C141, ""en"", ""ur"")"),"A)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f>
        <v>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v>
      </c>
      <c r="M141" s="5" t="str">
        <f>IFERROR(__xludf.DUMMYFUNCTION("GOOGLETRANSLATE(D141, ""en"", ""ur"")"),"ب) میچ کو طبی جانچ کے لیے روک دیا گیا ہے۔ کوئی پوائنٹس نہیں دیئے جاتے")</f>
        <v>ب) میچ کو طبی جانچ کے لیے روک دیا گیا ہے۔ کوئی پوائنٹس نہیں دیئے جاتے</v>
      </c>
      <c r="N141" s="5" t="str">
        <f>IFERROR(__xludf.DUMMYFUNCTION("GOOGLETRANSLATE(E141, ""en"", ""ur"")"),"یہ ایک حادثہ سمجھا جاتا ہے، ایک فاؤل نہیں. بنیادی تشویش کھلاڑی کی حفاظت ہے، اس لیے میچ روک دیا گیا ہے۔")</f>
        <v>یہ ایک حادثہ سمجھا جاتا ہے، ایک فاؤل نہیں. بنیادی تشویش کھلاڑی کی حفاظت ہے، اس لیے میچ روک دیا گیا ہے۔</v>
      </c>
    </row>
    <row r="142">
      <c r="A142" s="3">
        <v>141.0</v>
      </c>
      <c r="B142" s="4" t="s">
        <v>2273</v>
      </c>
      <c r="C142" s="4" t="s">
        <v>2274</v>
      </c>
      <c r="D142" s="4" t="s">
        <v>2275</v>
      </c>
      <c r="E142" s="4" t="s">
        <v>2276</v>
      </c>
      <c r="J142" s="5" t="str">
        <f>IFERROR(__xludf.DUMMYFUNCTION("GOOGLETRANSLATE(A142, ""en"", ""ur"")"),"141")</f>
        <v>141</v>
      </c>
      <c r="K142" s="5" t="str">
        <f>IFERROR(__xludf.DUMMYFUNCTION("GOOGLETRANSLATE(B142, ""en"", ""ur"")"),"بنیادی وجہ کیا ہے کہ گٹکا پریکٹیشنرز اکثر پریڈ اور عوامی جلوسوں میں پرفارم کرتے ہیں؟")</f>
        <v>بنیادی وجہ کیا ہے کہ گٹکا پریکٹیشنرز اکثر پریڈ اور عوامی جلوسوں میں پرفارم کرتے ہیں؟</v>
      </c>
      <c r="L142" s="5" t="str">
        <f>IFERROR(__xludf.DUMMYFUNCTION("GOOGLETRANSLATE(C142, ""en"", ""ur"")"),"A) چندہ مانگنا، B) کمیونٹی کی طاقت، نظم و ضبط اور ثقافتی ورثے کو ظاہر کرنے کا یہ ایک روایتی طریقہ ہے، C) نئے طلباء کو بھرتی کرنا، D) یہ احتجاج کی ایک شکل ہے۔")</f>
        <v>A) چندہ مانگنا، B) کمیونٹی کی طاقت، نظم و ضبط اور ثقافتی ورثے کو ظاہر کرنے کا یہ ایک روایتی طریقہ ہے، C) نئے طلباء کو بھرتی کرنا، D) یہ احتجاج کی ایک شکل ہے۔</v>
      </c>
      <c r="M142" s="5" t="str">
        <f>IFERROR(__xludf.DUMMYFUNCTION("GOOGLETRANSLATE(D142, ""en"", ""ur"")"),"ب) یہ کمیونٹی کی طاقت، نظم و ضبط اور ثقافتی ورثے کو ظاہر کرنے کا ایک روایتی طریقہ ہے۔")</f>
        <v>ب) یہ کمیونٹی کی طاقت، نظم و ضبط اور ثقافتی ورثے کو ظاہر کرنے کا ایک روایتی طریقہ ہے۔</v>
      </c>
      <c r="N142" s="5" t="str">
        <f>IFERROR(__xludf.DUMMYFUNCTION("GOOGLETRANSLATE(E142, ""en"", ""ur"")"),"عوامی پرفارمنس سکھ ثقافتی اور مذہبی تقریبات کا ایک متحرک اور لازمی حصہ ہیں۔")</f>
        <v>عوامی پرفارمنس سکھ ثقافتی اور مذہبی تقریبات کا ایک متحرک اور لازمی حصہ ہیں۔</v>
      </c>
    </row>
    <row r="143">
      <c r="A143" s="3">
        <v>142.0</v>
      </c>
      <c r="B143" s="4" t="s">
        <v>2277</v>
      </c>
      <c r="C143" s="4" t="s">
        <v>2278</v>
      </c>
      <c r="D143" s="4" t="s">
        <v>2279</v>
      </c>
      <c r="E143" s="4" t="s">
        <v>2280</v>
      </c>
      <c r="J143" s="5" t="str">
        <f>IFERROR(__xludf.DUMMYFUNCTION("GOOGLETRANSLATE(A143, ""en"", ""ur"")"),"142")</f>
        <v>142</v>
      </c>
      <c r="K143" s="5" t="str">
        <f>IFERROR(__xludf.DUMMYFUNCTION("GOOGLETRANSLATE(B143, ""en"", ""ur"")"),"کامیاب بلاک میں سب سے اہم عنصر کیا ہے؟")</f>
        <v>کامیاب بلاک میں سب سے اہم عنصر کیا ہے؟</v>
      </c>
      <c r="L143" s="5" t="str">
        <f>IFERROR(__xludf.DUMMYFUNCTION("GOOGLETRANSLATE(C143, ""en"", ""ur"")"),"A) بلاک کی طاقت، B) ڈھال کا سائز، C) وقت اور زاویہ، D) ہتھیار کا مواد")</f>
        <v>A) بلاک کی طاقت، B) ڈھال کا سائز، C) وقت اور زاویہ، D) ہتھیار کا مواد</v>
      </c>
      <c r="M143" s="5" t="str">
        <f>IFERROR(__xludf.DUMMYFUNCTION("GOOGLETRANSLATE(D143, ""en"", ""ur"")"),"سی) ٹائمنگ اور زاویہ")</f>
        <v>سی) ٹائمنگ اور زاویہ</v>
      </c>
      <c r="N143" s="5" t="str">
        <f>IFERROR(__xludf.DUMMYFUNCTION("GOOGLETRANSLATE(E143, ""en"", ""ur"")"),"ایک مناسب وقت والا بلاک جو حملے کو درست زاویہ سے پورا کرتا ہے، کم سے کم کوشش کے ساتھ سب سے زیادہ طاقتور اسٹرائیک کو بھی ہٹا سکتا ہے۔")</f>
        <v>ایک مناسب وقت والا بلاک جو حملے کو درست زاویہ سے پورا کرتا ہے، کم سے کم کوشش کے ساتھ سب سے زیادہ طاقتور اسٹرائیک کو بھی ہٹا سکتا ہے۔</v>
      </c>
    </row>
    <row r="144">
      <c r="A144" s="3">
        <v>143.0</v>
      </c>
      <c r="B144" s="4" t="s">
        <v>2281</v>
      </c>
      <c r="C144" s="4" t="s">
        <v>2282</v>
      </c>
      <c r="D144" s="4" t="s">
        <v>2283</v>
      </c>
      <c r="E144" s="4" t="s">
        <v>2284</v>
      </c>
      <c r="J144" s="5" t="str">
        <f>IFERROR(__xludf.DUMMYFUNCTION("GOOGLETRANSLATE(A144, ""en"", ""ur"")"),"143")</f>
        <v>143</v>
      </c>
      <c r="K144" s="5" t="str">
        <f>IFERROR(__xludf.DUMMYFUNCTION("GOOGLETRANSLATE(B144, ""en"", ""ur"")"),"ایک کھلاڑی روایتی بانے کے بجائے جدید ٹریک سوٹ پہنے ہوئے ہے۔ کیا رسمی مقابلے میں اس کی اجازت ہے؟")</f>
        <v>ایک کھلاڑی روایتی بانے کے بجائے جدید ٹریک سوٹ پہنے ہوئے ہے۔ کیا رسمی مقابلے میں اس کی اجازت ہے؟</v>
      </c>
      <c r="L144" s="5" t="str">
        <f>IFERROR(__xludf.DUMMYFUNCTION("GOOGLETRANSLATE(C144, ""en"", ""ur"")"),"A) نہیں، روایتی لباس لازمی ہے، B) ہاں، اس کی اجازت ہے، C) صرف اس صورت میں جب ٹریک سوٹ ٹیم کا رنگ ہو، D) ہاں، لیکن غلط یونیفارم کے لیے پوائنٹس کاٹے جائیں گے۔")</f>
        <v>A) نہیں، روایتی لباس لازمی ہے، B) ہاں، اس کی اجازت ہے، C) صرف اس صورت میں جب ٹریک سوٹ ٹیم کا رنگ ہو، D) ہاں، لیکن غلط یونیفارم کے لیے پوائنٹس کاٹے جائیں گے۔</v>
      </c>
      <c r="M144" s="5" t="str">
        <f>IFERROR(__xludf.DUMMYFUNCTION("GOOGLETRANSLATE(D144, ""en"", ""ur"")"),"ج) صرف اس صورت میں جب ٹریک سوٹ ٹیم کا رنگ ہو۔")</f>
        <v>ج) صرف اس صورت میں جب ٹریک سوٹ ٹیم کا رنگ ہو۔</v>
      </c>
      <c r="N144" s="5" t="str">
        <f>IFERROR(__xludf.DUMMYFUNCTION("GOOGLETRANSLATE(E144, ""en"", ""ur"")"),"جدید کھیل گٹکا میں، ٹیمیں اکثر پیشہ ورانہ شکل کے لیے معیاری ٹریک سوٹ یا یونیفارم پہنتی ہیں، اور قوانین کے مطابق اس کی اجازت ہے۔")</f>
        <v>جدید کھیل گٹکا میں، ٹیمیں اکثر پیشہ ورانہ شکل کے لیے معیاری ٹریک سوٹ یا یونیفارم پہنتی ہیں، اور قوانین کے مطابق اس کی اجازت ہے۔</v>
      </c>
    </row>
    <row r="145">
      <c r="A145" s="3">
        <v>144.0</v>
      </c>
      <c r="B145" s="4" t="s">
        <v>2285</v>
      </c>
      <c r="C145" s="4" t="s">
        <v>2286</v>
      </c>
      <c r="D145" s="4" t="s">
        <v>2287</v>
      </c>
      <c r="E145" s="4" t="s">
        <v>2288</v>
      </c>
      <c r="J145" s="5" t="str">
        <f>IFERROR(__xludf.DUMMYFUNCTION("GOOGLETRANSLATE(A145, ""en"", ""ur"")"),"144")</f>
        <v>144</v>
      </c>
      <c r="K145" s="5" t="str">
        <f>IFERROR(__xludf.DUMMYFUNCTION("GOOGLETRANSLATE(B145, ""en"", ""ur"")"),"گٹکا کے ماہر کے لیے فن کی تاریخ کا مطالعہ کیوں ضروری ہے؟")</f>
        <v>گٹکا کے ماہر کے لیے فن کی تاریخ کا مطالعہ کیوں ضروری ہے؟</v>
      </c>
      <c r="L145" s="5" t="str">
        <f>IFERROR(__xludf.DUMMYFUNCTION("GOOGLETRANSLATE(C145, ""en"", ""ur"")"),"A) یہ اہم نہیں ہے، B) تحریکوں کے پیچھے فلسفیانہ اور روحانی تناظر کو سمجھنا، C) گریڈنگ کا امتحان پاس کرنا، D) دوسرے کھلاڑیوں سے بات کرنے کے قابل ہونا")</f>
        <v>A) یہ اہم نہیں ہے، B) تحریکوں کے پیچھے فلسفیانہ اور روحانی تناظر کو سمجھنا، C) گریڈنگ کا امتحان پاس کرنا، D) دوسرے کھلاڑیوں سے بات کرنے کے قابل ہونا</v>
      </c>
      <c r="M145" s="5" t="str">
        <f>IFERROR(__xludf.DUMMYFUNCTION("GOOGLETRANSLATE(D145, ""en"", ""ur"")"),"ب) تحریکوں کے پس پردہ فلسفیانہ اور روحانی تناظر کو سمجھنا")</f>
        <v>ب) تحریکوں کے پس پردہ فلسفیانہ اور روحانی تناظر کو سمجھنا</v>
      </c>
      <c r="N145" s="5" t="str">
        <f>IFERROR(__xludf.DUMMYFUNCTION("GOOGLETRANSLATE(E145, ""en"", ""ur"")"),"فن کی تخلیق کے پیچھے ""کیوں"" کو سمجھنا جسمانی مشق کو گہرا معنی دیتا ہے۔")</f>
        <v>فن کی تخلیق کے پیچھے "کیوں" کو سمجھنا جسمانی مشق کو گہرا معنی دیتا ہے۔</v>
      </c>
    </row>
    <row r="146">
      <c r="A146" s="3">
        <v>145.0</v>
      </c>
      <c r="B146" s="4" t="s">
        <v>2289</v>
      </c>
      <c r="C146" s="4" t="s">
        <v>2290</v>
      </c>
      <c r="D146" s="4" t="s">
        <v>172</v>
      </c>
      <c r="E146" s="4" t="s">
        <v>2291</v>
      </c>
      <c r="J146" s="5" t="str">
        <f>IFERROR(__xludf.DUMMYFUNCTION("GOOGLETRANSLATE(A146, ""en"", ""ur"")"),"145")</f>
        <v>145</v>
      </c>
      <c r="K146" s="5" t="str">
        <f>IFERROR(__xludf.DUMMYFUNCTION("GOOGLETRANSLATE(B146, ""en"", ""ur"")"),"گٹکا ""اسٹک"" اور آئرش ""شیللاگ"" کے درمیان بنیادی فرق کیا ہے؟")</f>
        <v>گٹکا "اسٹک" اور آئرش "شیللاگ" کے درمیان بنیادی فرق کیا ہے؟</v>
      </c>
      <c r="L146" s="5" t="str">
        <f>IFERROR(__xludf.DUMMYFUNCTION("GOOGLETRANSLATE(C146, ""en"", ""ur"")"),"A)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f>
        <v>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v>
      </c>
      <c r="M146" s="5" t="str">
        <f>IFERROR(__xludf.DUMMYFUNCTION("GOOGLETRANSLATE(D146, ""en"", ""ur"")"),"D) B اور C دونوں")</f>
        <v>D) B اور C دونوں</v>
      </c>
      <c r="N146" s="5" t="str">
        <f>IFERROR(__xludf.DUMMYFUNCTION("GOOGLETRANSLATE(E146, ""en"", ""ur"")"),"اگرچہ یہ دونوں روایتی اسٹک فائٹنگ کی شکلیں ہیں، لیکن ہتھیار اور تکنیک بالکل الگ الگ ہیں۔")</f>
        <v>اگرچہ یہ دونوں روایتی اسٹک فائٹنگ کی شکلیں ہیں، لیکن ہتھیار اور تکنیک بالکل الگ الگ ہیں۔</v>
      </c>
    </row>
    <row r="147">
      <c r="A147" s="3">
        <v>146.0</v>
      </c>
      <c r="B147" s="4" t="s">
        <v>2292</v>
      </c>
      <c r="C147" s="4" t="s">
        <v>2293</v>
      </c>
      <c r="D147" s="4" t="s">
        <v>361</v>
      </c>
      <c r="E147" s="4" t="s">
        <v>2294</v>
      </c>
      <c r="J147" s="5" t="str">
        <f>IFERROR(__xludf.DUMMYFUNCTION("GOOGLETRANSLATE(A147, ""en"", ""ur"")"),"146")</f>
        <v>146</v>
      </c>
      <c r="K147" s="5" t="str">
        <f>IFERROR(__xludf.DUMMYFUNCTION("GOOGLETRANSLATE(B147, ""en"", ""ur"")"),"ایک کھلاڑی کو مخالف سے ""پیچھے موڑنے"" پر سزا دی جاتی ہے۔ یہ فضول کیوں ہے؟")</f>
        <v>ایک کھلاڑی کو مخالف سے "پیچھے موڑنے" پر سزا دی جاتی ہے۔ یہ فضول کیوں ہے؟</v>
      </c>
      <c r="L147" s="5" t="str">
        <f>IFERROR(__xludf.DUMMYFUNCTION("GOOGLETRANSLATE(C147, ""en"", ""ur"")"),"A) اسے بے عزتی اور بزدلانہ سمجھا جاتا ہے، B) یہ ایک غیر محفوظ، غیر جنگی پوزیشن ہے، C) یہ مخالف کے لیے قانونی ہدف پر حملہ کرنا ناممکن بنا دیتا ہے، D) مندرجہ بالا سبھی")</f>
        <v>A) اسے بے عزتی اور بزدلانہ سمجھا جاتا ہے، B) یہ ایک غیر محفوظ، غیر جنگی پوزیشن ہے، C) یہ مخالف کے لیے قانونی ہدف پر حملہ کرنا ناممکن بنا دیتا ہے، D) مندرجہ بالا سبھی</v>
      </c>
      <c r="M147" s="5" t="str">
        <f>IFERROR(__xludf.DUMMYFUNCTION("GOOGLETRANSLATE(D147, ""en"", ""ur"")"),"D) مذکورہ بالا تمام")</f>
        <v>D) مذکورہ بالا تمام</v>
      </c>
      <c r="N147" s="5" t="str">
        <f>IFERROR(__xludf.DUMMYFUNCTION("GOOGLETRANSLATE(E147, ""en"", ""ur"")"),"ایک کھلاڑی کو ہمیشہ اپنے مخالف کا سامنا کرنا چاہیے اور مشغول ہونے کے لیے تیار رہنا چاہیے۔ منہ موڑنا جنگی اصولوں اور روح کی سنگین خلاف ورزی ہے۔")</f>
        <v>ایک کھلاڑی کو ہمیشہ اپنے مخالف کا سامنا کرنا چاہیے اور مشغول ہونے کے لیے تیار رہنا چاہیے۔ منہ موڑنا جنگی اصولوں اور روح کی سنگین خلاف ورزی ہے۔</v>
      </c>
    </row>
    <row r="148">
      <c r="A148" s="3">
        <v>147.0</v>
      </c>
      <c r="B148" s="4" t="s">
        <v>2295</v>
      </c>
      <c r="C148" s="4" t="s">
        <v>2296</v>
      </c>
      <c r="D148" s="4" t="s">
        <v>2297</v>
      </c>
      <c r="E148" s="4" t="s">
        <v>2298</v>
      </c>
      <c r="J148" s="5" t="str">
        <f>IFERROR(__xludf.DUMMYFUNCTION("GOOGLETRANSLATE(A148, ""en"", ""ur"")"),"147")</f>
        <v>147</v>
      </c>
      <c r="K148" s="5" t="str">
        <f>IFERROR(__xludf.DUMMYFUNCTION("GOOGLETRANSLATE(B148, ""en"", ""ur"")"),"ٹورنامنٹ میں دیے جانے والے ""گٹکا کلرز"" یا ایوارڈز کا بنیادی مقصد کیا ہے؟")</f>
        <v>ٹورنامنٹ میں دیے جانے والے "گٹکا کلرز" یا ایوارڈز کا بنیادی مقصد کیا ہے؟</v>
      </c>
      <c r="L148" s="5" t="str">
        <f>IFERROR(__xludf.DUMMYFUNCTION("GOOGLETRANSLATE(C148, ""en"", ""ur"")"),"A)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f>
        <v>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v>
      </c>
      <c r="M148" s="5" t="str">
        <f>IFERROR(__xludf.DUMMYFUNCTION("GOOGLETRANSLATE(D148, ""en"", ""ur"")"),"ب) بہترین اداکاروں کی مہارت، لگن اور کھیل کود کو پہچاننا")</f>
        <v>ب) بہترین اداکاروں کی مہارت، لگن اور کھیل کود کو پہچاننا</v>
      </c>
      <c r="N148" s="5" t="str">
        <f>IFERROR(__xludf.DUMMYFUNCTION("GOOGLETRANSLATE(E148, ""en"", ""ur"")"),"یہ اعزازات اعزاز کا نشان اور پریکٹیشنرز کی کامیابیوں کو باضابطہ طور پر تسلیم کرنے کا ایک طریقہ ہیں۔")</f>
        <v>یہ اعزازات اعزاز کا نشان اور پریکٹیشنرز کی کامیابیوں کو باضابطہ طور پر تسلیم کرنے کا ایک طریقہ ہیں۔</v>
      </c>
    </row>
    <row r="149">
      <c r="A149" s="3">
        <v>148.0</v>
      </c>
      <c r="B149" s="4" t="s">
        <v>2299</v>
      </c>
      <c r="C149" s="4" t="s">
        <v>2300</v>
      </c>
      <c r="D149" s="4" t="s">
        <v>2301</v>
      </c>
      <c r="E149" s="4" t="s">
        <v>2302</v>
      </c>
      <c r="J149" s="5" t="str">
        <f>IFERROR(__xludf.DUMMYFUNCTION("GOOGLETRANSLATE(A149, ""en"", ""ur"")"),"148")</f>
        <v>148</v>
      </c>
      <c r="K149" s="5" t="str">
        <f>IFERROR(__xludf.DUMMYFUNCTION("GOOGLETRANSLATE(B149, ""en"", ""ur"")"),"ان میں سے کون سا گٹکا وارم اپ کا اہم جز ہے؟")</f>
        <v>ان میں سے کون سا گٹکا وارم اپ کا اہم جز ہے؟</v>
      </c>
      <c r="L149" s="5" t="str">
        <f>IFERROR(__xludf.DUMMYFUNCTION("GOOGLETRANSLATE(C149, ""en"", ""ur"")"),"A) ہیوی ویٹ لفٹنگ، B) جامد اسٹریچنگ، C) متحرک، پورے جسم کی نقل و حرکت اور ہتھیاروں کا گھومنا (گھمن)، D) لمبی دوڑ")</f>
        <v>A) ہیوی ویٹ لفٹنگ، B) جامد اسٹریچنگ، C) متحرک، پورے جسم کی نقل و حرکت اور ہتھیاروں کا گھومنا (گھمن)، D) لمبی دوڑ</v>
      </c>
      <c r="M149" s="5" t="str">
        <f>IFERROR(__xludf.DUMMYFUNCTION("GOOGLETRANSLATE(D149, ""en"", ""ur"")"),"C) متحرک، پورے جسم کی حرکات اور ہتھیاروں کا گھومنا (گھمن)")</f>
        <v>C) متحرک، پورے جسم کی حرکات اور ہتھیاروں کا گھومنا (گھمن)</v>
      </c>
      <c r="N149" s="5" t="str">
        <f>IFERROR(__xludf.DUMMYFUNCTION("GOOGLETRANSLATE(E149, ""en"", ""ur"")"),"وارم اپ فن کی مخصوص، سیال اور گردشی حرکات کے لیے جسم کو تیار کرنے پر مرکوز ہے۔")</f>
        <v>وارم اپ فن کی مخصوص، سیال اور گردشی حرکات کے لیے جسم کو تیار کرنے پر مرکوز ہے۔</v>
      </c>
    </row>
    <row r="150">
      <c r="A150" s="3">
        <v>149.0</v>
      </c>
      <c r="B150" s="4" t="s">
        <v>2303</v>
      </c>
      <c r="C150" s="4" t="s">
        <v>2304</v>
      </c>
      <c r="D150" s="4" t="s">
        <v>2305</v>
      </c>
      <c r="E150" s="4" t="s">
        <v>2306</v>
      </c>
      <c r="J150" s="5" t="str">
        <f>IFERROR(__xludf.DUMMYFUNCTION("GOOGLETRANSLATE(A150, ""en"", ""ur"")"),"149")</f>
        <v>149</v>
      </c>
      <c r="K150" s="5" t="str">
        <f>IFERROR(__xludf.DUMMYFUNCTION("GOOGLETRANSLATE(B150, ""en"", ""ur"")"),"اس کی بنیادی وجہ کیا ہے کہ گٹکا سکھ ڈاسپورا (مثلاً کینیڈا اور برطانیہ میں) میں مقبول ہے؟")</f>
        <v>اس کی بنیادی وجہ کیا ہے کہ گٹکا سکھ ڈاسپورا (مثلاً کینیڈا اور برطانیہ میں) میں مقبول ہے؟</v>
      </c>
      <c r="L150" s="5" t="str">
        <f>IFERROR(__xludf.DUMMYFUNCTION("GOOGLETRANSLATE(C150, ""en"", ""ur"")"),"A)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f>
        <v>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v>
      </c>
      <c r="M150" s="5" t="str">
        <f>IFERROR(__xludf.DUMMYFUNCTION("GOOGLETRANSLATE(D150, ""en"", ""ur"")"),"ب) یہ نوجوان نسلوں کے لیے اپنے ثقافتی اور مذہبی ورثے سے جڑنے کا ایک طاقتور طریقہ ہے۔")</f>
        <v>ب) یہ نوجوان نسلوں کے لیے اپنے ثقافتی اور مذہبی ورثے سے جڑنے کا ایک طاقتور طریقہ ہے۔</v>
      </c>
      <c r="N150" s="5" t="str">
        <f>IFERROR(__xludf.DUMMYFUNCTION("GOOGLETRANSLATE(E150, ""en"", ""ur"")"),"گٹکا سکھ تاریخ اور پنجاب سے باہر رہنے والی برادریوں کی شناخت کے لیے ایک اہم کڑی کا کام کرتا ہے۔")</f>
        <v>گٹکا سکھ تاریخ اور پنجاب سے باہر رہنے والی برادریوں کی شناخت کے لیے ایک اہم کڑی کا کام کرتا ہے۔</v>
      </c>
    </row>
    <row r="151">
      <c r="A151" s="3">
        <v>150.0</v>
      </c>
      <c r="B151" s="4" t="s">
        <v>2307</v>
      </c>
      <c r="C151" s="4" t="s">
        <v>2308</v>
      </c>
      <c r="D151" s="4" t="s">
        <v>2309</v>
      </c>
      <c r="E151" s="4" t="s">
        <v>2310</v>
      </c>
      <c r="J151" s="5" t="str">
        <f>IFERROR(__xludf.DUMMYFUNCTION("GOOGLETRANSLATE(A151, ""en"", ""ur"")"),"150")</f>
        <v>150</v>
      </c>
      <c r="K151" s="5" t="str">
        <f>IFERROR(__xludf.DUMMYFUNCTION("GOOGLETRANSLATE(B151, ""en"", ""ur"")"),"گٹکا مارشل آرٹسٹ کا سب سے بڑا مقصد کیا ہے؟")</f>
        <v>گٹکا مارشل آرٹسٹ کا سب سے بڑا مقصد کیا ہے؟</v>
      </c>
      <c r="L151" s="5" t="str">
        <f>IFERROR(__xludf.DUMMYFUNCTION("GOOGLETRANSLATE(C151, ""en"", ""ur"")"),"A) لڑائی میں ناقابل تسخیر بننا، B) خود پر عبور حاصل کرنا اور نظم و ضبط، ہمت اور خدمت کی زندگی گزارنا، C) عالمی چیمپئن شپ جیتنا، D) اپنا سکول کھولنا (اکھاڑہ)")</f>
        <v>A) لڑائی میں ناقابل تسخیر بننا، B) خود پر عبور حاصل کرنا اور نظم و ضبط، ہمت اور خدمت کی زندگی گزارنا، C) عالمی چیمپئن شپ جیتنا، D) اپنا سکول کھولنا (اکھاڑہ)</v>
      </c>
      <c r="M151" s="5" t="str">
        <f>IFERROR(__xludf.DUMMYFUNCTION("GOOGLETRANSLATE(D151, ""en"", ""ur"")"),"ب) نفس پر عبور حاصل کرنا اور نظم و ضبط، ہمت اور خدمت کی زندگی گزارنا")</f>
        <v>ب) نفس پر عبور حاصل کرنا اور نظم و ضبط، ہمت اور خدمت کی زندگی گزارنا</v>
      </c>
      <c r="N151" s="5" t="str">
        <f>IFERROR(__xludf.DUMMYFUNCTION("GOOGLETRANSLATE(E151, ""en"", ""ur"")"),"""سنت سپاہی"" کے آئیڈیل کے مطابق، حتمی مقصد صرف لڑنے کی صلاحیت نہیں ہے، بلکہ اپنے کردار کی نشوونما ہے۔")</f>
        <v>"سنت سپاہی" کے آئیڈیل کے مطابق، حتمی مقصد صرف لڑنے کی صلاحیت نہیں ہے، بلکہ اپنے کردار کی نشوونما ہے۔</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6" t="s">
        <v>605</v>
      </c>
      <c r="B1" s="1" t="s">
        <v>1</v>
      </c>
      <c r="C1" s="1" t="s">
        <v>2</v>
      </c>
      <c r="D1" s="1" t="s">
        <v>3</v>
      </c>
      <c r="E1" s="1" t="s">
        <v>4</v>
      </c>
      <c r="J1" s="2" t="s">
        <v>606</v>
      </c>
      <c r="K1" s="2" t="s">
        <v>6</v>
      </c>
      <c r="L1" s="2" t="s">
        <v>7</v>
      </c>
      <c r="M1" s="2" t="s">
        <v>8</v>
      </c>
      <c r="N1" s="2" t="s">
        <v>9</v>
      </c>
    </row>
    <row r="2">
      <c r="A2" s="3">
        <v>1.0</v>
      </c>
      <c r="B2" s="4" t="s">
        <v>2311</v>
      </c>
      <c r="C2" s="4" t="s">
        <v>2312</v>
      </c>
      <c r="D2" s="4" t="s">
        <v>2313</v>
      </c>
      <c r="E2" s="4" t="s">
        <v>2314</v>
      </c>
      <c r="J2" s="5" t="str">
        <f>IFERROR(__xludf.DUMMYFUNCTION("GOOGLETRANSLATE(A2, ""en"", ""ur"")"),"1")</f>
        <v>1</v>
      </c>
      <c r="K2" s="5" t="str">
        <f>IFERROR(__xludf.DUMMYFUNCTION("GOOGLETRANSLATE(B2, ""en"", ""ur"")"),"روایتی کھیل گلی ڈنڈا کی اصل کیا ہے؟")</f>
        <v>روایتی کھیل گلی ڈنڈا کی اصل کیا ہے؟</v>
      </c>
      <c r="L2" s="5" t="str">
        <f>IFERROR(__xludf.DUMMYFUNCTION("GOOGLETRANSLATE(C2, ""en"", ""ur"")"),"A) قدیم یونان، B) قدیم فارس، C) قدیم برصغیر پاک و ہند، D) قدیم چین")</f>
        <v>A) قدیم یونان، B) قدیم فارس، C) قدیم برصغیر پاک و ہند، D) قدیم چین</v>
      </c>
      <c r="M2" s="5" t="str">
        <f>IFERROR(__xludf.DUMMYFUNCTION("GOOGLETRANSLATE(D2, ""en"", ""ur"")"),"ج) قدیم برصغیر پاک و ہند")</f>
        <v>ج) قدیم برصغیر پاک و ہند</v>
      </c>
      <c r="N2" s="5" t="str">
        <f>IFERROR(__xludf.DUMMYFUNCTION("GOOGLETRANSLATE(E2, ""en"", ""ur"")"),"خیال کیا جاتا ہے کہ گلی ڈنڈا کی جڑیں برصغیر پاک و ہند میں قدیم ہیں، شواہد سے پتہ چلتا ہے کہ یہ موری سلطنت کے دوران کھیلا گیا تھا۔")</f>
        <v>خیال کیا جاتا ہے کہ گلی ڈنڈا کی جڑیں برصغیر پاک و ہند میں قدیم ہیں، شواہد سے پتہ چلتا ہے کہ یہ موری سلطنت کے دوران کھیلا گیا تھا۔</v>
      </c>
    </row>
    <row r="3">
      <c r="A3" s="3">
        <v>2.0</v>
      </c>
      <c r="B3" s="4" t="s">
        <v>2315</v>
      </c>
      <c r="C3" s="4" t="s">
        <v>2316</v>
      </c>
      <c r="D3" s="4" t="s">
        <v>2317</v>
      </c>
      <c r="E3" s="4" t="s">
        <v>2318</v>
      </c>
      <c r="J3" s="5" t="str">
        <f>IFERROR(__xludf.DUMMYFUNCTION("GOOGLETRANSLATE(A3, ""en"", ""ur"")"),"2")</f>
        <v>2</v>
      </c>
      <c r="K3" s="5" t="str">
        <f>IFERROR(__xludf.DUMMYFUNCTION("GOOGLETRANSLATE(B3, ""en"", ""ur"")"),"جدید دور کے پاکستان میں پروان چڑھنے والی کس قدیم تہذیب کو گلی ڈنڈا جیسے چھڑی پر مبنی کھیل کی ابتدائی شکلوں کا سہرا دیا جاتا ہے؟")</f>
        <v>جدید دور کے پاکستان میں پروان چڑھنے والی کس قدیم تہذیب کو گلی ڈنڈا جیسے چھڑی پر مبنی کھیل کی ابتدائی شکلوں کا سہرا دیا جاتا ہے؟</v>
      </c>
      <c r="L3" s="5" t="str">
        <f>IFERROR(__xludf.DUMMYFUNCTION("GOOGLETRANSLATE(C3, ""en"", ""ur"")"),"A) وادی سندھ کی تہذیب، B) میسوپوٹیمیا کی تہذیب، C) رومی تہذیب، D) مصری تہذیب")</f>
        <v>A) وادی سندھ کی تہذیب، B) میسوپوٹیمیا کی تہذیب، C) رومی تہذیب، D) مصری تہذیب</v>
      </c>
      <c r="M3" s="5" t="str">
        <f>IFERROR(__xludf.DUMMYFUNCTION("GOOGLETRANSLATE(D3, ""en"", ""ur"")"),"الف) وادی سندھ کی تہذیب")</f>
        <v>الف) وادی سندھ کی تہذیب</v>
      </c>
      <c r="N3" s="5" t="str">
        <f>IFERROR(__xludf.DUMMYFUNCTION("GOOGLETRANSLATE(E3, ""en"", ""ur"")"),"آثار قدیمہ کے نتائج بشمول چھڑی نما اشیاء اور مجسمے بتاتے ہیں کہ وادی سندھ میں اسی طرح کے میکانکس والے کھیل کھیلے جاتے تھے۔")</f>
        <v>آثار قدیمہ کے نتائج بشمول چھڑی نما اشیاء اور مجسمے بتاتے ہیں کہ وادی سندھ میں اسی طرح کے میکانکس والے کھیل کھیلے جاتے تھے۔</v>
      </c>
    </row>
    <row r="4">
      <c r="A4" s="3">
        <v>3.0</v>
      </c>
      <c r="B4" s="4" t="s">
        <v>2319</v>
      </c>
      <c r="C4" s="4" t="s">
        <v>2320</v>
      </c>
      <c r="D4" s="4" t="s">
        <v>2321</v>
      </c>
      <c r="E4" s="4" t="s">
        <v>2322</v>
      </c>
      <c r="J4" s="5" t="str">
        <f>IFERROR(__xludf.DUMMYFUNCTION("GOOGLETRANSLATE(A4, ""en"", ""ur"")"),"3")</f>
        <v>3</v>
      </c>
      <c r="K4" s="5" t="str">
        <f>IFERROR(__xludf.DUMMYFUNCTION("GOOGLETRANSLATE(B4, ""en"", ""ur"")"),"گلی ڈنڈا کس تاریخی دور میں پورے برصغیر میں ایک مقبول دیہی تفریح ​​بن گیا؟")</f>
        <v>گلی ڈنڈا کس تاریخی دور میں پورے برصغیر میں ایک مقبول دیہی تفریح ​​بن گیا؟</v>
      </c>
      <c r="L4" s="5" t="str">
        <f>IFERROR(__xludf.DUMMYFUNCTION("GOOGLETRANSLATE(C4, ""en"", ""ur"")"),"A) موری دور، B) مغل دور، C) برطانوی نوآبادیاتی دور، D) گپتا دور")</f>
        <v>A) موری دور، B) مغل دور، C) برطانوی نوآبادیاتی دور، D) گپتا دور</v>
      </c>
      <c r="M4" s="5" t="str">
        <f>IFERROR(__xludf.DUMMYFUNCTION("GOOGLETRANSLATE(D4, ""en"", ""ur"")"),"ب) مغلیہ دور")</f>
        <v>ب) مغلیہ دور</v>
      </c>
      <c r="N4" s="5" t="str">
        <f>IFERROR(__xludf.DUMMYFUNCTION("GOOGLETRANSLATE(E4, ""en"", ""ur"")"),"مغل دور میں گلی ڈنڈا سمیت کئی روایتی لوک کھیلوں کی وسیع پیمانے پر مقبولیت دیکھنے میں آئی جس کا ذکر مختلف تاریخوں میں کیا گیا ہے۔")</f>
        <v>مغل دور میں گلی ڈنڈا سمیت کئی روایتی لوک کھیلوں کی وسیع پیمانے پر مقبولیت دیکھنے میں آئی جس کا ذکر مختلف تاریخوں میں کیا گیا ہے۔</v>
      </c>
    </row>
    <row r="5">
      <c r="A5" s="3">
        <v>4.0</v>
      </c>
      <c r="B5" s="4" t="s">
        <v>2323</v>
      </c>
      <c r="C5" s="4" t="s">
        <v>2324</v>
      </c>
      <c r="D5" s="4" t="s">
        <v>2325</v>
      </c>
      <c r="E5" s="4" t="s">
        <v>2326</v>
      </c>
      <c r="J5" s="5" t="str">
        <f>IFERROR(__xludf.DUMMYFUNCTION("GOOGLETRANSLATE(A5, ""en"", ""ur"")"),"4")</f>
        <v>4</v>
      </c>
      <c r="K5" s="5" t="str">
        <f>IFERROR(__xludf.DUMMYFUNCTION("GOOGLETRANSLATE(B5, ""en"", ""ur"")"),"کس جدید کھیل کو انگریزوں نے متعارف کرایا تھا، گلی ڈنڈا کو اکثر اس کا پیش خیمہ سمجھا جاتا ہے؟")</f>
        <v>کس جدید کھیل کو انگریزوں نے متعارف کرایا تھا، گلی ڈنڈا کو اکثر اس کا پیش خیمہ سمجھا جاتا ہے؟</v>
      </c>
      <c r="L5" s="5" t="str">
        <f>IFERROR(__xludf.DUMMYFUNCTION("GOOGLETRANSLATE(C5, ""en"", ""ur"")"),"A) بیس بال، B) کرکٹ، C) ہاکی، D) پولو")</f>
        <v>A) بیس بال، B) کرکٹ، C) ہاکی، D) پولو</v>
      </c>
      <c r="M5" s="5" t="str">
        <f>IFERROR(__xludf.DUMMYFUNCTION("GOOGLETRANSLATE(D5, ""en"", ""ur"")"),"ب) کرکٹ")</f>
        <v>ب) کرکٹ</v>
      </c>
      <c r="N5" s="5" t="str">
        <f>IFERROR(__xludf.DUMMYFUNCTION("GOOGLETRANSLATE(E5, ""en"", ""ur"")"),"کسی چھوٹی چیز (گلی) کو بڑی چیز (ڈنڈا) سے مارنے اور فیلڈنگ سائیڈ رکھنے کے بنیادی میکانکس کو مورخین کرکٹ کے آباؤ اجداد کے طور پر دیکھتے ہیں۔")</f>
        <v>کسی چھوٹی چیز (گلی) کو بڑی چیز (ڈنڈا) سے مارنے اور فیلڈنگ سائیڈ رکھنے کے بنیادی میکانکس کو مورخین کرکٹ کے آباؤ اجداد کے طور پر دیکھتے ہیں۔</v>
      </c>
    </row>
    <row r="6">
      <c r="A6" s="3">
        <v>5.0</v>
      </c>
      <c r="B6" s="4" t="s">
        <v>2327</v>
      </c>
      <c r="C6" s="4" t="s">
        <v>2328</v>
      </c>
      <c r="D6" s="4" t="s">
        <v>2329</v>
      </c>
      <c r="E6" s="4" t="s">
        <v>2330</v>
      </c>
      <c r="J6" s="5" t="str">
        <f>IFERROR(__xludf.DUMMYFUNCTION("GOOGLETRANSLATE(A6, ""en"", ""ur"")"),"5")</f>
        <v>5</v>
      </c>
      <c r="K6" s="5" t="str">
        <f>IFERROR(__xludf.DUMMYFUNCTION("GOOGLETRANSLATE(B6, ""en"", ""ur"")"),"پاکستان کے دیہاتوں میں گلی ڈنڈا کی بنیادی ثقافتی اہمیت کیا ہے؟")</f>
        <v>پاکستان کے دیہاتوں میں گلی ڈنڈا کی بنیادی ثقافتی اہمیت کیا ہے؟</v>
      </c>
      <c r="L6" s="5" t="str">
        <f>IFERROR(__xludf.DUMMYFUNCTION("GOOGLETRANSLATE(C6, ""en"", ""ur"")"),"A) یہ ایک مذہبی رسم ہے، B) یہ آمدنی کا ایک بڑا ذریعہ ہے، C) یہ سماجی بندھن اور اجتماعی تفریح ​​کا ایک طاقتور ذریعہ ہے، D) یہ گزرنے کی ایک رسمی رسم ہے")</f>
        <v>A) یہ ایک مذہبی رسم ہے، B) یہ آمدنی کا ایک بڑا ذریعہ ہے، C) یہ سماجی بندھن اور اجتماعی تفریح ​​کا ایک طاقتور ذریعہ ہے، D) یہ گزرنے کی ایک رسمی رسم ہے</v>
      </c>
      <c r="M6" s="5" t="str">
        <f>IFERROR(__xludf.DUMMYFUNCTION("GOOGLETRANSLATE(D6, ""en"", ""ur"")"),"C) یہ سماجی بندھن اور کمیونٹی کی تفریح ​​کا ایک طاقتور ذریعہ ہے۔")</f>
        <v>C) یہ سماجی بندھن اور کمیونٹی کی تفریح ​​کا ایک طاقتور ذریعہ ہے۔</v>
      </c>
      <c r="N6" s="5" t="str">
        <f>IFERROR(__xludf.DUMMYFUNCTION("GOOGLETRANSLATE(E6, ""en"", ""ur"")"),"گلی ڈنڈا کی سادگی اور رسائی اسے ایک پسندیدہ سماجی سرگرمی بناتی ہے جو دوستی اور برادری کے جذبے کو پروان چڑھاتی ہے۔")</f>
        <v>گلی ڈنڈا کی سادگی اور رسائی اسے ایک پسندیدہ سماجی سرگرمی بناتی ہے جو دوستی اور برادری کے جذبے کو پروان چڑھاتی ہے۔</v>
      </c>
    </row>
    <row r="7">
      <c r="A7" s="3">
        <v>6.0</v>
      </c>
      <c r="B7" s="4" t="s">
        <v>2331</v>
      </c>
      <c r="C7" s="4" t="s">
        <v>2332</v>
      </c>
      <c r="D7" s="4" t="s">
        <v>2333</v>
      </c>
      <c r="E7" s="4" t="s">
        <v>2334</v>
      </c>
      <c r="J7" s="5" t="str">
        <f>IFERROR(__xludf.DUMMYFUNCTION("GOOGLETRANSLATE(A7, ""en"", ""ur"")"),"6")</f>
        <v>6</v>
      </c>
      <c r="K7" s="5" t="str">
        <f>IFERROR(__xludf.DUMMYFUNCTION("GOOGLETRANSLATE(B7, ""en"", ""ur"")"),"کھیل میں 'گلی' کی اصطلاح کیا مراد ہے؟")</f>
        <v>کھیل میں 'گلی' کی اصطلاح کیا مراد ہے؟</v>
      </c>
      <c r="L7" s="5" t="str">
        <f>IFERROR(__xludf.DUMMYFUNCTION("GOOGLETRANSLATE(C7, ""en"", ""ur"")"),"A) لمبی مارنے والی چھڑی، B) چھوٹی، ٹیپرڈ لکڑی کا کھونٹا جو مارا جاتا ہے، C) کھیل کا میدان، D) ایک پوائنٹ اسکور کیا گیا")</f>
        <v>A) لمبی مارنے والی چھڑی، B) چھوٹی، ٹیپرڈ لکڑی کا کھونٹا جو مارا جاتا ہے، C) کھیل کا میدان، D) ایک پوائنٹ اسکور کیا گیا</v>
      </c>
      <c r="M7" s="5" t="str">
        <f>IFERROR(__xludf.DUMMYFUNCTION("GOOGLETRANSLATE(D7, ""en"", ""ur"")"),"ب) لکڑی کا چھوٹا کھونٹا جو مارا جاتا ہے۔")</f>
        <v>ب) لکڑی کا چھوٹا کھونٹا جو مارا جاتا ہے۔</v>
      </c>
      <c r="N7" s="5" t="str">
        <f>IFERROR(__xludf.DUMMYFUNCTION("GOOGLETRANSLATE(E7, ""en"", ""ur"")"),"'گلی' دو چھڑیوں میں سے چھوٹی ہے، جس کی شکل ایک تکلے کی طرح ہوتی ہے جو ہوا میں آسانی سے جھٹکتی ہے۔")</f>
        <v>'گلی' دو چھڑیوں میں سے چھوٹی ہے، جس کی شکل ایک تکلے کی طرح ہوتی ہے جو ہوا میں آسانی سے جھٹکتی ہے۔</v>
      </c>
    </row>
    <row r="8">
      <c r="A8" s="3">
        <v>7.0</v>
      </c>
      <c r="B8" s="4" t="s">
        <v>2335</v>
      </c>
      <c r="C8" s="4" t="s">
        <v>2336</v>
      </c>
      <c r="D8" s="4" t="s">
        <v>2337</v>
      </c>
      <c r="E8" s="4" t="s">
        <v>2338</v>
      </c>
      <c r="J8" s="5" t="str">
        <f>IFERROR(__xludf.DUMMYFUNCTION("GOOGLETRANSLATE(A8, ""en"", ""ur"")"),"7")</f>
        <v>7</v>
      </c>
      <c r="K8" s="5" t="str">
        <f>IFERROR(__xludf.DUMMYFUNCTION("GOOGLETRANSLATE(B8, ""en"", ""ur"")"),"کھیل میں 'ڈنڈا' کا کیا کردار ہے؟")</f>
        <v>کھیل میں 'ڈنڈا' کا کیا کردار ہے؟</v>
      </c>
      <c r="L8" s="5" t="str">
        <f>IFERROR(__xludf.DUMMYFUNCTION("GOOGLETRANSLATE(C8, ""en"", ""ur"")"),"A) یہ ہدف ہے، B) یہ گلی کو مارنے کے لیے استعمال ہونے والی لمبی چھڑی ہے، C) یہ باؤنڈریز کو نشان زد کرنے کے لیے استعمال ہوتی ہے، D) یہ اسکور کی ایک قسم ہے۔")</f>
        <v>A) یہ ہدف ہے، B) یہ گلی کو مارنے کے لیے استعمال ہونے والی لمبی چھڑی ہے، C) یہ باؤنڈریز کو نشان زد کرنے کے لیے استعمال ہوتی ہے، D) یہ اسکور کی ایک قسم ہے۔</v>
      </c>
      <c r="M8" s="5" t="str">
        <f>IFERROR(__xludf.DUMMYFUNCTION("GOOGLETRANSLATE(D8, ""en"", ""ur"")"),"ب) یہ وہ لمبی چھڑی ہے جو گلی کو مارنے کے لیے استعمال ہوتی ہے۔")</f>
        <v>ب) یہ وہ لمبی چھڑی ہے جو گلی کو مارنے کے لیے استعمال ہوتی ہے۔</v>
      </c>
      <c r="N8" s="5" t="str">
        <f>IFERROR(__xludf.DUMMYFUNCTION("GOOGLETRANSLATE(E8, ""en"", ""ur"")"),"'ڈنڈا' ایک چمگادڑ کے برابر بڑی چھڑی ہے، جسے اسٹرائیکر گلی کو مارنے کے لیے استعمال کرتا ہے۔")</f>
        <v>'ڈنڈا' ایک چمگادڑ کے برابر بڑی چھڑی ہے، جسے اسٹرائیکر گلی کو مارنے کے لیے استعمال کرتا ہے۔</v>
      </c>
    </row>
    <row r="9">
      <c r="A9" s="3">
        <v>8.0</v>
      </c>
      <c r="B9" s="4" t="s">
        <v>2339</v>
      </c>
      <c r="C9" s="4" t="s">
        <v>2340</v>
      </c>
      <c r="D9" s="4" t="s">
        <v>2341</v>
      </c>
      <c r="E9" s="4" t="s">
        <v>2342</v>
      </c>
      <c r="J9" s="5" t="str">
        <f>IFERROR(__xludf.DUMMYFUNCTION("GOOGLETRANSLATE(A9, ""en"", ""ur"")"),"8")</f>
        <v>8</v>
      </c>
      <c r="K9" s="5" t="str">
        <f>IFERROR(__xludf.DUMMYFUNCTION("GOOGLETRANSLATE(B9, ""en"", ""ur"")"),"مغربی کھیلوں کے حق میں گلی ڈنڈا کی مقبولیت کس تاریخی دور میں کم ہونا شروع ہوئی؟")</f>
        <v>مغربی کھیلوں کے حق میں گلی ڈنڈا کی مقبولیت کس تاریخی دور میں کم ہونا شروع ہوئی؟</v>
      </c>
      <c r="L9" s="5" t="str">
        <f>IFERROR(__xludf.DUMMYFUNCTION("GOOGLETRANSLATE(C9, ""en"", ""ur"")"),"A) مغلیہ سلطنت، B) برطانوی نوآبادیاتی دور، C) آزادی کے بعد کا دور، D) گپتا دور")</f>
        <v>A) مغلیہ سلطنت، B) برطانوی نوآبادیاتی دور، C) آزادی کے بعد کا دور، D) گپتا دور</v>
      </c>
      <c r="M9" s="5" t="str">
        <f>IFERROR(__xludf.DUMMYFUNCTION("GOOGLETRANSLATE(D9, ""en"", ""ur"")"),"ب) برطانوی نوآبادیاتی دور")</f>
        <v>ب) برطانوی نوآبادیاتی دور</v>
      </c>
      <c r="N9" s="5" t="str">
        <f>IFERROR(__xludf.DUMMYFUNCTION("GOOGLETRANSLATE(E9, ""en"", ""ur"")"),"برطانوی انتظامیہ کی طرف سے کرکٹ جیسے کھیلوں کا تعارف اور فروغ بہت سے روایتی کھیلوں کے بتدریج زوال کا باعث بنا۔")</f>
        <v>برطانوی انتظامیہ کی طرف سے کرکٹ جیسے کھیلوں کا تعارف اور فروغ بہت سے روایتی کھیلوں کے بتدریج زوال کا باعث بنا۔</v>
      </c>
    </row>
    <row r="10">
      <c r="A10" s="3">
        <v>9.0</v>
      </c>
      <c r="B10" s="4" t="s">
        <v>2343</v>
      </c>
      <c r="C10" s="4" t="s">
        <v>2344</v>
      </c>
      <c r="D10" s="4" t="s">
        <v>2345</v>
      </c>
      <c r="E10" s="4" t="s">
        <v>2346</v>
      </c>
      <c r="J10" s="5" t="str">
        <f>IFERROR(__xludf.DUMMYFUNCTION("GOOGLETRANSLATE(A10, ""en"", ""ur"")"),"9")</f>
        <v>9</v>
      </c>
      <c r="K10" s="5" t="str">
        <f>IFERROR(__xludf.DUMMYFUNCTION("GOOGLETRANSLATE(B10, ""en"", ""ur"")"),"کون سی پنجابی لوک کہانی، جو پاکستان اور ہندوستان میں مشہور ہے، اکثر گلی ڈنڈا کا ذکر گاؤں کے ایک عام تفریح ​​کے طور پر کرتی ہے؟")</f>
        <v>کون سی پنجابی لوک کہانی، جو پاکستان اور ہندوستان میں مشہور ہے، اکثر گلی ڈنڈا کا ذکر گاؤں کے ایک عام تفریح ​​کے طور پر کرتی ہے؟</v>
      </c>
      <c r="L10" s="5" t="str">
        <f>IFERROR(__xludf.DUMMYFUNCTION("GOOGLETRANSLATE(C10, ""en"", ""ur"")"),"A) ہیر رانجھا، B) سسی پنوں، C) سوہنی ماہیوال، D) مرزا صاحباں")</f>
        <v>A) ہیر رانجھا، B) سسی پنوں، C) سوہنی ماہیوال، D) مرزا صاحباں</v>
      </c>
      <c r="M10" s="5" t="str">
        <f>IFERROR(__xludf.DUMMYFUNCTION("GOOGLETRANSLATE(D10, ""en"", ""ur"")"),"الف) ہیر رانجھا")</f>
        <v>الف) ہیر رانجھا</v>
      </c>
      <c r="N10" s="5" t="str">
        <f>IFERROR(__xludf.DUMMYFUNCTION("GOOGLETRANSLATE(E10, ""en"", ""ur"")"),"ہیر رانجھا کا رومانوی دیہی پنجابی منظر نامے پر ترتیب دیا گیا ہے جہاں گلی ڈنڈا جیسے کھیل روزمرہ کی زندگی کا حصہ تھے۔")</f>
        <v>ہیر رانجھا کا رومانوی دیہی پنجابی منظر نامے پر ترتیب دیا گیا ہے جہاں گلی ڈنڈا جیسے کھیل روزمرہ کی زندگی کا حصہ تھے۔</v>
      </c>
    </row>
    <row r="11">
      <c r="A11" s="3">
        <v>10.0</v>
      </c>
      <c r="B11" s="4" t="s">
        <v>2347</v>
      </c>
      <c r="C11" s="4" t="s">
        <v>2348</v>
      </c>
      <c r="D11" s="4" t="s">
        <v>2349</v>
      </c>
      <c r="E11" s="4" t="s">
        <v>2350</v>
      </c>
      <c r="J11" s="5" t="str">
        <f>IFERROR(__xludf.DUMMYFUNCTION("GOOGLETRANSLATE(A11, ""en"", ""ur"")"),"10")</f>
        <v>10</v>
      </c>
      <c r="K11" s="5" t="str">
        <f>IFERROR(__xludf.DUMMYFUNCTION("GOOGLETRANSLATE(B11, ""en"", ""ur"")"),"گلی کے دونوں سروں پر ٹیپر ہونے کی اصل وجہ کیا ہے؟")</f>
        <v>گلی کے دونوں سروں پر ٹیپر ہونے کی اصل وجہ کیا ہے؟</v>
      </c>
      <c r="L11" s="5" t="str">
        <f>IFERROR(__xludf.DUMMYFUNCTION("GOOGLETRANSLATE(C11, ""en"", ""ur"")"),"A) یہ ایک آرائشی خصوصیت ہے، B) یہ اسٹرائیکر کو ایک ٹیپرڈ سرے پر مار کر اسے آسانی سے ہوا میں جھٹکنے دیتا ہے، C) یہ گلی کو متوازن کرنا مشکل بنا دیتا ہے، D) یہ ایک روایتی عادت ہے جس کا کوئی عملی مقصد نہیں ہے۔")</f>
        <v>A) یہ ایک آرائشی خصوصیت ہے، B) یہ اسٹرائیکر کو ایک ٹیپرڈ سرے پر مار کر اسے آسانی سے ہوا میں جھٹکنے دیتا ہے، C) یہ گلی کو متوازن کرنا مشکل بنا دیتا ہے، D) یہ ایک روایتی عادت ہے جس کا کوئی عملی مقصد نہیں ہے۔</v>
      </c>
      <c r="M11" s="5" t="str">
        <f>IFERROR(__xludf.DUMMYFUNCTION("GOOGLETRANSLATE(D11, ""en"", ""ur"")"),"ب) یہ اسٹرائیکر کو ایک ٹیپرڈ سرے کو مار کر اسے آسانی سے ہوا میں جھٹکنے دیتا ہے۔")</f>
        <v>ب) یہ اسٹرائیکر کو ایک ٹیپرڈ سرے کو مار کر اسے آسانی سے ہوا میں جھٹکنے دیتا ہے۔</v>
      </c>
      <c r="N11" s="5" t="str">
        <f>IFERROR(__xludf.DUMMYFUNCTION("GOOGLETRANSLATE(E11, ""en"", ""ur"")"),"یہ ہوشیار ڈیزائن گیم کا بنیادی میکینک ہے، جس سے گلی کو اہم ہٹ کے لیے قابل اعتماد طریقے سے لانچ کیا جا سکتا ہے۔")</f>
        <v>یہ ہوشیار ڈیزائن گیم کا بنیادی میکینک ہے، جس سے گلی کو اہم ہٹ کے لیے قابل اعتماد طریقے سے لانچ کیا جا سکتا ہے۔</v>
      </c>
    </row>
    <row r="12">
      <c r="A12" s="3">
        <v>11.0</v>
      </c>
      <c r="B12" s="4" t="s">
        <v>2351</v>
      </c>
      <c r="C12" s="4" t="s">
        <v>2352</v>
      </c>
      <c r="D12" s="4" t="s">
        <v>2353</v>
      </c>
      <c r="E12" s="4" t="s">
        <v>2354</v>
      </c>
      <c r="J12" s="5" t="str">
        <f>IFERROR(__xludf.DUMMYFUNCTION("GOOGLETRANSLATE(A12, ""en"", ""ur"")"),"11")</f>
        <v>11</v>
      </c>
      <c r="K12" s="5" t="str">
        <f>IFERROR(__xludf.DUMMYFUNCTION("GOOGLETRANSLATE(B12, ""en"", ""ur"")"),"روایتی کھیل میں، پوائنٹس یا رنز کو عام طور پر کیسے ماپا جاتا ہے؟")</f>
        <v>روایتی کھیل میں، پوائنٹس یا رنز کو عام طور پر کیسے ماپا جاتا ہے؟</v>
      </c>
      <c r="L12" s="5" t="str">
        <f>IFERROR(__xludf.DUMMYFUNCTION("GOOGLETRANSLATE(C12, ""en"", ""ur"")"),"A) قدموں کی تعداد گن کر، B) ماپنے والی ٹیپ کا استعمال کرتے ہوئے، C) ڈنڈا کی لمبائی کو پیمائش کی اکائی کے طور پر استعمال کرتے ہوئے، D) جب تک گلی ہوا میں ہو")</f>
        <v>A) قدموں کی تعداد گن کر، B) ماپنے والی ٹیپ کا استعمال کرتے ہوئے، C) ڈنڈا کی لمبائی کو پیمائش کی اکائی کے طور پر استعمال کرتے ہوئے، D) جب تک گلی ہوا میں ہو</v>
      </c>
      <c r="M12" s="5" t="str">
        <f>IFERROR(__xludf.DUMMYFUNCTION("GOOGLETRANSLATE(D12, ""en"", ""ur"")"),"C) ڈنڈا کی لمبائی کو پیمائش کی اکائی کے طور پر استعمال کرکے")</f>
        <v>C) ڈنڈا کی لمبائی کو پیمائش کی اکائی کے طور پر استعمال کرکے</v>
      </c>
      <c r="N12" s="5" t="str">
        <f>IFERROR(__xludf.DUMMYFUNCTION("GOOGLETRANSLATE(E12, ""en"", ""ur"")"),"ہٹ کے سکور کا تعین اس بات سے ہوتا ہے کہ سٹرائیکنگ پوائنٹ اور گلی کہاں اتری کے درمیان کتنی پوری ڈنڈا فٹ ہے۔")</f>
        <v>ہٹ کے سکور کا تعین اس بات سے ہوتا ہے کہ سٹرائیکنگ پوائنٹ اور گلی کہاں اتری کے درمیان کتنی پوری ڈنڈا فٹ ہے۔</v>
      </c>
    </row>
    <row r="13">
      <c r="A13" s="3">
        <v>12.0</v>
      </c>
      <c r="B13" s="4" t="s">
        <v>2355</v>
      </c>
      <c r="C13" s="4" t="s">
        <v>2356</v>
      </c>
      <c r="D13" s="4" t="s">
        <v>2357</v>
      </c>
      <c r="E13" s="4" t="s">
        <v>2358</v>
      </c>
      <c r="J13" s="5" t="str">
        <f>IFERROR(__xludf.DUMMYFUNCTION("GOOGLETRANSLATE(A13, ""en"", ""ur"")"),"12")</f>
        <v>12</v>
      </c>
      <c r="K13" s="5" t="str">
        <f>IFERROR(__xludf.DUMMYFUNCTION("GOOGLETRANSLATE(B13, ""en"", ""ur"")"),"فیلڈنگ ٹیم کے ذریعہ اسٹرائیکر کو آؤٹ کرنے کا سب سے عام طریقہ کیا ہے؟")</f>
        <v>فیلڈنگ ٹیم کے ذریعہ اسٹرائیکر کو آؤٹ کرنے کا سب سے عام طریقہ کیا ہے؟</v>
      </c>
      <c r="L13" s="5" t="str">
        <f>IFERROR(__xludf.DUMMYFUNCTION("GOOGLETRANSLATE(C13, ""en"", ""ur"")"),"A) اگر وہ گلی کو تین بار چھوڑ دیتے ہیں، B) اگر کوئی فیلڈر گلی کو ہوا میں پکڑتا ہے، C) اگر وہ ڈنڈا گرا دیتا ہے، D) اگر وہ دوڑنے میں ناکام ہو جاتا ہے۔")</f>
        <v>A) اگر وہ گلی کو تین بار چھوڑ دیتے ہیں، B) اگر کوئی فیلڈر گلی کو ہوا میں پکڑتا ہے، C) اگر وہ ڈنڈا گرا دیتا ہے، D) اگر وہ دوڑنے میں ناکام ہو جاتا ہے۔</v>
      </c>
      <c r="M13" s="5" t="str">
        <f>IFERROR(__xludf.DUMMYFUNCTION("GOOGLETRANSLATE(D13, ""en"", ""ur"")"),"ب) اگر کوئی فیلڈر گلی کو ہوا میں پکڑتا ہے۔")</f>
        <v>ب) اگر کوئی فیلڈر گلی کو ہوا میں پکڑتا ہے۔</v>
      </c>
      <c r="N13" s="5" t="str">
        <f>IFERROR(__xludf.DUMMYFUNCTION("GOOGLETRANSLATE(E13, ""en"", ""ur"")"),"گلی کو دور تک مارنے کے بعد اس کا کلین کیچ اسٹرائیکر کو آؤٹ کرنے کا بنیادی طریقہ ہے۔")</f>
        <v>گلی کو دور تک مارنے کے بعد اس کا کلین کیچ اسٹرائیکر کو آؤٹ کرنے کا بنیادی طریقہ ہے۔</v>
      </c>
    </row>
    <row r="14">
      <c r="A14" s="3">
        <v>13.0</v>
      </c>
      <c r="B14" s="4" t="s">
        <v>2359</v>
      </c>
      <c r="C14" s="4" t="s">
        <v>2360</v>
      </c>
      <c r="D14" s="4" t="s">
        <v>2361</v>
      </c>
      <c r="E14" s="4" t="s">
        <v>2362</v>
      </c>
      <c r="J14" s="5" t="str">
        <f>IFERROR(__xludf.DUMMYFUNCTION("GOOGLETRANSLATE(A14, ""en"", ""ur"")"),"13")</f>
        <v>13</v>
      </c>
      <c r="K14" s="5" t="str">
        <f>IFERROR(__xludf.DUMMYFUNCTION("GOOGLETRANSLATE(B14, ""en"", ""ur"")"),"کھیل کے میدان کے تناظر میں 'گچی' کیا ہے؟")</f>
        <v>کھیل کے میدان کے تناظر میں 'گچی' کیا ہے؟</v>
      </c>
      <c r="L14" s="5" t="str">
        <f>IFERROR(__xludf.DUMMYFUNCTION("GOOGLETRANSLATE(C14, ""en"", ""ur"")"),"A) گلی، B) ڈنڈا، C) زمین میں چھوٹا سوراخ ابتدائی ہڑتال کے لئے استعمال کیا جاتا ہے، D) اسکور کی ایک قسم")</f>
        <v>A) گلی، B) ڈنڈا، C) زمین میں چھوٹا سوراخ ابتدائی ہڑتال کے لئے استعمال کیا جاتا ہے، D) اسکور کی ایک قسم</v>
      </c>
      <c r="M14" s="5" t="str">
        <f>IFERROR(__xludf.DUMMYFUNCTION("GOOGLETRANSLATE(D14, ""en"", ""ur"")"),"ج) زمین میں چھوٹا سوراخ جو ابتدائی ہڑتال کے لیے استعمال ہوتا ہے۔")</f>
        <v>ج) زمین میں چھوٹا سوراخ جو ابتدائی ہڑتال کے لیے استعمال ہوتا ہے۔</v>
      </c>
      <c r="N14" s="5" t="str">
        <f>IFERROR(__xludf.DUMMYFUNCTION("GOOGLETRANSLATE(E14, ""en"", ""ur"")"),"'گچھی' وہ چھوٹا سا گڑھا یا دائرہ ہے جس کے اوپر گلی کو رکھا جاتا ہے، جس سے اسے ہوا میں جھٹکا دیا جاتا ہے۔")</f>
        <v>'گچھی' وہ چھوٹا سا گڑھا یا دائرہ ہے جس کے اوپر گلی کو رکھا جاتا ہے، جس سے اسے ہوا میں جھٹکا دیا جاتا ہے۔</v>
      </c>
    </row>
    <row r="15">
      <c r="A15" s="3">
        <v>14.0</v>
      </c>
      <c r="B15" s="4" t="s">
        <v>2363</v>
      </c>
      <c r="C15" s="4" t="s">
        <v>2364</v>
      </c>
      <c r="D15" s="4" t="s">
        <v>2365</v>
      </c>
      <c r="E15" s="4" t="s">
        <v>2366</v>
      </c>
      <c r="J15" s="5" t="str">
        <f>IFERROR(__xludf.DUMMYFUNCTION("GOOGLETRANSLATE(A15, ""en"", ""ur"")"),"14")</f>
        <v>14</v>
      </c>
      <c r="K15" s="5" t="str">
        <f>IFERROR(__xludf.DUMMYFUNCTION("GOOGLETRANSLATE(B15, ""en"", ""ur"")"),"گلی ڈنڈا اکثر دیہاتوں میں صبح یا شام کے وقت کیوں کھیلا جاتا ہے؟")</f>
        <v>گلی ڈنڈا اکثر دیہاتوں میں صبح یا شام کے وقت کیوں کھیلا جاتا ہے؟</v>
      </c>
      <c r="L15" s="5" t="str">
        <f>IFERROR(__xludf.DUMMYFUNCTION("GOOGLETRANSLATE(C15, ""en"", ""ur"")"),"A) ان اوقات میں کھیلنا ایک روایت ہے، B) گلی کم روشنی میں زیادہ دکھائی دیتی ہے، C) برصغیر کی دوپہر کی شدید گرمی سے بچنے کے لئے، D) اسے خوش قسمت سمجھا جاتا ہے۔")</f>
        <v>A) ان اوقات میں کھیلنا ایک روایت ہے، B) گلی کم روشنی میں زیادہ دکھائی دیتی ہے، C) برصغیر کی دوپہر کی شدید گرمی سے بچنے کے لئے، D) اسے خوش قسمت سمجھا جاتا ہے۔</v>
      </c>
      <c r="M15" s="5" t="str">
        <f>IFERROR(__xludf.DUMMYFUNCTION("GOOGLETRANSLATE(D15, ""en"", ""ur"")"),"ج) برصغیر کی دوپہر کی شدید گرمی سے بچنے کے لیے")</f>
        <v>ج) برصغیر کی دوپہر کی شدید گرمی سے بچنے کے لیے</v>
      </c>
      <c r="N15" s="5" t="str">
        <f>IFERROR(__xludf.DUMMYFUNCTION("GOOGLETRANSLATE(E15, ""en"", ""ur"")"),"کھلاڑی منطقی طور پر جسمانی طور پر فعال آؤٹ ڈور گیم کے لیے دن کے ٹھنڈے حصے کا انتخاب کرتے ہیں۔")</f>
        <v>کھلاڑی منطقی طور پر جسمانی طور پر فعال آؤٹ ڈور گیم کے لیے دن کے ٹھنڈے حصے کا انتخاب کرتے ہیں۔</v>
      </c>
    </row>
    <row r="16">
      <c r="A16" s="3">
        <v>15.0</v>
      </c>
      <c r="B16" s="4" t="s">
        <v>2367</v>
      </c>
      <c r="C16" s="4" t="s">
        <v>2368</v>
      </c>
      <c r="D16" s="4" t="s">
        <v>2369</v>
      </c>
      <c r="E16" s="4" t="s">
        <v>2370</v>
      </c>
      <c r="J16" s="5" t="str">
        <f>IFERROR(__xludf.DUMMYFUNCTION("GOOGLETRANSLATE(A16, ""en"", ""ur"")"),"15")</f>
        <v>15</v>
      </c>
      <c r="K16" s="5" t="str">
        <f>IFERROR(__xludf.DUMMYFUNCTION("GOOGLETRANSLATE(B16, ""en"", ""ur"")"),"ایک فیلڈر زمین سے گلی کو نکال رہا ہے۔ بہت سے تغیرات میں، اسٹرائیکر کو آؤٹ کرنے کے لیے انہیں کیا کرنا چاہیے؟")</f>
        <v>ایک فیلڈر زمین سے گلی کو نکال رہا ہے۔ بہت سے تغیرات میں، اسٹرائیکر کو آؤٹ کرنے کے لیے انہیں کیا کرنا چاہیے؟</v>
      </c>
      <c r="L16" s="5" t="str">
        <f>IFERROR(__xludf.DUMMYFUNCTION("GOOGLETRANSLATE(C16, ""en"", ""ur"")"),"A) گلی کے ساتھ اسٹرائیکر کو ٹیگ کریں، B) گلی کو پیچھے پھینکیں اور سٹارٹنگ پوائنٹ پر رکھے ڈنڈا کو ماریں، C) گلی کے ساتھ سٹارٹنگ پوائنٹ تک دوڑیں، D) گلی کو دوسرے فیلڈر کی طرف پھینکیں۔")</f>
        <v>A) گلی کے ساتھ اسٹرائیکر کو ٹیگ کریں، B) گلی کو پیچھے پھینکیں اور سٹارٹنگ پوائنٹ پر رکھے ڈنڈا کو ماریں، C) گلی کے ساتھ سٹارٹنگ پوائنٹ تک دوڑیں، D) گلی کو دوسرے فیلڈر کی طرف پھینکیں۔</v>
      </c>
      <c r="M16" s="5" t="str">
        <f>IFERROR(__xludf.DUMMYFUNCTION("GOOGLETRANSLATE(D16, ""en"", ""ur"")"),"ب) گلی کو پیچھے پھینکیں اور نقطہ آغاز پر رکھے ڈنڈے کو ماریں۔")</f>
        <v>ب) گلی کو پیچھے پھینکیں اور نقطہ آغاز پر رکھے ڈنڈے کو ماریں۔</v>
      </c>
      <c r="N16" s="5" t="str">
        <f>IFERROR(__xludf.DUMMYFUNCTION("GOOGLETRANSLATE(E16, ""en"", ""ur"")"),"گلی کے کیچ نہ ہونے کی صورت میں سٹرائیکر کو آؤٹ کرنے کا یہ ""رن آؤٹ"" مساوی دوسرا اہم طریقہ ہے۔")</f>
        <v>گلی کے کیچ نہ ہونے کی صورت میں سٹرائیکر کو آؤٹ کرنے کا یہ "رن آؤٹ" مساوی دوسرا اہم طریقہ ہے۔</v>
      </c>
    </row>
    <row r="17">
      <c r="A17" s="3">
        <v>16.0</v>
      </c>
      <c r="B17" s="4" t="s">
        <v>2371</v>
      </c>
      <c r="C17" s="4" t="s">
        <v>2372</v>
      </c>
      <c r="D17" s="4" t="s">
        <v>2373</v>
      </c>
      <c r="E17" s="4" t="s">
        <v>2374</v>
      </c>
      <c r="J17" s="5" t="str">
        <f>IFERROR(__xludf.DUMMYFUNCTION("GOOGLETRANSLATE(A17, ""en"", ""ur"")"),"16")</f>
        <v>16</v>
      </c>
      <c r="K17" s="5" t="str">
        <f>IFERROR(__xludf.DUMMYFUNCTION("GOOGLETRANSLATE(B17, ""en"", ""ur"")"),"کیا تاریخی شواہد بتاتے ہیں کہ وادی سندھ میں گلی ڈنڈا بچوں کے ذریعے کھیلا جاتا تھا؟")</f>
        <v>کیا تاریخی شواہد بتاتے ہیں کہ وادی سندھ میں گلی ڈنڈا بچوں کے ذریعے کھیلا جاتا تھا؟</v>
      </c>
      <c r="L17" s="5" t="str">
        <f>IFERROR(__xludf.DUMMYFUNCTION("GOOGLETRANSLATE(C17, ""en"", ""ur"")"),"A) کھیل کو ظاہر کرنے والے مندروں کے نقش و نگار، B) قدیم تحریروں میں تحریری وضاحتیں، C) گلیس سے مشابہہ چھوٹے، تراشے ہوئے، چھڑی نما کھلونوں کی دریافت، D) لوک گیتوں میں ذکر")</f>
        <v>A) کھیل کو ظاہر کرنے والے مندروں کے نقش و نگار، B) قدیم تحریروں میں تحریری وضاحتیں، C) گلیس سے مشابہہ چھوٹے، تراشے ہوئے، چھڑی نما کھلونوں کی دریافت، D) لوک گیتوں میں ذکر</v>
      </c>
      <c r="M17" s="5" t="str">
        <f>IFERROR(__xludf.DUMMYFUNCTION("GOOGLETRANSLATE(D17, ""en"", ""ur"")"),"ج) گلیس سے مشابہہ چھوٹے، کھدی ہوئی، چھڑی نما کھلونوں کی دریافت")</f>
        <v>ج) گلیس سے مشابہہ چھوٹے، کھدی ہوئی، چھڑی نما کھلونوں کی دریافت</v>
      </c>
      <c r="N17" s="5" t="str">
        <f>IFERROR(__xludf.DUMMYFUNCTION("GOOGLETRANSLATE(E17, ""en"", ""ur"")"),"آثار قدیمہ کے ماہرین کو قدیم مقامات پر چھوٹی چھوٹی چھوٹی چیزیں ملی ہیں جن کے بارے میں خیال کیا جاتا ہے کہ وہ کھیل کی ابتدائی شکلوں میں استعمال ہونے والے کھلونے ہیں۔")</f>
        <v>آثار قدیمہ کے ماہرین کو قدیم مقامات پر چھوٹی چھوٹی چھوٹی چیزیں ملی ہیں جن کے بارے میں خیال کیا جاتا ہے کہ وہ کھیل کی ابتدائی شکلوں میں استعمال ہونے والے کھلونے ہیں۔</v>
      </c>
    </row>
    <row r="18">
      <c r="A18" s="3">
        <v>17.0</v>
      </c>
      <c r="B18" s="4" t="s">
        <v>2375</v>
      </c>
      <c r="C18" s="4" t="s">
        <v>2376</v>
      </c>
      <c r="D18" s="4" t="s">
        <v>2377</v>
      </c>
      <c r="E18" s="4" t="s">
        <v>2378</v>
      </c>
      <c r="J18" s="5" t="str">
        <f>IFERROR(__xludf.DUMMYFUNCTION("GOOGLETRANSLATE(A18, ""en"", ""ur"")"),"17")</f>
        <v>17</v>
      </c>
      <c r="K18" s="5" t="str">
        <f>IFERROR(__xludf.DUMMYFUNCTION("GOOGLETRANSLATE(B18, ""en"", ""ur"")"),"جنوبی ایشیا کے دیہی علاقوں میں گیم کی پائیدار مقبولیت کی بنیادی وجہ کیا ہے؟")</f>
        <v>جنوبی ایشیا کے دیہی علاقوں میں گیم کی پائیدار مقبولیت کی بنیادی وجہ کیا ہے؟</v>
      </c>
      <c r="L18" s="5" t="str">
        <f>IFERROR(__xludf.DUMMYFUNCTION("GOOGLETRANSLATE(C18, ""en"", ""ur"")"),"A) یہ بڑے نقد انعامات پیش کرتا ہے، B) اس کی کم قیمت اور سادگی؛ اسے کہیں بھی دیسی ساختہ سازوسامان کے ساتھ کھیلا جا سکتا ہے، C) اسے قومی کھیلوں کی فیڈریشنز کے ذریعے فروغ دیا جاتا ہے، D) یہ ایک اولمپک کھیل ہے")</f>
        <v>A) یہ بڑے نقد انعامات پیش کرتا ہے، B) اس کی کم قیمت اور سادگی؛ اسے کہیں بھی دیسی ساختہ سازوسامان کے ساتھ کھیلا جا سکتا ہے، C) اسے قومی کھیلوں کی فیڈریشنز کے ذریعے فروغ دیا جاتا ہے، D) یہ ایک اولمپک کھیل ہے</v>
      </c>
      <c r="M18" s="5" t="str">
        <f>IFERROR(__xludf.DUMMYFUNCTION("GOOGLETRANSLATE(D18, ""en"", ""ur"")"),"ب) اس کی کم قیمت اور سادگی؛ اسے بہتر آلات کے ساتھ کہیں بھی کھیلا جا سکتا ہے۔")</f>
        <v>ب) اس کی کم قیمت اور سادگی؛ اسے بہتر آلات کے ساتھ کہیں بھی کھیلا جا سکتا ہے۔</v>
      </c>
      <c r="N18" s="5" t="str">
        <f>IFERROR(__xludf.DUMMYFUNCTION("GOOGLETRANSLATE(E18, ""en"", ""ur"")"),"گیم کو کسی مہنگے گیئر یا رسمی پچ کی ضرورت نہیں ہے، جو اسے ہر کسی کے لیے قابل رسائی بناتی ہے۔")</f>
        <v>گیم کو کسی مہنگے گیئر یا رسمی پچ کی ضرورت نہیں ہے، جو اسے ہر کسی کے لیے قابل رسائی بناتی ہے۔</v>
      </c>
    </row>
    <row r="19">
      <c r="A19" s="3">
        <v>18.0</v>
      </c>
      <c r="B19" s="4" t="s">
        <v>2379</v>
      </c>
      <c r="C19" s="4" t="s">
        <v>2380</v>
      </c>
      <c r="D19" s="4" t="s">
        <v>2381</v>
      </c>
      <c r="E19" s="4" t="s">
        <v>2382</v>
      </c>
      <c r="J19" s="5" t="str">
        <f>IFERROR(__xludf.DUMMYFUNCTION("GOOGLETRANSLATE(A19, ""en"", ""ur"")"),"18")</f>
        <v>18</v>
      </c>
      <c r="K19" s="5" t="str">
        <f>IFERROR(__xludf.DUMMYFUNCTION("GOOGLETRANSLATE(B19, ""en"", ""ur"")"),"پاکستان کا کون سا صوبہ، جو اپنے وسیع میدانی علاقوں اور زرعی ثقافت کے لیے جانا جاتا ہے، گلی ڈنڈا کا مرکز ہے؟")</f>
        <v>پاکستان کا کون سا صوبہ، جو اپنے وسیع میدانی علاقوں اور زرعی ثقافت کے لیے جانا جاتا ہے، گلی ڈنڈا کا مرکز ہے؟</v>
      </c>
      <c r="L19" s="5" t="str">
        <f>IFERROR(__xludf.DUMMYFUNCTION("GOOGLETRANSLATE(C19, ""en"", ""ur"")"),"A) سندھ، B) بلوچستان، C) پنجاب، D) خیبر پختونخواہ")</f>
        <v>A) سندھ، B) بلوچستان، C) پنجاب، D) خیبر پختونخواہ</v>
      </c>
      <c r="M19" s="5" t="str">
        <f>IFERROR(__xludf.DUMMYFUNCTION("GOOGLETRANSLATE(D19, ""en"", ""ur"")"),"ج) پنجاب")</f>
        <v>ج) پنجاب</v>
      </c>
      <c r="N19" s="5" t="str">
        <f>IFERROR(__xludf.DUMMYFUNCTION("GOOGLETRANSLATE(E19, ""en"", ""ur"")"),"پنجاب کے میدانی علاقے، اپنی کھلی جگہوں اور مضبوط گاؤں کی ثقافت کے ساتھ، ان خطوں میں سے ایک ہیں جو کھیل سے سب سے زیادہ وابستہ ہیں۔")</f>
        <v>پنجاب کے میدانی علاقے، اپنی کھلی جگہوں اور مضبوط گاؤں کی ثقافت کے ساتھ، ان خطوں میں سے ایک ہیں جو کھیل سے سب سے زیادہ وابستہ ہیں۔</v>
      </c>
    </row>
    <row r="20">
      <c r="A20" s="3">
        <v>19.0</v>
      </c>
      <c r="B20" s="4" t="s">
        <v>2383</v>
      </c>
      <c r="C20" s="4" t="s">
        <v>2384</v>
      </c>
      <c r="D20" s="4" t="s">
        <v>2385</v>
      </c>
      <c r="E20" s="4" t="s">
        <v>2386</v>
      </c>
      <c r="J20" s="5" t="str">
        <f>IFERROR(__xludf.DUMMYFUNCTION("GOOGLETRANSLATE(A20, ""en"", ""ur"")"),"19")</f>
        <v>19</v>
      </c>
      <c r="K20" s="5" t="str">
        <f>IFERROR(__xludf.DUMMYFUNCTION("GOOGLETRANSLATE(B20, ""en"", ""ur"")"),"گلی ڈنڈا کے تقریباً یکساں اصولوں والی گیم کا انگریزی نام کیا ہے؟")</f>
        <v>گلی ڈنڈا کے تقریباً یکساں اصولوں والی گیم کا انگریزی نام کیا ہے؟</v>
      </c>
      <c r="L20" s="5" t="str">
        <f>IFERROR(__xludf.DUMMYFUNCTION("GOOGLETRANSLATE(C20, ""en"", ""ur"")"),"A) راؤنڈرز، B) کروکیٹ، C) ٹپ کیٹ، D) اسٹول بال")</f>
        <v>A) راؤنڈرز، B) کروکیٹ، C) ٹپ کیٹ، D) اسٹول بال</v>
      </c>
      <c r="M20" s="5" t="str">
        <f>IFERROR(__xludf.DUMMYFUNCTION("GOOGLETRANSLATE(D20, ""en"", ""ur"")"),"ج) ٹپ بلی")</f>
        <v>ج) ٹپ بلی</v>
      </c>
      <c r="N20" s="5" t="str">
        <f>IFERROR(__xludf.DUMMYFUNCTION("GOOGLETRANSLATE(E20, ""en"", ""ur"")"),"ٹِپ کیٹ ایک روایتی انگلش اسٹریٹ گیم ہے جو لکڑی کے ایک چھوٹے سے ٹکڑے کو جھٹکنے اور مارنے کے ایک ہی بنیادی میکینک کا اشتراک کرتا ہے۔")</f>
        <v>ٹِپ کیٹ ایک روایتی انگلش اسٹریٹ گیم ہے جو لکڑی کے ایک چھوٹے سے ٹکڑے کو جھٹکنے اور مارنے کے ایک ہی بنیادی میکینک کا اشتراک کرتا ہے۔</v>
      </c>
    </row>
    <row r="21">
      <c r="A21" s="3">
        <v>20.0</v>
      </c>
      <c r="B21" s="4" t="s">
        <v>2387</v>
      </c>
      <c r="C21" s="4" t="s">
        <v>2388</v>
      </c>
      <c r="D21" s="4" t="s">
        <v>2389</v>
      </c>
      <c r="E21" s="4" t="s">
        <v>2390</v>
      </c>
      <c r="J21" s="5" t="str">
        <f>IFERROR(__xludf.DUMMYFUNCTION("GOOGLETRANSLATE(A21, ""en"", ""ur"")"),"20")</f>
        <v>20</v>
      </c>
      <c r="K21" s="5" t="str">
        <f>IFERROR(__xludf.DUMMYFUNCTION("GOOGLETRANSLATE(B21, ""en"", ""ur"")"),"گلی ڈنڈا کی ابتدائی فلک اور ہٹ ایکشن بیس بال سے کس طرح مختلف ہے؟")</f>
        <v>گلی ڈنڈا کی ابتدائی فلک اور ہٹ ایکشن بیس بال سے کس طرح مختلف ہے؟</v>
      </c>
      <c r="L21" s="5" t="str">
        <f>IFERROR(__xludf.DUMMYFUNCTION("GOOGLETRANSLATE(C21, ""en"", ""ur"")"),"A) اسٹرائیکر چلتی ہوئی چیز کو مارتا ہے، B) اسٹرائیکر خود اس چیز کو لانچ کرتا ہے، کوئی گھڑا نہیں ہوتا، C) ایک بڑا بلے کا استعمال کیا جاتا ہے، D) یہ ایک ٹیم کا کھیل ہے۔")</f>
        <v>A) اسٹرائیکر چلتی ہوئی چیز کو مارتا ہے، B) اسٹرائیکر خود اس چیز کو لانچ کرتا ہے، کوئی گھڑا نہیں ہوتا، C) ایک بڑا بلے کا استعمال کیا جاتا ہے، D) یہ ایک ٹیم کا کھیل ہے۔</v>
      </c>
      <c r="M21" s="5" t="str">
        <f>IFERROR(__xludf.DUMMYFUNCTION("GOOGLETRANSLATE(D21, ""en"", ""ur"")"),"ب) اسٹرائیکر خود اس چیز کو لانچ کرتا ہے، کوئی گھڑا نہیں ہے۔")</f>
        <v>ب) اسٹرائیکر خود اس چیز کو لانچ کرتا ہے، کوئی گھڑا نہیں ہے۔</v>
      </c>
      <c r="N21" s="5" t="str">
        <f>IFERROR(__xludf.DUMMYFUNCTION("GOOGLETRANSLATE(E21, ""en"", ""ur"")"),"یہ سیلف لانچنگ میکینک ایک بنیادی فرق ہے، جس سے پوری کارروائی اسٹرائیکر کے ہاتھ میں ہوتی ہے۔")</f>
        <v>یہ سیلف لانچنگ میکینک ایک بنیادی فرق ہے، جس سے پوری کارروائی اسٹرائیکر کے ہاتھ میں ہوتی ہے۔</v>
      </c>
    </row>
    <row r="22">
      <c r="A22" s="3">
        <v>21.0</v>
      </c>
      <c r="B22" s="4" t="s">
        <v>2391</v>
      </c>
      <c r="C22" s="4" t="s">
        <v>2392</v>
      </c>
      <c r="D22" s="4" t="s">
        <v>2393</v>
      </c>
      <c r="E22" s="4" t="s">
        <v>2394</v>
      </c>
      <c r="J22" s="5" t="str">
        <f>IFERROR(__xludf.DUMMYFUNCTION("GOOGLETRANSLATE(A22, ""en"", ""ur"")"),"21")</f>
        <v>21</v>
      </c>
      <c r="K22" s="5" t="str">
        <f>IFERROR(__xludf.DUMMYFUNCTION("GOOGLETRANSLATE(B22, ""en"", ""ur"")"),"کون سے مغل شہنشاہ کی یادداشتوں، بابرنامہ میں دربار اور دیہی علاقوں میں کھیلے جانے والے مختلف تفریحی کھیلوں کا ذکر ہے؟")</f>
        <v>کون سے مغل شہنشاہ کی یادداشتوں، بابرنامہ میں دربار اور دیہی علاقوں میں کھیلے جانے والے مختلف تفریحی کھیلوں کا ذکر ہے؟</v>
      </c>
      <c r="L22" s="5" t="str">
        <f>IFERROR(__xludf.DUMMYFUNCTION("GOOGLETRANSLATE(C22, ""en"", ""ur"")"),"A) اکبر، B) بابر، C) جہانگیر، D) اورنگزیب")</f>
        <v>A) اکبر، B) بابر، C) جہانگیر، D) اورنگزیب</v>
      </c>
      <c r="M22" s="5" t="str">
        <f>IFERROR(__xludf.DUMMYFUNCTION("GOOGLETRANSLATE(D22, ""en"", ""ur"")"),"ب) بابر")</f>
        <v>ب) بابر</v>
      </c>
      <c r="N22" s="5" t="str">
        <f>IFERROR(__xludf.DUMMYFUNCTION("GOOGLETRANSLATE(E22, ""en"", ""ur"")"),"بابر کی یادداشتیں اس دور کی روزمرہ کی زندگی اور تفریحات کا بھرپور بیان فراہم کرتی ہیں، بشمول وہ کھیل جو ممکنہ طور پر گلی ڈنڈا کے پیش خیمہ تھے۔")</f>
        <v>بابر کی یادداشتیں اس دور کی روزمرہ کی زندگی اور تفریحات کا بھرپور بیان فراہم کرتی ہیں، بشمول وہ کھیل جو ممکنہ طور پر گلی ڈنڈا کے پیش خیمہ تھے۔</v>
      </c>
    </row>
    <row r="23">
      <c r="A23" s="3">
        <v>22.0</v>
      </c>
      <c r="B23" s="4" t="s">
        <v>2395</v>
      </c>
      <c r="C23" s="4" t="s">
        <v>2396</v>
      </c>
      <c r="D23" s="4" t="s">
        <v>2397</v>
      </c>
      <c r="E23" s="4" t="s">
        <v>2398</v>
      </c>
      <c r="J23" s="5" t="str">
        <f>IFERROR(__xludf.DUMMYFUNCTION("GOOGLETRANSLATE(A23, ""en"", ""ur"")"),"22")</f>
        <v>22</v>
      </c>
      <c r="K23" s="5" t="str">
        <f>IFERROR(__xludf.DUMMYFUNCTION("GOOGLETRANSLATE(B23, ""en"", ""ur"")"),"گلی کو مارنے کے لیے سائیڈ آن موقف، کرکٹ میں بیٹنگ کی طرح کیوں تجویز کیا جاتا ہے؟")</f>
        <v>گلی کو مارنے کے لیے سائیڈ آن موقف، کرکٹ میں بیٹنگ کی طرح کیوں تجویز کیا جاتا ہے؟</v>
      </c>
      <c r="L23" s="5" t="str">
        <f>IFERROR(__xludf.DUMMYFUNCTION("GOOGLETRANSLATE(C23, ""en"", ""ur"")"),"A) یہ زیادہ روایتی ہے، B) یہ زیادہ جسم کو گھومنے کی اجازت دیتا ہے، جھولے میں زیادہ طاقت پیدا کرتا ہے، C) یہ فیلڈرز کا بہتر نظارہ فراہم کرتا ہے، D) یہ ہٹ کے بعد دوڑنا آسان بناتا ہے۔")</f>
        <v>A) یہ زیادہ روایتی ہے، B) یہ زیادہ جسم کو گھومنے کی اجازت دیتا ہے، جھولے میں زیادہ طاقت پیدا کرتا ہے، C) یہ فیلڈرز کا بہتر نظارہ فراہم کرتا ہے، D) یہ ہٹ کے بعد دوڑنا آسان بناتا ہے۔</v>
      </c>
      <c r="M23" s="5" t="str">
        <f>IFERROR(__xludf.DUMMYFUNCTION("GOOGLETRANSLATE(D23, ""en"", ""ur"")"),"ب) یہ زیادہ سے زیادہ جسم کی گردش کی اجازت دیتا ہے، جھولے میں زیادہ طاقت پیدا کرتا ہے۔")</f>
        <v>ب) یہ زیادہ سے زیادہ جسم کی گردش کی اجازت دیتا ہے، جھولے میں زیادہ طاقت پیدا کرتا ہے۔</v>
      </c>
      <c r="N23" s="5" t="str">
        <f>IFERROR(__xludf.DUMMYFUNCTION("GOOGLETRANSLATE(E23, ""en"", ""ur"")"),"ایک طرف کا موقف کھلاڑی کو زیادہ سے زیادہ قوت پیدا کرنے کے لیے اپنے پورے جسم — کولہوں اور کور — کو استعمال کرنے کے قابل بناتا ہے۔")</f>
        <v>ایک طرف کا موقف کھلاڑی کو زیادہ سے زیادہ قوت پیدا کرنے کے لیے اپنے پورے جسم — کولہوں اور کور — کو استعمال کرنے کے قابل بناتا ہے۔</v>
      </c>
    </row>
    <row r="24">
      <c r="A24" s="3">
        <v>23.0</v>
      </c>
      <c r="B24" s="4" t="s">
        <v>2399</v>
      </c>
      <c r="C24" s="4" t="s">
        <v>2400</v>
      </c>
      <c r="D24" s="4" t="s">
        <v>2401</v>
      </c>
      <c r="E24" s="4" t="s">
        <v>2402</v>
      </c>
      <c r="J24" s="5" t="str">
        <f>IFERROR(__xludf.DUMMYFUNCTION("GOOGLETRANSLATE(A24, ""en"", ""ur"")"),"23")</f>
        <v>23</v>
      </c>
      <c r="K24" s="5" t="str">
        <f>IFERROR(__xludf.DUMMYFUNCTION("GOOGLETRANSLATE(B24, ""en"", ""ur"")"),"ایک فیلڈر گلی کو روکتا ہے لیکن بیس سے بہت دور ہے۔ اسٹرائیکر کو آؤٹ کرنے کا سب سے مؤثر طریقہ کیا ہے؟")</f>
        <v>ایک فیلڈر گلی کو روکتا ہے لیکن بیس سے بہت دور ہے۔ اسٹرائیکر کو آؤٹ کرنے کا سب سے مؤثر طریقہ کیا ہے؟</v>
      </c>
      <c r="L24" s="5" t="str">
        <f>IFERROR(__xludf.DUMMYFUNCTION("GOOGLETRANSLATE(C24, ""en"", ""ur"")"),"A) گلی کے ساتھ پورے راستے میں دوڑنا، B) گلی کو ہر ممکن حد تک بیس کی طرف پھینکنا، C) گلی کو ریلے میں اپنے قریبی ساتھی کو پھینکنا، D) اسکور کو تسلیم کرنا")</f>
        <v>A) گلی کے ساتھ پورے راستے میں دوڑنا، B) گلی کو ہر ممکن حد تک بیس کی طرف پھینکنا، C) گلی کو ریلے میں اپنے قریبی ساتھی کو پھینکنا، D) اسکور کو تسلیم کرنا</v>
      </c>
      <c r="M24" s="5" t="str">
        <f>IFERROR(__xludf.DUMMYFUNCTION("GOOGLETRANSLATE(D24, ""en"", ""ur"")"),"ج) ریلے میں گلی کو اپنے قریبی ساتھی کو پھینکنا")</f>
        <v>ج) ریلے میں گلی کو اپنے قریبی ساتھی کو پھینکنا</v>
      </c>
      <c r="N24" s="5" t="str">
        <f>IFERROR(__xludf.DUMMYFUNCTION("GOOGLETRANSLATE(E24, ""en"", ""ur"")"),"ریلے تھرو، بالکل بیس بال کی طرح، گلی کو طویل فاصلے سے ہوم بیس پر واپس لانے کے لیے سب سے تیز اور موثر حکمت عملی ہے۔")</f>
        <v>ریلے تھرو، بالکل بیس بال کی طرح، گلی کو طویل فاصلے سے ہوم بیس پر واپس لانے کے لیے سب سے تیز اور موثر حکمت عملی ہے۔</v>
      </c>
    </row>
    <row r="25">
      <c r="A25" s="3">
        <v>24.0</v>
      </c>
      <c r="B25" s="4" t="s">
        <v>2403</v>
      </c>
      <c r="C25" s="4" t="s">
        <v>2404</v>
      </c>
      <c r="D25" s="4" t="s">
        <v>2405</v>
      </c>
      <c r="E25" s="4" t="s">
        <v>2406</v>
      </c>
      <c r="J25" s="5" t="str">
        <f>IFERROR(__xludf.DUMMYFUNCTION("GOOGLETRANSLATE(A25, ""en"", ""ur"")"),"24")</f>
        <v>24</v>
      </c>
      <c r="K25" s="5" t="str">
        <f>IFERROR(__xludf.DUMMYFUNCTION("GOOGLETRANSLATE(B25, ""en"", ""ur"")"),"""لمبی پاری"" کیا ہے؟")</f>
        <v>"لمبی پاری" کیا ہے؟</v>
      </c>
      <c r="L25" s="5" t="str">
        <f>IFERROR(__xludf.DUMMYFUNCTION("GOOGLETRANSLATE(C25, ""en"", ""ur"")"),"A) اسٹرائیکنگ میں ایک مختصر موڑ، B) ایک لمبی اور زیادہ سکور کرنے والی اننگز یا ٹرن، C) آخری کھلاڑی جو اسٹرائیک کرے، D) ایک ٹائی گیم")</f>
        <v>A) اسٹرائیکنگ میں ایک مختصر موڑ، B) ایک لمبی اور زیادہ سکور کرنے والی اننگز یا ٹرن، C) آخری کھلاڑی جو اسٹرائیک کرے، D) ایک ٹائی گیم</v>
      </c>
      <c r="M25" s="5" t="str">
        <f>IFERROR(__xludf.DUMMYFUNCTION("GOOGLETRANSLATE(D25, ""en"", ""ur"")"),"ب) ایک لمبی اور زیادہ اسکور کرنے والی اننگز یا موڑ")</f>
        <v>ب) ایک لمبی اور زیادہ اسکور کرنے والی اننگز یا موڑ</v>
      </c>
      <c r="N25" s="5" t="str">
        <f>IFERROR(__xludf.DUMMYFUNCTION("GOOGLETRANSLATE(E25, ""en"", ""ur"")"),"یہ اصطلاح ایسے اسٹرائیکر کو بیان کرنے کے لیے استعمال کی جاتی ہے جو بہت کامیاب موڑ لے رہا ہے، بغیر آؤٹ ہوئے ایک اعلی سکور جمع کر رہا ہے۔")</f>
        <v>یہ اصطلاح ایسے اسٹرائیکر کو بیان کرنے کے لیے استعمال کی جاتی ہے جو بہت کامیاب موڑ لے رہا ہے، بغیر آؤٹ ہوئے ایک اعلی سکور جمع کر رہا ہے۔</v>
      </c>
    </row>
    <row r="26">
      <c r="A26" s="3">
        <v>25.0</v>
      </c>
      <c r="B26" s="4" t="s">
        <v>2407</v>
      </c>
      <c r="C26" s="4" t="s">
        <v>2408</v>
      </c>
      <c r="D26" s="4" t="s">
        <v>2409</v>
      </c>
      <c r="E26" s="4" t="s">
        <v>2410</v>
      </c>
      <c r="J26" s="5" t="str">
        <f>IFERROR(__xludf.DUMMYFUNCTION("GOOGLETRANSLATE(A26, ""en"", ""ur"")"),"25")</f>
        <v>25</v>
      </c>
      <c r="K26" s="5" t="str">
        <f>IFERROR(__xludf.DUMMYFUNCTION("GOOGLETRANSLATE(B26, ""en"", ""ur"")"),"گلی ڈنڈا کا بنیادی سماجی پہلو کیا ہے؟")</f>
        <v>گلی ڈنڈا کا بنیادی سماجی پہلو کیا ہے؟</v>
      </c>
      <c r="L26" s="5" t="str">
        <f>IFERROR(__xludf.DUMMYFUNCTION("GOOGLETRANSLATE(C26, ""en"", ""ur"")"),"A) یہ ایک انتہائی مسابقتی، پیشہ ورانہ کھیل ہے، B) یہ ایک ایسا کھیل ہے جو ہر عمر کے کمیونٹی ممبروں کو اکٹھا کرتا ہے، C) یہ تربیت کے لیے ایک تنہا کھیل ہے، D) یہ صرف بچے کھیلتے ہیں۔")</f>
        <v>A) یہ ایک انتہائی مسابقتی، پیشہ ورانہ کھیل ہے، B) یہ ایک ایسا کھیل ہے جو ہر عمر کے کمیونٹی ممبروں کو اکٹھا کرتا ہے، C) یہ تربیت کے لیے ایک تنہا کھیل ہے، D) یہ صرف بچے کھیلتے ہیں۔</v>
      </c>
      <c r="M26" s="5" t="str">
        <f>IFERROR(__xludf.DUMMYFUNCTION("GOOGLETRANSLATE(D26, ""en"", ""ur"")"),"ب) یہ ایک ایسا کھیل ہے جو ہر عمر کے کمیونٹی ممبروں کو اکٹھا کرتا ہے۔")</f>
        <v>ب) یہ ایک ایسا کھیل ہے جو ہر عمر کے کمیونٹی ممبروں کو اکٹھا کرتا ہے۔</v>
      </c>
      <c r="N26" s="5" t="str">
        <f>IFERROR(__xludf.DUMMYFUNCTION("GOOGLETRANSLATE(E26, ""en"", ""ur"")"),"گلی ڈنڈا ایک گہری سماجی سرگرمی ہے جو دوستی، اچھی فطرت کی دشمنی، اور برادری کے تعلقات کو فروغ دیتی ہے۔")</f>
        <v>گلی ڈنڈا ایک گہری سماجی سرگرمی ہے جو دوستی، اچھی فطرت کی دشمنی، اور برادری کے تعلقات کو فروغ دیتی ہے۔</v>
      </c>
    </row>
    <row r="27">
      <c r="A27" s="3">
        <v>26.0</v>
      </c>
      <c r="B27" s="4" t="s">
        <v>2411</v>
      </c>
      <c r="C27" s="4" t="s">
        <v>2412</v>
      </c>
      <c r="D27" s="4" t="s">
        <v>2413</v>
      </c>
      <c r="E27" s="4" t="s">
        <v>2414</v>
      </c>
      <c r="J27" s="5" t="str">
        <f>IFERROR(__xludf.DUMMYFUNCTION("GOOGLETRANSLATE(A27, ""en"", ""ur"")"),"26")</f>
        <v>26</v>
      </c>
      <c r="K27" s="5" t="str">
        <f>IFERROR(__xludf.DUMMYFUNCTION("GOOGLETRANSLATE(B27, ""en"", ""ur"")"),"اگر کھیل کے دوران ایک گلی کھو جائے (مثال کے طور پر، گھنی جھاڑی میں مارا جائے)، تو عام غیر رسمی اصول کیا ہے؟")</f>
        <v>اگر کھیل کے دوران ایک گلی کھو جائے (مثال کے طور پر، گھنی جھاڑی میں مارا جائے)، تو عام غیر رسمی اصول کیا ہے؟</v>
      </c>
      <c r="L27" s="5" t="str">
        <f>IFERROR(__xludf.DUMMYFUNCTION("GOOGLETRANSLATE(C27, ""en"", ""ur"")"),"A) اسٹرائیکر کو فاتح قرار دیا جاتا ہے، B) اسٹرائیکر گلی کو ہارنے کے لیے باہر ہو جاتا ہے، C) گیلی کے ملنے تک کھیل روک دیا جاتا ہے، D) کھیل ڈرا پر ختم ہوتا ہے۔")</f>
        <v>A) اسٹرائیکر کو فاتح قرار دیا جاتا ہے، B) اسٹرائیکر گلی کو ہارنے کے لیے باہر ہو جاتا ہے، C) گیلی کے ملنے تک کھیل روک دیا جاتا ہے، D) کھیل ڈرا پر ختم ہوتا ہے۔</v>
      </c>
      <c r="M27" s="5" t="str">
        <f>IFERROR(__xludf.DUMMYFUNCTION("GOOGLETRANSLATE(D27, ""en"", ""ur"")"),"ب) اسٹرائیکر گلی کو کھونے کی وجہ سے باہر ہے۔")</f>
        <v>ب) اسٹرائیکر گلی کو کھونے کی وجہ سے باہر ہے۔</v>
      </c>
      <c r="N27" s="5" t="str">
        <f>IFERROR(__xludf.DUMMYFUNCTION("GOOGLETRANSLATE(E27, ""en"", ""ur"")"),"ایک بہت عام ""ہاؤس قاعدہ"" یہ ہے کہ اگر اسٹرائیکر گیم کا ٹکڑا کھو دیتا ہے، تو ان کی باری ختم ہو جاتی ہے۔")</f>
        <v>ایک بہت عام "ہاؤس قاعدہ" یہ ہے کہ اگر اسٹرائیکر گیم کا ٹکڑا کھو دیتا ہے، تو ان کی باری ختم ہو جاتی ہے۔</v>
      </c>
    </row>
    <row r="28">
      <c r="A28" s="3">
        <v>27.0</v>
      </c>
      <c r="B28" s="4" t="s">
        <v>2415</v>
      </c>
      <c r="C28" s="4" t="s">
        <v>2416</v>
      </c>
      <c r="D28" s="4" t="s">
        <v>2417</v>
      </c>
      <c r="E28" s="4" t="s">
        <v>2418</v>
      </c>
      <c r="J28" s="5" t="str">
        <f>IFERROR(__xludf.DUMMYFUNCTION("GOOGLETRANSLATE(A28, ""en"", ""ur"")"),"27")</f>
        <v>27</v>
      </c>
      <c r="K28" s="5" t="str">
        <f>IFERROR(__xludf.DUMMYFUNCTION("GOOGLETRANSLATE(B28, ""en"", ""ur"")"),"اسکورنگ کے تناظر میں 'ڈنڈا' کیا ہے؟")</f>
        <v>اسکورنگ کے تناظر میں 'ڈنڈا' کیا ہے؟</v>
      </c>
      <c r="L28" s="5" t="str">
        <f>IFERROR(__xludf.DUMMYFUNCTION("GOOGLETRANSLATE(C28, ""en"", ""ur"")"),"الف")</f>
        <v>الف</v>
      </c>
      <c r="M28" s="5" t="str">
        <f>IFERROR(__xludf.DUMMYFUNCTION("GOOGLETRANSLATE(D28, ""en"", ""ur"")"),"ب) پیمائش کی اکائی، بڑی چھڑی کی لمبائی کے برابر")</f>
        <v>ب) پیمائش کی اکائی، بڑی چھڑی کی لمبائی کے برابر</v>
      </c>
      <c r="N28" s="5" t="str">
        <f>IFERROR(__xludf.DUMMYFUNCTION("GOOGLETRANSLATE(E28, ""en"", ""ur"")"),"اسکور کو 'ڈنڈاس' میں شمار کیا جاتا ہے، مثال کے طور پر، ""یہ 50 ڈنڈوں کا ہٹ تھا۔""")</f>
        <v>اسکور کو 'ڈنڈاس' میں شمار کیا جاتا ہے، مثال کے طور پر، "یہ 50 ڈنڈوں کا ہٹ تھا۔"</v>
      </c>
    </row>
    <row r="29">
      <c r="A29" s="3">
        <v>28.0</v>
      </c>
      <c r="B29" s="4" t="s">
        <v>2419</v>
      </c>
      <c r="C29" s="4" t="s">
        <v>2420</v>
      </c>
      <c r="D29" s="4" t="s">
        <v>2421</v>
      </c>
      <c r="E29" s="4" t="s">
        <v>2422</v>
      </c>
      <c r="J29" s="5" t="str">
        <f>IFERROR(__xludf.DUMMYFUNCTION("GOOGLETRANSLATE(A29, ""en"", ""ur"")"),"28")</f>
        <v>28</v>
      </c>
      <c r="K29" s="5" t="str">
        <f>IFERROR(__xludf.DUMMYFUNCTION("GOOGLETRANSLATE(B29, ""en"", ""ur"")"),"گلی کا نسبتاً ہلکی لکڑی کا ہونا کیوں ضروری ہے؟")</f>
        <v>گلی کا نسبتاً ہلکی لکڑی کا ہونا کیوں ضروری ہے؟</v>
      </c>
      <c r="L29" s="5" t="str">
        <f>IFERROR(__xludf.DUMMYFUNCTION("GOOGLETRANSLATE(C29, ""en"", ""ur"")"),"A) اسے دور تک اڑانے اور کسی سے ٹکرانے پر کم خطرناک ہونے کے لیے، B) اسے پیدا کرنا سستا ہے، C) اسے تراشنا آسان ہے، D) مارنے پر یہ تیز آواز نکالتا ہے۔")</f>
        <v>A) اسے دور تک اڑانے اور کسی سے ٹکرانے پر کم خطرناک ہونے کے لیے، B) اسے پیدا کرنا سستا ہے، C) اسے تراشنا آسان ہے، D) مارنے پر یہ تیز آواز نکالتا ہے۔</v>
      </c>
      <c r="M29" s="5" t="str">
        <f>IFERROR(__xludf.DUMMYFUNCTION("GOOGLETRANSLATE(D29, ""en"", ""ur"")"),"ا) اسے دور تک اڑانے کے لیے اور اگر یہ کسی سے ٹکرا جائے تو کم خطرناک ہو۔")</f>
        <v>ا) اسے دور تک اڑانے کے لیے اور اگر یہ کسی سے ٹکرا جائے تو کم خطرناک ہو۔</v>
      </c>
      <c r="N29" s="5" t="str">
        <f>IFERROR(__xludf.DUMMYFUNCTION("GOOGLETRANSLATE(E29, ""en"", ""ur"")"),"ہلکی گلی فیلڈرز کے لیے کم حفاظتی خطرہ لاحق ہوتی ہے اور لمبی دوری کے حصول کے لیے بہتر ایروڈائنامک خصوصیات رکھتی ہے۔")</f>
        <v>ہلکی گلی فیلڈرز کے لیے کم حفاظتی خطرہ لاحق ہوتی ہے اور لمبی دوری کے حصول کے لیے بہتر ایروڈائنامک خصوصیات رکھتی ہے۔</v>
      </c>
    </row>
    <row r="30">
      <c r="A30" s="3">
        <v>29.0</v>
      </c>
      <c r="B30" s="4" t="s">
        <v>2423</v>
      </c>
      <c r="C30" s="4" t="s">
        <v>2424</v>
      </c>
      <c r="D30" s="4" t="s">
        <v>2425</v>
      </c>
      <c r="E30" s="4" t="s">
        <v>2426</v>
      </c>
      <c r="J30" s="5" t="str">
        <f>IFERROR(__xludf.DUMMYFUNCTION("GOOGLETRANSLATE(A30, ""en"", ""ur"")"),"29")</f>
        <v>29</v>
      </c>
      <c r="K30" s="5" t="str">
        <f>IFERROR(__xludf.DUMMYFUNCTION("GOOGLETRANSLATE(B30, ""en"", ""ur"")"),"ایک فیلڈر گلی کو اپنی ہیٹ یا اپنی قمیض کے فولڈ میں پکڑتا ہے۔ کیا یہ قانونی پکڑ ہے؟")</f>
        <v>ایک فیلڈر گلی کو اپنی ہیٹ یا اپنی قمیض کے فولڈ میں پکڑتا ہے۔ کیا یہ قانونی پکڑ ہے؟</v>
      </c>
      <c r="L30" s="5" t="str">
        <f>IFERROR(__xludf.DUMMYFUNCTION("GOOGLETRANSLATE(C30, ""en"", ""ur"")"),"A) جی ہاں، جب تک یہ زمین کو نہ چھوئے، B) نہیں، کیچ کو ننگے ہاتھوں سے لیا جانا چاہیے، C) یہ فیصلہ اسٹرائیکر پر منحصر ہے، D) باری کو دوبارہ چلایا جانا چاہیے۔")</f>
        <v>A) جی ہاں، جب تک یہ زمین کو نہ چھوئے، B) نہیں، کیچ کو ننگے ہاتھوں سے لیا جانا چاہیے، C) یہ فیصلہ اسٹرائیکر پر منحصر ہے، D) باری کو دوبارہ چلایا جانا چاہیے۔</v>
      </c>
      <c r="M30" s="5" t="str">
        <f>IFERROR(__xludf.DUMMYFUNCTION("GOOGLETRANSLATE(D30, ""en"", ""ur"")"),"ب) نہیں، کیچ کو ننگے ہاتھوں سے بنایا جانا چاہیے۔")</f>
        <v>ب) نہیں، کیچ کو ننگے ہاتھوں سے بنایا جانا چاہیے۔</v>
      </c>
      <c r="N30" s="5" t="str">
        <f>IFERROR(__xludf.DUMMYFUNCTION("GOOGLETRANSLATE(E30, ""en"", ""ur"")"),"روایتی اصولوں میں، کیچ صرف اس صورت میں درست ہے جب ہاتھ سے صاف کیا جائے۔ کیچ میں مدد کے لیے لباس استعمال کرنے کی اجازت نہیں ہے۔")</f>
        <v>روایتی اصولوں میں، کیچ صرف اس صورت میں درست ہے جب ہاتھ سے صاف کیا جائے۔ کیچ میں مدد کے لیے لباس استعمال کرنے کی اجازت نہیں ہے۔</v>
      </c>
    </row>
    <row r="31">
      <c r="A31" s="3">
        <v>30.0</v>
      </c>
      <c r="B31" s="4" t="s">
        <v>2427</v>
      </c>
      <c r="C31" s="4" t="s">
        <v>2428</v>
      </c>
      <c r="D31" s="4" t="s">
        <v>2429</v>
      </c>
      <c r="E31" s="4" t="s">
        <v>2430</v>
      </c>
      <c r="J31" s="5" t="str">
        <f>IFERROR(__xludf.DUMMYFUNCTION("GOOGLETRANSLATE(A31, ""en"", ""ur"")"),"30")</f>
        <v>30</v>
      </c>
      <c r="K31" s="5" t="str">
        <f>IFERROR(__xludf.DUMMYFUNCTION("GOOGLETRANSLATE(B31, ""en"", ""ur"")"),"آرام دہ اور پرسکون کھیل میں کھلاڑیوں کے درمیان جھگڑے کی سب سے عام وجہ کیا ہے؟")</f>
        <v>آرام دہ اور پرسکون کھیل میں کھلاڑیوں کے درمیان جھگڑے کی سب سے عام وجہ کیا ہے؟</v>
      </c>
      <c r="L31" s="5" t="str">
        <f>IFERROR(__xludf.DUMMYFUNCTION("GOOGLETRANSLATE(C31, ""en"", ""ur"")"),"A) سامان کا معیار، B) اسکور کرتے وقت فاصلے کی پیمائش کی درستگی، C) موسمی حالات، D) دن کا وقت")</f>
        <v>A) سامان کا معیار، B) اسکور کرتے وقت فاصلے کی پیمائش کی درستگی، C) موسمی حالات، D) دن کا وقت</v>
      </c>
      <c r="M31" s="5" t="str">
        <f>IFERROR(__xludf.DUMMYFUNCTION("GOOGLETRANSLATE(D31, ""en"", ""ur"")"),"ب) اسکور کرتے وقت فاصلے کی پیمائش کی درستگی")</f>
        <v>ب) اسکور کرتے وقت فاصلے کی پیمائش کی درستگی</v>
      </c>
      <c r="N31" s="5" t="str">
        <f>IFERROR(__xludf.DUMMYFUNCTION("GOOGLETRANSLATE(E31, ""en"", ""ur"")"),"چونکہ اسکورنگ کی پیمائش ڈنڈا کو جسمانی طور پر زمین پر رکھ کر اور گنتی سے کی جاتی ہے، اس لیے درست گنتی پر اختلاف اکثر تنازعات کی وجہ ہے۔")</f>
        <v>چونکہ اسکورنگ کی پیمائش ڈنڈا کو جسمانی طور پر زمین پر رکھ کر اور گنتی سے کی جاتی ہے، اس لیے درست گنتی پر اختلاف اکثر تنازعات کی وجہ ہے۔</v>
      </c>
    </row>
    <row r="32">
      <c r="A32" s="3">
        <v>31.0</v>
      </c>
      <c r="B32" s="4" t="s">
        <v>2431</v>
      </c>
      <c r="C32" s="4" t="s">
        <v>2432</v>
      </c>
      <c r="D32" s="4" t="s">
        <v>2433</v>
      </c>
      <c r="E32" s="4" t="s">
        <v>2434</v>
      </c>
      <c r="J32" s="5" t="str">
        <f>IFERROR(__xludf.DUMMYFUNCTION("GOOGLETRANSLATE(A32, ""en"", ""ur"")"),"31")</f>
        <v>31</v>
      </c>
      <c r="K32" s="5" t="str">
        <f>IFERROR(__xludf.DUMMYFUNCTION("GOOGLETRANSLATE(B32, ""en"", ""ur"")"),"پاکستانی ثقافت کے تناظر میں گلی ڈنڈا اکثر کس چیز کی علامت کے طور پر استعمال ہوتا ہے؟")</f>
        <v>پاکستانی ثقافت کے تناظر میں گلی ڈنڈا اکثر کس چیز کی علامت کے طور پر استعمال ہوتا ہے؟</v>
      </c>
      <c r="L32" s="5" t="str">
        <f>IFERROR(__xludf.DUMMYFUNCTION("GOOGLETRANSLATE(C32, ""en"", ""ur"")"),"A) جدیدیت اور ترقی، B) دولت اور حیثیت، C) ایک سادہ، پرانی یادوں کا دیہی ماضی، D) سیاسی احتجاج")</f>
        <v>A) جدیدیت اور ترقی، B) دولت اور حیثیت، C) ایک سادہ، پرانی یادوں کا دیہی ماضی، D) سیاسی احتجاج</v>
      </c>
      <c r="M32" s="5" t="str">
        <f>IFERROR(__xludf.DUMMYFUNCTION("GOOGLETRANSLATE(D32, ""en"", ""ur"")"),"ج) ایک آسان، پرانی یادوں کا دیہی ماضی")</f>
        <v>ج) ایک آسان، پرانی یادوں کا دیہی ماضی</v>
      </c>
      <c r="N32" s="5" t="str">
        <f>IFERROR(__xludf.DUMMYFUNCTION("GOOGLETRANSLATE(E32, ""en"", ""ur"")"),"اس کھیل کو اکثر پاکستانی ادب اور میڈیا میں بچپن کی پیاری اور غائب ہونے والی معصومیت کی طاقتور علامت کے طور پر حوالہ دیا جاتا ہے۔")</f>
        <v>اس کھیل کو اکثر پاکستانی ادب اور میڈیا میں بچپن کی پیاری اور غائب ہونے والی معصومیت کی طاقتور علامت کے طور پر حوالہ دیا جاتا ہے۔</v>
      </c>
    </row>
    <row r="33">
      <c r="A33" s="3">
        <v>32.0</v>
      </c>
      <c r="B33" s="4" t="s">
        <v>2435</v>
      </c>
      <c r="C33" s="4" t="s">
        <v>2436</v>
      </c>
      <c r="D33" s="4" t="s">
        <v>2437</v>
      </c>
      <c r="E33" s="4" t="s">
        <v>2438</v>
      </c>
      <c r="J33" s="5" t="str">
        <f>IFERROR(__xludf.DUMMYFUNCTION("GOOGLETRANSLATE(A33, ""en"", ""ur"")"),"32")</f>
        <v>32</v>
      </c>
      <c r="K33" s="5" t="str">
        <f>IFERROR(__xludf.DUMMYFUNCTION("GOOGLETRANSLATE(B33, ""en"", ""ur"")"),"ابتدائی ""فلک"" کا بنیادی کردار کیا ہے جو گلی کو ہوا میں پھینک دیتا ہے؟")</f>
        <v>ابتدائی "فلک" کا بنیادی کردار کیا ہے جو گلی کو ہوا میں پھینک دیتا ہے؟</v>
      </c>
      <c r="L33" s="5" t="str">
        <f>IFERROR(__xludf.DUMMYFUNCTION("GOOGLETRANSLATE(C33, ""en"", ""ur"")"),"A) ایک پوائنٹ حاصل کرنے کے لیے، B) فاصلے کے لیے اہم، طاقتور اسٹرائیک قائم کرنے کے لیے، C) فیلڈرز کو الجھانے کے لیے، D) ہوا کی سمت کو جانچنا")</f>
        <v>A) ایک پوائنٹ حاصل کرنے کے لیے، B) فاصلے کے لیے اہم، طاقتور اسٹرائیک قائم کرنے کے لیے، C) فیلڈرز کو الجھانے کے لیے، D) ہوا کی سمت کو جانچنا</v>
      </c>
      <c r="M33" s="5" t="str">
        <f>IFERROR(__xludf.DUMMYFUNCTION("GOOGLETRANSLATE(D33, ""en"", ""ur"")"),"ب) فاصلے کے لئے اہم، طاقتور ہڑتال قائم کرنے کے لئے")</f>
        <v>ب) فاصلے کے لئے اہم، طاقتور ہڑتال قائم کرنے کے لئے</v>
      </c>
      <c r="N33" s="5" t="str">
        <f>IFERROR(__xludf.DUMMYFUNCTION("GOOGLETRANSLATE(E33, ""en"", ""ur"")"),"پہلی ہٹ ایک سیٹ اپ ہے، جسے گلی کو ہوا سے باہر نکالنے کے لیے ڈیزائن کیا گیا ہے تاکہ اسے دوسری، زیادہ طاقتور ہٹ پر پوری طاقت سے مارا جا سکے۔")</f>
        <v>پہلی ہٹ ایک سیٹ اپ ہے، جسے گلی کو ہوا سے باہر نکالنے کے لیے ڈیزائن کیا گیا ہے تاکہ اسے دوسری، زیادہ طاقتور ہٹ پر پوری طاقت سے مارا جا سکے۔</v>
      </c>
    </row>
    <row r="34">
      <c r="A34" s="3">
        <v>33.0</v>
      </c>
      <c r="B34" s="4" t="s">
        <v>2439</v>
      </c>
      <c r="C34" s="4" t="s">
        <v>2440</v>
      </c>
      <c r="D34" s="4" t="s">
        <v>2441</v>
      </c>
      <c r="E34" s="4" t="s">
        <v>2442</v>
      </c>
      <c r="J34" s="5" t="str">
        <f>IFERROR(__xludf.DUMMYFUNCTION("GOOGLETRANSLATE(A34, ""en"", ""ur"")"),"33")</f>
        <v>33</v>
      </c>
      <c r="K34" s="5" t="str">
        <f>IFERROR(__xludf.DUMMYFUNCTION("GOOGLETRANSLATE(B34, ""en"", ""ur"")"),"پاکستان کے کس مشہور شاعر اور فلسفی نے اپنی تخلیقات میں جوانی کی تفریح ​​کے حوالے سے گلی ڈنڈا کا ذکر کیا ہے؟")</f>
        <v>پاکستان کے کس مشہور شاعر اور فلسفی نے اپنی تخلیقات میں جوانی کی تفریح ​​کے حوالے سے گلی ڈنڈا کا ذکر کیا ہے؟</v>
      </c>
      <c r="L34" s="5" t="str">
        <f>IFERROR(__xludf.DUMMYFUNCTION("GOOGLETRANSLATE(C34, ""en"", ""ur"")"),"الف) فیض احمد فیض، ب) علامہ اقبال، سی) مرزا غالب، ڈی) احمد راہی۔")</f>
        <v>الف) فیض احمد فیض، ب) علامہ اقبال، سی) مرزا غالب، ڈی) احمد راہی۔</v>
      </c>
      <c r="M34" s="5" t="str">
        <f>IFERROR(__xludf.DUMMYFUNCTION("GOOGLETRANSLATE(D34, ""en"", ""ur"")"),"ب) علامہ اقبال")</f>
        <v>ب) علامہ اقبال</v>
      </c>
      <c r="N34" s="5" t="str">
        <f>IFERROR(__xludf.DUMMYFUNCTION("GOOGLETRANSLATE(E34, ""en"", ""ur"")"),"پاکستان کی تاریخ کی ایک اہم شخصیت علامہ اقبال نے کبھی کبھار اپنی تحریروں میں گلی ڈنڈا جیسے روایتی کھیلوں کا حوالہ دیا۔")</f>
        <v>پاکستان کی تاریخ کی ایک اہم شخصیت علامہ اقبال نے کبھی کبھار اپنی تحریروں میں گلی ڈنڈا جیسے روایتی کھیلوں کا حوالہ دیا۔</v>
      </c>
    </row>
    <row r="35">
      <c r="A35" s="3">
        <v>34.0</v>
      </c>
      <c r="B35" s="4" t="s">
        <v>2443</v>
      </c>
      <c r="C35" s="4" t="s">
        <v>2444</v>
      </c>
      <c r="D35" s="4" t="s">
        <v>2445</v>
      </c>
      <c r="E35" s="4" t="s">
        <v>2446</v>
      </c>
      <c r="J35" s="5" t="str">
        <f>IFERROR(__xludf.DUMMYFUNCTION("GOOGLETRANSLATE(A35, ""en"", ""ur"")"),"34")</f>
        <v>34</v>
      </c>
      <c r="K35" s="5" t="str">
        <f>IFERROR(__xludf.DUMMYFUNCTION("GOOGLETRANSLATE(B35, ""en"", ""ur"")"),"ایک طرف کا موقف کیوں ہے، جس کا جسم ہٹ کی سمت پر کھڑا ہو جاتا ہے، مارنے کے لیے تجویز کردہ کرنسی؟")</f>
        <v>ایک طرف کا موقف کیوں ہے، جس کا جسم ہٹ کی سمت پر کھڑا ہو جاتا ہے، مارنے کے لیے تجویز کردہ کرنسی؟</v>
      </c>
      <c r="L35" s="5" t="str">
        <f>IFERROR(__xludf.DUMMYFUNCTION("GOOGLETRANSLATE(C35, ""en"", ""ur"")"),"A) یہ زیادہ روایتی ہے، B) یہ جسم کو زیادہ گھومنے اور طاقت دینے کی اجازت دیتا ہے، C) یہ فیلڈرز کا بہتر نظارہ فراہم کرتا ہے، D) یہ ہٹ کرنے کے بعد دوڑنا آسان بناتا ہے۔")</f>
        <v>A) یہ زیادہ روایتی ہے، B) یہ جسم کو زیادہ گھومنے اور طاقت دینے کی اجازت دیتا ہے، C) یہ فیلڈرز کا بہتر نظارہ فراہم کرتا ہے، D) یہ ہٹ کرنے کے بعد دوڑنا آسان بناتا ہے۔</v>
      </c>
      <c r="M35" s="5" t="str">
        <f>IFERROR(__xludf.DUMMYFUNCTION("GOOGLETRANSLATE(D35, ""en"", ""ur"")"),"ب) یہ زیادہ سے زیادہ جسم کی گردش اور طاقت کی اجازت دیتا ہے۔")</f>
        <v>ب) یہ زیادہ سے زیادہ جسم کی گردش اور طاقت کی اجازت دیتا ہے۔</v>
      </c>
      <c r="N35" s="5" t="str">
        <f>IFERROR(__xludf.DUMMYFUNCTION("GOOGLETRANSLATE(E35, ""en"", ""ur"")"),"کرکٹ یا بیس بال میں بیٹنگ کی طرح، ایک سائیڈ آن اسٹینس کھلاڑی کو اس قابل بناتا ہے کہ وہ اپنے پورے جسم یعنی کولہوں، کور اور کندھوں کو استعمال کر کے سوئنگ میں زیادہ سے زیادہ قوت پیدا کر سکے۔")</f>
        <v>کرکٹ یا بیس بال میں بیٹنگ کی طرح، ایک سائیڈ آن اسٹینس کھلاڑی کو اس قابل بناتا ہے کہ وہ اپنے پورے جسم یعنی کولہوں، کور اور کندھوں کو استعمال کر کے سوئنگ میں زیادہ سے زیادہ قوت پیدا کر سکے۔</v>
      </c>
    </row>
    <row r="36">
      <c r="A36" s="3">
        <v>35.0</v>
      </c>
      <c r="B36" s="4" t="s">
        <v>2447</v>
      </c>
      <c r="C36" s="4" t="s">
        <v>2448</v>
      </c>
      <c r="D36" s="4" t="s">
        <v>2449</v>
      </c>
      <c r="E36" s="4" t="s">
        <v>2450</v>
      </c>
      <c r="J36" s="5" t="str">
        <f>IFERROR(__xludf.DUMMYFUNCTION("GOOGLETRANSLATE(A36, ""en"", ""ur"")"),"35")</f>
        <v>35</v>
      </c>
      <c r="K36" s="5" t="str">
        <f>IFERROR(__xludf.DUMMYFUNCTION("GOOGLETRANSLATE(B36, ""en"", ""ur"")"),"ایک فیلڈر گلی کو کیچ کرتا ہے لیکن پھر ٹھوکر کھا کر باؤنڈری لائن پر گر جاتا ہے۔ کیا اسٹرائیکر باہر ہے؟")</f>
        <v>ایک فیلڈر گلی کو کیچ کرتا ہے لیکن پھر ٹھوکر کھا کر باؤنڈری لائن پر گر جاتا ہے۔ کیا اسٹرائیکر باہر ہے؟</v>
      </c>
      <c r="L36" s="5" t="str">
        <f>IFERROR(__xludf.DUMMYFUNCTION("GOOGLETRANSLATE(C36, ""en"", ""ur"")"),"A)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f>
        <v>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v>
      </c>
      <c r="M36" s="5" t="str">
        <f>IFERROR(__xludf.DUMMYFUNCTION("GOOGLETRANSLATE(D36, ""en"", ""ur"")"),"ب) نہیں، فیلڈر کو اپنے جسم کو قابو میں رکھتے ہوئے اور باؤنڈری کے اندر کیچ مکمل کرنا چاہیے۔")</f>
        <v>ب) نہیں، فیلڈر کو اپنے جسم کو قابو میں رکھتے ہوئے اور باؤنڈری کے اندر کیچ مکمل کرنا چاہیے۔</v>
      </c>
      <c r="N36" s="5" t="str">
        <f>IFERROR(__xludf.DUMMYFUNCTION("GOOGLETRANSLATE(E36, ""en"", ""ur"")"),"کرکٹ کی طرح، ایک فیلڈر کو قانونی طور پر کھیل کے میدان کے اندر رہتے ہوئے کیچ پر مکمل کنٹرول ہونا چاہیے۔")</f>
        <v>کرکٹ کی طرح، ایک فیلڈر کو قانونی طور پر کھیل کے میدان کے اندر رہتے ہوئے کیچ پر مکمل کنٹرول ہونا چاہیے۔</v>
      </c>
    </row>
    <row r="37">
      <c r="A37" s="3">
        <v>36.0</v>
      </c>
      <c r="B37" s="4" t="s">
        <v>2451</v>
      </c>
      <c r="C37" s="4" t="s">
        <v>2452</v>
      </c>
      <c r="D37" s="4" t="s">
        <v>2453</v>
      </c>
      <c r="E37" s="4" t="s">
        <v>2454</v>
      </c>
      <c r="J37" s="5" t="str">
        <f>IFERROR(__xludf.DUMMYFUNCTION("GOOGLETRANSLATE(A37, ""en"", ""ur"")"),"36")</f>
        <v>36</v>
      </c>
      <c r="K37" s="5" t="str">
        <f>IFERROR(__xludf.DUMMYFUNCTION("GOOGLETRANSLATE(B37, ""en"", ""ur"")"),"پاکستان کے بڑے شہری مراکز میں گلی ڈنڈا کے زوال کی بنیادی وجہ کیا ہے؟")</f>
        <v>پاکستان کے بڑے شہری مراکز میں گلی ڈنڈا کے زوال کی بنیادی وجہ کیا ہے؟</v>
      </c>
      <c r="L37" s="5" t="str">
        <f>IFERROR(__xludf.DUMMYFUNCTION("GOOGLETRANSLATE(C37, ""en"", ""ur"")"),"A) اس کھیل پر سرکاری طور پر پابندی عائد کر دی گئی ہے، B) محفوظ، کھلی جگہوں کا فقدان اور کرکٹ جیسے دیگر کھیلوں کا عروج، C) سازوسامان اب بنانا بہت مہنگا ہے، D) نوجوانوں کی طرف سے اسے پرانے زمانے کا کھیل سمجھا جاتا ہے۔")</f>
        <v>A) اس کھیل پر سرکاری طور پر پابندی عائد کر دی گئی ہے، B) محفوظ، کھلی جگہوں کا فقدان اور کرکٹ جیسے دیگر کھیلوں کا عروج، C) سازوسامان اب بنانا بہت مہنگا ہے، D) نوجوانوں کی طرف سے اسے پرانے زمانے کا کھیل سمجھا جاتا ہے۔</v>
      </c>
      <c r="M37" s="5" t="str">
        <f>IFERROR(__xludf.DUMMYFUNCTION("GOOGLETRANSLATE(D37, ""en"", ""ur"")"),"ب) محفوظ، کھلی جگہوں کی کمی اور کرکٹ جیسے دیگر کھیلوں کا عروج")</f>
        <v>ب) محفوظ، کھلی جگہوں کی کمی اور کرکٹ جیسے دیگر کھیلوں کا عروج</v>
      </c>
      <c r="N37" s="5" t="str">
        <f>IFERROR(__xludf.DUMMYFUNCTION("GOOGLETRANSLATE(E37, ""en"", ""ur"")"),"شہری کاری کی وجہ سے کھلے میدان ختم ہو گئے ہیں، اور جدید، عالمی سطح پر تسلیم شدہ کھیل زیادہ مقبول ہو گئے ہیں۔")</f>
        <v>شہری کاری کی وجہ سے کھلے میدان ختم ہو گئے ہیں، اور جدید، عالمی سطح پر تسلیم شدہ کھیل زیادہ مقبول ہو گئے ہیں۔</v>
      </c>
    </row>
    <row r="38">
      <c r="A38" s="3">
        <v>37.0</v>
      </c>
      <c r="B38" s="4" t="s">
        <v>2455</v>
      </c>
      <c r="C38" s="4" t="s">
        <v>2456</v>
      </c>
      <c r="D38" s="4" t="s">
        <v>2457</v>
      </c>
      <c r="E38" s="4" t="s">
        <v>2458</v>
      </c>
      <c r="J38" s="5" t="str">
        <f>IFERROR(__xludf.DUMMYFUNCTION("GOOGLETRANSLATE(A38, ""en"", ""ur"")"),"37")</f>
        <v>37</v>
      </c>
      <c r="K38" s="5" t="str">
        <f>IFERROR(__xludf.DUMMYFUNCTION("GOOGLETRANSLATE(B38, ""en"", ""ur"")"),"ایک فیلڈر گلی کو اپنے پاؤں سے روکتا ہے اور پھر اسے اٹھاتا ہے۔ کیا اس کی اجازت ہے؟")</f>
        <v>ایک فیلڈر گلی کو اپنے پاؤں سے روکتا ہے اور پھر اسے اٹھاتا ہے۔ کیا اس کی اجازت ہے؟</v>
      </c>
      <c r="L38" s="5" t="str">
        <f>IFERROR(__xludf.DUMMYFUNCTION("GOOGLETRANSLATE(C38, ""en"", ""ur"")"),"A) نہیں، گلی کو فیلڈ کرنے کے لیے صرف ہاتھ ہی استعمال کیے جا سکتے ہیں، B) ہاں، ایک فیلڈر اپنے جسم کے کسی بھی حصے سے گلی کو روک سکتا ہے، C) صرف اس صورت میں جب گلی پہلے ہی زمین پر لڑھک رہی ہو، D) اس کے نتیجے میں فیلڈنگ ٹیم کو جرمانہ ہو گا۔")</f>
        <v>A) نہیں، گلی کو فیلڈ کرنے کے لیے صرف ہاتھ ہی استعمال کیے جا سکتے ہیں، B) ہاں، ایک فیلڈر اپنے جسم کے کسی بھی حصے سے گلی کو روک سکتا ہے، C) صرف اس صورت میں جب گلی پہلے ہی زمین پر لڑھک رہی ہو، D) اس کے نتیجے میں فیلڈنگ ٹیم کو جرمانہ ہو گا۔</v>
      </c>
      <c r="M38" s="5" t="str">
        <f>IFERROR(__xludf.DUMMYFUNCTION("GOOGLETRANSLATE(D38, ""en"", ""ur"")"),"ب) جی ہاں، ایک فیلڈر اپنے جسم کے کسی بھی حصے سے گلی کو روک سکتا ہے۔")</f>
        <v>ب) جی ہاں، ایک فیلڈر اپنے جسم کے کسی بھی حصے سے گلی کو روک سکتا ہے۔</v>
      </c>
      <c r="N38" s="5" t="str">
        <f>IFERROR(__xludf.DUMMYFUNCTION("GOOGLETRANSLATE(E38, ""en"", ""ur"")"),"ایک فیلڈر کو اجازت ہے کہ وہ اپنے ہاتھ، پاؤں یا اپنے جسم کے کسی بھی حصے کو پھینکنے سے پہلے گلی کو روکنے کے لیے استعمال کرے۔")</f>
        <v>ایک فیلڈر کو اجازت ہے کہ وہ اپنے ہاتھ، پاؤں یا اپنے جسم کے کسی بھی حصے کو پھینکنے سے پہلے گلی کو روکنے کے لیے استعمال کرے۔</v>
      </c>
    </row>
    <row r="39">
      <c r="A39" s="3">
        <v>38.0</v>
      </c>
      <c r="B39" s="4" t="s">
        <v>2459</v>
      </c>
      <c r="C39" s="4" t="s">
        <v>2460</v>
      </c>
      <c r="D39" s="4" t="s">
        <v>2461</v>
      </c>
      <c r="E39" s="4" t="s">
        <v>2462</v>
      </c>
      <c r="J39" s="5" t="str">
        <f>IFERROR(__xludf.DUMMYFUNCTION("GOOGLETRANSLATE(A39, ""en"", ""ur"")"),"38")</f>
        <v>38</v>
      </c>
      <c r="K39" s="5" t="str">
        <f>IFERROR(__xludf.DUMMYFUNCTION("GOOGLETRANSLATE(B39, ""en"", ""ur"")"),"گلی ڈنڈا میں ""جگنگ"" کی اصطلاح کیا مراد ہے؟")</f>
        <v>گلی ڈنڈا میں "جگنگ" کی اصطلاح کیا مراد ہے؟</v>
      </c>
      <c r="L39" s="5" t="str">
        <f>IFERROR(__xludf.DUMMYFUNCTION("GOOGLETRANSLATE(C39, ""en"", ""ur"")"),"A) ایک فیلڈر کیچ بول رہا ہے، B) اسٹرائیکر مین اسٹرائیک سے پہلے گلی کو کئی بار ہوا میں مار رہا ہے، C) گلی کو فیلڈرز کے درمیان پھینکنا، D) یہ فیصلہ کرنے کا طریقہ کہ کون شروع کرتا ہے۔")</f>
        <v>A) ایک فیلڈر کیچ بول رہا ہے، B) اسٹرائیکر مین اسٹرائیک سے پہلے گلی کو کئی بار ہوا میں مار رہا ہے، C) گلی کو فیلڈرز کے درمیان پھینکنا، D) یہ فیصلہ کرنے کا طریقہ کہ کون شروع کرتا ہے۔</v>
      </c>
      <c r="M39" s="5" t="str">
        <f>IFERROR(__xludf.DUMMYFUNCTION("GOOGLETRANSLATE(D39, ""en"", ""ur"")"),"ب) اسٹرائیکر مین اسٹرائیک سے پہلے گلی کو کئی بار ہوا میں مار رہا ہے۔")</f>
        <v>ب) اسٹرائیکر مین اسٹرائیک سے پہلے گلی کو کئی بار ہوا میں مار رہا ہے۔</v>
      </c>
      <c r="N39" s="5" t="str">
        <f>IFERROR(__xludf.DUMMYFUNCTION("GOOGLETRANSLATE(E39, ""en"", ""ur"")"),"کچھ تغیرات میں، ایک ہنر مند کھلاڑی ڈنڈا کے ساتھ گلی کو ""جگل"" کر سکتا ہے تاکہ اسے طاقتور ہٹ کے لیے بہترین پوزیشن میں لے جا سکے۔")</f>
        <v>کچھ تغیرات میں، ایک ہنر مند کھلاڑی ڈنڈا کے ساتھ گلی کو "جگل" کر سکتا ہے تاکہ اسے طاقتور ہٹ کے لیے بہترین پوزیشن میں لے جا سکے۔</v>
      </c>
    </row>
    <row r="40">
      <c r="A40" s="3">
        <v>39.0</v>
      </c>
      <c r="B40" s="4" t="s">
        <v>2463</v>
      </c>
      <c r="C40" s="4" t="s">
        <v>2464</v>
      </c>
      <c r="D40" s="4" t="s">
        <v>2465</v>
      </c>
      <c r="E40" s="4" t="s">
        <v>2466</v>
      </c>
      <c r="J40" s="5" t="str">
        <f>IFERROR(__xludf.DUMMYFUNCTION("GOOGLETRANSLATE(A40, ""en"", ""ur"")"),"39")</f>
        <v>39</v>
      </c>
      <c r="K40" s="5" t="str">
        <f>IFERROR(__xludf.DUMMYFUNCTION("GOOGLETRANSLATE(B40, ""en"", ""ur"")"),"گلی ڈنڈا جیسے روایتی لوک کھیلوں کے تحفظ میں کون سا پاکستانی قومی ادارہ شامل ہے؟")</f>
        <v>گلی ڈنڈا جیسے روایتی لوک کھیلوں کے تحفظ میں کون سا پاکستانی قومی ادارہ شامل ہے؟</v>
      </c>
      <c r="L40" s="5" t="str">
        <f>IFERROR(__xludf.DUMMYFUNCTION("GOOGLETRANSLATE(C40, ""en"", ""ur"")"),"اے) پاکستان کرکٹ بورڈ، بی) وزارت تعلیم، سی) لوک ورثہ (قومی ادارہ برائے لوک اور روایتی ورثہ)، ڈی) پاکستان اسپورٹس بورڈ")</f>
        <v>اے) پاکستان کرکٹ بورڈ، بی) وزارت تعلیم، سی) لوک ورثہ (قومی ادارہ برائے لوک اور روایتی ورثہ)، ڈی) پاکستان اسپورٹس بورڈ</v>
      </c>
      <c r="M40" s="5" t="str">
        <f>IFERROR(__xludf.DUMMYFUNCTION("GOOGLETRANSLATE(D40, ""en"", ""ur"")"),"ج) لوک ورثہ (قومی ادارہ برائے لوک اور روایتی ورثہ)")</f>
        <v>ج) لوک ورثہ (قومی ادارہ برائے لوک اور روایتی ورثہ)</v>
      </c>
      <c r="N40" s="5" t="str">
        <f>IFERROR(__xludf.DUMMYFUNCTION("GOOGLETRANSLATE(E40, ""en"", ""ur"")"),"اسلام آباد میں لوک ورثہ پاکستان کے شاندار ثقافتی ورثے کو دستاویزی بنانے، محفوظ کرنے اور فروغ دینے کے لیے کام کرتا ہے، بشمول اس کے روایتی کھیل۔")</f>
        <v>اسلام آباد میں لوک ورثہ پاکستان کے شاندار ثقافتی ورثے کو دستاویزی بنانے، محفوظ کرنے اور فروغ دینے کے لیے کام کرتا ہے، بشمول اس کے روایتی کھیل۔</v>
      </c>
    </row>
    <row r="41">
      <c r="A41" s="3">
        <v>40.0</v>
      </c>
      <c r="B41" s="4" t="s">
        <v>2467</v>
      </c>
      <c r="C41" s="4" t="s">
        <v>2468</v>
      </c>
      <c r="D41" s="4" t="s">
        <v>2469</v>
      </c>
      <c r="E41" s="4" t="s">
        <v>2470</v>
      </c>
      <c r="J41" s="5" t="str">
        <f>IFERROR(__xludf.DUMMYFUNCTION("GOOGLETRANSLATE(A41, ""en"", ""ur"")"),"40")</f>
        <v>40</v>
      </c>
      <c r="K41" s="5" t="str">
        <f>IFERROR(__xludf.DUMMYFUNCTION("GOOGLETRANSLATE(B41, ""en"", ""ur"")"),"تمام فیلڈرز کے لیے اسٹرائیکر سے بہت پیچھے کھڑے ہونا حکمت عملی کے لحاظ سے خطرناک کیوں ہے؟")</f>
        <v>تمام فیلڈرز کے لیے اسٹرائیکر سے بہت پیچھے کھڑے ہونا حکمت عملی کے لحاظ سے خطرناک کیوں ہے؟</v>
      </c>
      <c r="L41" s="5" t="str">
        <f>IFERROR(__xludf.DUMMYFUNCTION("GOOGLETRANSLATE(C41, ""en"", ""ur"")"),"A) یہ خطرناک نہیں ہے؛ یہ بہترین دفاعی حکمت عملی ہے، B) یہ اسٹرائیکر کے لیے شارٹ، ٹیکٹیکل ہٹ پر اسکور کرنا آسان بناتا ہے، C) یہ کھیل کے غیر تحریری اصولوں کے خلاف ہے، D) یہ فیلڈرز کو دوڑنے سے تھکا دیتا ہے۔")</f>
        <v>A) یہ خطرناک نہیں ہے؛ یہ بہترین دفاعی حکمت عملی ہے، B) یہ اسٹرائیکر کے لیے شارٹ، ٹیکٹیکل ہٹ پر اسکور کرنا آسان بناتا ہے، C) یہ کھیل کے غیر تحریری اصولوں کے خلاف ہے، D) یہ فیلڈرز کو دوڑنے سے تھکا دیتا ہے۔</v>
      </c>
      <c r="M41" s="5" t="str">
        <f>IFERROR(__xludf.DUMMYFUNCTION("GOOGLETRANSLATE(D41, ""en"", ""ur"")"),"ب) اسٹرائیکر کے لیے مختصر، ٹیکٹیکل ہٹ پر اسکور کرنا آسان بناتا ہے۔")</f>
        <v>ب) اسٹرائیکر کے لیے مختصر، ٹیکٹیکل ہٹ پر اسکور کرنا آسان بناتا ہے۔</v>
      </c>
      <c r="N41" s="5" t="str">
        <f>IFERROR(__xludf.DUMMYFUNCTION("GOOGLETRANSLATE(E41, ""en"", ""ur"")"),"ایک ہوشیار اسٹرائیکر گلی کو تھوڑے فاصلے پر گرا کر گہرے میدان کا فائدہ اٹھا سکتا ہے، جس سے پکڑا جانا ناممکن ہو جاتا ہے۔")</f>
        <v>ایک ہوشیار اسٹرائیکر گلی کو تھوڑے فاصلے پر گرا کر گہرے میدان کا فائدہ اٹھا سکتا ہے، جس سے پکڑا جانا ناممکن ہو جاتا ہے۔</v>
      </c>
    </row>
    <row r="42">
      <c r="A42" s="3">
        <v>41.0</v>
      </c>
      <c r="B42" s="4" t="s">
        <v>2471</v>
      </c>
      <c r="C42" s="4" t="s">
        <v>2472</v>
      </c>
      <c r="D42" s="4" t="s">
        <v>2473</v>
      </c>
      <c r="E42" s="4" t="s">
        <v>2474</v>
      </c>
      <c r="J42" s="5" t="str">
        <f>IFERROR(__xludf.DUMMYFUNCTION("GOOGLETRANSLATE(A42, ""en"", ""ur"")"),"41")</f>
        <v>41</v>
      </c>
      <c r="K42" s="5" t="str">
        <f>IFERROR(__xludf.DUMMYFUNCTION("GOOGLETRANSLATE(B42, ""en"", ""ur"")"),"ایک سٹرائیکر کی ٹکر ایک درخت میں اونچی جگہ پر جا لگی۔ یہ عام طور پر ایک آرام دہ کھیل میں کس طرح اسکور کیا جاتا ہے؟")</f>
        <v>ایک سٹرائیکر کی ٹکر ایک درخت میں اونچی جگہ پر جا لگی۔ یہ عام طور پر ایک آرام دہ کھیل میں کس طرح اسکور کیا جاتا ہے؟</v>
      </c>
      <c r="L42" s="5" t="str">
        <f>IFERROR(__xludf.DUMMYFUNCTION("GOOGLETRANSLATE(C42, ""en"", ""ur"")"),"A) اسٹرائیکر گلی کو کھونے کے لئے باہر ہے، B) باری دوبارہ چلائی جاتی ہے، C) اسکور کو گلی کے نیچے زمین پر پوائنٹ تک ناپا جاتا ہے، D) اسٹرائیکر کو طاقتور ہٹ کے لئے بونس پوائنٹ ملتا ہے۔")</f>
        <v>A) اسٹرائیکر گلی کو کھونے کے لئے باہر ہے، B) باری دوبارہ چلائی جاتی ہے، C) اسکور کو گلی کے نیچے زمین پر پوائنٹ تک ناپا جاتا ہے، D) اسٹرائیکر کو طاقتور ہٹ کے لئے بونس پوائنٹ ملتا ہے۔</v>
      </c>
      <c r="M42" s="5" t="str">
        <f>IFERROR(__xludf.DUMMYFUNCTION("GOOGLETRANSLATE(D42, ""en"", ""ur"")"),"سی) اسکور کو گلی کے نیچے زمین پر پوائنٹ تک ناپا جاتا ہے۔")</f>
        <v>سی) اسکور کو گلی کے نیچے زمین پر پوائنٹ تک ناپا جاتا ہے۔</v>
      </c>
      <c r="N42" s="5" t="str">
        <f>IFERROR(__xludf.DUMMYFUNCTION("GOOGLETRANSLATE(E42, ""en"", ""ur"")"),"گلی کے پھنس جانے کو سنبھالنے کا یہ ایک عام اور منصفانہ طریقہ ہے۔ اسکور اس کی آخری آرام گاہ کے نیچے زمین پر موجود پوائنٹ سے لیا جاتا ہے۔")</f>
        <v>گلی کے پھنس جانے کو سنبھالنے کا یہ ایک عام اور منصفانہ طریقہ ہے۔ اسکور اس کی آخری آرام گاہ کے نیچے زمین پر موجود پوائنٹ سے لیا جاتا ہے۔</v>
      </c>
    </row>
    <row r="43">
      <c r="A43" s="3">
        <v>42.0</v>
      </c>
      <c r="B43" s="4" t="s">
        <v>2475</v>
      </c>
      <c r="C43" s="4" t="s">
        <v>2476</v>
      </c>
      <c r="D43" s="4" t="s">
        <v>2477</v>
      </c>
      <c r="E43" s="4" t="s">
        <v>2478</v>
      </c>
      <c r="J43" s="5" t="str">
        <f>IFERROR(__xludf.DUMMYFUNCTION("GOOGLETRANSLATE(A43, ""en"", ""ur"")"),"42")</f>
        <v>42</v>
      </c>
      <c r="K43" s="5" t="str">
        <f>IFERROR(__xludf.DUMMYFUNCTION("GOOGLETRANSLATE(B43, ""en"", ""ur"")"),"اسٹرائیکر کے قریب ہائی رسک پوزیشن پر کھڑے فیلڈر کے لیے سب سے اہم معیار کیا ہے؟")</f>
        <v>اسٹرائیکر کے قریب ہائی رسک پوزیشن پر کھڑے فیلڈر کے لیے سب سے اہم معیار کیا ہے؟</v>
      </c>
      <c r="L43" s="5" t="str">
        <f>IFERROR(__xludf.DUMMYFUNCTION("GOOGLETRANSLATE(C43, ""en"", ""ur"")"),"A) ایک مضبوط پھینکنے والا بازو، B) تیز دوڑنے کی رفتار، C) بہترین اضطراب اور ہمت، D) ٹیم کے ساتھیوں کے ساتھ اچھی بات چیت کی مہارت")</f>
        <v>A) ایک مضبوط پھینکنے والا بازو، B) تیز دوڑنے کی رفتار، C) بہترین اضطراب اور ہمت، D) ٹیم کے ساتھیوں کے ساتھ اچھی بات چیت کی مہارت</v>
      </c>
      <c r="M43" s="5" t="str">
        <f>IFERROR(__xludf.DUMMYFUNCTION("GOOGLETRANSLATE(D43, ""en"", ""ur"")"),"ج) بہترین اضطراب اور ہمت")</f>
        <v>ج) بہترین اضطراب اور ہمت</v>
      </c>
      <c r="N43" s="5" t="str">
        <f>IFERROR(__xludf.DUMMYFUNCTION("GOOGLETRANSLATE(E43, ""en"", ""ur"")"),"""سیلی پوائنٹ"" پوزیشن میں فیلڈر کو شارٹ رینج سے تیز رفتاری سے گیلی ہٹ کو پکڑنے کے لیے قریب کھڑے ہونے اور بجلی کی تیز رفتار اضطراری صلاحیتوں کی ضرورت ہوتی ہے۔")</f>
        <v>"سیلی پوائنٹ" پوزیشن میں فیلڈر کو شارٹ رینج سے تیز رفتاری سے گیلی ہٹ کو پکڑنے کے لیے قریب کھڑے ہونے اور بجلی کی تیز رفتار اضطراری صلاحیتوں کی ضرورت ہوتی ہے۔</v>
      </c>
    </row>
    <row r="44">
      <c r="A44" s="3">
        <v>43.0</v>
      </c>
      <c r="B44" s="4" t="s">
        <v>2479</v>
      </c>
      <c r="C44" s="4" t="s">
        <v>2480</v>
      </c>
      <c r="D44" s="4" t="s">
        <v>2481</v>
      </c>
      <c r="E44" s="4" t="s">
        <v>2482</v>
      </c>
      <c r="J44" s="5" t="str">
        <f>IFERROR(__xludf.DUMMYFUNCTION("GOOGLETRANSLATE(A44, ""en"", ""ur"")"),"43")</f>
        <v>43</v>
      </c>
      <c r="K44" s="5" t="str">
        <f>IFERROR(__xludf.DUMMYFUNCTION("GOOGLETRANSLATE(B44, ""en"", ""ur"")"),"ایک فیلڈر گلی کو پکڑتا ہے لیکن پرواز کے دوران اسے درخت کی شاخ نے چھوا تھا۔ کیا اسٹرائیکر باہر ہے؟")</f>
        <v>ایک فیلڈر گلی کو پکڑتا ہے لیکن پرواز کے دوران اسے درخت کی شاخ نے چھوا تھا۔ کیا اسٹرائیکر باہر ہے؟</v>
      </c>
      <c r="L44" s="5" t="str">
        <f>IFERROR(__xludf.DUMMYFUNCTION("GOOGLETRANSLATE(C44, ""en"", ""ur"")"),"A) ہاں، کیچ درست ہے، B) نہیں، بیرونی مداخلت کی وجہ سے کیچ باطل ہے، C) باری دوبارہ چلائی جاتی ہے، D) فیلڈر کو مشکل کیچ کے لیے بونس پوائنٹ ملتا ہے۔")</f>
        <v>A) ہاں، کیچ درست ہے، B) نہیں، بیرونی مداخلت کی وجہ سے کیچ باطل ہے، C) باری دوبارہ چلائی جاتی ہے، D) فیلڈر کو مشکل کیچ کے لیے بونس پوائنٹ ملتا ہے۔</v>
      </c>
      <c r="M44" s="5" t="str">
        <f>IFERROR(__xludf.DUMMYFUNCTION("GOOGLETRANSLATE(D44, ""en"", ""ur"")"),"ب) نہیں، بیرونی مداخلت کی وجہ سے کیچ باطل ہے۔")</f>
        <v>ب) نہیں، بیرونی مداخلت کی وجہ سے کیچ باطل ہے۔</v>
      </c>
      <c r="N44" s="5" t="str">
        <f>IFERROR(__xludf.DUMMYFUNCTION("GOOGLETRANSLATE(E44, ""en"", ""ur"")"),"اگر گلی کی قدرتی پرواز کے راستے کو کسی بیرونی چیز جیسے درخت کی شاخ سے تبدیل کیا جاتا ہے، تو اس کے بعد کیچ کو عام طور پر ناٹ آؤٹ سمجھا جاتا ہے۔")</f>
        <v>اگر گلی کی قدرتی پرواز کے راستے کو کسی بیرونی چیز جیسے درخت کی شاخ سے تبدیل کیا جاتا ہے، تو اس کے بعد کیچ کو عام طور پر ناٹ آؤٹ سمجھا جاتا ہے۔</v>
      </c>
    </row>
    <row r="45">
      <c r="A45" s="3">
        <v>44.0</v>
      </c>
      <c r="B45" s="4" t="s">
        <v>2483</v>
      </c>
      <c r="C45" s="4" t="s">
        <v>2484</v>
      </c>
      <c r="D45" s="4" t="s">
        <v>2485</v>
      </c>
      <c r="E45" s="4" t="s">
        <v>2486</v>
      </c>
      <c r="J45" s="5" t="str">
        <f>IFERROR(__xludf.DUMMYFUNCTION("GOOGLETRANSLATE(A45, ""en"", ""ur"")"),"44")</f>
        <v>44</v>
      </c>
      <c r="K45" s="5" t="str">
        <f>IFERROR(__xludf.DUMMYFUNCTION("GOOGLETRANSLATE(B45, ""en"", ""ur"")"),"ہلکی سی کراس ونڈ کو کھیلنے کے لیے اکثر سب سے مشکل موسمی حالت کیوں سمجھا جاتا ہے؟")</f>
        <v>ہلکی سی کراس ونڈ کو کھیلنے کے لیے اکثر سب سے مشکل موسمی حالت کیوں سمجھا جاتا ہے؟</v>
      </c>
      <c r="L45" s="5" t="str">
        <f>IFERROR(__xludf.DUMMYFUNCTION("GOOGLETRANSLATE(C45, ""en"", ""ur"")"),"A) یہ گلی کو بہت دور تک سفر کرتا ہے، B) یہ گلی کو غیر متوقع طور پر گھومنے کا سبب بن سکتا ہے، جس سے اسے مارنا اور پکڑنا مشکل ہو جاتا ہے، C) یہ آرام سے کھیلنا بہت ٹھنڈا کر دیتا ہے، D) یہ کھلاڑیوں کی آنکھوں میں دھول اڑا دیتا ہے۔")</f>
        <v>A) یہ گلی کو بہت دور تک سفر کرتا ہے، B) یہ گلی کو غیر متوقع طور پر گھومنے کا سبب بن سکتا ہے، جس سے اسے مارنا اور پکڑنا مشکل ہو جاتا ہے، C) یہ آرام سے کھیلنا بہت ٹھنڈا کر دیتا ہے، D) یہ کھلاڑیوں کی آنکھوں میں دھول اڑا دیتا ہے۔</v>
      </c>
      <c r="M45" s="5" t="str">
        <f>IFERROR(__xludf.DUMMYFUNCTION("GOOGLETRANSLATE(D45, ""en"", ""ur"")"),"ب) یہ گلی کو غیر متوقع طور پر گھومنے کا سبب بن سکتا ہے، جس سے اسے مارنا اور پکڑنا مشکل ہو جاتا ہے۔")</f>
        <v>ب) یہ گلی کو غیر متوقع طور پر گھومنے کا سبب بن سکتا ہے، جس سے اسے مارنا اور پکڑنا مشکل ہو جاتا ہے۔</v>
      </c>
      <c r="N45" s="5" t="str">
        <f>IFERROR(__xludf.DUMMYFUNCTION("GOOGLETRANSLATE(E45, ""en"", ""ur"")"),"کراس ونڈ گلی کی پرواز میں ایک مشکل ""کرو"" یا ""ڈرافٹ"" بنا سکتا ہے، اسٹرائیکر اور فیلڈرز دونوں کو دھوکہ دے سکتا ہے۔")</f>
        <v>کراس ونڈ گلی کی پرواز میں ایک مشکل "کرو" یا "ڈرافٹ" بنا سکتا ہے، اسٹرائیکر اور فیلڈرز دونوں کو دھوکہ دے سکتا ہے۔</v>
      </c>
    </row>
    <row r="46">
      <c r="A46" s="3">
        <v>45.0</v>
      </c>
      <c r="B46" s="4" t="s">
        <v>2487</v>
      </c>
      <c r="C46" s="4" t="s">
        <v>2488</v>
      </c>
      <c r="D46" s="4" t="s">
        <v>2489</v>
      </c>
      <c r="E46" s="4" t="s">
        <v>2490</v>
      </c>
      <c r="J46" s="5" t="str">
        <f>IFERROR(__xludf.DUMMYFUNCTION("GOOGLETRANSLATE(A46, ""en"", ""ur"")"),"45")</f>
        <v>45</v>
      </c>
      <c r="K46" s="5" t="str">
        <f>IFERROR(__xludf.DUMMYFUNCTION("GOOGLETRANSLATE(B46, ""en"", ""ur"")"),"ایک کھلاڑی کو ""ڈنڈا ماہر"" کہا جاتا ہے۔ اس کا کیا مطلب ہے؟")</f>
        <v>ایک کھلاڑی کو "ڈنڈا ماہر" کہا جاتا ہے۔ اس کا کیا مطلب ہے؟</v>
      </c>
      <c r="L46" s="5" t="str">
        <f>IFERROR(__xludf.DUMMYFUNCTION("GOOGLETRANSLATE(C46, ""en"", ""ur"")"),"A)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f>
        <v>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v>
      </c>
      <c r="M46" s="5" t="str">
        <f>IFERROR(__xludf.DUMMYFUNCTION("GOOGLETRANSLATE(D46, ""en"", ""ur"")"),"ب) وہ ایک غیر معمولی طاقتور اور درست اسٹرائیکر ہیں۔")</f>
        <v>ب) وہ ایک غیر معمولی طاقتور اور درست اسٹرائیکر ہیں۔</v>
      </c>
      <c r="N46" s="5" t="str">
        <f>IFERROR(__xludf.DUMMYFUNCTION("GOOGLETRANSLATE(E46, ""en"", ""ur"")"),"یہ ایک ایسے کھلاڑی کے لیے احترام کی اصطلاح ہے جس نے زیادہ سے زیادہ فاصلے اور سکور کے لیے گلی کو مارنے کے فن میں مہارت حاصل کی ہو۔")</f>
        <v>یہ ایک ایسے کھلاڑی کے لیے احترام کی اصطلاح ہے جس نے زیادہ سے زیادہ فاصلے اور سکور کے لیے گلی کو مارنے کے فن میں مہارت حاصل کی ہو۔</v>
      </c>
    </row>
    <row r="47">
      <c r="A47" s="3">
        <v>46.0</v>
      </c>
      <c r="B47" s="4" t="s">
        <v>2491</v>
      </c>
      <c r="C47" s="4" t="s">
        <v>2492</v>
      </c>
      <c r="D47" s="4" t="s">
        <v>2493</v>
      </c>
      <c r="E47" s="4" t="s">
        <v>2494</v>
      </c>
      <c r="J47" s="5" t="str">
        <f>IFERROR(__xludf.DUMMYFUNCTION("GOOGLETRANSLATE(A47, ""en"", ""ur"")"),"46")</f>
        <v>46</v>
      </c>
      <c r="K47" s="5" t="str">
        <f>IFERROR(__xludf.DUMMYFUNCTION("GOOGLETRANSLATE(B47, ""en"", ""ur"")"),"اگر کوئی کھیل برابر ہوجاتا ہے، تو عام طور پر زیادہ منظم میچ میں فاتح کا فیصلہ کیسے ہوتا ہے؟")</f>
        <v>اگر کوئی کھیل برابر ہوجاتا ہے، تو عام طور پر زیادہ منظم میچ میں فاتح کا فیصلہ کیسے ہوتا ہے؟</v>
      </c>
      <c r="L47" s="5" t="str">
        <f>IFERROR(__xludf.DUMMYFUNCTION("GOOGLETRANSLATE(C47, ""en"", ""ur"")"),"A) سکے کے ٹاس سے، B) سب سے طویل سنگل ہٹ جیتنے والی ٹیم، C) ایک ""سپر راؤنڈ"" یا اضافی اننگز کھیلی جاتی ہے، D) میچ ڈرا قرار دیا جاتا ہے۔")</f>
        <v>A) سکے کے ٹاس سے، B) سب سے طویل سنگل ہٹ جیتنے والی ٹیم، C) ایک "سپر راؤنڈ" یا اضافی اننگز کھیلی جاتی ہے، D) میچ ڈرا قرار دیا جاتا ہے۔</v>
      </c>
      <c r="M47" s="5" t="str">
        <f>IFERROR(__xludf.DUMMYFUNCTION("GOOGLETRANSLATE(D47, ""en"", ""ur"")"),"C) ایک ""سپر راؤنڈ"" یا اضافی اننگز کھیلی جاتی ہے۔")</f>
        <v>C) ایک "سپر راؤنڈ" یا اضافی اننگز کھیلی جاتی ہے۔</v>
      </c>
      <c r="N47" s="5" t="str">
        <f>IFERROR(__xludf.DUMMYFUNCTION("GOOGLETRANSLATE(E47, ""en"", ""ur"")"),"ٹائی کو توڑنے کے لیے، ایک فائنل راؤنڈ اکثر کھیلا جاتا ہے جہاں ہر ٹیم کو واضح فاتح کا تعین کرنے کے لیے اسٹرائیکس کی ایک مقررہ تعداد ملتی ہے۔")</f>
        <v>ٹائی کو توڑنے کے لیے، ایک فائنل راؤنڈ اکثر کھیلا جاتا ہے جہاں ہر ٹیم کو واضح فاتح کا تعین کرنے کے لیے اسٹرائیکس کی ایک مقررہ تعداد ملتی ہے۔</v>
      </c>
    </row>
    <row r="48">
      <c r="A48" s="3">
        <v>47.0</v>
      </c>
      <c r="B48" s="4" t="s">
        <v>2495</v>
      </c>
      <c r="C48" s="4" t="s">
        <v>2496</v>
      </c>
      <c r="D48" s="4" t="s">
        <v>2497</v>
      </c>
      <c r="E48" s="4" t="s">
        <v>2498</v>
      </c>
      <c r="J48" s="5" t="str">
        <f>IFERROR(__xludf.DUMMYFUNCTION("GOOGLETRANSLATE(A48, ""en"", ""ur"")"),"47")</f>
        <v>47</v>
      </c>
      <c r="K48" s="5" t="str">
        <f>IFERROR(__xludf.DUMMYFUNCTION("GOOGLETRANSLATE(B48, ""en"", ""ur"")"),"اس کے جوہر میں، گلی ڈنڈا کی روح کیا ہے؟")</f>
        <v>اس کے جوہر میں، گلی ڈنڈا کی روح کیا ہے؟</v>
      </c>
      <c r="L48" s="5" t="str">
        <f>IFERROR(__xludf.DUMMYFUNCTION("GOOGLETRANSLATE(C48, ""en"", ""ur"")"),"A)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f>
        <v>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v>
      </c>
      <c r="M48" s="5" t="str">
        <f>IFERROR(__xludf.DUMMYFUNCTION("GOOGLETRANSLATE(D48, ""en"", ""ur"")"),"ب) ایک سادہ، خوشگوار، اور غیر رسمی کھیل جو کمیونٹی اور مہارت کو فروغ دیتا ہے۔")</f>
        <v>ب) ایک سادہ، خوشگوار، اور غیر رسمی کھیل جو کمیونٹی اور مہارت کو فروغ دیتا ہے۔</v>
      </c>
      <c r="N48" s="5" t="str">
        <f>IFERROR(__xludf.DUMMYFUNCTION("GOOGLETRANSLATE(E48, ""en"", ""ur"")"),"گلی ڈنڈا کو اس کی سادگی، اس کی رسائی، اور کھلاڑیوں کے درمیان سماجی روابط کی وجہ سے پسند کیا جاتا ہے۔")</f>
        <v>گلی ڈنڈا کو اس کی سادگی، اس کی رسائی، اور کھلاڑیوں کے درمیان سماجی روابط کی وجہ سے پسند کیا جاتا ہے۔</v>
      </c>
    </row>
    <row r="49">
      <c r="A49" s="3">
        <v>48.0</v>
      </c>
      <c r="B49" s="4" t="s">
        <v>2499</v>
      </c>
      <c r="C49" s="4" t="s">
        <v>2500</v>
      </c>
      <c r="D49" s="4" t="s">
        <v>2501</v>
      </c>
      <c r="E49" s="4" t="s">
        <v>2502</v>
      </c>
      <c r="J49" s="5" t="str">
        <f>IFERROR(__xludf.DUMMYFUNCTION("GOOGLETRANSLATE(A49, ""en"", ""ur"")"),"48")</f>
        <v>48</v>
      </c>
      <c r="K49" s="5" t="str">
        <f>IFERROR(__xludf.DUMMYFUNCTION("GOOGLETRANSLATE(B49, ""en"", ""ur"")"),"ایک کھلاڑی کے اپنے ڈنڈا میں نالیوں کو تراشنے کی بنیادی وجہ کیا ہے؟")</f>
        <v>ایک کھلاڑی کے اپنے ڈنڈا میں نالیوں کو تراشنے کی بنیادی وجہ کیا ہے؟</v>
      </c>
      <c r="L49" s="5" t="str">
        <f>IFERROR(__xludf.DUMMYFUNCTION("GOOGLETRANSLATE(C49, ""en"", ""ur"")"),"A) سجاوٹ کے لئے، B) ان کی گرفت کو بہتر بنانے کے لئے، C) وزن کم کرنے کے لئے، D) یہ ایک روایتی ضرورت ہے")</f>
        <v>A) سجاوٹ کے لئے، B) ان کی گرفت کو بہتر بنانے کے لئے، C) وزن کم کرنے کے لئے، D) یہ ایک روایتی ضرورت ہے</v>
      </c>
      <c r="M49" s="5" t="str">
        <f>IFERROR(__xludf.DUMMYFUNCTION("GOOGLETRANSLATE(D49, ""en"", ""ur"")"),"ب) ان کی گرفت کو بہتر بنانا")</f>
        <v>ب) ان کی گرفت کو بہتر بنانا</v>
      </c>
      <c r="N49" s="5" t="str">
        <f>IFERROR(__xludf.DUMMYFUNCTION("GOOGLETRANSLATE(E49, ""en"", ""ur"")"),"نالی یا نشان ڈنڈا کو پھسلنے سے روک سکتے ہیں، خاص طور پر گرم اور پسینے کی حالت میں طاقتور جھول کے دوران۔")</f>
        <v>نالی یا نشان ڈنڈا کو پھسلنے سے روک سکتے ہیں، خاص طور پر گرم اور پسینے کی حالت میں طاقتور جھول کے دوران۔</v>
      </c>
    </row>
    <row r="50">
      <c r="A50" s="3">
        <v>49.0</v>
      </c>
      <c r="B50" s="4" t="s">
        <v>2503</v>
      </c>
      <c r="C50" s="4" t="s">
        <v>2504</v>
      </c>
      <c r="D50" s="4" t="s">
        <v>361</v>
      </c>
      <c r="E50" s="4" t="s">
        <v>2505</v>
      </c>
      <c r="J50" s="5" t="str">
        <f>IFERROR(__xludf.DUMMYFUNCTION("GOOGLETRANSLATE(A50, ""en"", ""ur"")"),"49")</f>
        <v>49</v>
      </c>
      <c r="K50" s="5" t="str">
        <f>IFERROR(__xludf.DUMMYFUNCTION("GOOGLETRANSLATE(B50, ""en"", ""ur"")"),"کون سے تاریخی شواہد برصغیر پاک و ہند میں کھیل کی ابتداء کی طرف اشارہ کرتے ہیں؟")</f>
        <v>کون سے تاریخی شواہد برصغیر پاک و ہند میں کھیل کی ابتداء کی طرف اشارہ کرتے ہیں؟</v>
      </c>
      <c r="L50" s="5" t="str">
        <f>IFERROR(__xludf.DUMMYFUNCTION("GOOGLETRANSLATE(C50, ""en"", ""ur"")"),"A) ابتدائی یورپی سفرناموں میں ذکر، B) قدیم سنسکرت اور علاقائی متن میں تذکرہ، C) جدید دور کے ہندوستان اور پاکستان میں اس کی موجودگی، D) مندرجہ بالا سبھی")</f>
        <v>A) ابتدائی یورپی سفرناموں میں ذکر، B) قدیم سنسکرت اور علاقائی متن میں تذکرہ، C) جدید دور کے ہندوستان اور پاکستان میں اس کی موجودگی، D) مندرجہ بالا سبھی</v>
      </c>
      <c r="M50" s="5" t="str">
        <f>IFERROR(__xludf.DUMMYFUNCTION("GOOGLETRANSLATE(D50, ""en"", ""ur"")"),"D) مذکورہ بالا تمام")</f>
        <v>D) مذکورہ بالا تمام</v>
      </c>
      <c r="N50" s="5" t="str">
        <f>IFERROR(__xludf.DUMMYFUNCTION("GOOGLETRANSLATE(E50, ""en"", ""ur"")"),"تاریخی شواہد میں قدیم تحریروں میں ذکر، غیر ملکی زائرین کے مشاہدات اور خطے میں گیم کی مسلسل، وسیع مقبولیت شامل ہے۔")</f>
        <v>تاریخی شواہد میں قدیم تحریروں میں ذکر، غیر ملکی زائرین کے مشاہدات اور خطے میں گیم کی مسلسل، وسیع مقبولیت شامل ہے۔</v>
      </c>
    </row>
    <row r="51">
      <c r="A51" s="3">
        <v>50.0</v>
      </c>
      <c r="B51" s="4" t="s">
        <v>2506</v>
      </c>
      <c r="C51" s="4" t="s">
        <v>2507</v>
      </c>
      <c r="D51" s="4" t="s">
        <v>2508</v>
      </c>
      <c r="E51" s="4" t="s">
        <v>2509</v>
      </c>
      <c r="J51" s="5" t="str">
        <f>IFERROR(__xludf.DUMMYFUNCTION("GOOGLETRANSLATE(A51, ""en"", ""ur"")"),"50")</f>
        <v>50</v>
      </c>
      <c r="K51" s="5" t="str">
        <f>IFERROR(__xludf.DUMMYFUNCTION("GOOGLETRANSLATE(B51, ""en"", ""ur"")"),"ایک کھلاڑی کو 'ہٹ ڈنڈا' کے لیے بلایا جاتا ہے۔ سب سے زیادہ امکان کا منظر نامہ کیا ہے؟")</f>
        <v>ایک کھلاڑی کو 'ہٹ ڈنڈا' کے لیے بلایا جاتا ہے۔ سب سے زیادہ امکان کا منظر نامہ کیا ہے؟</v>
      </c>
      <c r="L51" s="5" t="str">
        <f>IFERROR(__xludf.DUMMYFUNCTION("GOOGLETRANSLATE(C51, ""en"", ""ur"")"),"A) فیلڈر نے ڈنڈا کو گلی سے مارا، B) اسٹرائیکر کا ڈنڈا غلطی سے ہوم مارکر سے ٹکرا گیا، C) گلی دو حصوں میں ٹوٹ گئی، D) فیلڈر نے ڈنڈا کو اپنے ہاتھ سے مارا۔")</f>
        <v>A) فیلڈر نے ڈنڈا کو گلی سے مارا، B) اسٹرائیکر کا ڈنڈا غلطی سے ہوم مارکر سے ٹکرا گیا، C) گلی دو حصوں میں ٹوٹ گئی، D) فیلڈر نے ڈنڈا کو اپنے ہاتھ سے مارا۔</v>
      </c>
      <c r="M51" s="5" t="str">
        <f>IFERROR(__xludf.DUMMYFUNCTION("GOOGLETRANSLATE(D51, ""en"", ""ur"")"),"A) فیلڈر نے ڈنڈا کو گلی سے مارا۔")</f>
        <v>A) فیلڈر نے ڈنڈا کو گلی سے مارا۔</v>
      </c>
      <c r="N51" s="5" t="str">
        <f>IFERROR(__xludf.DUMMYFUNCTION("GOOGLETRANSLATE(E51, ""en"", ""ur"")"),"یہ ’’رن آؤٹ‘‘ آؤٹ ہے۔ فیلڈر گلی کو وہیں سے پھینکتا ہے جہاں سے وہ اترا اور اگر یہ بیس پر رکھے ڈنڈے سے ٹکرائے تو اسٹرائیکر آؤٹ ہو جاتا ہے۔")</f>
        <v>یہ ’’رن آؤٹ‘‘ آؤٹ ہے۔ فیلڈر گلی کو وہیں سے پھینکتا ہے جہاں سے وہ اترا اور اگر یہ بیس پر رکھے ڈنڈے سے ٹکرائے تو اسٹرائیکر آؤٹ ہو جاتا ہے۔</v>
      </c>
    </row>
    <row r="52">
      <c r="A52" s="3">
        <v>51.0</v>
      </c>
      <c r="B52" s="4" t="s">
        <v>2510</v>
      </c>
      <c r="C52" s="4" t="s">
        <v>2511</v>
      </c>
      <c r="D52" s="4" t="s">
        <v>2512</v>
      </c>
      <c r="E52" s="4" t="s">
        <v>2513</v>
      </c>
      <c r="J52" s="5" t="str">
        <f>IFERROR(__xludf.DUMMYFUNCTION("GOOGLETRANSLATE(A52, ""en"", ""ur"")"),"51")</f>
        <v>51</v>
      </c>
      <c r="K52" s="5" t="str">
        <f>IFERROR(__xludf.DUMMYFUNCTION("GOOGLETRANSLATE(B52, ""en"", ""ur"")"),"کس مشہور پاکستانی کرکٹر نے اپنی جوانی میں گلی ڈنڈا کھیلنے کا سہرا اپنی بیٹنگ ریفلیکسز کو دیا؟")</f>
        <v>کس مشہور پاکستانی کرکٹر نے اپنی جوانی میں گلی ڈنڈا کھیلنے کا سہرا اپنی بیٹنگ ریفلیکسز کو دیا؟</v>
      </c>
      <c r="L52" s="5" t="str">
        <f>IFERROR(__xludf.DUMMYFUNCTION("GOOGLETRANSLATE(C52, ""en"", ""ur"")"),"A) عمران خان، B) وسیم اکرم، C) جاوید میانداد، D) انضمام الحق")</f>
        <v>A) عمران خان، B) وسیم اکرم، C) جاوید میانداد، D) انضمام الحق</v>
      </c>
      <c r="M52" s="5" t="str">
        <f>IFERROR(__xludf.DUMMYFUNCTION("GOOGLETRANSLATE(D52, ""en"", ""ur"")"),"ج) جاوید میانداد")</f>
        <v>ج) جاوید میانداد</v>
      </c>
      <c r="N52" s="5" t="str">
        <f>IFERROR(__xludf.DUMMYFUNCTION("GOOGLETRANSLATE(E52, ""en"", ""ur"")"),"لیجنڈری بلے باز نے اکثر کہا ہے کہ کراچی کی گلیوں میں گلی ڈنڈا کھیل کر ان کے ہاتھ سے آنکھ کی غیر معمولی ہم آہنگی پیدا ہوئی۔")</f>
        <v>لیجنڈری بلے باز نے اکثر کہا ہے کہ کراچی کی گلیوں میں گلی ڈنڈا کھیل کر ان کے ہاتھ سے آنکھ کی غیر معمولی ہم آہنگی پیدا ہوئی۔</v>
      </c>
    </row>
    <row r="53">
      <c r="A53" s="3">
        <v>52.0</v>
      </c>
      <c r="B53" s="4" t="s">
        <v>2514</v>
      </c>
      <c r="C53" s="4" t="s">
        <v>2515</v>
      </c>
      <c r="D53" s="4" t="s">
        <v>435</v>
      </c>
      <c r="E53" s="4" t="s">
        <v>2516</v>
      </c>
      <c r="J53" s="5" t="str">
        <f>IFERROR(__xludf.DUMMYFUNCTION("GOOGLETRANSLATE(A53, ""en"", ""ur"")"),"52")</f>
        <v>52</v>
      </c>
      <c r="K53" s="5" t="str">
        <f>IFERROR(__xludf.DUMMYFUNCTION("GOOGLETRANSLATE(B53, ""en"", ""ur"")"),"بہت بھاری لکڑی سے بنی گلی استعمال کرنے کا بنیادی نقصان کیا ہے؟")</f>
        <v>بہت بھاری لکڑی سے بنی گلی استعمال کرنے کا بنیادی نقصان کیا ہے؟</v>
      </c>
      <c r="L53" s="5" t="str">
        <f>IFERROR(__xludf.DUMMYFUNCTION("GOOGLETRANSLATE(C53, ""en"", ""ur"")"),"A) یہ ہوا میں آسانی سے نہیں پلٹے گا اور زیادہ دور تک سفر نہیں کرے گا، B) یہ زیادہ خطرناک ہے اگر یہ کسی سے ٹکرائے، C) ڈنڈا ٹوٹنے کا زیادہ امکان ہے، D) A اور B دونوں")</f>
        <v>A) یہ ہوا میں آسانی سے نہیں پلٹے گا اور زیادہ دور تک سفر نہیں کرے گا، B) یہ زیادہ خطرناک ہے اگر یہ کسی سے ٹکرائے، C) ڈنڈا ٹوٹنے کا زیادہ امکان ہے، D) A اور B دونوں</v>
      </c>
      <c r="M53" s="5" t="str">
        <f>IFERROR(__xludf.DUMMYFUNCTION("GOOGLETRANSLATE(D53, ""en"", ""ur"")"),"D) A اور B دونوں")</f>
        <v>D) A اور B دونوں</v>
      </c>
      <c r="N53" s="5" t="str">
        <f>IFERROR(__xludf.DUMMYFUNCTION("GOOGLETRANSLATE(E53, ""en"", ""ur"")"),"ایک بھاری گلی کو لانچ کرنا مشکل ہے، کم ایروڈینامک ہے، اور کھلاڑیوں اور دیکھنے والوں کے لیے حفاظت کا زیادہ خطرہ ہے۔")</f>
        <v>ایک بھاری گلی کو لانچ کرنا مشکل ہے، کم ایروڈینامک ہے، اور کھلاڑیوں اور دیکھنے والوں کے لیے حفاظت کا زیادہ خطرہ ہے۔</v>
      </c>
    </row>
    <row r="54">
      <c r="A54" s="3">
        <v>53.0</v>
      </c>
      <c r="B54" s="4" t="s">
        <v>2517</v>
      </c>
      <c r="C54" s="4" t="s">
        <v>2518</v>
      </c>
      <c r="D54" s="4" t="s">
        <v>2519</v>
      </c>
      <c r="E54" s="4" t="s">
        <v>2520</v>
      </c>
      <c r="J54" s="5" t="str">
        <f>IFERROR(__xludf.DUMMYFUNCTION("GOOGLETRANSLATE(A54, ""en"", ""ur"")"),"53")</f>
        <v>53</v>
      </c>
      <c r="K54" s="5" t="str">
        <f>IFERROR(__xludf.DUMMYFUNCTION("GOOGLETRANSLATE(B54, ""en"", ""ur"")"),"ایک فیلڈر بھاگتے ہوئے گلی کو ایک ہاتھ سے کیچ کرتا ہے۔ اس کی کیا اہمیت ہے؟")</f>
        <v>ایک فیلڈر بھاگتے ہوئے گلی کو ایک ہاتھ سے کیچ کرتا ہے۔ اس کی کیا اہمیت ہے؟</v>
      </c>
      <c r="L54" s="5" t="str">
        <f>IFERROR(__xludf.DUMMYFUNCTION("GOOGLETRANSLATE(C54, ""en"", ""ur"")"),"A) یہ ایک معیاری کیچ ہے، B) یہ آؤٹ کرنے کی انتہائی مہارت اور قابل احترام شکل ہے، C) یہ بونس پوائنٹس کے قابل ہے، D) یہ ایک غیر قانونی کیچ ہے۔")</f>
        <v>A) یہ ایک معیاری کیچ ہے، B) یہ آؤٹ کرنے کی انتہائی مہارت اور قابل احترام شکل ہے، C) یہ بونس پوائنٹس کے قابل ہے، D) یہ ایک غیر قانونی کیچ ہے۔</v>
      </c>
      <c r="M54" s="5" t="str">
        <f>IFERROR(__xludf.DUMMYFUNCTION("GOOGLETRANSLATE(D54, ""en"", ""ur"")"),"ب) یہ برطرفی کی ایک انتہائی ہنر مند اور قابل احترام شکل ہے۔")</f>
        <v>ب) یہ برطرفی کی ایک انتہائی ہنر مند اور قابل احترام شکل ہے۔</v>
      </c>
      <c r="N54" s="5" t="str">
        <f>IFERROR(__xludf.DUMMYFUNCTION("GOOGLETRANSLATE(E54, ""en"", ""ur"")"),"ایک دوڑتا ہوا، ایک ہاتھ سے پکڑا جانے والا کیچ ایک بہترین فیلڈر کا نشان ہوتا ہے اور اسے اکثر تمام کھلاڑی اس کی مشکل اور ایتھلیٹزم کے لیے مناتے ہیں۔")</f>
        <v>ایک دوڑتا ہوا، ایک ہاتھ سے پکڑا جانے والا کیچ ایک بہترین فیلڈر کا نشان ہوتا ہے اور اسے اکثر تمام کھلاڑی اس کی مشکل اور ایتھلیٹزم کے لیے مناتے ہیں۔</v>
      </c>
    </row>
    <row r="55">
      <c r="A55" s="3">
        <v>54.0</v>
      </c>
      <c r="B55" s="4" t="s">
        <v>2521</v>
      </c>
      <c r="C55" s="4" t="s">
        <v>2522</v>
      </c>
      <c r="D55" s="4" t="s">
        <v>2523</v>
      </c>
      <c r="E55" s="4" t="s">
        <v>2524</v>
      </c>
      <c r="J55" s="5" t="str">
        <f>IFERROR(__xludf.DUMMYFUNCTION("GOOGLETRANSLATE(A55, ""en"", ""ur"")"),"54")</f>
        <v>54</v>
      </c>
      <c r="K55" s="5" t="str">
        <f>IFERROR(__xludf.DUMMYFUNCTION("GOOGLETRANSLATE(B55, ""en"", ""ur"")"),"ایک ہموار، کھلے میدان کو منصفانہ کھیل کے لیے کیوں مثالی سمجھا جاتا ہے؟")</f>
        <v>ایک ہموار، کھلے میدان کو منصفانہ کھیل کے لیے کیوں مثالی سمجھا جاتا ہے؟</v>
      </c>
      <c r="L55" s="5" t="str">
        <f>IFERROR(__xludf.DUMMYFUNCTION("GOOGLETRANSLATE(C55, ""en"", ""ur"")"),"A) یہ تماشائیوں کے لیے بہتر مرئیت پیش کرتا ہے، B) یہ یقینی بناتا ہے کہ گلی میں صحیح اچھال ہے اور تمام فیلڈرز کو یکساں موقع فراہم کرتا ہے، C) یہ زیادہ پیشہ ور نظر آتا ہے، D) اس پر دوڑنا آسان ہے۔")</f>
        <v>A) یہ تماشائیوں کے لیے بہتر مرئیت پیش کرتا ہے، B) یہ یقینی بناتا ہے کہ گلی میں صحیح اچھال ہے اور تمام فیلڈرز کو یکساں موقع فراہم کرتا ہے، C) یہ زیادہ پیشہ ور نظر آتا ہے، D) اس پر دوڑنا آسان ہے۔</v>
      </c>
      <c r="M55" s="5" t="str">
        <f>IFERROR(__xludf.DUMMYFUNCTION("GOOGLETRANSLATE(D55, ""en"", ""ur"")"),"ب) یہ یقینی بناتا ہے کہ گلی میں صحیح اچھال ہے اور تمام فیلڈرز کو برابر کا موقع ملتا ہے۔")</f>
        <v>ب) یہ یقینی بناتا ہے کہ گلی میں صحیح اچھال ہے اور تمام فیلڈرز کو برابر کا موقع ملتا ہے۔</v>
      </c>
      <c r="N55" s="5" t="str">
        <f>IFERROR(__xludf.DUMMYFUNCTION("GOOGLETRANSLATE(E55, ""en"", ""ur"")"),"یکساں سطح اسٹرائیکر کے لیے غیر متوقع باؤنس کو روکتی ہے اور اس بات کو یقینی بناتی ہے کہ فیلڈرز کیچنگ کے لیے مستحکم فٹنگ رکھتے ہیں۔")</f>
        <v>یکساں سطح اسٹرائیکر کے لیے غیر متوقع باؤنس کو روکتی ہے اور اس بات کو یقینی بناتی ہے کہ فیلڈرز کیچنگ کے لیے مستحکم فٹنگ رکھتے ہیں۔</v>
      </c>
    </row>
    <row r="56">
      <c r="A56" s="3">
        <v>55.0</v>
      </c>
      <c r="B56" s="4" t="s">
        <v>2525</v>
      </c>
      <c r="C56" s="4" t="s">
        <v>2526</v>
      </c>
      <c r="D56" s="4" t="s">
        <v>2527</v>
      </c>
      <c r="E56" s="4" t="s">
        <v>2528</v>
      </c>
      <c r="J56" s="5" t="str">
        <f>IFERROR(__xludf.DUMMYFUNCTION("GOOGLETRANSLATE(A56, ""en"", ""ur"")"),"55")</f>
        <v>55</v>
      </c>
      <c r="K56" s="5" t="str">
        <f>IFERROR(__xludf.DUMMYFUNCTION("GOOGLETRANSLATE(B56, ""en"", ""ur"")"),"ڈنڈا کی مخصوص شکل کیا ہے؟")</f>
        <v>ڈنڈا کی مخصوص شکل کیا ہے؟</v>
      </c>
      <c r="L56" s="5" t="str">
        <f>IFERROR(__xludf.DUMMYFUNCTION("GOOGLETRANSLATE(C56, ""en"", ""ur"")"),"A) بالکل بیلناکار، B) ایک سادہ، سیدھی چھڑی، بعض اوقات حیرت انگیز سرے پر قدرے موٹی، C) ہاکی اسٹک کی طرح خمیدہ، D) دونوں سروں پر ٹیپرڈ")</f>
        <v>A) بالکل بیلناکار، B) ایک سادہ، سیدھی چھڑی، بعض اوقات حیرت انگیز سرے پر قدرے موٹی، C) ہاکی اسٹک کی طرح خمیدہ، D) دونوں سروں پر ٹیپرڈ</v>
      </c>
      <c r="M56" s="5" t="str">
        <f>IFERROR(__xludf.DUMMYFUNCTION("GOOGLETRANSLATE(D56, ""en"", ""ur"")"),"ب) ایک سادہ، سیدھی چھڑی، بعض اوقات حیرت انگیز سرے پر قدرے موٹی ہوتی ہے۔")</f>
        <v>ب) ایک سادہ، سیدھی چھڑی، بعض اوقات حیرت انگیز سرے پر قدرے موٹی ہوتی ہے۔</v>
      </c>
      <c r="N56" s="5" t="str">
        <f>IFERROR(__xludf.DUMMYFUNCTION("GOOGLETRANSLATE(E56, ""en"", ""ur"")"),"ڈنڈا عام طور پر ایک سیدھا عملہ ہوتا ہے، جسے کبھی کبھی کھلاڑی بہتر گرفت یا توازن کے لیے تبدیل کر دیتے ہیں۔")</f>
        <v>ڈنڈا عام طور پر ایک سیدھا عملہ ہوتا ہے، جسے کبھی کبھی کھلاڑی بہتر گرفت یا توازن کے لیے تبدیل کر دیتے ہیں۔</v>
      </c>
    </row>
    <row r="57">
      <c r="A57" s="3">
        <v>56.0</v>
      </c>
      <c r="B57" s="4" t="s">
        <v>2529</v>
      </c>
      <c r="C57" s="4" t="s">
        <v>2530</v>
      </c>
      <c r="D57" s="4" t="s">
        <v>2531</v>
      </c>
      <c r="E57" s="4" t="s">
        <v>2532</v>
      </c>
      <c r="J57" s="5" t="str">
        <f>IFERROR(__xludf.DUMMYFUNCTION("GOOGLETRANSLATE(A57, ""en"", ""ur"")"),"56")</f>
        <v>56</v>
      </c>
      <c r="K57" s="5" t="str">
        <f>IFERROR(__xludf.DUMMYFUNCTION("GOOGLETRANSLATE(B57, ""en"", ""ur"")"),"اگر کوئی کھیل اندھیرے کی وجہ سے ختم ہو جائے تو عام طور پر فاتح کا فیصلہ کیسے ہوتا ہے؟")</f>
        <v>اگر کوئی کھیل اندھیرے کی وجہ سے ختم ہو جائے تو عام طور پر فاتح کا فیصلہ کیسے ہوتا ہے؟</v>
      </c>
      <c r="L57" s="5" t="str">
        <f>IFERROR(__xludf.DUMMYFUNCTION("GOOGLETRANSLATE(C57, ""en"", ""ur"")"),"A) اس وقت بیٹنگ کرنے والی ٹیم جیت جاتی ہے، B) اس مقام پر زیادہ سکور والی ٹیم جیت جاتی ہے، C) کھیل کو ڈرا قرار دیا جاتا ہے، D) اگلے دن کھیل دوبارہ کھیلا جاتا ہے۔")</f>
        <v>A) اس وقت بیٹنگ کرنے والی ٹیم جیت جاتی ہے، B) اس مقام پر زیادہ سکور والی ٹیم جیت جاتی ہے، C) کھیل کو ڈرا قرار دیا جاتا ہے، D) اگلے دن کھیل دوبارہ کھیلا جاتا ہے۔</v>
      </c>
      <c r="M57" s="5" t="str">
        <f>IFERROR(__xludf.DUMMYFUNCTION("GOOGLETRANSLATE(D57, ""en"", ""ur"")"),"ب) اس مقام پر زیادہ سکور والی ٹیم جیت جاتی ہے۔")</f>
        <v>ب) اس مقام پر زیادہ سکور والی ٹیم جیت جاتی ہے۔</v>
      </c>
      <c r="N57" s="5" t="str">
        <f>IFERROR(__xludf.DUMMYFUNCTION("GOOGLETRANSLATE(E57, ""en"", ""ur"")"),"غیر رسمی کھیلوں میں، اگر کھیل جاری نہیں رہ سکتا، تو فاتح عام طور پر وہ کھلاڑی یا ٹیم ہوتی ہے جو کھیل کے بلائے جانے پر پوائنٹس پر آگے ہوتی ہے۔")</f>
        <v>غیر رسمی کھیلوں میں، اگر کھیل جاری نہیں رہ سکتا، تو فاتح عام طور پر وہ کھلاڑی یا ٹیم ہوتی ہے جو کھیل کے بلائے جانے پر پوائنٹس پر آگے ہوتی ہے۔</v>
      </c>
    </row>
    <row r="58">
      <c r="A58" s="3">
        <v>57.0</v>
      </c>
      <c r="B58" s="4" t="s">
        <v>2533</v>
      </c>
      <c r="C58" s="4" t="s">
        <v>2534</v>
      </c>
      <c r="D58" s="4" t="s">
        <v>2535</v>
      </c>
      <c r="E58" s="4" t="s">
        <v>2536</v>
      </c>
      <c r="J58" s="5" t="str">
        <f>IFERROR(__xludf.DUMMYFUNCTION("GOOGLETRANSLATE(A58, ""en"", ""ur"")"),"57")</f>
        <v>57</v>
      </c>
      <c r="K58" s="5" t="str">
        <f>IFERROR(__xludf.DUMMYFUNCTION("GOOGLETRANSLATE(B58, ""en"", ""ur"")"),"گلی ڈنڈا میں گول کرنے کا سب سے عام طریقہ کیا ہے؟")</f>
        <v>گلی ڈنڈا میں گول کرنے کا سب سے عام طریقہ کیا ہے؟</v>
      </c>
      <c r="L58" s="5" t="str">
        <f>IFERROR(__xludf.DUMMYFUNCTION("GOOGLETRANSLATE(C58, ""en"", ""ur"")"),"A) مقررہ اہداف کو مارنا، B) گلی کو جتنی بار جگایا جاتا ہے، C) ڈنڈا کی لمبائی میں ہٹ کے فاصلے کی پیمائش، D) دو پوائنٹس کے درمیان دوڑنا")</f>
        <v>A) مقررہ اہداف کو مارنا، B) گلی کو جتنی بار جگایا جاتا ہے، C) ڈنڈا کی لمبائی میں ہٹ کے فاصلے کی پیمائش، D) دو پوائنٹس کے درمیان دوڑنا</v>
      </c>
      <c r="M58" s="5" t="str">
        <f>IFERROR(__xludf.DUMMYFUNCTION("GOOGLETRANSLATE(D58, ""en"", ""ur"")"),"ج) ڈنڈا کی لمبائی میں ہٹ کے فاصلے کی پیمائش")</f>
        <v>ج) ڈنڈا کی لمبائی میں ہٹ کے فاصلے کی پیمائش</v>
      </c>
      <c r="N58" s="5" t="str">
        <f>IFERROR(__xludf.DUMMYFUNCTION("GOOGLETRANSLATE(E58, ""en"", ""ur"")"),"یہ کھیل کو اسکور کرنے کا معیاری اور سب سے زیادہ عام طریقہ ہے۔")</f>
        <v>یہ کھیل کو اسکور کرنے کا معیاری اور سب سے زیادہ عام طریقہ ہے۔</v>
      </c>
    </row>
    <row r="59">
      <c r="A59" s="3">
        <v>58.0</v>
      </c>
      <c r="B59" s="4" t="s">
        <v>2537</v>
      </c>
      <c r="C59" s="4" t="s">
        <v>2538</v>
      </c>
      <c r="D59" s="4" t="s">
        <v>2539</v>
      </c>
      <c r="E59" s="4" t="s">
        <v>2540</v>
      </c>
      <c r="J59" s="5" t="str">
        <f>IFERROR(__xludf.DUMMYFUNCTION("GOOGLETRANSLATE(A59, ""en"", ""ur"")"),"58")</f>
        <v>58</v>
      </c>
      <c r="K59" s="5" t="str">
        <f>IFERROR(__xludf.DUMMYFUNCTION("GOOGLETRANSLATE(B59, ""en"", ""ur"")"),"ایک اسٹرائیکر گلی کو مارتا ہے، جو ایک تیز ڈھلوان چھت پر اترتا ہے اور نیچے لڑھکتا ہے، فاصلہ بڑھاتا ہے۔ یہ عام طور پر کس طرح اسکور کیا جاتا ہے؟")</f>
        <v>ایک اسٹرائیکر گلی کو مارتا ہے، جو ایک تیز ڈھلوان چھت پر اترتا ہے اور نیچے لڑھکتا ہے، فاصلہ بڑھاتا ہے۔ یہ عام طور پر کس طرح اسکور کیا جاتا ہے؟</v>
      </c>
      <c r="L59" s="5" t="str">
        <f>IFERROR(__xludf.DUMMYFUNCTION("GOOGLETRANSLATE(C59, ""en"", ""ur"")"),"A) اسکور کو وہاں سے ماپا جاتا ہے جہاں سے یہ پہلی بار چھت سے ٹکرایا تھا، B) اسکور کو وہیں سے ماپا جاتا ہے جہاں سے یہ آخر میں آرام کرتا ہے، C) باری دوبارہ چلائی جاتی ہے، D) اسٹرائیکر آؤٹ ہوتا ہے۔")</f>
        <v>A) اسکور کو وہاں سے ماپا جاتا ہے جہاں سے یہ پہلی بار چھت سے ٹکرایا تھا، B) اسکور کو وہیں سے ماپا جاتا ہے جہاں سے یہ آخر میں آرام کرتا ہے، C) باری دوبارہ چلائی جاتی ہے، D) اسٹرائیکر آؤٹ ہوتا ہے۔</v>
      </c>
      <c r="M59" s="5" t="str">
        <f>IFERROR(__xludf.DUMMYFUNCTION("GOOGLETRANSLATE(D59, ""en"", ""ur"")"),"ب) اسکور کو وہاں سے ماپا جاتا ہے جہاں سے آخر میں آرام آتا ہے۔")</f>
        <v>ب) اسکور کو وہاں سے ماپا جاتا ہے جہاں سے آخر میں آرام آتا ہے۔</v>
      </c>
      <c r="N59" s="5" t="str">
        <f>IFERROR(__xludf.DUMMYFUNCTION("GOOGLETRANSLATE(E59, ""en"", ""ur"")"),"زیادہ تر غیر رسمی کھیلوں میں، گلی کی آخری آرام گاہ کا شمار ہوتا ہے، یہاں تک کہ اگر یہ لینڈنگ کے بعد گھوم جائے۔")</f>
        <v>زیادہ تر غیر رسمی کھیلوں میں، گلی کی آخری آرام گاہ کا شمار ہوتا ہے، یہاں تک کہ اگر یہ لینڈنگ کے بعد گھوم جائے۔</v>
      </c>
    </row>
    <row r="60">
      <c r="A60" s="3">
        <v>59.0</v>
      </c>
      <c r="B60" s="4" t="s">
        <v>2541</v>
      </c>
      <c r="C60" s="4" t="s">
        <v>2542</v>
      </c>
      <c r="D60" s="4" t="s">
        <v>2543</v>
      </c>
      <c r="E60" s="4" t="s">
        <v>2544</v>
      </c>
      <c r="J60" s="5" t="str">
        <f>IFERROR(__xludf.DUMMYFUNCTION("GOOGLETRANSLATE(A60, ""en"", ""ur"")"),"59")</f>
        <v>59</v>
      </c>
      <c r="K60" s="5" t="str">
        <f>IFERROR(__xludf.DUMMYFUNCTION("GOOGLETRANSLATE(B60, ""en"", ""ur"")"),"ایک فیلڈر گلی کو روکتا ہے لیکن 100 ڈنڈا کی لمبائی کے فاصلے پر ہے۔ وہ 'غیر تحریری اصول' کیا ہے جس کی وہ پیروی کر سکتے ہیں؟")</f>
        <v>ایک فیلڈر گلی کو روکتا ہے لیکن 100 ڈنڈا کی لمبائی کے فاصلے پر ہے۔ وہ 'غیر تحریری اصول' کیا ہے جس کی وہ پیروی کر سکتے ہیں؟</v>
      </c>
      <c r="L60" s="5" t="str">
        <f>IFERROR(__xludf.DUMMYFUNCTION("GOOGLETRANSLATE(C60, ""en"", ""ur"")"),"A) پھینکے بغیر اسکور کو تسلیم کریں، B) گلی کو جتنی مشکل سے ممکن ہو پھینکیں، C) ایک تماشائی سے اسے واپس پھینکنے کو کہیں، D) اسے اپنے قریبی ساتھی کو پھینک دیں۔")</f>
        <v>A) پھینکے بغیر اسکور کو تسلیم کریں، B) گلی کو جتنی مشکل سے ممکن ہو پھینکیں، C) ایک تماشائی سے اسے واپس پھینکنے کو کہیں، D) اسے اپنے قریبی ساتھی کو پھینک دیں۔</v>
      </c>
      <c r="M60" s="5" t="str">
        <f>IFERROR(__xludf.DUMMYFUNCTION("GOOGLETRANSLATE(D60, ""en"", ""ur"")"),"A) پھینکے بغیر اسکور کو تسلیم کریں۔")</f>
        <v>A) پھینکے بغیر اسکور کو تسلیم کریں۔</v>
      </c>
      <c r="N60" s="5" t="str">
        <f>IFERROR(__xludf.DUMMYFUNCTION("GOOGLETRANSLATE(E60, ""en"", ""ur"")"),"بہت دور سے، گھر پر ڈنڈا مارنے کا امکان تقریباً صفر ہے، اس لیے فیلڈرز اکثر وقت بچانے کے لیے پیمائش کو تسلیم کرتے ہیں۔")</f>
        <v>بہت دور سے، گھر پر ڈنڈا مارنے کا امکان تقریباً صفر ہے، اس لیے فیلڈرز اکثر وقت بچانے کے لیے پیمائش کو تسلیم کرتے ہیں۔</v>
      </c>
    </row>
    <row r="61">
      <c r="A61" s="3">
        <v>60.0</v>
      </c>
      <c r="B61" s="4" t="s">
        <v>2545</v>
      </c>
      <c r="C61" s="4" t="s">
        <v>2546</v>
      </c>
      <c r="D61" s="4" t="s">
        <v>2547</v>
      </c>
      <c r="E61" s="4" t="s">
        <v>2548</v>
      </c>
      <c r="J61" s="5" t="str">
        <f>IFERROR(__xludf.DUMMYFUNCTION("GOOGLETRANSLATE(A61, ""en"", ""ur"")"),"60")</f>
        <v>60</v>
      </c>
      <c r="K61" s="5" t="str">
        <f>IFERROR(__xludf.DUMMYFUNCTION("GOOGLETRANSLATE(B61, ""en"", ""ur"")"),"زمین میں چھوٹے گڑھے یا 'گچھی' کا بنیادی مقصد کیا ہے؟")</f>
        <v>زمین میں چھوٹے گڑھے یا 'گچھی' کا بنیادی مقصد کیا ہے؟</v>
      </c>
      <c r="L61" s="5" t="str">
        <f>IFERROR(__xludf.DUMMYFUNCTION("GOOGLETRANSLATE(C61, ""en"", ""ur"")"),"A) گلی کو ذخیرہ کرنے کے لئے، B) گلی کو ہوا میں جھٹکنے کی اجازت دینے کے لئے ایک فلکرم کے طور پر کام کرنے کے لئے، C) یہ گول کرنے کا بنیادی ہدف ہے، D) میدان کے مرکز کو نشان زد کرنا")</f>
        <v>A) گلی کو ذخیرہ کرنے کے لئے، B) گلی کو ہوا میں جھٹکنے کی اجازت دینے کے لئے ایک فلکرم کے طور پر کام کرنے کے لئے، C) یہ گول کرنے کا بنیادی ہدف ہے، D) میدان کے مرکز کو نشان زد کرنا</v>
      </c>
      <c r="M61" s="5" t="str">
        <f>IFERROR(__xludf.DUMMYFUNCTION("GOOGLETRANSLATE(D61, ""en"", ""ur"")"),"ب) گلی کو ہوا میں اڑنے کی اجازت دینے کے لیے فلکرم کے طور پر کام کرنا")</f>
        <v>ب) گلی کو ہوا میں اڑنے کی اجازت دینے کے لیے فلکرم کے طور پر کام کرنا</v>
      </c>
      <c r="N61" s="5" t="str">
        <f>IFERROR(__xludf.DUMMYFUNCTION("GOOGLETRANSLATE(E61, ""en"", ""ur"")"),"گلی کو اس چھوٹے سوراخ پر رکھنا اسٹرائیکر کو اہم ابتدائی جھٹکا لگانے کے لیے اس کے نیچے ڈنڈا حاصل کرنے دیتا ہے۔")</f>
        <v>گلی کو اس چھوٹے سوراخ پر رکھنا اسٹرائیکر کو اہم ابتدائی جھٹکا لگانے کے لیے اس کے نیچے ڈنڈا حاصل کرنے دیتا ہے۔</v>
      </c>
    </row>
    <row r="62">
      <c r="A62" s="3">
        <v>61.0</v>
      </c>
      <c r="B62" s="4" t="s">
        <v>2549</v>
      </c>
      <c r="C62" s="4" t="s">
        <v>2550</v>
      </c>
      <c r="D62" s="4" t="s">
        <v>2551</v>
      </c>
      <c r="E62" s="4" t="s">
        <v>2552</v>
      </c>
      <c r="J62" s="5" t="str">
        <f>IFERROR(__xludf.DUMMYFUNCTION("GOOGLETRANSLATE(A62, ""en"", ""ur"")"),"61")</f>
        <v>61</v>
      </c>
      <c r="K62" s="5" t="str">
        <f>IFERROR(__xludf.DUMMYFUNCTION("GOOGLETRANSLATE(B62, ""en"", ""ur"")"),"بابر نامہ کے علاوہ مغل دور کے کون سے متن میں دیہی زندگی کی تصویریں شامل ہیں جو گلی ڈنڈا جیسے چھڑیوں پر مبنی کھیلوں کی عکاسی کرتی ہیں؟")</f>
        <v>بابر نامہ کے علاوہ مغل دور کے کون سے متن میں دیہی زندگی کی تصویریں شامل ہیں جو گلی ڈنڈا جیسے چھڑیوں پر مبنی کھیلوں کی عکاسی کرتی ہیں؟</v>
      </c>
      <c r="L62" s="5" t="str">
        <f>IFERROR(__xludf.DUMMYFUNCTION("GOOGLETRANSLATE(C62, ""en"", ""ur"")"),"A) اکبر نامہ، B) پادشاہنامہ، C) تزک جہانگیری، D) ہمزنامہ")</f>
        <v>A) اکبر نامہ، B) پادشاہنامہ، C) تزک جہانگیری، D) ہمزنامہ</v>
      </c>
      <c r="M62" s="5" t="str">
        <f>IFERROR(__xludf.DUMMYFUNCTION("GOOGLETRANSLATE(D62, ""en"", ""ur"")"),"د) حمزانہ")</f>
        <v>د) حمزانہ</v>
      </c>
      <c r="N62" s="5" t="str">
        <f>IFERROR(__xludf.DUMMYFUNCTION("GOOGLETRANSLATE(E62, ""en"", ""ur"")"),"اکبر کی طرف سے تیار کیے گئے ہمزنامہ کے مخطوطات میں دیہی اور درباری زندگی کی متحرک تصویریں شامل ہیں، بشمول کھیل۔")</f>
        <v>اکبر کی طرف سے تیار کیے گئے ہمزنامہ کے مخطوطات میں دیہی اور درباری زندگی کی متحرک تصویریں شامل ہیں، بشمول کھیل۔</v>
      </c>
    </row>
    <row r="63">
      <c r="A63" s="3">
        <v>62.0</v>
      </c>
      <c r="B63" s="4" t="s">
        <v>2553</v>
      </c>
      <c r="C63" s="4" t="s">
        <v>2554</v>
      </c>
      <c r="D63" s="4" t="s">
        <v>2555</v>
      </c>
      <c r="E63" s="4" t="s">
        <v>2556</v>
      </c>
      <c r="J63" s="5" t="str">
        <f>IFERROR(__xludf.DUMMYFUNCTION("GOOGLETRANSLATE(A63, ""en"", ""ur"")"),"62")</f>
        <v>62</v>
      </c>
      <c r="K63" s="5" t="str">
        <f>IFERROR(__xludf.DUMMYFUNCTION("GOOGLETRANSLATE(B63, ""en"", ""ur"")"),"برطانوی نوآبادیاتی ریکارڈ میں، گلی ڈنڈا کو اکثر غلط درجہ بندی کیا گیا تھا یا اسے کیا کہا گیا تھا؟")</f>
        <v>برطانوی نوآبادیاتی ریکارڈ میں، گلی ڈنڈا کو اکثر غلط درجہ بندی کیا گیا تھا یا اسے کیا کہا گیا تھا؟</v>
      </c>
      <c r="L63" s="5" t="str">
        <f>IFERROR(__xludf.DUMMYFUNCTION("GOOGLETRANSLATE(C63, ""en"", ""ur"")"),"A) ""سڑکوں میں جھگڑے کی ایک شکل""، B) ""کرکٹ کا ایک قدیم ورژن""، C) ""ایک مذہبی رسم""، D) ""لوک رقص کی ایک قسم""")</f>
        <v>A) "سڑکوں میں جھگڑے کی ایک شکل"، B) "کرکٹ کا ایک قدیم ورژن"، C) "ایک مذہبی رسم"، D) "لوک رقص کی ایک قسم"</v>
      </c>
      <c r="M63" s="5" t="str">
        <f>IFERROR(__xludf.DUMMYFUNCTION("GOOGLETRANSLATE(D63, ""en"", ""ur"")"),"ب) ""کرکٹ کا ایک قدیم ورژن""")</f>
        <v>ب) "کرکٹ کا ایک قدیم ورژن"</v>
      </c>
      <c r="N63" s="5" t="str">
        <f>IFERROR(__xludf.DUMMYFUNCTION("GOOGLETRANSLATE(E63, ""en"", ""ur"")"),"برطانوی نسل کے ماہرین اور حکام اکثر اس کھیل کا کرکٹ سے اس کے بلے اور گیند کے میکانکس کی وجہ سے موازنہ کرتے ہیں، اکثر اسے کم ""مہذب"" پیش خیمہ قرار دیتے ہیں۔")</f>
        <v>برطانوی نسل کے ماہرین اور حکام اکثر اس کھیل کا کرکٹ سے اس کے بلے اور گیند کے میکانکس کی وجہ سے موازنہ کرتے ہیں، اکثر اسے کم "مہذب" پیش خیمہ قرار دیتے ہیں۔</v>
      </c>
    </row>
    <row r="64">
      <c r="A64" s="3">
        <v>63.0</v>
      </c>
      <c r="B64" s="4" t="s">
        <v>2557</v>
      </c>
      <c r="C64" s="4" t="s">
        <v>2558</v>
      </c>
      <c r="D64" s="4" t="s">
        <v>2559</v>
      </c>
      <c r="E64" s="4" t="s">
        <v>2560</v>
      </c>
      <c r="J64" s="5" t="str">
        <f>IFERROR(__xludf.DUMMYFUNCTION("GOOGLETRANSLATE(A64, ""en"", ""ur"")"),"63")</f>
        <v>63</v>
      </c>
      <c r="K64" s="5" t="str">
        <f>IFERROR(__xludf.DUMMYFUNCTION("GOOGLETRANSLATE(B64, ""en"", ""ur"")"),"کس مشہور پاکستانی شاعر نے گلی ڈنڈا کو کھوئے ہوئے بچپن اور پرانی یادوں کے ایک طاقتور استعارے کے طور پر استعمال کیا؟")</f>
        <v>کس مشہور پاکستانی شاعر نے گلی ڈنڈا کو کھوئے ہوئے بچپن اور پرانی یادوں کے ایک طاقتور استعارے کے طور پر استعمال کیا؟</v>
      </c>
      <c r="L64" s="5" t="str">
        <f>IFERROR(__xludf.DUMMYFUNCTION("GOOGLETRANSLATE(C64, ""en"", ""ur"")"),"A) فیض احمد فیض، B) احمد فراز، C) حبیب جالب، D) منیر نیازی")</f>
        <v>A) فیض احمد فیض، B) احمد فراز، C) حبیب جالب، D) منیر نیازی</v>
      </c>
      <c r="M64" s="5" t="str">
        <f>IFERROR(__xludf.DUMMYFUNCTION("GOOGLETRANSLATE(D64, ""en"", ""ur"")"),"ڈی) منیر نیازی")</f>
        <v>ڈی) منیر نیازی</v>
      </c>
      <c r="N64" s="5" t="str">
        <f>IFERROR(__xludf.DUMMYFUNCTION("GOOGLETRANSLATE(E64, ""en"", ""ur"")"),"منیر نیازی کی شاعری اکثر گلی ڈنڈا کو ایک سادہ، دیہاتی بچپن کی ایک پُرجوش اور پرانی تصویر کے طور پر حوالہ دیتی ہے جو جدیدیت کی وجہ سے کھو رہی ہے۔")</f>
        <v>منیر نیازی کی شاعری اکثر گلی ڈنڈا کو ایک سادہ، دیہاتی بچپن کی ایک پُرجوش اور پرانی تصویر کے طور پر حوالہ دیتی ہے جو جدیدیت کی وجہ سے کھو رہی ہے۔</v>
      </c>
    </row>
    <row r="65">
      <c r="A65" s="3">
        <v>64.0</v>
      </c>
      <c r="B65" s="4" t="s">
        <v>2561</v>
      </c>
      <c r="C65" s="4" t="s">
        <v>2562</v>
      </c>
      <c r="D65" s="4" t="s">
        <v>2563</v>
      </c>
      <c r="E65" s="4" t="s">
        <v>2564</v>
      </c>
      <c r="J65" s="5" t="str">
        <f>IFERROR(__xludf.DUMMYFUNCTION("GOOGLETRANSLATE(A65, ""en"", ""ur"")"),"64")</f>
        <v>64</v>
      </c>
      <c r="K65" s="5" t="str">
        <f>IFERROR(__xludf.DUMMYFUNCTION("GOOGLETRANSLATE(B65, ""en"", ""ur"")"),"مکمل ناکامی کو بیان کرنے کے لیے کون سا سندھی کہاوت گلی ڈنڈا استعمال کرتی ہے؟")</f>
        <v>مکمل ناکامی کو بیان کرنے کے لیے کون سا سندھی کہاوت گلی ڈنڈا استعمال کرتی ہے؟</v>
      </c>
      <c r="L65" s="5" t="str">
        <f>IFERROR(__xludf.DUMMYFUNCTION("GOOGLETRANSLATE(C65, ""en"", ""ur"")"),"A) ""نا گلی چھائی، نا ڈنڈا لگاو""، B) ""گلی گری، عزت میری""، C) ""ڈنڈا ہاتھ میں، کھیل دروازہ""، D) ""گلی اُڑی، نصیب رودھی""")</f>
        <v>A) "نا گلی چھائی، نا ڈنڈا لگاو"، B) "گلی گری، عزت میری"، C) "ڈنڈا ہاتھ میں، کھیل دروازہ"، D) "گلی اُڑی، نصیب رودھی"</v>
      </c>
      <c r="M65" s="5" t="str">
        <f>IFERROR(__xludf.DUMMYFUNCTION("GOOGLETRANSLATE(D65, ""en"", ""ur"")"),"A) ""نا گلی چھائی، نا ڈنڈا لگاو""")</f>
        <v>A) "نا گلی چھائی، نا ڈنڈا لگاو"</v>
      </c>
      <c r="N65" s="5" t="str">
        <f>IFERROR(__xludf.DUMMYFUNCTION("GOOGLETRANSLATE(E65, ""en"", ""ur"")"),"کہاوت، جس کا مطلب ہے ""نہ گل گلاب، نہ ڈنڈا مارا""، اس صورت حال کو بیان کرنے کے لیے استعمال کیا جاتا ہے جہاں کوئی کسی کام کے ہر پہلو میں ناکام ہو جاتا ہے۔")</f>
        <v>کہاوت، جس کا مطلب ہے "نہ گل گلاب، نہ ڈنڈا مارا"، اس صورت حال کو بیان کرنے کے لیے استعمال کیا جاتا ہے جہاں کوئی کسی کام کے ہر پہلو میں ناکام ہو جاتا ہے۔</v>
      </c>
    </row>
    <row r="66">
      <c r="A66" s="3">
        <v>65.0</v>
      </c>
      <c r="B66" s="4" t="s">
        <v>2565</v>
      </c>
      <c r="C66" s="4" t="s">
        <v>2566</v>
      </c>
      <c r="D66" s="4" t="s">
        <v>2567</v>
      </c>
      <c r="E66" s="4" t="s">
        <v>2568</v>
      </c>
      <c r="J66" s="5" t="str">
        <f>IFERROR(__xludf.DUMMYFUNCTION("GOOGLETRANSLATE(A66, ""en"", ""ur"")"),"65")</f>
        <v>65</v>
      </c>
      <c r="K66" s="5" t="str">
        <f>IFERROR(__xludf.DUMMYFUNCTION("GOOGLETRANSLATE(B66, ""en"", ""ur"")"),"کس دہائی میں شہری پاکستانی اسکولوں نے کرکٹ اور ہاکی کے حق میں گلی ڈنڈا جیسے روایتی کھیلوں کو باضابطہ طور پر ختم کرنا شروع کیا؟")</f>
        <v>کس دہائی میں شہری پاکستانی اسکولوں نے کرکٹ اور ہاکی کے حق میں گلی ڈنڈا جیسے روایتی کھیلوں کو باضابطہ طور پر ختم کرنا شروع کیا؟</v>
      </c>
      <c r="L66" s="5" t="str">
        <f>IFERROR(__xludf.DUMMYFUNCTION("GOOGLETRANSLATE(C66, ""en"", ""ur"")"),"A) 1920 کی دہائی، B) 1930 کی دہائی، C) 1940 کی دہائی، D) 1960 کی دہائی")</f>
        <v>A) 1920 کی دہائی، B) 1930 کی دہائی، C) 1940 کی دہائی، D) 1960 کی دہائی</v>
      </c>
      <c r="M66" s="5" t="str">
        <f>IFERROR(__xludf.DUMMYFUNCTION("GOOGLETRANSLATE(D66, ""en"", ""ur"")"),"ج) 1940 کی دہائی")</f>
        <v>ج) 1940 کی دہائی</v>
      </c>
      <c r="N66" s="5" t="str">
        <f>IFERROR(__xludf.DUMMYFUNCTION("GOOGLETRANSLATE(E66, ""en"", ""ur"")"),"منظم کھیلوں کے عروج اور برطانوی نظام کے اثر کے ساتھ، اسکولوں نے 20ویں صدی کے وسط میں غیر رسمی لوک کھیلوں کی حوصلہ شکنی شروع کر دی۔")</f>
        <v>منظم کھیلوں کے عروج اور برطانوی نظام کے اثر کے ساتھ، اسکولوں نے 20ویں صدی کے وسط میں غیر رسمی لوک کھیلوں کی حوصلہ شکنی شروع کر دی۔</v>
      </c>
    </row>
    <row r="67">
      <c r="A67" s="3">
        <v>66.0</v>
      </c>
      <c r="B67" s="4" t="s">
        <v>2569</v>
      </c>
      <c r="C67" s="4" t="s">
        <v>2570</v>
      </c>
      <c r="D67" s="4" t="s">
        <v>2571</v>
      </c>
      <c r="E67" s="4" t="s">
        <v>2572</v>
      </c>
      <c r="J67" s="5" t="str">
        <f>IFERROR(__xludf.DUMMYFUNCTION("GOOGLETRANSLATE(A67, ""en"", ""ur"")"),"66")</f>
        <v>66</v>
      </c>
      <c r="K67" s="5" t="str">
        <f>IFERROR(__xludf.DUMMYFUNCTION("GOOGLETRANSLATE(B67, ""en"", ""ur"")"),"کس تقابلی ماہر بشریات نے گلی ڈنڈا کو بیس بال کی ابتدا سے جوڑا؟")</f>
        <v>کس تقابلی ماہر بشریات نے گلی ڈنڈا کو بیس بال کی ابتدا سے جوڑا؟</v>
      </c>
      <c r="L67" s="5" t="str">
        <f>IFERROR(__xludf.DUMMYFUNCTION("GOOGLETRANSLATE(C67, ""en"", ""ur"")"),"اے) مارگریٹ میڈ، بی) الفریڈ ریڈکلف براؤن، سی) آر جی کولنگ ووڈ، ڈی) جی بی ملن")</f>
        <v>اے) مارگریٹ میڈ، بی) الفریڈ ریڈکلف براؤن، سی) آر جی کولنگ ووڈ، ڈی) جی بی ملن</v>
      </c>
      <c r="M67" s="5" t="str">
        <f>IFERROR(__xludf.DUMMYFUNCTION("GOOGLETRANSLATE(D67, ""en"", ""ur"")"),"ڈی) جی بی ملنے")</f>
        <v>ڈی) جی بی ملنے</v>
      </c>
      <c r="N67" s="5" t="str">
        <f>IFERROR(__xludf.DUMMYFUNCTION("GOOGLETRANSLATE(E67, ""en"", ""ur"")"),"20 ویں صدی کے اوائل میں، کچھ کھیلوں کے مورخین جیسے G.B. Milne نے ایشیا کے اسٹک اینڈ پیگ گیمز اور یورپ میں بلے اور گیند کے کھیل کے ارتقاء کے درمیان مماثلت پیدا کی۔")</f>
        <v>20 ویں صدی کے اوائل میں، کچھ کھیلوں کے مورخین جیسے G.B. Milne نے ایشیا کے اسٹک اینڈ پیگ گیمز اور یورپ میں بلے اور گیند کے کھیل کے ارتقاء کے درمیان مماثلت پیدا کی۔</v>
      </c>
    </row>
    <row r="68">
      <c r="A68" s="3">
        <v>67.0</v>
      </c>
      <c r="B68" s="4" t="s">
        <v>2573</v>
      </c>
      <c r="C68" s="4" t="s">
        <v>2574</v>
      </c>
      <c r="D68" s="4" t="s">
        <v>2575</v>
      </c>
      <c r="E68" s="4" t="s">
        <v>2576</v>
      </c>
      <c r="J68" s="5" t="str">
        <f>IFERROR(__xludf.DUMMYFUNCTION("GOOGLETRANSLATE(A68, ""en"", ""ur"")"),"67")</f>
        <v>67</v>
      </c>
      <c r="K68" s="5" t="str">
        <f>IFERROR(__xludf.DUMMYFUNCTION("GOOGLETRANSLATE(B68, ""en"", ""ur"")"),"اسلام آباد کے لوک ورثہ میوزیم کو گلی ڈنڈا کے کس پہلو کو محفوظ کرنے کا حکم دیا گیا ہے؟")</f>
        <v>اسلام آباد کے لوک ورثہ میوزیم کو گلی ڈنڈا کے کس پہلو کو محفوظ کرنے کا حکم دیا گیا ہے؟</v>
      </c>
      <c r="L68" s="5" t="str">
        <f>IFERROR(__xludf.DUMMYFUNCTION("GOOGLETRANSLATE(C68, ""en"", ""ur"")"),"A) آفیشل رولز، B) مشہور کھلاڑیوں کے ذریعے استعمال ہونے والا سامان، C) پاکستان کے غیر محسوس ثقافتی ورثے کے طور پر اس کی حیثیت، D) طویل ترین ہٹ کے عالمی ریکارڈ")</f>
        <v>A) آفیشل رولز، B) مشہور کھلاڑیوں کے ذریعے استعمال ہونے والا سامان، C) پاکستان کے غیر محسوس ثقافتی ورثے کے طور پر اس کی حیثیت، D) طویل ترین ہٹ کے عالمی ریکارڈ</v>
      </c>
      <c r="M68" s="5" t="str">
        <f>IFERROR(__xludf.DUMMYFUNCTION("GOOGLETRANSLATE(D68, ""en"", ""ur"")"),"ج) پاکستان کے غیر محسوس ثقافتی ورثے کے طور پر اس کی حیثیت")</f>
        <v>ج) پاکستان کے غیر محسوس ثقافتی ورثے کے طور پر اس کی حیثیت</v>
      </c>
      <c r="N68" s="5" t="str">
        <f>IFERROR(__xludf.DUMMYFUNCTION("GOOGLETRANSLATE(E68, ""en"", ""ur"")"),"لوک ورثہ جیسی تنظیمیں ملک کے زندہ ثقافتی ورثے کے حصے کے طور پر روایتی کھیلوں کو دستاویزی بنانے اور فروغ دینے کے لیے کام کرتی ہیں۔")</f>
        <v>لوک ورثہ جیسی تنظیمیں ملک کے زندہ ثقافتی ورثے کے حصے کے طور پر روایتی کھیلوں کو دستاویزی بنانے اور فروغ دینے کے لیے کام کرتی ہیں۔</v>
      </c>
    </row>
    <row r="69">
      <c r="A69" s="3">
        <v>68.0</v>
      </c>
      <c r="B69" s="4" t="s">
        <v>2577</v>
      </c>
      <c r="C69" s="4" t="s">
        <v>2578</v>
      </c>
      <c r="D69" s="4" t="s">
        <v>2579</v>
      </c>
      <c r="E69" s="4" t="s">
        <v>2580</v>
      </c>
      <c r="J69" s="5" t="str">
        <f>IFERROR(__xludf.DUMMYFUNCTION("GOOGLETRANSLATE(A69, ""en"", ""ur"")"),"68")</f>
        <v>68</v>
      </c>
      <c r="K69" s="5" t="str">
        <f>IFERROR(__xludf.DUMMYFUNCTION("GOOGLETRANSLATE(B69, ""en"", ""ur"")"),"کون سا پاکستانی فنکار اپنے ٹرک آرٹ میں گلی ڈنڈا کی پرانی یادوں کو شامل کرنے کے لیے جانا جاتا ہے؟")</f>
        <v>کون سا پاکستانی فنکار اپنے ٹرک آرٹ میں گلی ڈنڈا کی پرانی یادوں کو شامل کرنے کے لیے جانا جاتا ہے؟</v>
      </c>
      <c r="L69" s="5" t="str">
        <f>IFERROR(__xludf.DUMMYFUNCTION("GOOGLETRANSLATE(C69, ""en"", ""ur"")"),"A) صادقین، B) شاہنواز، C) گلزار حسین، D) اللہ بخش")</f>
        <v>A) صادقین، B) شاہنواز، C) گلزار حسین، D) اللہ بخش</v>
      </c>
      <c r="M69" s="5" t="str">
        <f>IFERROR(__xludf.DUMMYFUNCTION("GOOGLETRANSLATE(D69, ""en"", ""ur"")"),"ج) گلزار حسین")</f>
        <v>ج) گلزار حسین</v>
      </c>
      <c r="N69" s="5" t="str">
        <f>IFERROR(__xludf.DUMMYFUNCTION("GOOGLETRANSLATE(E69, ""en"", ""ur"")"),"پاکستانی ٹرک آرٹ اپنی متحرک تصویروں کے لیے مشہور ہے، جس میں اکثر دیہی زندگی کے مناظر اور گلی ڈنڈا جیسے پرانی یادیں شامل ہوتی ہیں۔")</f>
        <v>پاکستانی ٹرک آرٹ اپنی متحرک تصویروں کے لیے مشہور ہے، جس میں اکثر دیہی زندگی کے مناظر اور گلی ڈنڈا جیسے پرانی یادیں شامل ہوتی ہیں۔</v>
      </c>
    </row>
    <row r="70">
      <c r="A70" s="3">
        <v>69.0</v>
      </c>
      <c r="B70" s="4" t="s">
        <v>2581</v>
      </c>
      <c r="C70" s="4" t="s">
        <v>2582</v>
      </c>
      <c r="D70" s="4" t="s">
        <v>2583</v>
      </c>
      <c r="E70" s="4" t="s">
        <v>2584</v>
      </c>
      <c r="J70" s="5" t="str">
        <f>IFERROR(__xludf.DUMMYFUNCTION("GOOGLETRANSLATE(A70, ""en"", ""ur"")"),"69")</f>
        <v>69</v>
      </c>
      <c r="K70" s="5" t="str">
        <f>IFERROR(__xludf.DUMMYFUNCTION("GOOGLETRANSLATE(B70, ""en"", ""ur"")"),"ایک کھلاڑی اپنے ""ہیلی کاپٹر شاٹ"" کے لیے جانا جاتا ہے، جو پورے جسم پر گھومنے والی ہڑتال ہے۔ یہ تکنیک کیا کی ایک مثال ہے؟")</f>
        <v>ایک کھلاڑی اپنے "ہیلی کاپٹر شاٹ" کے لیے جانا جاتا ہے، جو پورے جسم پر گھومنے والی ہڑتال ہے۔ یہ تکنیک کیا کی ایک مثال ہے؟</v>
      </c>
      <c r="L70" s="5" t="str">
        <f>IFERROR(__xludf.DUMMYFUNCTION("GOOGLETRANSLATE(C70, ""en"", ""ur"")"),"A) کرکٹ سے متاثر ایک جدید موافقت، B) ایک غیر قانونی اقدام، C) ایک روایتی لیکن نایاب مہارت، D) سکور کرنے کا واحد طریقہ")</f>
        <v>A) کرکٹ سے متاثر ایک جدید موافقت، B) ایک غیر قانونی اقدام، C) ایک روایتی لیکن نایاب مہارت، D) سکور کرنے کا واحد طریقہ</v>
      </c>
      <c r="M70" s="5" t="str">
        <f>IFERROR(__xludf.DUMMYFUNCTION("GOOGLETRANSLATE(D70, ""en"", ""ur"")"),"A) کرکٹ سے متاثر ایک جدید موافقت")</f>
        <v>A) کرکٹ سے متاثر ایک جدید موافقت</v>
      </c>
      <c r="N70" s="5" t="str">
        <f>IFERROR(__xludf.DUMMYFUNCTION("GOOGLETRANSLATE(E70, ""en"", ""ur"")"),"360 ڈگری اسپننگ شاٹ، جسے کرکٹ میں مشہور کیا گیا، کچھ گلی ڈنڈا کے کھلاڑیوں نے زیادہ طاقت پیدا کرنے کے لیے غیر رسمی طور پر ڈھال لیا ہے۔")</f>
        <v>360 ڈگری اسپننگ شاٹ، جسے کرکٹ میں مشہور کیا گیا، کچھ گلی ڈنڈا کے کھلاڑیوں نے زیادہ طاقت پیدا کرنے کے لیے غیر رسمی طور پر ڈھال لیا ہے۔</v>
      </c>
    </row>
    <row r="71">
      <c r="A71" s="3">
        <v>70.0</v>
      </c>
      <c r="B71" s="4" t="s">
        <v>2585</v>
      </c>
      <c r="C71" s="4" t="s">
        <v>2586</v>
      </c>
      <c r="D71" s="4" t="s">
        <v>2587</v>
      </c>
      <c r="E71" s="4" t="s">
        <v>2588</v>
      </c>
      <c r="J71" s="5" t="str">
        <f>IFERROR(__xludf.DUMMYFUNCTION("GOOGLETRANSLATE(A71, ""en"", ""ur"")"),"70")</f>
        <v>70</v>
      </c>
      <c r="K71" s="5" t="str">
        <f>IFERROR(__xludf.DUMMYFUNCTION("GOOGLETRANSLATE(B71, ""en"", ""ur"")"),"برطانیہ اور کینیڈا کے پارکوں میں غیر رسمی طور پر گلی ڈنڈا کھیلنے کے لیے کون سی ڈائس پورہ کمیونٹی مشہور ہے؟")</f>
        <v>برطانیہ اور کینیڈا کے پارکوں میں غیر رسمی طور پر گلی ڈنڈا کھیلنے کے لیے کون سی ڈائس پورہ کمیونٹی مشہور ہے؟</v>
      </c>
      <c r="L71" s="5" t="str">
        <f>IFERROR(__xludf.DUMMYFUNCTION("GOOGLETRANSLATE(C71, ""en"", ""ur"")"),"A) پاکستانی کشمیری، B) پنجابی مہاجر، C) بنگلہ دیشی سلہٹی، D) گجراتی مسلمان")</f>
        <v>A) پاکستانی کشمیری، B) پنجابی مہاجر، C) بنگلہ دیشی سلہٹی، D) گجراتی مسلمان</v>
      </c>
      <c r="M71" s="5" t="str">
        <f>IFERROR(__xludf.DUMMYFUNCTION("GOOGLETRANSLATE(D71, ""en"", ""ur"")"),"ب) پنجابی مہاجر")</f>
        <v>ب) پنجابی مہاجر</v>
      </c>
      <c r="N71" s="5" t="str">
        <f>IFERROR(__xludf.DUMMYFUNCTION("GOOGLETRANSLATE(E71, ""en"", ""ur"")"),"ہندوستان اور پاکستان دونوں کے پنجاب کے علاقے سے نقل مکانی کرنے والوں نے کمیونٹی پکنک اور اجتماعات میں یہ کھیل کھیلتے ہوئے اپنے ساتھ روایت رکھی ہے۔")</f>
        <v>ہندوستان اور پاکستان دونوں کے پنجاب کے علاقے سے نقل مکانی کرنے والوں نے کمیونٹی پکنک اور اجتماعات میں یہ کھیل کھیلتے ہوئے اپنے ساتھ روایت رکھی ہے۔</v>
      </c>
    </row>
    <row r="72">
      <c r="A72" s="3">
        <v>71.0</v>
      </c>
      <c r="B72" s="4" t="s">
        <v>2589</v>
      </c>
      <c r="C72" s="4" t="s">
        <v>2590</v>
      </c>
      <c r="D72" s="4" t="s">
        <v>2591</v>
      </c>
      <c r="E72" s="4" t="s">
        <v>2592</v>
      </c>
      <c r="J72" s="5" t="str">
        <f>IFERROR(__xludf.DUMMYFUNCTION("GOOGLETRANSLATE(A72, ""en"", ""ur"")"),"71")</f>
        <v>71</v>
      </c>
      <c r="K72" s="5" t="str">
        <f>IFERROR(__xludf.DUMMYFUNCTION("GOOGLETRANSLATE(B72, ""en"", ""ur"")"),"پاکستانی کھیلوں کی پالیسی کی کس دستاویز نے سب سے پہلے روایتی لوک کھیلوں جیسے گلی ڈنڈا کے احیاء کی تجویز دی؟")</f>
        <v>پاکستانی کھیلوں کی پالیسی کی کس دستاویز نے سب سے پہلے روایتی لوک کھیلوں جیسے گلی ڈنڈا کے احیاء کی تجویز دی؟</v>
      </c>
      <c r="L72" s="5" t="str">
        <f>IFERROR(__xludf.DUMMYFUNCTION("GOOGLETRANSLATE(C72, ""en"", ""ur"")"),"A) 1972 کی نیشنل سپورٹس پالیسی، B) 1986 کا نیشنل گیمز چارٹر، C) 2009 کی یوتھ پالیسی، D) دی ویژن 2025 سپورٹس چیپٹر")</f>
        <v>A) 1972 کی نیشنل سپورٹس پالیسی، B) 1986 کا نیشنل گیمز چارٹر، C) 2009 کی یوتھ پالیسی، D) دی ویژن 2025 سپورٹس چیپٹر</v>
      </c>
      <c r="M72" s="5" t="str">
        <f>IFERROR(__xludf.DUMMYFUNCTION("GOOGLETRANSLATE(D72, ""en"", ""ur"")"),"ڈی) ویژن 2025 کھیلوں کا باب")</f>
        <v>ڈی) ویژن 2025 کھیلوں کا باب</v>
      </c>
      <c r="N72" s="5" t="str">
        <f>IFERROR(__xludf.DUMMYFUNCTION("GOOGLETRANSLATE(E72, ""en"", ""ur"")"),"حالیہ پالیسی دستاویزات میں روایتی کھیلوں سمیت مقامی لوک ورثے کو محفوظ رکھنے اور فروغ دینے کی ضرورت پر زور دیا گیا ہے۔")</f>
        <v>حالیہ پالیسی دستاویزات میں روایتی کھیلوں سمیت مقامی لوک ورثے کو محفوظ رکھنے اور فروغ دینے کی ضرورت پر زور دیا گیا ہے۔</v>
      </c>
    </row>
    <row r="73">
      <c r="A73" s="3">
        <v>72.0</v>
      </c>
      <c r="B73" s="4" t="s">
        <v>2593</v>
      </c>
      <c r="C73" s="4" t="s">
        <v>2594</v>
      </c>
      <c r="D73" s="4" t="s">
        <v>2595</v>
      </c>
      <c r="E73" s="4" t="s">
        <v>2596</v>
      </c>
      <c r="J73" s="5" t="str">
        <f>IFERROR(__xludf.DUMMYFUNCTION("GOOGLETRANSLATE(A73, ""en"", ""ur"")"),"72")</f>
        <v>72</v>
      </c>
      <c r="K73" s="5" t="str">
        <f>IFERROR(__xludf.DUMMYFUNCTION("GOOGLETRANSLATE(B73, ""en"", ""ur"")"),"ایک کھلاڑی آؤٹ ہوتا ہے کیونکہ فیلڈر کا تھرو اڈے پر ڈنڈا سے ٹکرا جاتا ہے۔ برطرفی کی اس شکل کو کیا کہتے ہیں؟")</f>
        <v>ایک کھلاڑی آؤٹ ہوتا ہے کیونکہ فیلڈر کا تھرو اڈے پر ڈنڈا سے ٹکرا جاتا ہے۔ برطرفی کی اس شکل کو کیا کہتے ہیں؟</v>
      </c>
      <c r="L73" s="5" t="str">
        <f>IFERROR(__xludf.DUMMYFUNCTION("GOOGLETRANSLATE(C73, ""en"", ""ur"")"),"A) ایک کیچ، B) ایک رن آؤٹ، C) اسٹمپنگ، D) ہٹ وکٹ")</f>
        <v>A) ایک کیچ، B) ایک رن آؤٹ، C) اسٹمپنگ، D) ہٹ وکٹ</v>
      </c>
      <c r="M73" s="5" t="str">
        <f>IFERROR(__xludf.DUMMYFUNCTION("GOOGLETRANSLATE(D73, ""en"", ""ur"")"),"ب) ایک رن آؤٹ")</f>
        <v>ب) ایک رن آؤٹ</v>
      </c>
      <c r="N73" s="5" t="str">
        <f>IFERROR(__xludf.DUMMYFUNCTION("GOOGLETRANSLATE(E73, ""en"", ""ur"")"),"یہ آؤٹ کرنا عملی طور پر کرکٹ میں ""رن آؤٹ"" سے مماثلت رکھتا ہے، جہاں وکٹ ٹوٹ جاتی ہے جبکہ بلے باز اپنی کریز سے باہر ہوتا ہے۔")</f>
        <v>یہ آؤٹ کرنا عملی طور پر کرکٹ میں "رن آؤٹ" سے مماثلت رکھتا ہے، جہاں وکٹ ٹوٹ جاتی ہے جبکہ بلے باز اپنی کریز سے باہر ہوتا ہے۔</v>
      </c>
    </row>
    <row r="74">
      <c r="A74" s="3">
        <v>73.0</v>
      </c>
      <c r="B74" s="4" t="s">
        <v>2597</v>
      </c>
      <c r="C74" s="4" t="s">
        <v>2598</v>
      </c>
      <c r="D74" s="4" t="s">
        <v>2599</v>
      </c>
      <c r="E74" s="4" t="s">
        <v>2600</v>
      </c>
      <c r="J74" s="5" t="str">
        <f>IFERROR(__xludf.DUMMYFUNCTION("GOOGLETRANSLATE(A74, ""en"", ""ur"")"),"73")</f>
        <v>73</v>
      </c>
      <c r="K74" s="5" t="str">
        <f>IFERROR(__xludf.DUMMYFUNCTION("GOOGLETRANSLATE(B74, ""en"", ""ur"")"),"کس پاکستانی فلمساز نے گلی ڈنڈا کو اپنے کام میں پرانی یادوں اور بچپن کے لیے بصری شکل کے طور پر استعمال کیا ہے؟")</f>
        <v>کس پاکستانی فلمساز نے گلی ڈنڈا کو اپنے کام میں پرانی یادوں اور بچپن کے لیے بصری شکل کے طور پر استعمال کیا ہے؟</v>
      </c>
      <c r="L74" s="5" t="str">
        <f>IFERROR(__xludf.DUMMYFUNCTION("GOOGLETRANSLATE(C74, ""en"", ""ur"")"),"A) شعیب منصور، B) سرمد کھوسٹ، C) شرمین عبید چنائے، D) مہرین جبار")</f>
        <v>A) شعیب منصور، B) سرمد کھوسٹ، C) شرمین عبید چنائے، D) مہرین جبار</v>
      </c>
      <c r="M74" s="5" t="str">
        <f>IFERROR(__xludf.DUMMYFUNCTION("GOOGLETRANSLATE(D74, ""en"", ""ur"")"),"ب) سرمد کھوسٹ")</f>
        <v>ب) سرمد کھوسٹ</v>
      </c>
      <c r="N74" s="5" t="str">
        <f>IFERROR(__xludf.DUMMYFUNCTION("GOOGLETRANSLATE(E74, ""en"", ""ur"")"),"سرمد کھوسٹ جیسے فلم سازوں کے کام اکثر روایتی پنجابی ثقافت کا حوالہ دیتے ہیں، بشمول گلی ڈنڈا، یادداشت اور جگہ کا احساس پیدا کرنے کے لیے۔")</f>
        <v>سرمد کھوسٹ جیسے فلم سازوں کے کام اکثر روایتی پنجابی ثقافت کا حوالہ دیتے ہیں، بشمول گلی ڈنڈا، یادداشت اور جگہ کا احساس پیدا کرنے کے لیے۔</v>
      </c>
    </row>
    <row r="75">
      <c r="A75" s="3">
        <v>74.0</v>
      </c>
      <c r="B75" s="4" t="s">
        <v>2601</v>
      </c>
      <c r="C75" s="4" t="s">
        <v>2602</v>
      </c>
      <c r="D75" s="4" t="s">
        <v>2603</v>
      </c>
      <c r="E75" s="4" t="s">
        <v>2604</v>
      </c>
      <c r="J75" s="5" t="str">
        <f>IFERROR(__xludf.DUMMYFUNCTION("GOOGLETRANSLATE(A75, ""en"", ""ur"")"),"74")</f>
        <v>74</v>
      </c>
      <c r="K75" s="5" t="str">
        <f>IFERROR(__xludf.DUMMYFUNCTION("GOOGLETRANSLATE(B75, ""en"", ""ur"")"),"لوک ورثہ کے زیر اہتمام اسلام آباد میں کون سا سالانہ میلہ اکثر بچوں کے لیے گلی ڈنڈا پیش کرتا ہے؟")</f>
        <v>لوک ورثہ کے زیر اہتمام اسلام آباد میں کون سا سالانہ میلہ اکثر بچوں کے لیے گلی ڈنڈا پیش کرتا ہے؟</v>
      </c>
      <c r="L75" s="5" t="str">
        <f>IFERROR(__xludf.DUMMYFUNCTION("GOOGLETRANSLATE(C75, ""en"", ""ur"")"),"A) لوک میلہ، B) یوتھ ایکسپو، C) کھیلوں کا میلہ، D) قومی ورثہ میلہ")</f>
        <v>A) لوک میلہ، B) یوتھ ایکسپو، C) کھیلوں کا میلہ، D) قومی ورثہ میلہ</v>
      </c>
      <c r="M75" s="5" t="str">
        <f>IFERROR(__xludf.DUMMYFUNCTION("GOOGLETRANSLATE(D75, ""en"", ""ur"")"),"اے) لوک میلہ")</f>
        <v>اے) لوک میلہ</v>
      </c>
      <c r="N75" s="5" t="str">
        <f>IFERROR(__xludf.DUMMYFUNCTION("GOOGLETRANSLATE(E75, ""en"", ""ur"")"),"لوک میلہ ایک بڑا قومی تہوار ہے جو نئی نسل کے لیے روایتی لوک کھیلوں کی بحالی اور نمائش کے لیے فعال طور پر کام کرتا ہے۔")</f>
        <v>لوک میلہ ایک بڑا قومی تہوار ہے جو نئی نسل کے لیے روایتی لوک کھیلوں کی بحالی اور نمائش کے لیے فعال طور پر کام کرتا ہے۔</v>
      </c>
    </row>
    <row r="76">
      <c r="A76" s="3">
        <v>75.0</v>
      </c>
      <c r="B76" s="4" t="s">
        <v>2605</v>
      </c>
      <c r="C76" s="4" t="s">
        <v>2606</v>
      </c>
      <c r="D76" s="4" t="s">
        <v>2607</v>
      </c>
      <c r="E76" s="4" t="s">
        <v>2608</v>
      </c>
      <c r="J76" s="5" t="str">
        <f>IFERROR(__xludf.DUMMYFUNCTION("GOOGLETRANSLATE(A76, ""en"", ""ur"")"),"75")</f>
        <v>75</v>
      </c>
      <c r="K76" s="5" t="str">
        <f>IFERROR(__xludf.DUMMYFUNCTION("GOOGLETRANSLATE(B76, ""en"", ""ur"")"),"کچھ تغیرات میں اسکور کو 'گھوٹی' کہا جاتا ہے۔ ایک 'گھوٹی' کا سکور کیا برابر ہے؟")</f>
        <v>کچھ تغیرات میں اسکور کو 'گھوٹی' کہا جاتا ہے۔ ایک 'گھوٹی' کا سکور کیا برابر ہے؟</v>
      </c>
      <c r="L76" s="5" t="str">
        <f>IFERROR(__xludf.DUMMYFUNCTION("GOOGLETRANSLATE(C76, ""en"", ""ur"")"),"A) ایک ڈنڈا کی لمبائی، B) ایک سو ڈنڈے کی لمبائی، C) ایک قدم، D) گلی کی لمبائی")</f>
        <v>A) ایک ڈنڈا کی لمبائی، B) ایک سو ڈنڈے کی لمبائی، C) ایک قدم، D) گلی کی لمبائی</v>
      </c>
      <c r="M76" s="5" t="str">
        <f>IFERROR(__xludf.DUMMYFUNCTION("GOOGLETRANSLATE(D76, ""en"", ""ur"")"),"ب) ایک سو ڈنڈے کی لمبائی")</f>
        <v>ب) ایک سو ڈنڈے کی لمبائی</v>
      </c>
      <c r="N76" s="5" t="str">
        <f>IFERROR(__xludf.DUMMYFUNCTION("GOOGLETRANSLATE(E76, ""en"", ""ur"")"),"اس تغیر میں، 'گھوٹی' اسکورنگ کی ایک بڑی اکائی ہے، جو کرکٹ میں ""سنچری"" کی طرح ہے۔")</f>
        <v>اس تغیر میں، 'گھوٹی' اسکورنگ کی ایک بڑی اکائی ہے، جو کرکٹ میں "سنچری" کی طرح ہے۔</v>
      </c>
    </row>
    <row r="77">
      <c r="A77" s="3">
        <v>76.0</v>
      </c>
      <c r="B77" s="4" t="s">
        <v>2609</v>
      </c>
      <c r="C77" s="4" t="s">
        <v>2610</v>
      </c>
      <c r="D77" s="4" t="s">
        <v>2611</v>
      </c>
      <c r="E77" s="4" t="s">
        <v>2612</v>
      </c>
      <c r="J77" s="5" t="str">
        <f>IFERROR(__xludf.DUMMYFUNCTION("GOOGLETRANSLATE(A77, ""en"", ""ur"")"),"76")</f>
        <v>76</v>
      </c>
      <c r="K77" s="5" t="str">
        <f>IFERROR(__xludf.DUMMYFUNCTION("GOOGLETRANSLATE(B77, ""en"", ""ur"")"),"ایک کھلاڑی اپنے 'چپے' کے لیے جانا جاتا ہے۔ یہ کیا ہنر ہے؟")</f>
        <v>ایک کھلاڑی اپنے 'چپے' کے لیے جانا جاتا ہے۔ یہ کیا ہنر ہے؟</v>
      </c>
      <c r="L77" s="5" t="str">
        <f>IFERROR(__xludf.DUMMYFUNCTION("GOOGLETRANSLATE(C77, ""en"", ""ur"")"),"A) گلی کو بہت زیادہ مارنے کی ان کی صلاحیت، B) گلی کو کم، تیز رفتار سے مارنے کی ان کی صلاحیت، C) گلی کو جگانے میں ان کی مہارت، D) ان کی دفاعی فیلڈنگ")</f>
        <v>A) گلی کو بہت زیادہ مارنے کی ان کی صلاحیت، B) گلی کو کم، تیز رفتار سے مارنے کی ان کی صلاحیت، C) گلی کو جگانے میں ان کی مہارت، D) ان کی دفاعی فیلڈنگ</v>
      </c>
      <c r="M77" s="5" t="str">
        <f>IFERROR(__xludf.DUMMYFUNCTION("GOOGLETRANSLATE(D77, ""en"", ""ur"")"),"ب) گلی کو کم، تیز رفتار سے مارنے کی ان کی صلاحیت")</f>
        <v>ب) گلی کو کم، تیز رفتار سے مارنے کی ان کی صلاحیت</v>
      </c>
      <c r="N77" s="5" t="str">
        <f>IFERROR(__xludf.DUMMYFUNCTION("GOOGLETRANSLATE(E77, ""en"", ""ur"")"),"'چپے' ایک چپٹی، طاقتور ہٹ ہے جسے پکڑنا فیلڈرز کے لیے بہت مشکل ہے۔")</f>
        <v>'چپے' ایک چپٹی، طاقتور ہٹ ہے جسے پکڑنا فیلڈرز کے لیے بہت مشکل ہے۔</v>
      </c>
    </row>
    <row r="78">
      <c r="A78" s="3">
        <v>77.0</v>
      </c>
      <c r="B78" s="4" t="s">
        <v>2613</v>
      </c>
      <c r="C78" s="4" t="s">
        <v>2614</v>
      </c>
      <c r="D78" s="4" t="s">
        <v>2615</v>
      </c>
      <c r="E78" s="4" t="s">
        <v>2616</v>
      </c>
      <c r="J78" s="5" t="str">
        <f>IFERROR(__xludf.DUMMYFUNCTION("GOOGLETRANSLATE(A78, ""en"", ""ur"")"),"77")</f>
        <v>77</v>
      </c>
      <c r="K78" s="5" t="str">
        <f>IFERROR(__xludf.DUMMYFUNCTION("GOOGLETRANSLATE(B78, ""en"", ""ur"")"),"کھیل کی تاریخ میں، پولو جیسے کھیل پر اس کی مقبولیت کی ایک بڑی وجہ کیا تھی؟")</f>
        <v>کھیل کی تاریخ میں، پولو جیسے کھیل پر اس کی مقبولیت کی ایک بڑی وجہ کیا تھی؟</v>
      </c>
      <c r="L78" s="5" t="str">
        <f>IFERROR(__xludf.DUMMYFUNCTION("GOOGLETRANSLATE(C78, ""en"", ""ur"")"),"A) یہ زیادہ محفوظ تھا، B) اسے کسی مہنگے جانور یا سامان کی ضرورت نہیں تھی، C) اس کے واضح اصول تھے، D) یہ ایک انڈور گیم تھا۔")</f>
        <v>A) یہ زیادہ محفوظ تھا، B) اسے کسی مہنگے جانور یا سامان کی ضرورت نہیں تھی، C) اس کے واضح اصول تھے، D) یہ ایک انڈور گیم تھا۔</v>
      </c>
      <c r="M78" s="5" t="str">
        <f>IFERROR(__xludf.DUMMYFUNCTION("GOOGLETRANSLATE(D78, ""en"", ""ur"")"),"ب) اس کے لیے کسی مہنگے جانور یا سامان کی ضرورت نہیں تھی۔")</f>
        <v>ب) اس کے لیے کسی مہنگے جانور یا سامان کی ضرورت نہیں تھی۔</v>
      </c>
      <c r="N78" s="5" t="str">
        <f>IFERROR(__xludf.DUMMYFUNCTION("GOOGLETRANSLATE(E78, ""en"", ""ur"")"),"گلی ڈنڈا ایک ""سبالٹرن"" یا لوگوں کا کھیل تھا، جو پولو کے اشرافیہ اور مہنگے کھیل کے برعکس سب کے لیے قابل رسائی تھا۔")</f>
        <v>گلی ڈنڈا ایک "سبالٹرن" یا لوگوں کا کھیل تھا، جو پولو کے اشرافیہ اور مہنگے کھیل کے برعکس سب کے لیے قابل رسائی تھا۔</v>
      </c>
    </row>
    <row r="79">
      <c r="A79" s="3">
        <v>78.0</v>
      </c>
      <c r="B79" s="4" t="s">
        <v>2617</v>
      </c>
      <c r="C79" s="4" t="s">
        <v>2618</v>
      </c>
      <c r="D79" s="4" t="s">
        <v>2619</v>
      </c>
      <c r="E79" s="4" t="s">
        <v>2620</v>
      </c>
      <c r="J79" s="5" t="str">
        <f>IFERROR(__xludf.DUMMYFUNCTION("GOOGLETRANSLATE(A79, ""en"", ""ur"")"),"78")</f>
        <v>78</v>
      </c>
      <c r="K79" s="5" t="str">
        <f>IFERROR(__xludf.DUMMYFUNCTION("GOOGLETRANSLATE(B79, ""en"", ""ur"")"),"اس کی بنیادی وجہ کیا ہے کہ گلی ڈنڈا کے لیے کوئی واحد، آفاقی اصول موجود نہیں ہے؟")</f>
        <v>اس کی بنیادی وجہ کیا ہے کہ گلی ڈنڈا کے لیے کوئی واحد، آفاقی اصول موجود نہیں ہے؟</v>
      </c>
      <c r="L79" s="5" t="str">
        <f>IFERROR(__xludf.DUMMYFUNCTION("GOOGLETRANSLATE(C79, ""en"", ""ur"")"),"A) کھیل بہت نیا ہے، B) اسے زبانی روایت کے ذریعے منتقل کیا گیا تھا اور گاؤں گاؤں مختلف تھا، C) تمام قواعد کی کتابیں ضائع ہو گئی تھیں، D) قواعد ایک محفوظ راز ہیں")</f>
        <v>A) کھیل بہت نیا ہے، B) اسے زبانی روایت کے ذریعے منتقل کیا گیا تھا اور گاؤں گاؤں مختلف تھا، C) تمام قواعد کی کتابیں ضائع ہو گئی تھیں، D) قواعد ایک محفوظ راز ہیں</v>
      </c>
      <c r="M79" s="5" t="str">
        <f>IFERROR(__xludf.DUMMYFUNCTION("GOOGLETRANSLATE(D79, ""en"", ""ur"")"),"ب) یہ زبانی روایت سے گزرا اور گاؤں سے گاؤں میں مختلف تھا۔")</f>
        <v>ب) یہ زبانی روایت سے گزرا اور گاؤں سے گاؤں میں مختلف تھا۔</v>
      </c>
      <c r="N79" s="5" t="str">
        <f>IFERROR(__xludf.DUMMYFUNCTION("GOOGLETRANSLATE(E79, ""en"", ""ur"")"),"مرکزی گورننگ باڈی کے بغیر ایک لوک کھیل کے طور پر، قواعد کو ہر ایک کمیونٹی نے جو اسے کھیلتی تھی، اس کے مطابق بنائے گئے تھے۔")</f>
        <v>مرکزی گورننگ باڈی کے بغیر ایک لوک کھیل کے طور پر، قواعد کو ہر ایک کمیونٹی نے جو اسے کھیلتی تھی، اس کے مطابق بنائے گئے تھے۔</v>
      </c>
    </row>
    <row r="80">
      <c r="A80" s="3">
        <v>79.0</v>
      </c>
      <c r="B80" s="4" t="s">
        <v>2621</v>
      </c>
      <c r="C80" s="4" t="s">
        <v>2622</v>
      </c>
      <c r="D80" s="4" t="s">
        <v>2623</v>
      </c>
      <c r="E80" s="4" t="s">
        <v>2624</v>
      </c>
      <c r="J80" s="5" t="str">
        <f>IFERROR(__xludf.DUMMYFUNCTION("GOOGLETRANSLATE(A80, ""en"", ""ur"")"),"79")</f>
        <v>79</v>
      </c>
      <c r="K80" s="5" t="str">
        <f>IFERROR(__xludf.DUMMYFUNCTION("GOOGLETRANSLATE(B80, ""en"", ""ur"")"),"اسٹرائیکر کے سامنے براہ راست فیلڈنگ پوزیشن کے لیے کیا اصطلاح ہے، جو کرکٹ میں ""سلی پوائنٹ"" کی طرح ہے؟")</f>
        <v>اسٹرائیکر کے سامنے براہ راست فیلڈنگ پوزیشن کے لیے کیا اصطلاح ہے، جو کرکٹ میں "سلی پوائنٹ" کی طرح ہے؟</v>
      </c>
      <c r="L80" s="5" t="str">
        <f>IFERROR(__xludf.DUMMYFUNCTION("GOOGLETRANSLATE(C80, ""en"", ""ur"")"),"A) گارڈ، B) پکڑنے والا، C) تھپی، D) آگے بڑھنے والا")</f>
        <v>A) گارڈ، B) پکڑنے والا، C) تھپی، D) آگے بڑھنے والا</v>
      </c>
      <c r="M80" s="5" t="str">
        <f>IFERROR(__xludf.DUMMYFUNCTION("GOOGLETRANSLATE(D80, ""en"", ""ur"")"),"ج) تھپی")</f>
        <v>ج) تھپی</v>
      </c>
      <c r="N80" s="5" t="str">
        <f>IFERROR(__xludf.DUMMYFUNCTION("GOOGLETRANSLATE(E80, ""en"", ""ur"")"),"تھپی ایک بہادر فیلڈر ہے جو شارٹ، مشت فلکس پکڑنے کے لیے اسٹرائیکر کے قریب کھڑا ہوتا ہے۔")</f>
        <v>تھپی ایک بہادر فیلڈر ہے جو شارٹ، مشت فلکس پکڑنے کے لیے اسٹرائیکر کے قریب کھڑا ہوتا ہے۔</v>
      </c>
    </row>
    <row r="81">
      <c r="A81" s="3">
        <v>80.0</v>
      </c>
      <c r="B81" s="4" t="s">
        <v>2625</v>
      </c>
      <c r="C81" s="4" t="s">
        <v>2626</v>
      </c>
      <c r="D81" s="4" t="s">
        <v>2627</v>
      </c>
      <c r="E81" s="4" t="s">
        <v>2628</v>
      </c>
      <c r="J81" s="5" t="str">
        <f>IFERROR(__xludf.DUMMYFUNCTION("GOOGLETRANSLATE(A81, ""en"", ""ur"")"),"80")</f>
        <v>80</v>
      </c>
      <c r="K81" s="5" t="str">
        <f>IFERROR(__xludf.DUMMYFUNCTION("GOOGLETRANSLATE(B81, ""en"", ""ur"")"),"پاکستان میں کھیلی جانے والی کرکٹ کا کون سا جدید، غیر رسمی ورژن گلی ڈنڈا سے ملتا جلتا جذبہ رکھتا ہے؟")</f>
        <v>پاکستان میں کھیلی جانے والی کرکٹ کا کون سا جدید، غیر رسمی ورژن گلی ڈنڈا سے ملتا جلتا جذبہ رکھتا ہے؟</v>
      </c>
      <c r="L81" s="5" t="str">
        <f>IFERROR(__xludf.DUMMYFUNCTION("GOOGLETRANSLATE(C81, ""en"", ""ur"")"),"A) نائٹ کرکٹ، B) ٹیپ بال کرکٹ، C) بیچ کرکٹ، D) روف ٹاپ کرکٹ")</f>
        <v>A) نائٹ کرکٹ، B) ٹیپ بال کرکٹ، C) بیچ کرکٹ، D) روف ٹاپ کرکٹ</v>
      </c>
      <c r="M81" s="5" t="str">
        <f>IFERROR(__xludf.DUMMYFUNCTION("GOOGLETRANSLATE(D81, ""en"", ""ur"")"),"ب) ٹیپ بال کرکٹ")</f>
        <v>ب) ٹیپ بال کرکٹ</v>
      </c>
      <c r="N81" s="5" t="str">
        <f>IFERROR(__xludf.DUMMYFUNCTION("GOOGLETRANSLATE(E81, ""en"", ""ur"")"),"ٹیپ بال کرکٹ، اپنے خود ساختہ سازوسامان (ایک ٹیپ ٹینس بال) اور کسی بھی دستیاب جگہ کے استعمال کے ساتھ، گلی ڈنڈا کی قابل رسائی اور اختراعی نوعیت کی آئینہ دار ہے۔")</f>
        <v>ٹیپ بال کرکٹ، اپنے خود ساختہ سازوسامان (ایک ٹیپ ٹینس بال) اور کسی بھی دستیاب جگہ کے استعمال کے ساتھ، گلی ڈنڈا کی قابل رسائی اور اختراعی نوعیت کی آئینہ دار ہے۔</v>
      </c>
    </row>
    <row r="82">
      <c r="A82" s="3">
        <v>81.0</v>
      </c>
      <c r="B82" s="4" t="s">
        <v>2629</v>
      </c>
      <c r="C82" s="4" t="s">
        <v>2630</v>
      </c>
      <c r="D82" s="4" t="s">
        <v>2631</v>
      </c>
      <c r="E82" s="4" t="s">
        <v>2632</v>
      </c>
      <c r="J82" s="5" t="str">
        <f>IFERROR(__xludf.DUMMYFUNCTION("GOOGLETRANSLATE(A82, ""en"", ""ur"")"),"81")</f>
        <v>81</v>
      </c>
      <c r="K82" s="5" t="str">
        <f>IFERROR(__xludf.DUMMYFUNCTION("GOOGLETRANSLATE(B82, ""en"", ""ur"")"),"پنجاب میں ہندو اور مسلم دونوں برادریوں کی طرف سے کھیلے جانے والے گلی ڈنڈا کی تاریخی اہمیت کیا ہے؟")</f>
        <v>پنجاب میں ہندو اور مسلم دونوں برادریوں کی طرف سے کھیلے جانے والے گلی ڈنڈا کی تاریخی اہمیت کیا ہے؟</v>
      </c>
      <c r="L82" s="5" t="str">
        <f>IFERROR(__xludf.DUMMYFUNCTION("GOOGLETRANSLATE(C82, ""en"", ""ur"")"),"A) اس سے پتہ چلتا ہے کہ یہ کھیل ریاست کے زیر اہتمام کھیل تھا، B) یہ تقسیم سے پہلے خطے کی مشترکہ، ہم آہنگی والی لوک ثقافت کو نمایاں کرتا ہے، C) یہ دونوں کے لیے مذہبی ضرورت تھی، D) اس کی کوئی تاریخی اہمیت نہیں ہے۔")</f>
        <v>A) اس سے پتہ چلتا ہے کہ یہ کھیل ریاست کے زیر اہتمام کھیل تھا، B) یہ تقسیم سے پہلے خطے کی مشترکہ، ہم آہنگی والی لوک ثقافت کو نمایاں کرتا ہے، C) یہ دونوں کے لیے مذہبی ضرورت تھی، D) اس کی کوئی تاریخی اہمیت نہیں ہے۔</v>
      </c>
      <c r="M82" s="5" t="str">
        <f>IFERROR(__xludf.DUMMYFUNCTION("GOOGLETRANSLATE(D82, ""en"", ""ur"")"),"ب) یہ تقسیم سے پہلے خطے کی مشترکہ، ہم آہنگی والی لوک ثقافت کو اجاگر کرتا ہے۔")</f>
        <v>ب) یہ تقسیم سے پہلے خطے کی مشترکہ، ہم آہنگی والی لوک ثقافت کو اجاگر کرتا ہے۔</v>
      </c>
      <c r="N82" s="5" t="str">
        <f>IFERROR(__xludf.DUMMYFUNCTION("GOOGLETRANSLATE(E82, ""en"", ""ur"")"),"یہ کھیل ایک مشترکہ ثقافتی ٹچ اسٹون تھا جو مذہبی تقسیم سے بالاتر تھا، مشترکہ ورثے کی نمائش کرتا تھا۔")</f>
        <v>یہ کھیل ایک مشترکہ ثقافتی ٹچ اسٹون تھا جو مذہبی تقسیم سے بالاتر تھا، مشترکہ ورثے کی نمائش کرتا تھا۔</v>
      </c>
    </row>
    <row r="83">
      <c r="A83" s="3">
        <v>82.0</v>
      </c>
      <c r="B83" s="4" t="s">
        <v>2633</v>
      </c>
      <c r="C83" s="4" t="s">
        <v>2634</v>
      </c>
      <c r="D83" s="4" t="s">
        <v>2635</v>
      </c>
      <c r="E83" s="4" t="s">
        <v>2636</v>
      </c>
      <c r="J83" s="5" t="str">
        <f>IFERROR(__xludf.DUMMYFUNCTION("GOOGLETRANSLATE(A83, ""en"", ""ur"")"),"82")</f>
        <v>82</v>
      </c>
      <c r="K83" s="5" t="str">
        <f>IFERROR(__xludf.DUMMYFUNCTION("GOOGLETRANSLATE(B83, ""en"", ""ur"")"),"ایک کھلاڑی 'ڈنڈا آؤٹ' ہو کر آؤٹ ہوتا ہے۔ اس کا کیا مطلب ہے؟")</f>
        <v>ایک کھلاڑی 'ڈنڈا آؤٹ' ہو کر آؤٹ ہوتا ہے۔ اس کا کیا مطلب ہے؟</v>
      </c>
      <c r="L83" s="5" t="str">
        <f>IFERROR(__xludf.DUMMYFUNCTION("GOOGLETRANSLATE(C83, ""en"", ""ur"")"),"A) ان کا ڈنڈا ٹوٹ گیا، B) فیلڈر کا پھینکا ڈنڈا بیس پر لگا، C) انہوں نے اپنا ڈنڈا گرا دیا، D) انہوں نے غیر قانونی ڈنڈا استعمال کیا۔")</f>
        <v>A) ان کا ڈنڈا ٹوٹ گیا، B) فیلڈر کا پھینکا ڈنڈا بیس پر لگا، C) انہوں نے اپنا ڈنڈا گرا دیا، D) انہوں نے غیر قانونی ڈنڈا استعمال کیا۔</v>
      </c>
      <c r="M83" s="5" t="str">
        <f>IFERROR(__xludf.DUMMYFUNCTION("GOOGLETRANSLATE(D83, ""en"", ""ur"")"),"ب) فیلڈر کا تھرو بیس پر ڈنڈا کو لگا")</f>
        <v>ب) فیلڈر کا تھرو بیس پر ڈنڈا کو لگا</v>
      </c>
      <c r="N83" s="5" t="str">
        <f>IFERROR(__xludf.DUMMYFUNCTION("GOOGLETRANSLATE(E83, ""en"", ""ur"")"),"یہ ""رن آؤٹ"" ہونے کی اصطلاح ہے جب فیلڈر کا تھرو کامیابی سے ہدف سے ٹکرا جاتا ہے۔")</f>
        <v>یہ "رن آؤٹ" ہونے کی اصطلاح ہے جب فیلڈر کا تھرو کامیابی سے ہدف سے ٹکرا جاتا ہے۔</v>
      </c>
    </row>
    <row r="84">
      <c r="A84" s="3">
        <v>83.0</v>
      </c>
      <c r="B84" s="4" t="s">
        <v>2637</v>
      </c>
      <c r="C84" s="4" t="s">
        <v>2638</v>
      </c>
      <c r="D84" s="4" t="s">
        <v>2639</v>
      </c>
      <c r="E84" s="4" t="s">
        <v>2640</v>
      </c>
      <c r="J84" s="5" t="str">
        <f>IFERROR(__xludf.DUMMYFUNCTION("GOOGLETRANSLATE(A84, ""en"", ""ur"")"),"83")</f>
        <v>83</v>
      </c>
      <c r="K84" s="5" t="str">
        <f>IFERROR(__xludf.DUMMYFUNCTION("GOOGLETRANSLATE(B84, ""en"", ""ur"")"),"'نار گلی' کیا ہے؟")</f>
        <v>'نار گلی' کیا ہے؟</v>
      </c>
      <c r="L84" s="5" t="str">
        <f>IFERROR(__xludf.DUMMYFUNCTION("GOOGLETRANSLATE(C84, ""en"", ""ur"")"),"A) ایک مس، B) گلی کی ایک قسم، C) ایک تغیر جہاں اسٹرائیکر کو مارنے سے پہلے اپنے پیشن گوئی کے اسکور کو کال کرنا ضروری ہے، D) فائنل راؤنڈ")</f>
        <v>A) ایک مس، B) گلی کی ایک قسم، C) ایک تغیر جہاں اسٹرائیکر کو مارنے سے پہلے اپنے پیشن گوئی کے اسکور کو کال کرنا ضروری ہے، D) فائنل راؤنڈ</v>
      </c>
      <c r="M84" s="5" t="str">
        <f>IFERROR(__xludf.DUMMYFUNCTION("GOOGLETRANSLATE(D84, ""en"", ""ur"")"),"C) ایک تغیر جہاں اسٹرائیکر کو مارنے سے پہلے اپنے پیشن گوئی اسکور کو کال کرنا ضروری ہے۔")</f>
        <v>C) ایک تغیر جہاں اسٹرائیکر کو مارنے سے پہلے اپنے پیشن گوئی اسکور کو کال کرنا ضروری ہے۔</v>
      </c>
      <c r="N84" s="5" t="str">
        <f>IFERROR(__xludf.DUMMYFUNCTION("GOOGLETRANSLATE(E84, ""en"", ""ur"")"),"اس چیلنجنگ ورژن میں، اسٹرائیکر ڈنڈا کی لمبائی کی تعداد کا اعلان کرتا ہے جس سے وہ ماریں گے، جس سے پیشین گوئی اور دباؤ کی ایک تہہ شامل ہو گی۔")</f>
        <v>اس چیلنجنگ ورژن میں، اسٹرائیکر ڈنڈا کی لمبائی کی تعداد کا اعلان کرتا ہے جس سے وہ ماریں گے، جس سے پیشین گوئی اور دباؤ کی ایک تہہ شامل ہو گی۔</v>
      </c>
    </row>
    <row r="85">
      <c r="A85" s="3">
        <v>84.0</v>
      </c>
      <c r="B85" s="4" t="s">
        <v>2641</v>
      </c>
      <c r="C85" s="4" t="s">
        <v>2642</v>
      </c>
      <c r="D85" s="4" t="s">
        <v>2643</v>
      </c>
      <c r="E85" s="4" t="s">
        <v>2644</v>
      </c>
      <c r="J85" s="5" t="str">
        <f>IFERROR(__xludf.DUMMYFUNCTION("GOOGLETRANSLATE(A85, ""en"", ""ur"")"),"84")</f>
        <v>84</v>
      </c>
      <c r="K85" s="5" t="str">
        <f>IFERROR(__xludf.DUMMYFUNCTION("GOOGLETRANSLATE(B85, ""en"", ""ur"")"),"مغل اور برطانوی دور میں گلی ڈنڈا کس سماجی طبقے سے سب سے زیادہ وابستہ تھا؟")</f>
        <v>مغل اور برطانوی دور میں گلی ڈنڈا کس سماجی طبقے سے سب سے زیادہ وابستہ تھا؟</v>
      </c>
      <c r="L85" s="5" t="str">
        <f>IFERROR(__xludf.DUMMYFUNCTION("GOOGLETRANSLATE(C85, ""en"", ""ur"")"),"A) اشرافیہ، B) پادری، C) شہری تاجر طبقہ، D) دیہی کسان اور محنت کش طبقہ")</f>
        <v>A) اشرافیہ، B) پادری، C) شہری تاجر طبقہ، D) دیہی کسان اور محنت کش طبقہ</v>
      </c>
      <c r="M85" s="5" t="str">
        <f>IFERROR(__xludf.DUMMYFUNCTION("GOOGLETRANSLATE(D85, ""en"", ""ur"")"),"D) دیہی کسان اور محنت کش طبقہ")</f>
        <v>D) دیہی کسان اور محنت کش طبقہ</v>
      </c>
      <c r="N85" s="5" t="str">
        <f>IFERROR(__xludf.DUMMYFUNCTION("GOOGLETRANSLATE(E85, ""en"", ""ur"")"),"یہ بنیادی طور پر ایک لوک کھیل تھا، جو گاؤں اور قصبوں میں عام لوگ کھیلتے تھے۔")</f>
        <v>یہ بنیادی طور پر ایک لوک کھیل تھا، جو گاؤں اور قصبوں میں عام لوگ کھیلتے تھے۔</v>
      </c>
    </row>
    <row r="86">
      <c r="A86" s="3">
        <v>85.0</v>
      </c>
      <c r="B86" s="4" t="s">
        <v>2645</v>
      </c>
      <c r="C86" s="4" t="s">
        <v>2646</v>
      </c>
      <c r="D86" s="4" t="s">
        <v>2647</v>
      </c>
      <c r="E86" s="4" t="s">
        <v>2648</v>
      </c>
      <c r="J86" s="5" t="str">
        <f>IFERROR(__xludf.DUMMYFUNCTION("GOOGLETRANSLATE(A86, ""en"", ""ur"")"),"85")</f>
        <v>85</v>
      </c>
      <c r="K86" s="5" t="str">
        <f>IFERROR(__xludf.DUMMYFUNCTION("GOOGLETRANSLATE(B86, ""en"", ""ur"")"),"طاقتور ہڑتال کے لیے ایک طرف کا موقف سب سے زیادہ مؤثر کیوں ہے؟")</f>
        <v>طاقتور ہڑتال کے لیے ایک طرف کا موقف سب سے زیادہ مؤثر کیوں ہے؟</v>
      </c>
      <c r="L86" s="5" t="str">
        <f>IFERROR(__xludf.DUMMYFUNCTION("GOOGLETRANSLATE(C86, ""en"", ""ur"")"),"A) یہ کور اور کولہوں کی گردش سے طاقت پیدا کرتا ہے، B) یہ گلی کا بہتر نظارہ فراہم کرتا ہے، C) یہ سب سے زیادہ مستحکم موقف ہے، D) یہ واحد موقف ہے جس کی اجازت ہے۔")</f>
        <v>A) یہ کور اور کولہوں کی گردش سے طاقت پیدا کرتا ہے، B) یہ گلی کا بہتر نظارہ فراہم کرتا ہے، C) یہ سب سے زیادہ مستحکم موقف ہے، D) یہ واحد موقف ہے جس کی اجازت ہے۔</v>
      </c>
      <c r="M86" s="5" t="str">
        <f>IFERROR(__xludf.DUMMYFUNCTION("GOOGLETRANSLATE(D86, ""en"", ""ur"")"),"A) یہ کور اور کولہوں کی گردش سے طاقت پیدا کرتا ہے۔")</f>
        <v>A) یہ کور اور کولہوں کی گردش سے طاقت پیدا کرتا ہے۔</v>
      </c>
      <c r="N86" s="5" t="str">
        <f>IFERROR(__xludf.DUMMYFUNCTION("GOOGLETRANSLATE(E86, ""en"", ""ur"")"),"یہ کلاسک بیٹنگ موقف پورے جسم کو سوئنگ کی قوت میں حصہ ڈالنے کی اجازت دیتا ہے۔")</f>
        <v>یہ کلاسک بیٹنگ موقف پورے جسم کو سوئنگ کی قوت میں حصہ ڈالنے کی اجازت دیتا ہے۔</v>
      </c>
    </row>
    <row r="87">
      <c r="A87" s="3">
        <v>86.0</v>
      </c>
      <c r="B87" s="4" t="s">
        <v>2649</v>
      </c>
      <c r="C87" s="4" t="s">
        <v>2650</v>
      </c>
      <c r="D87" s="4" t="s">
        <v>2651</v>
      </c>
      <c r="E87" s="4" t="s">
        <v>2652</v>
      </c>
      <c r="J87" s="5" t="str">
        <f>IFERROR(__xludf.DUMMYFUNCTION("GOOGLETRANSLATE(A87, ""en"", ""ur"")"),"86")</f>
        <v>86</v>
      </c>
      <c r="K87" s="5" t="str">
        <f>IFERROR(__xludf.DUMMYFUNCTION("GOOGLETRANSLATE(B87, ""en"", ""ur"")"),"گلی ڈنڈا لوک داستانوں میں، اکثر کس کو سب سے زیادہ ہنر مند کھلاڑی کے طور پر دکھایا جاتا ہے؟")</f>
        <v>گلی ڈنڈا لوک داستانوں میں، اکثر کس کو سب سے زیادہ ہنر مند کھلاڑی کے طور پر دکھایا جاتا ہے؟</v>
      </c>
      <c r="L87" s="5" t="str">
        <f>IFERROR(__xludf.DUMMYFUNCTION("GOOGLETRANSLATE(C87, ""en"", ""ur"")"),"A) گاؤں کا بزرگ، B) ایک شرارتی لیکن باصلاحیت نوجوان لڑکا، C) گاؤں کا زمیندار، D) ایک آنے جانے والا اجنبی")</f>
        <v>A) گاؤں کا بزرگ، B) ایک شرارتی لیکن باصلاحیت نوجوان لڑکا، C) گاؤں کا زمیندار، D) ایک آنے جانے والا اجنبی</v>
      </c>
      <c r="M87" s="5" t="str">
        <f>IFERROR(__xludf.DUMMYFUNCTION("GOOGLETRANSLATE(D87, ""en"", ""ur"")"),"ب) ایک شرارتی لیکن باصلاحیت نوجوان لڑکا")</f>
        <v>ب) ایک شرارتی لیکن باصلاحیت نوجوان لڑکا</v>
      </c>
      <c r="N87" s="5" t="str">
        <f>IFERROR(__xludf.DUMMYFUNCTION("GOOGLETRANSLATE(E87, ""en"", ""ur"")"),"لوک کہانیوں میں اکثر ایک ہوشیار اور ہنر مند بچہ ہوتا ہے جو بڑے یا مضبوط کھلاڑیوں کو سراسر ہنر کے ذریعے پیچھے چھوڑ دیتا ہے۔")</f>
        <v>لوک کہانیوں میں اکثر ایک ہوشیار اور ہنر مند بچہ ہوتا ہے جو بڑے یا مضبوط کھلاڑیوں کو سراسر ہنر کے ذریعے پیچھے چھوڑ دیتا ہے۔</v>
      </c>
    </row>
    <row r="88">
      <c r="A88" s="3">
        <v>87.0</v>
      </c>
      <c r="B88" s="4" t="s">
        <v>2653</v>
      </c>
      <c r="C88" s="4" t="s">
        <v>2654</v>
      </c>
      <c r="D88" s="4" t="s">
        <v>2655</v>
      </c>
      <c r="E88" s="4" t="s">
        <v>2656</v>
      </c>
      <c r="J88" s="5" t="str">
        <f>IFERROR(__xludf.DUMMYFUNCTION("GOOGLETRANSLATE(A88, ""en"", ""ur"")"),"87")</f>
        <v>87</v>
      </c>
      <c r="K88" s="5" t="str">
        <f>IFERROR(__xludf.DUMMYFUNCTION("GOOGLETRANSLATE(B88, ""en"", ""ur"")"),"گیم کا سادہ سامان پاکستان میں کس ثقافتی اصول کی مثال ہے؟")</f>
        <v>گیم کا سادہ سامان پاکستان میں کس ثقافتی اصول کی مثال ہے؟</v>
      </c>
      <c r="L88" s="5" t="str">
        <f>IFERROR(__xludf.DUMMYFUNCTION("GOOGLETRANSLATE(C88, ""en"", ""ur"")"),"A) اسراف، B) Minimalism، C) Jugaar (frugal innovation) D) ویسٹرنائزیشن")</f>
        <v>A) اسراف، B) Minimalism، C) Jugaar (frugal innovation) D) ویسٹرنائزیشن</v>
      </c>
      <c r="M88" s="5" t="str">
        <f>IFERROR(__xludf.DUMMYFUNCTION("GOOGLETRANSLATE(D88, ""en"", ""ur"")"),"ج) Jugaar (کفایت شعاری)")</f>
        <v>ج) Jugaar (کفایت شعاری)</v>
      </c>
      <c r="N88" s="5" t="str">
        <f>IFERROR(__xludf.DUMMYFUNCTION("GOOGLETRANSLATE(E88, ""en"", ""ur"")"),"Jugaar محدود وسائل کے ساتھ حل کو بہتر بنانے کا فن ہے۔ گلی ڈنڈا، اپنی خود ساختہ لاٹھیوں کے ساتھ، اس جذبے کا ایک بہترین مجسمہ ہے۔")</f>
        <v>Jugaar محدود وسائل کے ساتھ حل کو بہتر بنانے کا فن ہے۔ گلی ڈنڈا، اپنی خود ساختہ لاٹھیوں کے ساتھ، اس جذبے کا ایک بہترین مجسمہ ہے۔</v>
      </c>
    </row>
    <row r="89">
      <c r="A89" s="3">
        <v>88.0</v>
      </c>
      <c r="B89" s="4" t="s">
        <v>2657</v>
      </c>
      <c r="C89" s="4" t="s">
        <v>2658</v>
      </c>
      <c r="D89" s="4" t="s">
        <v>2659</v>
      </c>
      <c r="E89" s="4" t="s">
        <v>2660</v>
      </c>
      <c r="J89" s="5" t="str">
        <f>IFERROR(__xludf.DUMMYFUNCTION("GOOGLETRANSLATE(A89, ""en"", ""ur"")"),"88")</f>
        <v>88</v>
      </c>
      <c r="K89" s="5" t="str">
        <f>IFERROR(__xludf.DUMMYFUNCTION("GOOGLETRANSLATE(B89, ""en"", ""ur"")"),"'ٹُلا' ہٹ کی اہم خصوصیت کیا ہے؟")</f>
        <v>'ٹُلا' ہٹ کی اہم خصوصیت کیا ہے؟</v>
      </c>
      <c r="L89" s="5" t="str">
        <f>IFERROR(__xludf.DUMMYFUNCTION("GOOGLETRANSLATE(C89,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89" s="5" t="str">
        <f>IFERROR(__xludf.DUMMYFUNCTION("GOOGLETRANSLATE(D89, ""en"", ""ur"")"),"ج) ایک طاقتور، فلیٹ، اور تیز ہٹ")</f>
        <v>ج) ایک طاقتور، فلیٹ، اور تیز ہٹ</v>
      </c>
      <c r="N89" s="5" t="str">
        <f>IFERROR(__xludf.DUMMYFUNCTION("GOOGLETRANSLATE(E89,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90">
      <c r="A90" s="3">
        <v>89.0</v>
      </c>
      <c r="B90" s="4" t="s">
        <v>2661</v>
      </c>
      <c r="C90" s="4" t="s">
        <v>2662</v>
      </c>
      <c r="D90" s="4" t="s">
        <v>2663</v>
      </c>
      <c r="E90" s="4" t="s">
        <v>2664</v>
      </c>
      <c r="J90" s="5" t="str">
        <f>IFERROR(__xludf.DUMMYFUNCTION("GOOGLETRANSLATE(A90, ""en"", ""ur"")"),"89")</f>
        <v>89</v>
      </c>
      <c r="K90" s="5" t="str">
        <f>IFERROR(__xludf.DUMMYFUNCTION("GOOGLETRANSLATE(B90, ""en"", ""ur"")"),"گلی ڈنڈا کھیلنے پر 20ویں صدی کی کس ترقی کا سب سے زیادہ منفی اثر پڑا؟")</f>
        <v>گلی ڈنڈا کھیلنے پر 20ویں صدی کی کس ترقی کا سب سے زیادہ منفی اثر پڑا؟</v>
      </c>
      <c r="L90" s="5" t="str">
        <f>IFERROR(__xludf.DUMMYFUNCTION("GOOGLETRANSLATE(C90, ""en"", ""ur"")"),"A) ٹیلی ویژن اور ویڈیو گیمز کا عروج، B) تقسیم ہند، C) سبز انقلاب، D) رسمی کھیلوں کے اداروں کی تشکیل")</f>
        <v>A) ٹیلی ویژن اور ویڈیو گیمز کا عروج، B) تقسیم ہند، C) سبز انقلاب، D) رسمی کھیلوں کے اداروں کی تشکیل</v>
      </c>
      <c r="M90" s="5" t="str">
        <f>IFERROR(__xludf.DUMMYFUNCTION("GOOGLETRANSLATE(D90, ""en"", ""ur"")"),"A) ٹیلی ویژن اور ویڈیو گیمز کا عروج")</f>
        <v>A) ٹیلی ویژن اور ویڈیو گیمز کا عروج</v>
      </c>
      <c r="N90" s="5" t="str">
        <f>IFERROR(__xludf.DUMMYFUNCTION("GOOGLETRANSLATE(E90, ""en"", ""ur"")"),"جدید، غیر فعال تفریح ​​کا تعارف روایتی بیرونی لوک کھیلوں کے زوال کا ایک بڑا عنصر رہا ہے۔")</f>
        <v>جدید، غیر فعال تفریح ​​کا تعارف روایتی بیرونی لوک کھیلوں کے زوال کا ایک بڑا عنصر رہا ہے۔</v>
      </c>
    </row>
    <row r="91">
      <c r="A91" s="3">
        <v>90.0</v>
      </c>
      <c r="B91" s="4" t="s">
        <v>2665</v>
      </c>
      <c r="C91" s="4" t="s">
        <v>2666</v>
      </c>
      <c r="D91" s="4" t="s">
        <v>2667</v>
      </c>
      <c r="E91" s="4" t="s">
        <v>2668</v>
      </c>
      <c r="J91" s="5" t="str">
        <f>IFERROR(__xludf.DUMMYFUNCTION("GOOGLETRANSLATE(A91, ""en"", ""ur"")"),"90")</f>
        <v>90</v>
      </c>
      <c r="K91" s="5" t="str">
        <f>IFERROR(__xludf.DUMMYFUNCTION("GOOGLETRANSLATE(B91, ""en"", ""ur"")"),"گلی ڈنڈا اور ٹپ بلی کے اسی طرح کے یورپی کھیل میں بنیادی فرق کیا ہے؟")</f>
        <v>گلی ڈنڈا اور ٹپ بلی کے اسی طرح کے یورپی کھیل میں بنیادی فرق کیا ہے؟</v>
      </c>
      <c r="L91" s="5" t="str">
        <f>IFERROR(__xludf.DUMMYFUNCTION("GOOGLETRANSLATE(C91, ""en"", ""ur"")"),"A) کوئی فرق نہیں ہے، B) اسکورنگ کا طریقہ: گلی ڈنڈا پیمائش کا استعمال کرتا ہے، ٹپ بلی کا اندازہ لگایا جاتا ہے، C) لاٹھی کا سائز، D) کھلاڑیوں کی تعداد")</f>
        <v>A) کوئی فرق نہیں ہے، B) اسکورنگ کا طریقہ: گلی ڈنڈا پیمائش کا استعمال کرتا ہے، ٹپ بلی کا اندازہ لگایا جاتا ہے، C) لاٹھی کا سائز، D) کھلاڑیوں کی تعداد</v>
      </c>
      <c r="M91" s="5" t="str">
        <f>IFERROR(__xludf.DUMMYFUNCTION("GOOGLETRANSLATE(D91, ""en"", ""ur"")"),"ب) اسکورنگ کا طریقہ: گلی ڈنڈا پیمائش کا استعمال کرتا ہے، ٹپ بلی اندازے کا استعمال کرتی ہے۔")</f>
        <v>ب) اسکورنگ کا طریقہ: گلی ڈنڈا پیمائش کا استعمال کرتا ہے، ٹپ بلی اندازے کا استعمال کرتی ہے۔</v>
      </c>
      <c r="N91" s="5" t="str">
        <f>IFERROR(__xludf.DUMMYFUNCTION("GOOGLETRANSLATE(E91, ""en"", ""ur"")"),"یہ ایک اہم تاریخی فرق ہے۔ ٹپ کیٹ میں، اسٹرائیکر کو قدموں میں فاصلے کا اندازہ لگانا پڑتا تھا، اور اگر فیلڈر متفق نہیں ہوتا اور انہیں غلط ثابت کرتا ہے، تو سکور باطل ہو جاتا ہے۔")</f>
        <v>یہ ایک اہم تاریخی فرق ہے۔ ٹپ کیٹ میں، اسٹرائیکر کو قدموں میں فاصلے کا اندازہ لگانا پڑتا تھا، اور اگر فیلڈر متفق نہیں ہوتا اور انہیں غلط ثابت کرتا ہے، تو سکور باطل ہو جاتا ہے۔</v>
      </c>
    </row>
    <row r="92">
      <c r="A92" s="3">
        <v>91.0</v>
      </c>
      <c r="B92" s="4" t="s">
        <v>2669</v>
      </c>
      <c r="C92" s="4" t="s">
        <v>2670</v>
      </c>
      <c r="D92" s="4" t="s">
        <v>2671</v>
      </c>
      <c r="E92" s="4" t="s">
        <v>2672</v>
      </c>
      <c r="J92" s="5" t="str">
        <f>IFERROR(__xludf.DUMMYFUNCTION("GOOGLETRANSLATE(A92, ""en"", ""ur"")"),"91")</f>
        <v>91</v>
      </c>
      <c r="K92" s="5" t="str">
        <f>IFERROR(__xludf.DUMMYFUNCTION("GOOGLETRANSLATE(B92, ""en"", ""ur"")"),"اگر کوئی فیلڈر گلی کو ""پھنسا"" دے تو اس کا کیا مطلب ہے؟")</f>
        <v>اگر کوئی فیلڈر گلی کو "پھنسا" دے تو اس کا کیا مطلب ہے؟</v>
      </c>
      <c r="L92" s="5" t="str">
        <f>IFERROR(__xludf.DUMMYFUNCTION("GOOGLETRANSLATE(C92, ""en"", ""ur"")"),"A) وہ اسے صاف طور پر پکڑتے ہیں، B) وہ گلی کو اپنے جسم سے روکتے ہیں اور یہ صاف کیچ نہیں ہے، C) وہ گلی کے لیے ایک جال بناتے ہیں، D) وہ گلی کو جال میں پھینک دیتے ہیں۔")</f>
        <v>A) وہ اسے صاف طور پر پکڑتے ہیں، B) وہ گلی کو اپنے جسم سے روکتے ہیں اور یہ صاف کیچ نہیں ہے، C) وہ گلی کے لیے ایک جال بناتے ہیں، D) وہ گلی کو جال میں پھینک دیتے ہیں۔</v>
      </c>
      <c r="M92" s="5" t="str">
        <f>IFERROR(__xludf.DUMMYFUNCTION("GOOGLETRANSLATE(D92, ""en"", ""ur"")"),"ب) وہ گلی کو اپنے جسم سے روکتے ہیں اور یہ صاف کیچ نہیں ہے۔")</f>
        <v>ب) وہ گلی کو اپنے جسم سے روکتے ہیں اور یہ صاف کیچ نہیں ہے۔</v>
      </c>
      <c r="N92" s="5" t="str">
        <f>IFERROR(__xludf.DUMMYFUNCTION("GOOGLETRANSLATE(E92, ""en"", ""ur"")"),"""پھنسی ہوئی"" گیند وہ ہوتی ہے جو زمین یا جسم کے خلاف روکی جاتی ہے، ہاتھوں میں صاف نہیں پکڑی جاتی۔ یہ آؤٹ نہیں ہے۔")</f>
        <v>"پھنسی ہوئی" گیند وہ ہوتی ہے جو زمین یا جسم کے خلاف روکی جاتی ہے، ہاتھوں میں صاف نہیں پکڑی جاتی۔ یہ آؤٹ نہیں ہے۔</v>
      </c>
    </row>
    <row r="93">
      <c r="A93" s="3">
        <v>92.0</v>
      </c>
      <c r="B93" s="4" t="s">
        <v>2673</v>
      </c>
      <c r="C93" s="4" t="s">
        <v>2674</v>
      </c>
      <c r="D93" s="4" t="s">
        <v>2675</v>
      </c>
      <c r="E93" s="4" t="s">
        <v>2676</v>
      </c>
      <c r="J93" s="5" t="str">
        <f>IFERROR(__xludf.DUMMYFUNCTION("GOOGLETRANSLATE(A93, ""en"", ""ur"")"),"92")</f>
        <v>92</v>
      </c>
      <c r="K93" s="5" t="str">
        <f>IFERROR(__xludf.DUMMYFUNCTION("GOOGLETRANSLATE(B93, ""en"", ""ur"")"),"پہلی ہٹ، گلی کو ہوا دار بنانے کے لیے، 'ٹول' کہلاتا ہے۔ 'ٹول' کے بعد اسٹرائیکر کو کیا کرنا چاہیے؟")</f>
        <v>پہلی ہٹ، گلی کو ہوا دار بنانے کے لیے، 'ٹول' کہلاتا ہے۔ 'ٹول' کے بعد اسٹرائیکر کو کیا کرنا چاہیے؟</v>
      </c>
      <c r="L93" s="5" t="str">
        <f>IFERROR(__xludf.DUMMYFUNCTION("GOOGLETRANSLATE(C93, ""en"", ""ur"")"),"A) فوراً دوڑیں، B) گلی کو دوسری بار ماریں جب یہ ہوا میں ہو، C) فیلڈر کا انتظار کریں، D) ڈنڈا کو زمین پر رکھیں")</f>
        <v>A) فوراً دوڑیں، B) گلی کو دوسری بار ماریں جب یہ ہوا میں ہو، C) فیلڈر کا انتظار کریں، D) ڈنڈا کو زمین پر رکھیں</v>
      </c>
      <c r="M93" s="5" t="str">
        <f>IFERROR(__xludf.DUMMYFUNCTION("GOOGLETRANSLATE(D93, ""en"", ""ur"")"),"ب) گلی کو دوسری بار مارو جب یہ ہوا میں ہو۔")</f>
        <v>ب) گلی کو دوسری بار مارو جب یہ ہوا میں ہو۔</v>
      </c>
      <c r="N93" s="5" t="str">
        <f>IFERROR(__xludf.DUMMYFUNCTION("GOOGLETRANSLATE(E93, ""en"", ""ur"")"),"'ٹول' سیٹ اپ ہٹ ہے۔ اہم اسکورنگ ہٹ اس کے بعد آتا ہے، جب گلی ہوا سے چلنے والی ہوتی ہے۔")</f>
        <v>'ٹول' سیٹ اپ ہٹ ہے۔ اہم اسکورنگ ہٹ اس کے بعد آتا ہے، جب گلی ہوا سے چلنے والی ہوتی ہے۔</v>
      </c>
    </row>
    <row r="94">
      <c r="A94" s="3">
        <v>93.0</v>
      </c>
      <c r="B94" s="4" t="s">
        <v>2677</v>
      </c>
      <c r="C94" s="4" t="s">
        <v>2678</v>
      </c>
      <c r="D94" s="4" t="s">
        <v>2679</v>
      </c>
      <c r="E94" s="4" t="s">
        <v>2680</v>
      </c>
      <c r="J94" s="5" t="str">
        <f>IFERROR(__xludf.DUMMYFUNCTION("GOOGLETRANSLATE(A94, ""en"", ""ur"")"),"93")</f>
        <v>93</v>
      </c>
      <c r="K94" s="5" t="str">
        <f>IFERROR(__xludf.DUMMYFUNCTION("GOOGLETRANSLATE(B94, ""en"", ""ur"")"),"ایک فیلڈر باؤنڈری کے باہر کھڑا ہے اور گلی کو کیچ کر رہا ہے۔ کیا اسٹرائیکر باہر ہے؟")</f>
        <v>ایک فیلڈر باؤنڈری کے باہر کھڑا ہے اور گلی کو کیچ کر رہا ہے۔ کیا اسٹرائیکر باہر ہے؟</v>
      </c>
      <c r="L94" s="5" t="str">
        <f>IFERROR(__xludf.DUMMYFUNCTION("GOOGLETRANSLATE(C94, ""en"", ""ur"")"),"A) جی ہاں، یہ ایک کلین کیچ تھا، B) نہیں، قانونی کیچ لینے کے لیے فیلڈر کو باؤنڈری لائنز کے اندر ہونا چاہیے، C) باری دوبارہ چلائی جاتی ہے، D) اسٹرائیکر اپنے آدھے پوائنٹس کھو دیتا ہے۔")</f>
        <v>A) جی ہاں، یہ ایک کلین کیچ تھا، B) نہیں، قانونی کیچ لینے کے لیے فیلڈر کو باؤنڈری لائنز کے اندر ہونا چاہیے، C) باری دوبارہ چلائی جاتی ہے، D) اسٹرائیکر اپنے آدھے پوائنٹس کھو دیتا ہے۔</v>
      </c>
      <c r="M94" s="5" t="str">
        <f>IFERROR(__xludf.DUMMYFUNCTION("GOOGLETRANSLATE(D94, ""en"", ""ur"")"),"ب) نہیں، قانونی کیچ لینے کے لیے فیلڈر کو باؤنڈری لائنز کے اندر ہونا چاہیے۔")</f>
        <v>ب) نہیں، قانونی کیچ لینے کے لیے فیلڈر کو باؤنڈری لائنز کے اندر ہونا چاہیے۔</v>
      </c>
      <c r="N94" s="5" t="str">
        <f>IFERROR(__xludf.DUMMYFUNCTION("GOOGLETRANSLATE(E94, ""en"", ""ur"")"),"ایک فیلڈر کے دونوں پاؤں کھیل کے میدان کے اندر ہونے چاہئیں جب وہ کیچ مکمل کرتے ہیں تاکہ اسے درست آؤٹ کیا جاسکے۔")</f>
        <v>ایک فیلڈر کے دونوں پاؤں کھیل کے میدان کے اندر ہونے چاہئیں جب وہ کیچ مکمل کرتے ہیں تاکہ اسے درست آؤٹ کیا جاسکے۔</v>
      </c>
    </row>
    <row r="95">
      <c r="A95" s="3">
        <v>94.0</v>
      </c>
      <c r="B95" s="4" t="s">
        <v>2681</v>
      </c>
      <c r="C95" s="4" t="s">
        <v>2682</v>
      </c>
      <c r="D95" s="4" t="s">
        <v>2683</v>
      </c>
      <c r="E95" s="4" t="s">
        <v>2684</v>
      </c>
      <c r="J95" s="5" t="str">
        <f>IFERROR(__xludf.DUMMYFUNCTION("GOOGLETRANSLATE(A95, ""en"", ""ur"")"),"94")</f>
        <v>94</v>
      </c>
      <c r="K95" s="5" t="str">
        <f>IFERROR(__xludf.DUMMYFUNCTION("GOOGLETRANSLATE(B95, ""en"", ""ur"")"),"اسٹرائیکر اور فیلڈرز کے درمیان سب سے عام جھگڑا کیا ہے؟")</f>
        <v>اسٹرائیکر اور فیلڈرز کے درمیان سب سے عام جھگڑا کیا ہے؟</v>
      </c>
      <c r="L95" s="5" t="str">
        <f>IFERROR(__xludf.DUMMYFUNCTION("GOOGLETRANSLATE(C95, ""en"", ""ur"")"),"A) استعمال ہونے والی لکڑی کی قسم، B) موسم، C) آیا کیچ صاف تھا یا اسکور درست طریقے سے ناپا گیا تھا، D) دن کا وقت")</f>
        <v>A) استعمال ہونے والی لکڑی کی قسم، B) موسم، C) آیا کیچ صاف تھا یا اسکور درست طریقے سے ناپا گیا تھا، D) دن کا وقت</v>
      </c>
      <c r="M95" s="5" t="str">
        <f>IFERROR(__xludf.DUMMYFUNCTION("GOOGLETRANSLATE(D95, ""en"", ""ur"")"),"سی) آیا کیچ صاف تھا یا اسکور درست طریقے سے ناپا گیا تھا۔")</f>
        <v>سی) آیا کیچ صاف تھا یا اسکور درست طریقے سے ناپا گیا تھا۔</v>
      </c>
      <c r="N95" s="5" t="str">
        <f>IFERROR(__xludf.DUMMYFUNCTION("GOOGLETRANSLATE(E95, ""en"", ""ur"")"),"بغیر کسی رسمی امپائر کے، یہ دو ججمنٹ کالز سب سے دوستانہ دلائل کا ذریعہ ہیں۔")</f>
        <v>بغیر کسی رسمی امپائر کے، یہ دو ججمنٹ کالز سب سے دوستانہ دلائل کا ذریعہ ہیں۔</v>
      </c>
    </row>
    <row r="96">
      <c r="A96" s="3">
        <v>95.0</v>
      </c>
      <c r="B96" s="4" t="s">
        <v>2685</v>
      </c>
      <c r="C96" s="4" t="s">
        <v>2686</v>
      </c>
      <c r="D96" s="4" t="s">
        <v>2687</v>
      </c>
      <c r="E96" s="4" t="s">
        <v>2688</v>
      </c>
      <c r="J96" s="5" t="str">
        <f>IFERROR(__xludf.DUMMYFUNCTION("GOOGLETRANSLATE(A96, ""en"", ""ur"")"),"95")</f>
        <v>95</v>
      </c>
      <c r="K96" s="5" t="str">
        <f>IFERROR(__xludf.DUMMYFUNCTION("GOOGLETRANSLATE(B96, ""en"", ""ur"")"),"گلی ڈنڈا کو پاکستان کا ""دیسی کھیل"" سمجھا جانے کی بنیادی وجہ کیا ہے؟")</f>
        <v>گلی ڈنڈا کو پاکستان کا "دیسی کھیل" سمجھا جانے کی بنیادی وجہ کیا ہے؟</v>
      </c>
      <c r="L96" s="5" t="str">
        <f>IFERROR(__xludf.DUMMYFUNCTION("GOOGLETRANSLATE(C96, ""en"", ""ur"")"),"A) یہ 1947 کے بعد ایجاد ہوا، B) یہ صدیوں سے خطے میں کھیلا جاتا رہا ہے، جدید کھیلوں کے متعارف ہونے سے بہت پہلے، C) یہ صرف پاکستان میں کھیلا جاتا ہے، D) اسے IOC نے تسلیم کیا ہے۔")</f>
        <v>A) یہ 1947 کے بعد ایجاد ہوا، B) یہ صدیوں سے خطے میں کھیلا جاتا رہا ہے، جدید کھیلوں کے متعارف ہونے سے بہت پہلے، C) یہ صرف پاکستان میں کھیلا جاتا ہے، D) اسے IOC نے تسلیم کیا ہے۔</v>
      </c>
      <c r="M96" s="5" t="str">
        <f>IFERROR(__xludf.DUMMYFUNCTION("GOOGLETRANSLATE(D96, ""en"", ""ur"")"),"ب) یہ اس خطے میں صدیوں سے کھیلا جاتا رہا ہے، جدید کھیلوں کے متعارف ہونے سے بہت پہلے")</f>
        <v>ب) یہ اس خطے میں صدیوں سے کھیلا جاتا رہا ہے، جدید کھیلوں کے متعارف ہونے سے بہت پہلے</v>
      </c>
      <c r="N96" s="5" t="str">
        <f>IFERROR(__xludf.DUMMYFUNCTION("GOOGLETRANSLATE(E96, ""en"", ""ur"")"),"یہ کھیل زمین اور اس کے لوگوں کی گہری جڑوں والی لوک ثقافت کا حصہ ہے، جو جدید قومی حدود کی پیش گوئی کرتا ہے۔")</f>
        <v>یہ کھیل زمین اور اس کے لوگوں کی گہری جڑوں والی لوک ثقافت کا حصہ ہے، جو جدید قومی حدود کی پیش گوئی کرتا ہے۔</v>
      </c>
    </row>
    <row r="97">
      <c r="A97" s="3">
        <v>96.0</v>
      </c>
      <c r="B97" s="4" t="s">
        <v>2689</v>
      </c>
      <c r="C97" s="4" t="s">
        <v>2690</v>
      </c>
      <c r="D97" s="4" t="s">
        <v>2691</v>
      </c>
      <c r="E97" s="4" t="s">
        <v>2692</v>
      </c>
      <c r="J97" s="5" t="str">
        <f>IFERROR(__xludf.DUMMYFUNCTION("GOOGLETRANSLATE(A97, ""en"", ""ur"")"),"96")</f>
        <v>96</v>
      </c>
      <c r="K97" s="5" t="str">
        <f>IFERROR(__xludf.DUMMYFUNCTION("GOOGLETRANSLATE(B97, ""en"", ""ur"")"),"ایک کھلاڑی اپنی ""جگنگ"" مہارت کے لیے جانا جاتا ہے۔ اس میں کیا شامل ہے؟")</f>
        <v>ایک کھلاڑی اپنی "جگنگ" مہارت کے لیے جانا جاتا ہے۔ اس میں کیا شامل ہے؟</v>
      </c>
      <c r="L97" s="5" t="str">
        <f>IFERROR(__xludf.DUMMYFUNCTION("GOOGLETRANSLATE(C97, ""en"", ""ur"")"),"A) ایک سے زیادہ گلیوں کو جگانا، B) فائنل اسٹرائیک سے پہلے گلی کو کئی بار ہوا میں مارنا، C) فیلڈر کو کیچ بنانا، D) ڈنڈا کو جگانا")</f>
        <v>A) ایک سے زیادہ گلیوں کو جگانا، B) فائنل اسٹرائیک سے پہلے گلی کو کئی بار ہوا میں مارنا، C) فیلڈر کو کیچ بنانا، D) ڈنڈا کو جگانا</v>
      </c>
      <c r="M97" s="5" t="str">
        <f>IFERROR(__xludf.DUMMYFUNCTION("GOOGLETRANSLATE(D97, ""en"", ""ur"")"),"ب) آخری اسٹرائیک سے پہلے گلی کو کئی بار ہوا میں مارنا")</f>
        <v>ب) آخری اسٹرائیک سے پہلے گلی کو کئی بار ہوا میں مارنا</v>
      </c>
      <c r="N97" s="5" t="str">
        <f>IFERROR(__xludf.DUMMYFUNCTION("GOOGLETRANSLATE(E97, ""en"", ""ur"")"),"یہ ایک اعلی درجے کی مہارت ہے جہاں ایک کھلاڑی گلی کو ہوا سے چلنے اور اسے بالکل ٹھیک پوزیشن میں رکھنے کے لیے متعدد روشنی کے نلکوں کا استعمال کرتا ہے۔")</f>
        <v>یہ ایک اعلی درجے کی مہارت ہے جہاں ایک کھلاڑی گلی کو ہوا سے چلنے اور اسے بالکل ٹھیک پوزیشن میں رکھنے کے لیے متعدد روشنی کے نلکوں کا استعمال کرتا ہے۔</v>
      </c>
    </row>
    <row r="98">
      <c r="A98" s="3">
        <v>97.0</v>
      </c>
      <c r="B98" s="4" t="s">
        <v>2693</v>
      </c>
      <c r="C98" s="4" t="s">
        <v>2694</v>
      </c>
      <c r="D98" s="4" t="s">
        <v>2695</v>
      </c>
      <c r="E98" s="4" t="s">
        <v>2696</v>
      </c>
      <c r="J98" s="5" t="str">
        <f>IFERROR(__xludf.DUMMYFUNCTION("GOOGLETRANSLATE(A98, ""en"", ""ur"")"),"97")</f>
        <v>97</v>
      </c>
      <c r="K98" s="5" t="str">
        <f>IFERROR(__xludf.DUMMYFUNCTION("GOOGLETRANSLATE(B98, ""en"", ""ur"")"),"تمام فیلڈرز کے لیے اسٹرائیکر کے بہت قریب کھڑا ہونا حکمت عملی کے لحاظ سے خطرناک کیوں ہے؟")</f>
        <v>تمام فیلڈرز کے لیے اسٹرائیکر کے بہت قریب کھڑا ہونا حکمت عملی کے لحاظ سے خطرناک کیوں ہے؟</v>
      </c>
      <c r="L98" s="5" t="str">
        <f>IFERROR(__xludf.DUMMYFUNCTION("GOOGLETRANSLATE(C98, ""en"", ""ur"")"),"A) یہ خطرناک نہیں ہے، B) ایک طاقتور لمبی ہٹ ان کے تمام سروں پر جائے گی، C) یہ قواعد کے خلاف ہے، D) یہ انہیں تھکا دے گا۔")</f>
        <v>A) یہ خطرناک نہیں ہے، B) ایک طاقتور لمبی ہٹ ان کے تمام سروں پر جائے گی، C) یہ قواعد کے خلاف ہے، D) یہ انہیں تھکا دے گا۔</v>
      </c>
      <c r="M98" s="5" t="str">
        <f>IFERROR(__xludf.DUMMYFUNCTION("GOOGLETRANSLATE(D98, ""en"", ""ur"")"),"ب) ایک طاقتور لمبی ہٹ ان کے تمام سروں پر جائے گی۔")</f>
        <v>ب) ایک طاقتور لمبی ہٹ ان کے تمام سروں پر جائے گی۔</v>
      </c>
      <c r="N98" s="5" t="str">
        <f>IFERROR(__xludf.DUMMYFUNCTION("GOOGLETRANSLATE(E98, ""en"", ""ur"")"),"اگرچہ یہ حکمت عملی شارٹ ہٹ پکڑنے کے لیے اچھی ہے، لیکن یہ ایک ہنر مند اسٹرائیکر کے لیے گیلی کو بڑے سکور کے لیے مارنے کے لیے پورا آؤٹ فیلڈ کھلا چھوڑ دیتی ہے۔")</f>
        <v>اگرچہ یہ حکمت عملی شارٹ ہٹ پکڑنے کے لیے اچھی ہے، لیکن یہ ایک ہنر مند اسٹرائیکر کے لیے گیلی کو بڑے سکور کے لیے مارنے کے لیے پورا آؤٹ فیلڈ کھلا چھوڑ دیتی ہے۔</v>
      </c>
    </row>
    <row r="99">
      <c r="A99" s="3">
        <v>98.0</v>
      </c>
      <c r="B99" s="4" t="s">
        <v>2697</v>
      </c>
      <c r="C99" s="4" t="s">
        <v>2698</v>
      </c>
      <c r="D99" s="4" t="s">
        <v>2473</v>
      </c>
      <c r="E99" s="4" t="s">
        <v>2699</v>
      </c>
      <c r="J99" s="5" t="str">
        <f>IFERROR(__xludf.DUMMYFUNCTION("GOOGLETRANSLATE(A99, ""en"", ""ur"")"),"98")</f>
        <v>98</v>
      </c>
      <c r="K99" s="5" t="str">
        <f>IFERROR(__xludf.DUMMYFUNCTION("GOOGLETRANSLATE(B99, ""en"", ""ur"")"),"اسٹرائیکر کی ٹکر ایک درخت کی شاخوں میں ٹکرا گئی۔ یہ کس طرح اسکور کیا جاتا ہے؟")</f>
        <v>اسٹرائیکر کی ٹکر ایک درخت کی شاخوں میں ٹکرا گئی۔ یہ کس طرح اسکور کیا جاتا ہے؟</v>
      </c>
      <c r="L99" s="5" t="str">
        <f>IFERROR(__xludf.DUMMYFUNCTION("GOOGLETRANSLATE(C99, ""en"", ""ur"")"),"A) اسٹرائیکر آؤٹ ہے، B) باری دوبارہ چلائی جاتی ہے، C) اسکور کو گلی کے بالکل نیچے زمین پر پوائنٹ تک ناپا جاتا ہے، D) اسٹرائیکر کو بونس ملتا ہے۔")</f>
        <v>A) اسٹرائیکر آؤٹ ہے، B) باری دوبارہ چلائی جاتی ہے، C) اسکور کو گلی کے بالکل نیچے زمین پر پوائنٹ تک ناپا جاتا ہے، D) اسٹرائیکر کو بونس ملتا ہے۔</v>
      </c>
      <c r="M99" s="5" t="str">
        <f>IFERROR(__xludf.DUMMYFUNCTION("GOOGLETRANSLATE(D99, ""en"", ""ur"")"),"سی) اسکور کو گلی کے نیچے زمین پر پوائنٹ تک ناپا جاتا ہے۔")</f>
        <v>سی) اسکور کو گلی کے نیچے زمین پر پوائنٹ تک ناپا جاتا ہے۔</v>
      </c>
      <c r="N99" s="5" t="str">
        <f>IFERROR(__xludf.DUMMYFUNCTION("GOOGLETRANSLATE(E99, ""en"", ""ur"")"),"پھنس جانے والی گلی کو سنبھالنے کا یہ عام غیر رسمی اصول ہے۔ افقی فاصلہ وہی ہے جو ماپا جاتا ہے۔")</f>
        <v>پھنس جانے والی گلی کو سنبھالنے کا یہ عام غیر رسمی اصول ہے۔ افقی فاصلہ وہی ہے جو ماپا جاتا ہے۔</v>
      </c>
    </row>
    <row r="100">
      <c r="A100" s="3">
        <v>99.0</v>
      </c>
      <c r="B100" s="4" t="s">
        <v>2700</v>
      </c>
      <c r="C100" s="4" t="s">
        <v>2701</v>
      </c>
      <c r="D100" s="4" t="s">
        <v>2702</v>
      </c>
      <c r="E100" s="4" t="s">
        <v>2703</v>
      </c>
      <c r="J100" s="5" t="str">
        <f>IFERROR(__xludf.DUMMYFUNCTION("GOOGLETRANSLATE(A100, ""en"", ""ur"")"),"99")</f>
        <v>99</v>
      </c>
      <c r="K100" s="5" t="str">
        <f>IFERROR(__xludf.DUMMYFUNCTION("GOOGLETRANSLATE(B100, ""en"", ""ur"")"),"کرکٹ جیسے رسمی کھیل کے مقابلے گلی ڈنڈا کی اہم اپیل کیا ہے؟")</f>
        <v>کرکٹ جیسے رسمی کھیل کے مقابلے گلی ڈنڈا کی اہم اپیل کیا ہے؟</v>
      </c>
      <c r="L100" s="5" t="str">
        <f>IFERROR(__xludf.DUMMYFUNCTION("GOOGLETRANSLATE(C100, ""en"", ""ur"")"),"A) اس کے زیادہ پیچیدہ اصول ہیں، B) اس کے لیے کسی مہنگے آلات یا خصوصی پچ کی ضرورت نہیں ہے، C) یہ ایک اولمپک کھیل ہے، D) یہ کرکٹ سے زیادہ محفوظ ہے۔")</f>
        <v>A) اس کے زیادہ پیچیدہ اصول ہیں، B) اس کے لیے کسی مہنگے آلات یا خصوصی پچ کی ضرورت نہیں ہے، C) یہ ایک اولمپک کھیل ہے، D) یہ کرکٹ سے زیادہ محفوظ ہے۔</v>
      </c>
      <c r="M100" s="5" t="str">
        <f>IFERROR(__xludf.DUMMYFUNCTION("GOOGLETRANSLATE(D100, ""en"", ""ur"")"),"ب) اس کے لیے کسی مہنگے سامان یا خصوصی پچ کی ضرورت نہیں ہے۔")</f>
        <v>ب) اس کے لیے کسی مہنگے سامان یا خصوصی پچ کی ضرورت نہیں ہے۔</v>
      </c>
      <c r="N100" s="5" t="str">
        <f>IFERROR(__xludf.DUMMYFUNCTION("GOOGLETRANSLATE(E100, ""en"", ""ur"")"),"اس کی سادگی اور رسائی ایک گلی اور گاؤں کے کھیل کے طور پر اس کی پائیدار مقبولیت کی بنیادی وجوہات ہیں۔")</f>
        <v>اس کی سادگی اور رسائی ایک گلی اور گاؤں کے کھیل کے طور پر اس کی پائیدار مقبولیت کی بنیادی وجوہات ہیں۔</v>
      </c>
    </row>
    <row r="101">
      <c r="A101" s="3">
        <v>100.0</v>
      </c>
      <c r="B101" s="4" t="s">
        <v>2704</v>
      </c>
      <c r="C101" s="4" t="s">
        <v>2705</v>
      </c>
      <c r="D101" s="4" t="s">
        <v>2706</v>
      </c>
      <c r="E101" s="4" t="s">
        <v>2707</v>
      </c>
      <c r="J101" s="5" t="str">
        <f>IFERROR(__xludf.DUMMYFUNCTION("GOOGLETRANSLATE(A101, ""en"", ""ur"")"),"100")</f>
        <v>100</v>
      </c>
      <c r="K101" s="5" t="str">
        <f>IFERROR(__xludf.DUMMYFUNCTION("GOOGLETRANSLATE(B101, ""en"", ""ur"")"),"فیلڈنگ ٹیم کا بنیادی مقصد کیا ہے؟")</f>
        <v>فیلڈنگ ٹیم کا بنیادی مقصد کیا ہے؟</v>
      </c>
      <c r="L101" s="5" t="str">
        <f>IFERROR(__xludf.DUMMYFUNCTION("GOOGLETRANSLATE(C101, ""en"", ""ur"")"),"A) پوائنٹس اسکور کرنے کے لیے، B) گلی کو پکڑ کر یا ڈنڈا مار کر اسٹرائیکر کو آؤٹ کرنا، C) جال لگانا، D) خود گلی کو مارنا")</f>
        <v>A) پوائنٹس اسکور کرنے کے لیے، B) گلی کو پکڑ کر یا ڈنڈا مار کر اسٹرائیکر کو آؤٹ کرنا، C) جال لگانا، D) خود گلی کو مارنا</v>
      </c>
      <c r="M101" s="5" t="str">
        <f>IFERROR(__xludf.DUMMYFUNCTION("GOOGLETRANSLATE(D101, ""en"", ""ur"")"),"ب) گلی کو پکڑ کر یا ڈنڈا مار کر اسٹرائیکر کو آؤٹ کرنا")</f>
        <v>ب) گلی کو پکڑ کر یا ڈنڈا مار کر اسٹرائیکر کو آؤٹ کرنا</v>
      </c>
      <c r="N101" s="5" t="str">
        <f>IFERROR(__xludf.DUMMYFUNCTION("GOOGLETRANSLATE(E101, ""en"", ""ur"")"),"فیلڈنگ ٹیم کا پورا مقصد اسٹرائیکر کو ""آؤٹ"" کرنا ہوتا ہے تاکہ ان کی ٹیم کو سٹرائیک کرنے میں ٹرن مل سکے۔")</f>
        <v>فیلڈنگ ٹیم کا پورا مقصد اسٹرائیکر کو "آؤٹ" کرنا ہوتا ہے تاکہ ان کی ٹیم کو سٹرائیک کرنے میں ٹرن مل سکے۔</v>
      </c>
    </row>
    <row r="102">
      <c r="A102" s="3">
        <v>101.0</v>
      </c>
      <c r="B102" s="4" t="s">
        <v>2517</v>
      </c>
      <c r="C102" s="4" t="s">
        <v>2708</v>
      </c>
      <c r="D102" s="4" t="s">
        <v>2519</v>
      </c>
      <c r="E102" s="4" t="s">
        <v>2709</v>
      </c>
      <c r="J102" s="5" t="str">
        <f>IFERROR(__xludf.DUMMYFUNCTION("GOOGLETRANSLATE(A102, ""en"", ""ur"")"),"101")</f>
        <v>101</v>
      </c>
      <c r="K102" s="5" t="str">
        <f>IFERROR(__xludf.DUMMYFUNCTION("GOOGLETRANSLATE(B102, ""en"", ""ur"")"),"ایک فیلڈر بھاگتے ہوئے گلی کو ایک ہاتھ سے کیچ کرتا ہے۔ اس کی کیا اہمیت ہے؟")</f>
        <v>ایک فیلڈر بھاگتے ہوئے گلی کو ایک ہاتھ سے کیچ کرتا ہے۔ اس کی کیا اہمیت ہے؟</v>
      </c>
      <c r="L102" s="5" t="str">
        <f>IFERROR(__xludf.DUMMYFUNCTION("GOOGLETRANSLATE(C102, ""en"", ""ur"")"),"A) یہ ایک معیاری کیچ ہے، B) یہ آؤٹ کرنے کی ایک انتہائی ہنر مند اور قابل احترام شکل ہے، C) یہ فیلڈنگ ٹیم کے لیے بونس پوائنٹس کے قابل ہے، D) یہ ایک غیر قانونی کیچ ہے کیونکہ دونوں ہاتھوں کا استعمال کرنا ضروری ہے۔")</f>
        <v>A) یہ ایک معیاری کیچ ہے، B) یہ آؤٹ کرنے کی ایک انتہائی ہنر مند اور قابل احترام شکل ہے، C) یہ فیلڈنگ ٹیم کے لیے بونس پوائنٹس کے قابل ہے، D) یہ ایک غیر قانونی کیچ ہے کیونکہ دونوں ہاتھوں کا استعمال کرنا ضروری ہے۔</v>
      </c>
      <c r="M102" s="5" t="str">
        <f>IFERROR(__xludf.DUMMYFUNCTION("GOOGLETRANSLATE(D102, ""en"", ""ur"")"),"ب) یہ برطرفی کی ایک انتہائی ہنر مند اور قابل احترام شکل ہے۔")</f>
        <v>ب) یہ برطرفی کی ایک انتہائی ہنر مند اور قابل احترام شکل ہے۔</v>
      </c>
      <c r="N102" s="5" t="str">
        <f>IFERROR(__xludf.DUMMYFUNCTION("GOOGLETRANSLATE(E102, ""en"", ""ur"")"),"ایک دوڑنا، ایک ہاتھ سے پکڑا جانا ایک بہترین فیلڈر کا نشان ہوتا ہے اور اکثر تمام کھلاڑی اس کی مشکل کا جشن مناتے ہیں۔")</f>
        <v>ایک دوڑنا، ایک ہاتھ سے پکڑا جانا ایک بہترین فیلڈر کا نشان ہوتا ہے اور اکثر تمام کھلاڑی اس کی مشکل کا جشن مناتے ہیں۔</v>
      </c>
    </row>
    <row r="103">
      <c r="A103" s="3">
        <v>102.0</v>
      </c>
      <c r="B103" s="4" t="s">
        <v>2710</v>
      </c>
      <c r="C103" s="4" t="s">
        <v>2711</v>
      </c>
      <c r="D103" s="4" t="s">
        <v>2712</v>
      </c>
      <c r="E103" s="4" t="s">
        <v>2713</v>
      </c>
      <c r="J103" s="5" t="str">
        <f>IFERROR(__xludf.DUMMYFUNCTION("GOOGLETRANSLATE(A103, ""en"", ""ur"")"),"102")</f>
        <v>102</v>
      </c>
      <c r="K103" s="5" t="str">
        <f>IFERROR(__xludf.DUMMYFUNCTION("GOOGLETRANSLATE(B103, ""en"", ""ur"")"),"'ٹپ بلی' کیا ہے؟")</f>
        <v>'ٹپ بلی' کیا ہے؟</v>
      </c>
      <c r="L103" s="5" t="str">
        <f>IFERROR(__xludf.DUMMYFUNCTION("GOOGLETRANSLATE(C103, ""en"", ""ur"")"),"A) کھیل کا ایک تغیر، B) گلی ڈنڈا کا روایتی انگریزی نام، C) کچھ علاقوں میں فیلڈنگ ٹیم کا نام، D) جیتنے والی ٹرافی کا نام")</f>
        <v>A) کھیل کا ایک تغیر، B) گلی ڈنڈا کا روایتی انگریزی نام، C) کچھ علاقوں میں فیلڈنگ ٹیم کا نام، D) جیتنے والی ٹرافی کا نام</v>
      </c>
      <c r="M103" s="5" t="str">
        <f>IFERROR(__xludf.DUMMYFUNCTION("GOOGLETRANSLATE(D103, ""en"", ""ur"")"),"ب) گلی ڈنڈا کا روایتی انگریزی نام")</f>
        <v>ب) گلی ڈنڈا کا روایتی انگریزی نام</v>
      </c>
      <c r="N103" s="5" t="str">
        <f>IFERROR(__xludf.DUMMYFUNCTION("GOOGLETRANSLATE(E103, ""en"", ""ur"")"),"گلی ڈنڈا اسی طرح کے اسٹک اور پیگ گیمز کے عالمی خاندان کا حصہ ہے، اور 'ٹپ کیٹ' انگلینڈ میں اس کا عام نام ہے۔")</f>
        <v>گلی ڈنڈا اسی طرح کے اسٹک اور پیگ گیمز کے عالمی خاندان کا حصہ ہے، اور 'ٹپ کیٹ' انگلینڈ میں اس کا عام نام ہے۔</v>
      </c>
    </row>
    <row r="104">
      <c r="A104" s="3">
        <v>103.0</v>
      </c>
      <c r="B104" s="4" t="s">
        <v>2714</v>
      </c>
      <c r="C104" s="4" t="s">
        <v>2715</v>
      </c>
      <c r="D104" s="4" t="s">
        <v>2716</v>
      </c>
      <c r="E104" s="7" t="s">
        <v>2717</v>
      </c>
      <c r="J104" s="5" t="str">
        <f>IFERROR(__xludf.DUMMYFUNCTION("GOOGLETRANSLATE(A104, ""en"", ""ur"")"),"103")</f>
        <v>103</v>
      </c>
      <c r="K104" s="5" t="str">
        <f>IFERROR(__xludf.DUMMYFUNCTION("GOOGLETRANSLATE(B104, ""en"", ""ur"")"),"ایک 'pittù' کیا ہے؟")</f>
        <v>ایک 'pittù' کیا ہے؟</v>
      </c>
      <c r="L104" s="5" t="str">
        <f>IFERROR(__xludf.DUMMYFUNCTION("GOOGLETRANSLATE(C104, ""en"", ""ur"")"),"A) اسٹرائیکر، B) فیلڈر، C) ہوم بیس یا ابتدائی دائرہ، D) ایک بونس پوائنٹ")</f>
        <v>A) اسٹرائیکر، B) فیلڈر، C) ہوم بیس یا ابتدائی دائرہ، D) ایک بونس پوائنٹ</v>
      </c>
      <c r="M104" s="5" t="str">
        <f>IFERROR(__xludf.DUMMYFUNCTION("GOOGLETRANSLATE(D104, ""en"", ""ur"")"),"C) گھر کی بنیاد یا ابتدائی دائرہ")</f>
        <v>C) گھر کی بنیاد یا ابتدائی دائرہ</v>
      </c>
      <c r="N104" s="5" t="str">
        <f>IFERROR(__xludf.DUMMYFUNCTION("GOOGLETRANSLATE(E104, ""en"", ""ur"")"),"پٹو 'گچی' یا ہوم بیس کا ایک اور علاقائی نام ہے جسے اسٹرائیکر کو آؤٹ کرنے کے لیے فیلڈر کو گلی سے مارنا ضروری ہے۔")</f>
        <v>پٹو 'گچی' یا ہوم بیس کا ایک اور علاقائی نام ہے جسے اسٹرائیکر کو آؤٹ کرنے کے لیے فیلڈر کو گلی سے مارنا ضروری ہے۔</v>
      </c>
    </row>
    <row r="105">
      <c r="A105" s="3">
        <v>104.0</v>
      </c>
      <c r="B105" s="4" t="s">
        <v>2718</v>
      </c>
      <c r="C105" s="4" t="s">
        <v>2464</v>
      </c>
      <c r="D105" s="4" t="s">
        <v>2465</v>
      </c>
      <c r="E105" s="4" t="s">
        <v>2466</v>
      </c>
      <c r="J105" s="5" t="str">
        <f>IFERROR(__xludf.DUMMYFUNCTION("GOOGLETRANSLATE(A105, ""en"", ""ur"")"),"104")</f>
        <v>104</v>
      </c>
      <c r="K105" s="5" t="str">
        <f>IFERROR(__xludf.DUMMYFUNCTION("GOOGLETRANSLATE(B105, ""en"", ""ur"")"),"پاکستان کا کون سا قومی ادارہ گلی ڈنڈا جیسی لوک روایات کے تحفظ کا ذمہ دار ہے؟")</f>
        <v>پاکستان کا کون سا قومی ادارہ گلی ڈنڈا جیسی لوک روایات کے تحفظ کا ذمہ دار ہے؟</v>
      </c>
      <c r="L105" s="5" t="str">
        <f>IFERROR(__xludf.DUMMYFUNCTION("GOOGLETRANSLATE(C105, ""en"", ""ur"")"),"اے) پاکستان کرکٹ بورڈ، بی) وزارت تعلیم، سی) لوک ورثہ (قومی ادارہ برائے لوک اور روایتی ورثہ)، ڈی) پاکستان اسپورٹس بورڈ")</f>
        <v>اے) پاکستان کرکٹ بورڈ، بی) وزارت تعلیم، سی) لوک ورثہ (قومی ادارہ برائے لوک اور روایتی ورثہ)، ڈی) پاکستان اسپورٹس بورڈ</v>
      </c>
      <c r="M105" s="5" t="str">
        <f>IFERROR(__xludf.DUMMYFUNCTION("GOOGLETRANSLATE(D105, ""en"", ""ur"")"),"ج) لوک ورثہ (قومی ادارہ برائے لوک اور روایتی ورثہ)")</f>
        <v>ج) لوک ورثہ (قومی ادارہ برائے لوک اور روایتی ورثہ)</v>
      </c>
      <c r="N105" s="5" t="str">
        <f>IFERROR(__xludf.DUMMYFUNCTION("GOOGLETRANSLATE(E105, ""en"", ""ur"")"),"اسلام آباد میں لوک ورثہ پاکستان کے شاندار ثقافتی ورثے کو دستاویزی بنانے، محفوظ کرنے اور فروغ دینے کے لیے کام کرتا ہے، بشمول اس کے روایتی کھیل۔")</f>
        <v>اسلام آباد میں لوک ورثہ پاکستان کے شاندار ثقافتی ورثے کو دستاویزی بنانے، محفوظ کرنے اور فروغ دینے کے لیے کام کرتا ہے، بشمول اس کے روایتی کھیل۔</v>
      </c>
    </row>
    <row r="106">
      <c r="A106" s="3">
        <v>105.0</v>
      </c>
      <c r="B106" s="4" t="s">
        <v>2637</v>
      </c>
      <c r="C106" s="4" t="s">
        <v>2719</v>
      </c>
      <c r="D106" s="4" t="s">
        <v>2639</v>
      </c>
      <c r="E106" s="4" t="s">
        <v>2720</v>
      </c>
      <c r="J106" s="5" t="str">
        <f>IFERROR(__xludf.DUMMYFUNCTION("GOOGLETRANSLATE(A106, ""en"", ""ur"")"),"105")</f>
        <v>105</v>
      </c>
      <c r="K106" s="5" t="str">
        <f>IFERROR(__xludf.DUMMYFUNCTION("GOOGLETRANSLATE(B106, ""en"", ""ur"")"),"'نار گلی' کیا ہے؟")</f>
        <v>'نار گلی' کیا ہے؟</v>
      </c>
      <c r="L106" s="5" t="str">
        <f>IFERROR(__xludf.DUMMYFUNCTION("GOOGLETRANSLATE(C106, ""en"", ""ur"")"),"A) ایک مس، B) گلی کی ایک قسم، C) ایک تغیر جہاں اسٹرائیکر کو مارنے سے پہلے اپنے پیشن گوئی کے اسکور کو کال کرنا ضروری ہے، D) کھیل کا فائنل راؤنڈ")</f>
        <v>A) ایک مس، B) گلی کی ایک قسم، C) ایک تغیر جہاں اسٹرائیکر کو مارنے سے پہلے اپنے پیشن گوئی کے اسکور کو کال کرنا ضروری ہے، D) کھیل کا فائنل راؤنڈ</v>
      </c>
      <c r="M106" s="5" t="str">
        <f>IFERROR(__xludf.DUMMYFUNCTION("GOOGLETRANSLATE(D106, ""en"", ""ur"")"),"C) ایک تغیر جہاں اسٹرائیکر کو مارنے سے پہلے اپنے پیشن گوئی اسکور کو کال کرنا ضروری ہے۔")</f>
        <v>C) ایک تغیر جہاں اسٹرائیکر کو مارنے سے پہلے اپنے پیشن گوئی اسکور کو کال کرنا ضروری ہے۔</v>
      </c>
      <c r="N106" s="5" t="str">
        <f>IFERROR(__xludf.DUMMYFUNCTION("GOOGLETRANSLATE(E106, ""en"", ""ur"")"),"اس چیلنجنگ ورژن میں، اسٹرائیکر ڈنڈا کی لمبائی کی تعداد کا اعلان کرتا ہے، جس سے وہ کھیل میں پیشین گوئی اور دباؤ کی ایک پرت کو شامل کرتے ہیں۔")</f>
        <v>اس چیلنجنگ ورژن میں، اسٹرائیکر ڈنڈا کی لمبائی کی تعداد کا اعلان کرتا ہے، جس سے وہ کھیل میں پیشین گوئی اور دباؤ کی ایک پرت کو شامل کرتے ہیں۔</v>
      </c>
    </row>
    <row r="107">
      <c r="A107" s="3">
        <v>106.0</v>
      </c>
      <c r="B107" s="4" t="s">
        <v>2645</v>
      </c>
      <c r="C107" s="4" t="s">
        <v>2646</v>
      </c>
      <c r="D107" s="4" t="s">
        <v>2647</v>
      </c>
      <c r="E107" s="4" t="s">
        <v>2721</v>
      </c>
      <c r="J107" s="5" t="str">
        <f>IFERROR(__xludf.DUMMYFUNCTION("GOOGLETRANSLATE(A107, ""en"", ""ur"")"),"106")</f>
        <v>106</v>
      </c>
      <c r="K107" s="5" t="str">
        <f>IFERROR(__xludf.DUMMYFUNCTION("GOOGLETRANSLATE(B107, ""en"", ""ur"")"),"طاقتور ہڑتال کے لیے ایک طرف کا موقف سب سے زیادہ مؤثر کیوں ہے؟")</f>
        <v>طاقتور ہڑتال کے لیے ایک طرف کا موقف سب سے زیادہ مؤثر کیوں ہے؟</v>
      </c>
      <c r="L107" s="5" t="str">
        <f>IFERROR(__xludf.DUMMYFUNCTION("GOOGLETRANSLATE(C107, ""en"", ""ur"")"),"A) یہ کور اور کولہوں کی گردش سے طاقت پیدا کرتا ہے، B) یہ گلی کا بہتر نظارہ فراہم کرتا ہے، C) یہ سب سے زیادہ مستحکم موقف ہے، D) یہ واحد موقف ہے جس کی اجازت ہے۔")</f>
        <v>A) یہ کور اور کولہوں کی گردش سے طاقت پیدا کرتا ہے، B) یہ گلی کا بہتر نظارہ فراہم کرتا ہے، C) یہ سب سے زیادہ مستحکم موقف ہے، D) یہ واحد موقف ہے جس کی اجازت ہے۔</v>
      </c>
      <c r="M107" s="5" t="str">
        <f>IFERROR(__xludf.DUMMYFUNCTION("GOOGLETRANSLATE(D107, ""en"", ""ur"")"),"A) یہ کور اور کولہوں کی گردش سے طاقت پیدا کرتا ہے۔")</f>
        <v>A) یہ کور اور کولہوں کی گردش سے طاقت پیدا کرتا ہے۔</v>
      </c>
      <c r="N107" s="5" t="str">
        <f>IFERROR(__xludf.DUMMYFUNCTION("GOOGLETRANSLATE(E107, ""en"", ""ur"")"),"یہ کلاسک بیٹنگ موقف پورے جسم کو جھولے کی قوت میں حصہ ڈالنے کی اجازت دیتا ہے، نہ کہ صرف بازو۔")</f>
        <v>یہ کلاسک بیٹنگ موقف پورے جسم کو جھولے کی قوت میں حصہ ڈالنے کی اجازت دیتا ہے، نہ کہ صرف بازو۔</v>
      </c>
    </row>
    <row r="108">
      <c r="A108" s="3">
        <v>107.0</v>
      </c>
      <c r="B108" s="4" t="s">
        <v>2722</v>
      </c>
      <c r="C108" s="4" t="s">
        <v>2658</v>
      </c>
      <c r="D108" s="4" t="s">
        <v>2659</v>
      </c>
      <c r="E108" s="4" t="s">
        <v>2660</v>
      </c>
      <c r="J108" s="5" t="str">
        <f>IFERROR(__xludf.DUMMYFUNCTION("GOOGLETRANSLATE(A108, ""en"", ""ur"")"),"107")</f>
        <v>107</v>
      </c>
      <c r="K108" s="5" t="str">
        <f>IFERROR(__xludf.DUMMYFUNCTION("GOOGLETRANSLATE(B108, ""en"", ""ur"")"),"'ٹُلا' ہٹ کیا ہے؟")</f>
        <v>'ٹُلا' ہٹ کیا ہے؟</v>
      </c>
      <c r="L108" s="5" t="str">
        <f>IFERROR(__xludf.DUMMYFUNCTION("GOOGLETRANSLATE(C108,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108" s="5" t="str">
        <f>IFERROR(__xludf.DUMMYFUNCTION("GOOGLETRANSLATE(D108, ""en"", ""ur"")"),"ج) ایک طاقتور، فلیٹ، اور تیز ہٹ")</f>
        <v>ج) ایک طاقتور، فلیٹ، اور تیز ہٹ</v>
      </c>
      <c r="N108" s="5" t="str">
        <f>IFERROR(__xludf.DUMMYFUNCTION("GOOGLETRANSLATE(E108,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109">
      <c r="A109" s="3">
        <v>108.0</v>
      </c>
      <c r="B109" s="4" t="s">
        <v>2633</v>
      </c>
      <c r="C109" s="4" t="s">
        <v>2723</v>
      </c>
      <c r="D109" s="4" t="s">
        <v>2635</v>
      </c>
      <c r="E109" s="4" t="s">
        <v>2724</v>
      </c>
      <c r="J109" s="5" t="str">
        <f>IFERROR(__xludf.DUMMYFUNCTION("GOOGLETRANSLATE(A109, ""en"", ""ur"")"),"108")</f>
        <v>108</v>
      </c>
      <c r="K109" s="5" t="str">
        <f>IFERROR(__xludf.DUMMYFUNCTION("GOOGLETRANSLATE(B109, ""en"", ""ur"")"),"ایک کھلاڑی 'ڈنڈا آؤٹ' ہو کر آؤٹ ہوتا ہے۔ اس کا کیا مطلب ہے؟")</f>
        <v>ایک کھلاڑی 'ڈنڈا آؤٹ' ہو کر آؤٹ ہوتا ہے۔ اس کا کیا مطلب ہے؟</v>
      </c>
      <c r="L109" s="5" t="str">
        <f>IFERROR(__xludf.DUMMYFUNCTION("GOOGLETRANSLATE(C109, ""en"", ""ur"")"),"A) سوئنگ کے دوران ان کا ڈنڈا ٹوٹ گیا، B) فیلڈر کا پھینکا ڈنڈا بیس پر لگا، C) انہوں نے رن کے دوران اپنا ڈنڈا گرا دیا، D) انہوں نے غیر قانونی ڈنڈا استعمال کیا۔")</f>
        <v>A) سوئنگ کے دوران ان کا ڈنڈا ٹوٹ گیا، B) فیلڈر کا پھینکا ڈنڈا بیس پر لگا، C) انہوں نے رن کے دوران اپنا ڈنڈا گرا دیا، D) انہوں نے غیر قانونی ڈنڈا استعمال کیا۔</v>
      </c>
      <c r="M109" s="5" t="str">
        <f>IFERROR(__xludf.DUMMYFUNCTION("GOOGLETRANSLATE(D109, ""en"", ""ur"")"),"ب) فیلڈر کا تھرو بیس پر ڈنڈا کو لگا")</f>
        <v>ب) فیلڈر کا تھرو بیس پر ڈنڈا کو لگا</v>
      </c>
      <c r="N109" s="5" t="str">
        <f>IFERROR(__xludf.DUMMYFUNCTION("GOOGLETRANSLATE(E109, ""en"", ""ur"")"),"یہ ""رن آؤٹ"" ہونے کی اصطلاح ہے جب فیلڈر کا تھرو ہوم بیس پر کامیابی سے ہدف (ڈنڈا) سے ٹکرا جاتا ہے۔")</f>
        <v>یہ "رن آؤٹ" ہونے کی اصطلاح ہے جب فیلڈر کا تھرو ہوم بیس پر کامیابی سے ہدف (ڈنڈا) سے ٹکرا جاتا ہے۔</v>
      </c>
    </row>
    <row r="110">
      <c r="A110" s="3">
        <v>109.0</v>
      </c>
      <c r="B110" s="4" t="s">
        <v>2725</v>
      </c>
      <c r="C110" s="4" t="s">
        <v>2726</v>
      </c>
      <c r="D110" s="4" t="s">
        <v>2727</v>
      </c>
      <c r="E110" s="4" t="s">
        <v>2728</v>
      </c>
      <c r="J110" s="5" t="str">
        <f>IFERROR(__xludf.DUMMYFUNCTION("GOOGLETRANSLATE(A110, ""en"", ""ur"")"),"109")</f>
        <v>109</v>
      </c>
      <c r="K110" s="5" t="str">
        <f>IFERROR(__xludf.DUMMYFUNCTION("GOOGLETRANSLATE(B110, ""en"", ""ur"")"),"گلی ڈنڈا اور بیس بال کے درمیان اہم فرق کیا ہے؟")</f>
        <v>گلی ڈنڈا اور بیس بال کے درمیان اہم فرق کیا ہے؟</v>
      </c>
      <c r="L110" s="5" t="str">
        <f>IFERROR(__xludf.DUMMYFUNCTION("GOOGLETRANSLATE(C110, ""en"", ""ur"")"),"A)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f>
        <v>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v>
      </c>
      <c r="M110" s="5" t="str">
        <f>IFERROR(__xludf.DUMMYFUNCTION("GOOGLETRANSLATE(D110, ""en"", ""ur"")"),"ب) گلی ڈنڈا میں کوئی گھڑا نہیں ہے۔ بلے باز خود اس چیز کو لانچ کرتا ہے۔")</f>
        <v>ب) گلی ڈنڈا میں کوئی گھڑا نہیں ہے۔ بلے باز خود اس چیز کو لانچ کرتا ہے۔</v>
      </c>
      <c r="N110" s="5" t="str">
        <f>IFERROR(__xludf.DUMMYFUNCTION("GOOGLETRANSLATE(E110, ""en"", ""ur"")"),"یہ ایک بنیادی فرق ہے؛ گلی ڈنڈا میں اسٹرائیکر آبجیکٹ کو لانچ کرنے اور مارنے دونوں کے لئے ذمہ دار ہے۔")</f>
        <v>یہ ایک بنیادی فرق ہے؛ گلی ڈنڈا میں اسٹرائیکر آبجیکٹ کو لانچ کرنے اور مارنے دونوں کے لئے ذمہ دار ہے۔</v>
      </c>
    </row>
    <row r="111">
      <c r="A111" s="3">
        <v>110.0</v>
      </c>
      <c r="B111" s="4" t="s">
        <v>2729</v>
      </c>
      <c r="C111" s="4" t="s">
        <v>2730</v>
      </c>
      <c r="D111" s="4" t="s">
        <v>2731</v>
      </c>
      <c r="E111" s="4" t="s">
        <v>2684</v>
      </c>
      <c r="J111" s="5" t="str">
        <f>IFERROR(__xludf.DUMMYFUNCTION("GOOGLETRANSLATE(A111, ""en"", ""ur"")"),"110")</f>
        <v>110</v>
      </c>
      <c r="K111" s="5" t="str">
        <f>IFERROR(__xludf.DUMMYFUNCTION("GOOGLETRANSLATE(B111, ""en"", ""ur"")"),"کھلاڑیوں کے درمیان جھگڑے کی سب سے عام وجہ کیا ہے؟")</f>
        <v>کھلاڑیوں کے درمیان جھگڑے کی سب سے عام وجہ کیا ہے؟</v>
      </c>
      <c r="L111" s="5" t="str">
        <f>IFERROR(__xludf.DUMMYFUNCTION("GOOGLETRANSLATE(C111, ""en"", ""ur"")"),"A) سامان کا معیار، B) آیا کیچ صاف تھا یا اسکور درست طریقے سے ماپا گیا تھا، C) موسم، D) دن کا وقت")</f>
        <v>A) سامان کا معیار، B) آیا کیچ صاف تھا یا اسکور درست طریقے سے ماپا گیا تھا، C) موسم، D) دن کا وقت</v>
      </c>
      <c r="M111" s="5" t="str">
        <f>IFERROR(__xludf.DUMMYFUNCTION("GOOGLETRANSLATE(D111, ""en"", ""ur"")"),"ب) آیا کیچ صاف تھا یا اسکور درست طریقے سے ماپا گیا تھا۔")</f>
        <v>ب) آیا کیچ صاف تھا یا اسکور درست طریقے سے ماپا گیا تھا۔</v>
      </c>
      <c r="N111" s="5" t="str">
        <f>IFERROR(__xludf.DUMMYFUNCTION("GOOGLETRANSLATE(E111, ""en"", ""ur"")"),"بغیر کسی رسمی امپائر کے، یہ دو ججمنٹ کالز سب سے دوستانہ دلائل کا ذریعہ ہیں۔")</f>
        <v>بغیر کسی رسمی امپائر کے، یہ دو ججمنٹ کالز سب سے دوستانہ دلائل کا ذریعہ ہیں۔</v>
      </c>
    </row>
    <row r="112">
      <c r="A112" s="3">
        <v>111.0</v>
      </c>
      <c r="B112" s="4" t="s">
        <v>2732</v>
      </c>
      <c r="C112" s="4" t="s">
        <v>2733</v>
      </c>
      <c r="D112" s="4" t="s">
        <v>2734</v>
      </c>
      <c r="E112" s="4" t="s">
        <v>2735</v>
      </c>
      <c r="J112" s="5" t="str">
        <f>IFERROR(__xludf.DUMMYFUNCTION("GOOGLETRANSLATE(A112, ""en"", ""ur"")"),"111")</f>
        <v>111</v>
      </c>
      <c r="K112" s="5" t="str">
        <f>IFERROR(__xludf.DUMMYFUNCTION("GOOGLETRANSLATE(B112, ""en"", ""ur"")"),"'گلی پلٹی' کیا ہے؟")</f>
        <v>'گلی پلٹی' کیا ہے؟</v>
      </c>
      <c r="L112" s="5" t="str">
        <f>IFERROR(__xludf.DUMMYFUNCTION("GOOGLETRANSLATE(C112, ""en"", ""ur"")"),"A) جب گیلی مارے جانے پر بالکل پلٹ جاتی ہے، B) ٹائی بریکر راؤنڈ کے لیے ایک اصطلاح، C) کھیل کا ایک تغیر جہاں ٹیمیں زیادہ بڑی ہوتی ہیں، D) جرمانے کی ایک قسم")</f>
        <v>A) جب گیلی مارے جانے پر بالکل پلٹ جاتی ہے، B) ٹائی بریکر راؤنڈ کے لیے ایک اصطلاح، C) کھیل کا ایک تغیر جہاں ٹیمیں زیادہ بڑی ہوتی ہیں، D) جرمانے کی ایک قسم</v>
      </c>
      <c r="M112" s="5" t="str">
        <f>IFERROR(__xludf.DUMMYFUNCTION("GOOGLETRANSLATE(D112, ""en"", ""ur"")"),"A) جب گلی مارے جانے پر بالکل پلٹ جاتی ہے۔")</f>
        <v>A) جب گلی مارے جانے پر بالکل پلٹ جاتی ہے۔</v>
      </c>
      <c r="N112" s="5" t="str">
        <f>IFERROR(__xludf.DUMMYFUNCTION("GOOGLETRANSLATE(E112, ""en"", ""ur"")"),"یہ اصطلاح کامل ابتدائی اسٹرائیک کی وضاحت کرتی ہے، جہاں گلی اونچی اور صاف ہوا میں پلٹ جاتی ہے، جس سے اسٹرائیکر کے لیے اسے مرکزی ہڑتال کے لیے مارنا آسان ہو جاتا ہے۔")</f>
        <v>یہ اصطلاح کامل ابتدائی اسٹرائیک کی وضاحت کرتی ہے، جہاں گلی اونچی اور صاف ہوا میں پلٹ جاتی ہے، جس سے اسٹرائیکر کے لیے اسے مرکزی ہڑتال کے لیے مارنا آسان ہو جاتا ہے۔</v>
      </c>
    </row>
    <row r="113">
      <c r="A113" s="3">
        <v>112.0</v>
      </c>
      <c r="B113" s="4" t="s">
        <v>2641</v>
      </c>
      <c r="C113" s="4" t="s">
        <v>2642</v>
      </c>
      <c r="D113" s="4" t="s">
        <v>2643</v>
      </c>
      <c r="E113" s="4" t="s">
        <v>2736</v>
      </c>
      <c r="J113" s="5" t="str">
        <f>IFERROR(__xludf.DUMMYFUNCTION("GOOGLETRANSLATE(A113, ""en"", ""ur"")"),"112")</f>
        <v>112</v>
      </c>
      <c r="K113" s="5" t="str">
        <f>IFERROR(__xludf.DUMMYFUNCTION("GOOGLETRANSLATE(B113, ""en"", ""ur"")"),"مغل اور برطانوی دور میں گلی ڈنڈا کس سماجی طبقے سے سب سے زیادہ وابستہ تھا؟")</f>
        <v>مغل اور برطانوی دور میں گلی ڈنڈا کس سماجی طبقے سے سب سے زیادہ وابستہ تھا؟</v>
      </c>
      <c r="L113" s="5" t="str">
        <f>IFERROR(__xludf.DUMMYFUNCTION("GOOGLETRANSLATE(C113, ""en"", ""ur"")"),"A) اشرافیہ، B) پادری، C) شہری تاجر طبقہ، D) دیہی کسان اور محنت کش طبقہ")</f>
        <v>A) اشرافیہ، B) پادری، C) شہری تاجر طبقہ، D) دیہی کسان اور محنت کش طبقہ</v>
      </c>
      <c r="M113" s="5" t="str">
        <f>IFERROR(__xludf.DUMMYFUNCTION("GOOGLETRANSLATE(D113, ""en"", ""ur"")"),"D) دیہی کسان اور محنت کش طبقہ")</f>
        <v>D) دیہی کسان اور محنت کش طبقہ</v>
      </c>
      <c r="N113" s="5" t="str">
        <f>IFERROR(__xludf.DUMMYFUNCTION("GOOGLETRANSLATE(E113, ""en"", ""ur"")"),"یہ بنیادی طور پر ایک لوک کھیل تھا، جو دیہاتوں اور قصبوں کے عام لوگوں کے ذریعے کھیلا جاتا تھا جنہیں کھلی جگہوں اور سادہ مواد تک رسائی حاصل تھی۔")</f>
        <v>یہ بنیادی طور پر ایک لوک کھیل تھا، جو دیہاتوں اور قصبوں کے عام لوگوں کے ذریعے کھیلا جاتا تھا جنہیں کھلی جگہوں اور سادہ مواد تک رسائی حاصل تھی۔</v>
      </c>
    </row>
    <row r="114">
      <c r="A114" s="3">
        <v>113.0</v>
      </c>
      <c r="B114" s="4" t="s">
        <v>2737</v>
      </c>
      <c r="C114" s="4" t="s">
        <v>2738</v>
      </c>
      <c r="D114" s="4" t="s">
        <v>2739</v>
      </c>
      <c r="E114" s="4" t="s">
        <v>2740</v>
      </c>
      <c r="J114" s="5" t="str">
        <f>IFERROR(__xludf.DUMMYFUNCTION("GOOGLETRANSLATE(A114, ""en"", ""ur"")"),"113")</f>
        <v>113</v>
      </c>
      <c r="K114" s="5" t="str">
        <f>IFERROR(__xludf.DUMMYFUNCTION("GOOGLETRANSLATE(B114, ""en"", ""ur"")"),"حملہ کرنے والے علاقے کے لیے ڈھیلے پتھروں اور ملبے سے پاک ہونا کیوں ضروری ہے؟")</f>
        <v>حملہ کرنے والے علاقے کے لیے ڈھیلے پتھروں اور ملبے سے پاک ہونا کیوں ضروری ہے؟</v>
      </c>
      <c r="L114" s="5" t="str">
        <f>IFERROR(__xludf.DUMMYFUNCTION("GOOGLETRANSLATE(C114, ""en"", ""ur"")"),"A) یہ تماشائیوں کے لیے زیادہ صاف نظر آتا ہے، B) اس بات کو یقینی بنانے کے لیے کہ گلی میں بغیر کسی غیر متوقع اچھال کے پلٹنے کے لیے صاف سطح ہو، C) ڈنڈا کو ٹوٹنے سے روکنے کے لیے، D) اسٹرائیکر کو تیزی سے دوڑنے میں مدد کرنے کے لیے")</f>
        <v>A) یہ تماشائیوں کے لیے زیادہ صاف نظر آتا ہے، B) اس بات کو یقینی بنانے کے لیے کہ گلی میں بغیر کسی غیر متوقع اچھال کے پلٹنے کے لیے صاف سطح ہو، C) ڈنڈا کو ٹوٹنے سے روکنے کے لیے، D) اسٹرائیکر کو تیزی سے دوڑنے میں مدد کرنے کے لیے</v>
      </c>
      <c r="M114" s="5" t="str">
        <f>IFERROR(__xludf.DUMMYFUNCTION("GOOGLETRANSLATE(D114, ""en"", ""ur"")"),"ب) اس بات کو یقینی بنانے کے لیے کہ گلی کی صاف سطح ہے جس سے بغیر کسی غیر متوقع اچھال کے اوپر پلٹنا ہے۔")</f>
        <v>ب) اس بات کو یقینی بنانے کے لیے کہ گلی کی صاف سطح ہے جس سے بغیر کسی غیر متوقع اچھال کے اوپر پلٹنا ہے۔</v>
      </c>
      <c r="N114" s="5" t="str">
        <f>IFERROR(__xludf.DUMMYFUNCTION("GOOGLETRANSLATE(E114, ""en"", ""ur"")"),"ابتدائی، نازک فلک کے لیے ایک صاف ستھرا دائرہ ضروری ہے جو مرکزی ہٹ کو ترتیب دیتا ہے۔")</f>
        <v>ابتدائی، نازک فلک کے لیے ایک صاف ستھرا دائرہ ضروری ہے جو مرکزی ہٹ کو ترتیب دیتا ہے۔</v>
      </c>
    </row>
    <row r="115">
      <c r="A115" s="3">
        <v>114.0</v>
      </c>
      <c r="B115" s="4" t="s">
        <v>2741</v>
      </c>
      <c r="C115" s="4" t="s">
        <v>2742</v>
      </c>
      <c r="D115" s="4" t="s">
        <v>2743</v>
      </c>
      <c r="E115" s="4" t="s">
        <v>2744</v>
      </c>
      <c r="J115" s="5" t="str">
        <f>IFERROR(__xludf.DUMMYFUNCTION("GOOGLETRANSLATE(A115, ""en"", ""ur"")"),"114")</f>
        <v>114</v>
      </c>
      <c r="K115" s="5" t="str">
        <f>IFERROR(__xludf.DUMMYFUNCTION("GOOGLETRANSLATE(B115, ""en"", ""ur"")"),"ایک کھلاڑی اپنے 'ہیلی کاپٹر شاٹ' کے لیے جانا جاتا ہے، ایک پورے جسم پر گھومنے والی ہڑتال۔ اس کا بنیادی فائدہ کیا ہے؟")</f>
        <v>ایک کھلاڑی اپنے 'ہیلی کاپٹر شاٹ' کے لیے جانا جاتا ہے، ایک پورے جسم پر گھومنے والی ہڑتال۔ اس کا بنیادی فائدہ کیا ہے؟</v>
      </c>
      <c r="L115" s="5" t="str">
        <f>IFERROR(__xludf.DUMMYFUNCTION("GOOGLETRANSLATE(C115, ""en"", ""ur"")"),"A) یہ ایک فاؤل ہے، B) یہ گھومنے والی قوت کے ذریعے ناقابل یقین طاقت پیدا کرتا ہے، C) یہ گلی کو دیکھنا مشکل بنا دیتا ہے، D) یہ عام شاٹ کے مقابلے میں آسان ہے")</f>
        <v>A) یہ ایک فاؤل ہے، B) یہ گھومنے والی قوت کے ذریعے ناقابل یقین طاقت پیدا کرتا ہے، C) یہ گلی کو دیکھنا مشکل بنا دیتا ہے، D) یہ عام شاٹ کے مقابلے میں آسان ہے</v>
      </c>
      <c r="M115" s="5" t="str">
        <f>IFERROR(__xludf.DUMMYFUNCTION("GOOGLETRANSLATE(D115, ""en"", ""ur"")"),"ب) یہ گردشی قوت کے ذریعے ناقابل یقین طاقت پیدا کرتا ہے۔")</f>
        <v>ب) یہ گردشی قوت کے ذریعے ناقابل یقین طاقت پیدا کرتا ہے۔</v>
      </c>
      <c r="N115" s="5" t="str">
        <f>IFERROR(__xludf.DUMMYFUNCTION("GOOGLETRANSLATE(E115, ""en"", ""ur"")"),"ڈسکس پھینکنے والے یا کرکٹ کے سلوگ سویپ کی طرح، پورے جسم کی گردش اسٹرائیک میں اہم رفتار اور طاقت کا اضافہ کر سکتی ہے۔")</f>
        <v>ڈسکس پھینکنے والے یا کرکٹ کے سلوگ سویپ کی طرح، پورے جسم کی گردش اسٹرائیک میں اہم رفتار اور طاقت کا اضافہ کر سکتی ہے۔</v>
      </c>
    </row>
    <row r="116">
      <c r="A116" s="3">
        <v>115.0</v>
      </c>
      <c r="B116" s="4" t="s">
        <v>2745</v>
      </c>
      <c r="C116" s="4" t="s">
        <v>2746</v>
      </c>
      <c r="D116" s="4" t="s">
        <v>2747</v>
      </c>
      <c r="E116" s="4" t="s">
        <v>2748</v>
      </c>
      <c r="J116" s="5" t="str">
        <f>IFERROR(__xludf.DUMMYFUNCTION("GOOGLETRANSLATE(A116, ""en"", ""ur"")"),"115")</f>
        <v>115</v>
      </c>
      <c r="K116" s="5" t="str">
        <f>IFERROR(__xludf.DUMMYFUNCTION("GOOGLETRANSLATE(B116, ""en"", ""ur"")"),"اسٹرائیکر کے لیے ""تین کوشش"" کے اصول کی بنیادی وجہ کیا ہے؟")</f>
        <v>اسٹرائیکر کے لیے "تین کوشش" کے اصول کی بنیادی وجہ کیا ہے؟</v>
      </c>
      <c r="L116" s="5" t="str">
        <f>IFERROR(__xludf.DUMMYFUNCTION("GOOGLETRANSLATE(C116, ""en"", ""ur"")"),"A)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f>
        <v>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v>
      </c>
      <c r="M116" s="5" t="str">
        <f>IFERROR(__xludf.DUMMYFUNCTION("GOOGLETRANSLATE(D116, ""en"", ""ur"")"),"ب) اسٹرائیکر کو کھیل کو غیر معینہ مدت تک موخر کرنے سے روکتے ہوئے انہیں مناسب موقع فراہم کرنا")</f>
        <v>ب) اسٹرائیکر کو کھیل کو غیر معینہ مدت تک موخر کرنے سے روکتے ہوئے انہیں مناسب موقع فراہم کرنا</v>
      </c>
      <c r="N116" s="5" t="str">
        <f>IFERROR(__xludf.DUMMYFUNCTION("GOOGLETRANSLATE(E116, ""en"", ""ur"")"),"تین مواقع کی حد اسٹرائیکر کے ساتھ انصاف پسندی (جو شاید پہلی فلک سے محروم ہو جائے) اور فیلڈنگ ٹیم کے لیے کھیل کو جاری رکھنے کے درمیان توازن ہے۔")</f>
        <v>تین مواقع کی حد اسٹرائیکر کے ساتھ انصاف پسندی (جو شاید پہلی فلک سے محروم ہو جائے) اور فیلڈنگ ٹیم کے لیے کھیل کو جاری رکھنے کے درمیان توازن ہے۔</v>
      </c>
    </row>
    <row r="117">
      <c r="A117" s="3">
        <v>116.0</v>
      </c>
      <c r="B117" s="4" t="s">
        <v>2749</v>
      </c>
      <c r="C117" s="4" t="s">
        <v>2750</v>
      </c>
      <c r="D117" s="4" t="s">
        <v>2751</v>
      </c>
      <c r="E117" s="4" t="s">
        <v>2752</v>
      </c>
      <c r="J117" s="5" t="str">
        <f>IFERROR(__xludf.DUMMYFUNCTION("GOOGLETRANSLATE(A117, ""en"", ""ur"")"),"116")</f>
        <v>116</v>
      </c>
      <c r="K117" s="5" t="str">
        <f>IFERROR(__xludf.DUMMYFUNCTION("GOOGLETRANSLATE(B117, ""en"", ""ur"")"),"ایک فیلڈر گلی کو کیچ کرتا ہے لیکن اسے محفوظ کرنے سے پہلے اسے کئی بار جگاتا ہے۔ کیا اسٹرائیکر باہر ہے؟")</f>
        <v>ایک فیلڈر گلی کو کیچ کرتا ہے لیکن اسے محفوظ کرنے سے پہلے اسے کئی بار جگاتا ہے۔ کیا اسٹرائیکر باہر ہے؟</v>
      </c>
      <c r="L117" s="5" t="str">
        <f>IFERROR(__xludf.DUMMYFUNCTION("GOOGLETRANSLATE(C117, ""en"", ""ur"")"),"A) نہیں، کیچ صاف نہیں تھا، B) ہاں، جب تک گلی نے کبھی زمین کو نہیں چھوا، C) ٹرن کو دوبارہ پلے کرنا ضروری ہے، D) فیلڈر کو خراب کیچنگ پر جرمانہ کیا جاتا ہے۔")</f>
        <v>A) نہیں، کیچ صاف نہیں تھا، B) ہاں، جب تک گلی نے کبھی زمین کو نہیں چھوا، C) ٹرن کو دوبارہ پلے کرنا ضروری ہے، D) فیلڈر کو خراب کیچنگ پر جرمانہ کیا جاتا ہے۔</v>
      </c>
      <c r="M117" s="5" t="str">
        <f>IFERROR(__xludf.DUMMYFUNCTION("GOOGLETRANSLATE(D117, ""en"", ""ur"")"),"ب) جی ہاں، جب تک کہ گلی نے کبھی زمین کو نہ چھوا۔")</f>
        <v>ب) جی ہاں، جب تک کہ گلی نے کبھی زمین کو نہ چھوا۔</v>
      </c>
      <c r="N117" s="5" t="str">
        <f>IFERROR(__xludf.DUMMYFUNCTION("GOOGLETRANSLATE(E117, ""en"", ""ur"")"),"ایک ""جگلڈ کیچ"" ایک درست برطرفی ہے، بشرطیکہ فیلڈر زمین سے رابطہ کرنے سے پہلے گلی پر مکمل کنٹرول حاصل کر لے۔")</f>
        <v>ایک "جگلڈ کیچ" ایک درست برطرفی ہے، بشرطیکہ فیلڈر زمین سے رابطہ کرنے سے پہلے گلی پر مکمل کنٹرول حاصل کر لے۔</v>
      </c>
    </row>
    <row r="118">
      <c r="A118" s="3">
        <v>117.0</v>
      </c>
      <c r="B118" s="4" t="s">
        <v>2753</v>
      </c>
      <c r="C118" s="4" t="s">
        <v>2754</v>
      </c>
      <c r="D118" s="4" t="s">
        <v>2755</v>
      </c>
      <c r="E118" s="4" t="s">
        <v>2756</v>
      </c>
      <c r="J118" s="5" t="str">
        <f>IFERROR(__xludf.DUMMYFUNCTION("GOOGLETRANSLATE(A118, ""en"", ""ur"")"),"117")</f>
        <v>117</v>
      </c>
      <c r="K118" s="5" t="str">
        <f>IFERROR(__xludf.DUMMYFUNCTION("GOOGLETRANSLATE(B118,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L118" s="5" t="str">
        <f>IFERROR(__xludf.DUMMYFUNCTION("GOOGLETRANSLATE(C118, ""en"", ""ur"")"),"A) شہر کے باسی دوسرے کھیلوں کو ترجیح دیتے ہیں، B) حفاظتی وجوہات کی بناء پر شہروں میں اس کھیل پر پابندی ہے، C) محفوظ، کھلی جگہوں کی کمی جو کھیل کھیلنے کے لیے درکار ہے، D) شہر کی دکانوں میں سامان فروخت نہیں ہوتا")</f>
        <v>A) شہر کے باسی دوسرے کھیلوں کو ترجیح دیتے ہیں، B) حفاظتی وجوہات کی بناء پر شہروں میں اس کھیل پر پابندی ہے، C) محفوظ، کھلی جگہوں کی کمی جو کھیل کھیلنے کے لیے درکار ہے، D) شہر کی دکانوں میں سامان فروخت نہیں ہوتا</v>
      </c>
      <c r="M118" s="5" t="str">
        <f>IFERROR(__xludf.DUMMYFUNCTION("GOOGLETRANSLATE(D118, ""en"", ""ur"")"),"ج) گیم کھیلنے کے لیے درکار محفوظ، کھلی جگہوں کی کمی")</f>
        <v>ج) گیم کھیلنے کے لیے درکار محفوظ، کھلی جگہوں کی کمی</v>
      </c>
      <c r="N118" s="5" t="str">
        <f>IFERROR(__xludf.DUMMYFUNCTION("GOOGLETRANSLATE(E118, ""en"", ""ur"")"),"شہری کاری اور ترقی نے گلی ڈنڈا کو محفوظ طریقے سے کھیلنے کے لیے درکار کھلے میدانوں اور میدانوں کی تعداد کو کافی حد تک کم کر دیا ہے۔")</f>
        <v>شہری کاری اور ترقی نے گلی ڈنڈا کو محفوظ طریقے سے کھیلنے کے لیے درکار کھلے میدانوں اور میدانوں کی تعداد کو کافی حد تک کم کر دیا ہے۔</v>
      </c>
    </row>
    <row r="119">
      <c r="A119" s="3">
        <v>118.0</v>
      </c>
      <c r="B119" s="4" t="s">
        <v>2757</v>
      </c>
      <c r="C119" s="4" t="s">
        <v>2758</v>
      </c>
      <c r="D119" s="4" t="s">
        <v>2759</v>
      </c>
      <c r="E119" s="4" t="s">
        <v>2760</v>
      </c>
      <c r="J119" s="5" t="str">
        <f>IFERROR(__xludf.DUMMYFUNCTION("GOOGLETRANSLATE(A119, ""en"", ""ur"")"),"118")</f>
        <v>118</v>
      </c>
      <c r="K119" s="5" t="str">
        <f>IFERROR(__xludf.DUMMYFUNCTION("GOOGLETRANSLATE(B119, ""en"", ""ur"")"),"اسٹرائیکر کی ہٹ بہت کم اور تیز ہوتی ہے۔ ایک فیلڈر اسے پکڑنے کی کوشش کرتا ہے، لیکن یہ ان کی پنڈلیوں سے ٹکرا جاتا ہے۔ کیا اسٹرائیکر باہر ہے؟")</f>
        <v>اسٹرائیکر کی ہٹ بہت کم اور تیز ہوتی ہے۔ ایک فیلڈر اسے پکڑنے کی کوشش کرتا ہے، لیکن یہ ان کی پنڈلیوں سے ٹکرا جاتا ہے۔ کیا اسٹرائیکر باہر ہے؟</v>
      </c>
      <c r="L119" s="5" t="str">
        <f>IFERROR(__xludf.DUMMYFUNCTION("GOOGLETRANSLATE(C119, ""en"", ""ur"")"),"A) ہاں، اگر فیلڈر اسے تین سیکنڈ کے اندر اندر اٹھا سکتا ہے، B) نہیں، کیچ کو ہاتھوں سے صاف کرنا چاہیے، C) خطرناک ہٹ کی وجہ سے ٹرن دوبارہ چلایا جاتا ہے، D) فیلڈر کو ٹانگیں استعمال کرنے پر جرمانہ کیا جاتا ہے۔")</f>
        <v>A) ہاں، اگر فیلڈر اسے تین سیکنڈ کے اندر اندر اٹھا سکتا ہے، B) نہیں، کیچ کو ہاتھوں سے صاف کرنا چاہیے، C) خطرناک ہٹ کی وجہ سے ٹرن دوبارہ چلایا جاتا ہے، D) فیلڈر کو ٹانگیں استعمال کرنے پر جرمانہ کیا جاتا ہے۔</v>
      </c>
      <c r="M119" s="5" t="str">
        <f>IFERROR(__xludf.DUMMYFUNCTION("GOOGLETRANSLATE(D119, ""en"", ""ur"")"),"ب) نہیں، کیچ کو ہاتھوں سے صاف کرنا چاہیے۔")</f>
        <v>ب) نہیں، کیچ کو ہاتھوں سے صاف کرنا چاہیے۔</v>
      </c>
      <c r="N119" s="5" t="str">
        <f>IFERROR(__xludf.DUMMYFUNCTION("GOOGLETRANSLATE(E119, ""en"", ""ur"")"),"کیچ صرف اس صورت میں درست ہے جب فیلڈر گلی کو زمین کو چھونے سے پہلے اپنے ہاتھوں سے پکڑ لے۔ جسم سے انحراف کرنا کوئی پکڑ نہیں ہے۔")</f>
        <v>کیچ صرف اس صورت میں درست ہے جب فیلڈر گلی کو زمین کو چھونے سے پہلے اپنے ہاتھوں سے پکڑ لے۔ جسم سے انحراف کرنا کوئی پکڑ نہیں ہے۔</v>
      </c>
    </row>
    <row r="120">
      <c r="A120" s="3">
        <v>119.0</v>
      </c>
      <c r="B120" s="4" t="s">
        <v>2761</v>
      </c>
      <c r="C120" s="4" t="s">
        <v>2762</v>
      </c>
      <c r="D120" s="4" t="s">
        <v>2485</v>
      </c>
      <c r="E120" s="4" t="s">
        <v>2486</v>
      </c>
      <c r="J120" s="5" t="str">
        <f>IFERROR(__xludf.DUMMYFUNCTION("GOOGLETRANSLATE(A120, ""en"", ""ur"")"),"119")</f>
        <v>119</v>
      </c>
      <c r="K120" s="5" t="str">
        <f>IFERROR(__xludf.DUMMYFUNCTION("GOOGLETRANSLATE(B120, ""en"", ""ur"")"),"ایک معمولی کراس ونڈ کو کھیلنے کے لیے اکثر سب سے مشکل حالت کیوں سمجھا جاتا ہے؟")</f>
        <v>ایک معمولی کراس ونڈ کو کھیلنے کے لیے اکثر سب سے مشکل حالت کیوں سمجھا جاتا ہے؟</v>
      </c>
      <c r="L120" s="5" t="str">
        <f>IFERROR(__xludf.DUMMYFUNCTION("GOOGLETRANSLATE(C120, ""en"", ""ur"")"),"A) یہ گلی کو توقع سے کہیں زیادہ سفر کرتا ہے، B) یہ گلی کو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f>
        <v>A) یہ گلی کو توقع سے کہیں زیادہ سفر کرتا ہے، B) یہ گلی کو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v>
      </c>
      <c r="M120" s="5" t="str">
        <f>IFERROR(__xludf.DUMMYFUNCTION("GOOGLETRANSLATE(D120, ""en"", ""ur"")"),"ب) یہ گلی کو غیر متوقع طور پر گھومنے کا سبب بن سکتا ہے، جس سے اسے مارنا اور پکڑنا مشکل ہو جاتا ہے۔")</f>
        <v>ب) یہ گلی کو غیر متوقع طور پر گھومنے کا سبب بن سکتا ہے، جس سے اسے مارنا اور پکڑنا مشکل ہو جاتا ہے۔</v>
      </c>
      <c r="N120" s="5" t="str">
        <f>IFERROR(__xludf.DUMMYFUNCTION("GOOGLETRANSLATE(E120, ""en"", ""ur"")"),"کراس ونڈ گلی کی پرواز میں ایک مشکل ""کرو"" یا ""ڈرافٹ"" بنا سکتا ہے، اسٹرائیکر اور فیلڈرز دونوں کو دھوکہ دے سکتا ہے۔")</f>
        <v>کراس ونڈ گلی کی پرواز میں ایک مشکل "کرو" یا "ڈرافٹ" بنا سکتا ہے، اسٹرائیکر اور فیلڈرز دونوں کو دھوکہ دے سکتا ہے۔</v>
      </c>
    </row>
    <row r="121">
      <c r="A121" s="3">
        <v>120.0</v>
      </c>
      <c r="B121" s="4" t="s">
        <v>2617</v>
      </c>
      <c r="C121" s="4" t="s">
        <v>2763</v>
      </c>
      <c r="D121" s="4" t="s">
        <v>2619</v>
      </c>
      <c r="E121" s="4" t="s">
        <v>2620</v>
      </c>
      <c r="J121" s="5" t="str">
        <f>IFERROR(__xludf.DUMMYFUNCTION("GOOGLETRANSLATE(A121, ""en"", ""ur"")"),"120")</f>
        <v>120</v>
      </c>
      <c r="K121" s="5" t="str">
        <f>IFERROR(__xludf.DUMMYFUNCTION("GOOGLETRANSLATE(B121, ""en"", ""ur"")"),"اس کی بنیادی وجہ کیا ہے کہ گلی ڈنڈا کے لیے کوئی واحد، آفاقی اصول موجود نہیں ہے؟")</f>
        <v>اس کی بنیادی وجہ کیا ہے کہ گلی ڈنڈا کے لیے کوئی واحد، آفاقی اصول موجود نہیں ہے؟</v>
      </c>
      <c r="L121" s="5" t="str">
        <f>IFERROR(__xludf.DUMMYFUNCTION("GOOGLETRANSLATE(C121, ""en"", ""ur"")"),"A) یہ کھیل بہت نیا ہے جس کے قواعد نہیں ہیں، B) اسے زبانی روایت کے ذریعے منتقل کیا گیا تھا اور گاؤں گاؤں مختلف ہوتا تھا، C) تمام قدیم قواعد کی کتابیں ضائع ہو گئی تھیں، D) قواعد کو ایک محفوظ راز سمجھا جاتا ہے۔")</f>
        <v>A) یہ کھیل بہت نیا ہے جس کے قواعد نہیں ہیں، B) اسے زبانی روایت کے ذریعے منتقل کیا گیا تھا اور گاؤں گاؤں مختلف ہوتا تھا، C) تمام قدیم قواعد کی کتابیں ضائع ہو گئی تھیں، D) قواعد کو ایک محفوظ راز سمجھا جاتا ہے۔</v>
      </c>
      <c r="M121" s="5" t="str">
        <f>IFERROR(__xludf.DUMMYFUNCTION("GOOGLETRANSLATE(D121, ""en"", ""ur"")"),"ب) یہ زبانی روایت سے گزرا اور گاؤں سے گاؤں میں مختلف تھا۔")</f>
        <v>ب) یہ زبانی روایت سے گزرا اور گاؤں سے گاؤں میں مختلف تھا۔</v>
      </c>
      <c r="N121" s="5" t="str">
        <f>IFERROR(__xludf.DUMMYFUNCTION("GOOGLETRANSLATE(E121, ""en"", ""ur"")"),"مرکزی گورننگ باڈی کے بغیر ایک لوک کھیل کے طور پر، قواعد کو ہر ایک کمیونٹی نے جو اسے کھیلتی تھی، اس کے مطابق بنائے گئے تھے۔")</f>
        <v>مرکزی گورننگ باڈی کے بغیر ایک لوک کھیل کے طور پر، قواعد کو ہر ایک کمیونٹی نے جو اسے کھیلتی تھی، اس کے مطابق بنائے گئے تھے۔</v>
      </c>
    </row>
    <row r="122">
      <c r="A122" s="3">
        <v>121.0</v>
      </c>
      <c r="B122" s="4" t="s">
        <v>2764</v>
      </c>
      <c r="C122" s="4" t="s">
        <v>2765</v>
      </c>
      <c r="D122" s="4" t="s">
        <v>2766</v>
      </c>
      <c r="E122" s="4" t="s">
        <v>2767</v>
      </c>
      <c r="J122" s="5" t="str">
        <f>IFERROR(__xludf.DUMMYFUNCTION("GOOGLETRANSLATE(A122, ""en"", ""ur"")"),"121")</f>
        <v>121</v>
      </c>
      <c r="K122" s="5" t="str">
        <f>IFERROR(__xludf.DUMMYFUNCTION("GOOGLETRANSLATE(B122, ""en"", ""ur"")"),"ایک فیلڈر دستانے پہن کر گلی کو کیچ کر رہا ہے۔ کیا روایتی کھیل میں اس کی اجازت ہے؟")</f>
        <v>ایک فیلڈر دستانے پہن کر گلی کو کیچ کر رہا ہے۔ کیا روایتی کھیل میں اس کی اجازت ہے؟</v>
      </c>
      <c r="L122" s="5" t="str">
        <f>IFERROR(__xludf.DUMMYFUNCTION("GOOGLETRANSLATE(C122, ""en"", ""ur"")"),"A) جی ہاں، حفاظتی وجوہات کی بناء پر، B) نہیں، کھیل روایتی طور پر ننگے ہاتھ کھیلا جاتا ہے، C) صرف فیلڈنگ ٹیم کا کپتان دستانے پہن سکتا ہے، D) صرف اس صورت میں جب گلی سخت مواد سے بنی ہو۔")</f>
        <v>A) جی ہاں، حفاظتی وجوہات کی بناء پر، B) نہیں، کھیل روایتی طور پر ننگے ہاتھ کھیلا جاتا ہے، C) صرف فیلڈنگ ٹیم کا کپتان دستانے پہن سکتا ہے، D) صرف اس صورت میں جب گلی سخت مواد سے بنی ہو۔</v>
      </c>
      <c r="M122" s="5" t="str">
        <f>IFERROR(__xludf.DUMMYFUNCTION("GOOGLETRANSLATE(D122, ""en"", ""ur"")"),"ب) نہیں، یہ کھیل روایتی طور پر ننگے ہاتھ کھیلا جاتا ہے۔")</f>
        <v>ب) نہیں، یہ کھیل روایتی طور پر ننگے ہاتھ کھیلا جاتا ہے۔</v>
      </c>
      <c r="N122" s="5" t="str">
        <f>IFERROR(__xludf.DUMMYFUNCTION("GOOGLETRANSLATE(E122, ""en"", ""ur"")"),"روایتی طور پر، گلی ڈنڈا بغیر کسی حفاظتی پوشاک کے کھیلا جاتا ہے، اور کیچز کو ننگے ہاتھوں سے بنایا جانا چاہیے۔")</f>
        <v>روایتی طور پر، گلی ڈنڈا بغیر کسی حفاظتی پوشاک کے کھیلا جاتا ہے، اور کیچز کو ننگے ہاتھوں سے بنایا جانا چاہیے۔</v>
      </c>
    </row>
    <row r="123">
      <c r="A123" s="3">
        <v>122.0</v>
      </c>
      <c r="B123" s="4" t="s">
        <v>2768</v>
      </c>
      <c r="C123" s="4" t="s">
        <v>2769</v>
      </c>
      <c r="D123" s="4" t="s">
        <v>2349</v>
      </c>
      <c r="E123" s="4" t="s">
        <v>2350</v>
      </c>
      <c r="J123" s="5" t="str">
        <f>IFERROR(__xludf.DUMMYFUNCTION("GOOGLETRANSLATE(A123, ""en"", ""ur"")"),"122")</f>
        <v>122</v>
      </c>
      <c r="K123" s="5" t="str">
        <f>IFERROR(__xludf.DUMMYFUNCTION("GOOGLETRANSLATE(B123, ""en"", ""ur"")"),"گلی کو دونوں سروں پر ٹیپر کرنے کا اصل مقصد کیا ہے؟")</f>
        <v>گلی کو دونوں سروں پر ٹیپر کرنے کا اصل مقصد کیا ہے؟</v>
      </c>
      <c r="L123" s="5" t="str">
        <f>IFERROR(__xludf.DUMMYFUNCTION("GOOGLETRANSLATE(C123, ""en"", ""ur"")"),"A)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f>
        <v>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v>
      </c>
      <c r="M123" s="5" t="str">
        <f>IFERROR(__xludf.DUMMYFUNCTION("GOOGLETRANSLATE(D123, ""en"", ""ur"")"),"ب) یہ اسٹرائیکر کو ایک ٹیپرڈ سرے کو مار کر اسے آسانی سے ہوا میں جھٹکنے دیتا ہے۔")</f>
        <v>ب) یہ اسٹرائیکر کو ایک ٹیپرڈ سرے کو مار کر اسے آسانی سے ہوا میں جھٹکنے دیتا ہے۔</v>
      </c>
      <c r="N123" s="5" t="str">
        <f>IFERROR(__xludf.DUMMYFUNCTION("GOOGLETRANSLATE(E123, ""en"", ""ur"")"),"یہ ہوشیار ڈیزائن گیم کا بنیادی میکینک ہے، جس سے گلی کو اہم ہٹ کے لیے قابل اعتماد طریقے سے لانچ کیا جا سکتا ہے۔")</f>
        <v>یہ ہوشیار ڈیزائن گیم کا بنیادی میکینک ہے، جس سے گلی کو اہم ہٹ کے لیے قابل اعتماد طریقے سے لانچ کیا جا سکتا ہے۔</v>
      </c>
    </row>
    <row r="124">
      <c r="A124" s="3">
        <v>123.0</v>
      </c>
      <c r="B124" s="4" t="s">
        <v>2710</v>
      </c>
      <c r="C124" s="4" t="s">
        <v>2770</v>
      </c>
      <c r="D124" s="4" t="s">
        <v>2712</v>
      </c>
      <c r="E124" s="4" t="s">
        <v>2713</v>
      </c>
      <c r="J124" s="5" t="str">
        <f>IFERROR(__xludf.DUMMYFUNCTION("GOOGLETRANSLATE(A124, ""en"", ""ur"")"),"123")</f>
        <v>123</v>
      </c>
      <c r="K124" s="5" t="str">
        <f>IFERROR(__xludf.DUMMYFUNCTION("GOOGLETRANSLATE(B124, ""en"", ""ur"")"),"'ٹپ بلی' کیا ہے؟")</f>
        <v>'ٹپ بلی' کیا ہے؟</v>
      </c>
      <c r="L124" s="5" t="str">
        <f>IFERROR(__xludf.DUMMYFUNCTION("GOOGLETRANSLATE(C124, ""en"", ""ur"")"),"A) کھیل کا ایک تغیر، B) گلی ڈنڈا کا روایتی انگریزی نام، C) فیلڈنگ ٹیم کا نام، D) جیتنے والی ٹرافی کا نام")</f>
        <v>A) کھیل کا ایک تغیر، B) گلی ڈنڈا کا روایتی انگریزی نام، C) فیلڈنگ ٹیم کا نام، D) جیتنے والی ٹرافی کا نام</v>
      </c>
      <c r="M124" s="5" t="str">
        <f>IFERROR(__xludf.DUMMYFUNCTION("GOOGLETRANSLATE(D124, ""en"", ""ur"")"),"ب) گلی ڈنڈا کا روایتی انگریزی نام")</f>
        <v>ب) گلی ڈنڈا کا روایتی انگریزی نام</v>
      </c>
      <c r="N124" s="5" t="str">
        <f>IFERROR(__xludf.DUMMYFUNCTION("GOOGLETRANSLATE(E124, ""en"", ""ur"")"),"گلی ڈنڈا اسی طرح کے اسٹک اور پیگ گیمز کے عالمی خاندان کا حصہ ہے، اور 'ٹپ کیٹ' انگلینڈ میں اس کا عام نام ہے۔")</f>
        <v>گلی ڈنڈا اسی طرح کے اسٹک اور پیگ گیمز کے عالمی خاندان کا حصہ ہے، اور 'ٹپ کیٹ' انگلینڈ میں اس کا عام نام ہے۔</v>
      </c>
    </row>
    <row r="125">
      <c r="A125" s="3">
        <v>124.0</v>
      </c>
      <c r="B125" s="4" t="s">
        <v>2771</v>
      </c>
      <c r="C125" s="4" t="s">
        <v>2772</v>
      </c>
      <c r="D125" s="4" t="s">
        <v>2773</v>
      </c>
      <c r="E125" s="4" t="s">
        <v>2774</v>
      </c>
      <c r="J125" s="5" t="str">
        <f>IFERROR(__xludf.DUMMYFUNCTION("GOOGLETRANSLATE(A125, ""en"", ""ur"")"),"124")</f>
        <v>124</v>
      </c>
      <c r="K125" s="5" t="str">
        <f>IFERROR(__xludf.DUMMYFUNCTION("GOOGLETRANSLATE(B125, ""en"", ""ur"")"),"آرام دہ اور پرسکون کھیل میں جھگڑے کی سب سے عام وجہ کیا ہے؟")</f>
        <v>آرام دہ اور پرسکون کھیل میں جھگڑے کی سب سے عام وجہ کیا ہے؟</v>
      </c>
      <c r="L125" s="5" t="str">
        <f>IFERROR(__xludf.DUMMYFUNCTION("GOOGLETRANSLATE(C125, ""en"", ""ur"")"),"A) سامان ٹوٹنا، B) فاصلے کی پیمائش پر اختلاف، C) کھلاڑی کی چوٹیں، D) موسم")</f>
        <v>A) سامان ٹوٹنا، B) فاصلے کی پیمائش پر اختلاف، C) کھلاڑی کی چوٹیں، D) موسم</v>
      </c>
      <c r="M125" s="5" t="str">
        <f>IFERROR(__xludf.DUMMYFUNCTION("GOOGLETRANSLATE(D125, ""en"", ""ur"")"),"ب) فاصلے کی پیمائش پر اختلاف")</f>
        <v>ب) فاصلے کی پیمائش پر اختلاف</v>
      </c>
      <c r="N125" s="5" t="str">
        <f>IFERROR(__xludf.DUMMYFUNCTION("GOOGLETRANSLATE(E125, ""en"", ""ur"")"),"چونکہ اسکورنگ کی پیمائش ڈنڈا کو بطور حکمران استعمال کرکے کی جاتی ہے، اس لیے درست گنتی پر بحثیں بہت عام ہیں۔")</f>
        <v>چونکہ اسکورنگ کی پیمائش ڈنڈا کو بطور حکمران استعمال کرکے کی جاتی ہے، اس لیے درست گنتی پر بحثیں بہت عام ہیں۔</v>
      </c>
    </row>
    <row r="126">
      <c r="A126" s="3">
        <v>125.0</v>
      </c>
      <c r="B126" s="4" t="s">
        <v>2775</v>
      </c>
      <c r="C126" s="4" t="s">
        <v>2776</v>
      </c>
      <c r="D126" s="4" t="s">
        <v>172</v>
      </c>
      <c r="E126" s="4" t="s">
        <v>2777</v>
      </c>
      <c r="J126" s="5" t="str">
        <f>IFERROR(__xludf.DUMMYFUNCTION("GOOGLETRANSLATE(A126, ""en"", ""ur"")"),"125")</f>
        <v>125</v>
      </c>
      <c r="K126" s="5" t="str">
        <f>IFERROR(__xludf.DUMMYFUNCTION("GOOGLETRANSLATE(B126, ""en"", ""ur"")"),"ڈنڈا کا بنیادی کردار کیا ہے؟")</f>
        <v>ڈنڈا کا بنیادی کردار کیا ہے؟</v>
      </c>
      <c r="L126" s="5" t="str">
        <f>IFERROR(__xludf.DUMMYFUNCTION("GOOGLETRANSLATE(C126, ""en"", ""ur"")"),"A) ہدف کے طور پر کام کرنے کے لئے، B) گلی کو مارنے کے لئے ""بلے"" کے طور پر استعمال کیا جانا، C) سکور کی پیمائش کے لئے ""حکمران"" کے طور پر استعمال کیا جانا، D) B اور C دونوں")</f>
        <v>A) ہدف کے طور پر کام کرنے کے لئے، B) گلی کو مارنے کے لئے "بلے" کے طور پر استعمال کیا جانا، C) سکور کی پیمائش کے لئے "حکمران" کے طور پر استعمال کیا جانا، D) B اور C دونوں</v>
      </c>
      <c r="M126" s="5" t="str">
        <f>IFERROR(__xludf.DUMMYFUNCTION("GOOGLETRANSLATE(D126, ""en"", ""ur"")"),"D) B اور C دونوں")</f>
        <v>D) B اور C دونوں</v>
      </c>
      <c r="N126" s="5" t="str">
        <f>IFERROR(__xludf.DUMMYFUNCTION("GOOGLETRANSLATE(E126, ""en"", ""ur"")"),"ڈنڈا سامان کا مرکزی ٹکڑا ہے، جو گلی کو مارنے اور اسکور کا حساب لگانے کے لیے فاصلے کی پیمائش دونوں کے لیے استعمال ہوتا ہے۔")</f>
        <v>ڈنڈا سامان کا مرکزی ٹکڑا ہے، جو گلی کو مارنے اور اسکور کا حساب لگانے کے لیے فاصلے کی پیمائش دونوں کے لیے استعمال ہوتا ہے۔</v>
      </c>
    </row>
    <row r="127">
      <c r="A127" s="3">
        <v>126.0</v>
      </c>
      <c r="B127" s="4" t="s">
        <v>2778</v>
      </c>
      <c r="C127" s="4" t="s">
        <v>2779</v>
      </c>
      <c r="D127" s="4" t="s">
        <v>2780</v>
      </c>
      <c r="E127" s="4" t="s">
        <v>2781</v>
      </c>
      <c r="J127" s="5" t="str">
        <f>IFERROR(__xludf.DUMMYFUNCTION("GOOGLETRANSLATE(A127, ""en"", ""ur"")"),"126")</f>
        <v>126</v>
      </c>
      <c r="K127" s="5" t="str">
        <f>IFERROR(__xludf.DUMMYFUNCTION("GOOGLETRANSLATE(B127, ""en"", ""ur"")"),"ایک فیلڈر اسٹرائیکر کے بالکل قریب کھڑا ہے۔ کیا اس کی اجازت ہے؟")</f>
        <v>ایک فیلڈر اسٹرائیکر کے بالکل قریب کھڑا ہے۔ کیا اس کی اجازت ہے؟</v>
      </c>
      <c r="L127" s="5" t="str">
        <f>IFERROR(__xludf.DUMMYFUNCTION("GOOGLETRANSLATE(C127, ""en"", ""ur"")"),"A)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f>
        <v>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v>
      </c>
      <c r="M127" s="5" t="str">
        <f>IFERROR(__xludf.DUMMYFUNCTION("GOOGLETRANSLATE(D127, ""en"", ""ur"")"),"ب) ہاں، لیکن یہ ایک خطرناک اور زیادہ خطرہ والی پوزیشن ہے۔")</f>
        <v>ب) ہاں، لیکن یہ ایک خطرناک اور زیادہ خطرہ والی پوزیشن ہے۔</v>
      </c>
      <c r="N127" s="5" t="str">
        <f>IFERROR(__xludf.DUMMYFUNCTION("GOOGLETRANSLATE(E127, ""en"", ""ur"")"),"فیلڈر کی جگہ کے بارے میں عام طور پر کوئی باقاعدہ اصول نہیں ہوتے ہیں، لیکن بہت قریب کھڑا ہونا (جیسے کرکٹ میں ""سلی پوائنٹ"") ایک بہت ہی بہادر یا احمقانہ پوزیشن ہے۔")</f>
        <v>فیلڈر کی جگہ کے بارے میں عام طور پر کوئی باقاعدہ اصول نہیں ہوتے ہیں، لیکن بہت قریب کھڑا ہونا (جیسے کرکٹ میں "سلی پوائنٹ") ایک بہت ہی بہادر یا احمقانہ پوزیشن ہے۔</v>
      </c>
    </row>
    <row r="128">
      <c r="A128" s="3">
        <v>127.0</v>
      </c>
      <c r="B128" s="4" t="s">
        <v>2782</v>
      </c>
      <c r="C128" s="4" t="s">
        <v>2783</v>
      </c>
      <c r="D128" s="4" t="s">
        <v>2784</v>
      </c>
      <c r="E128" s="4" t="s">
        <v>2785</v>
      </c>
      <c r="J128" s="5" t="str">
        <f>IFERROR(__xludf.DUMMYFUNCTION("GOOGLETRANSLATE(A128, ""en"", ""ur"")"),"127")</f>
        <v>127</v>
      </c>
      <c r="K128" s="5" t="str">
        <f>IFERROR(__xludf.DUMMYFUNCTION("GOOGLETRANSLATE(B128, ""en"", ""ur"")"),"اسٹرائیکر گلی کو مارتا ہے، اور یہ ایک فیلڈر کے جوتے کو لڑھک کر چھوتا ہے۔ فیلڈر پھر اسے اٹھاتا ہے۔ نتیجہ کیا ہے؟")</f>
        <v>اسٹرائیکر گلی کو مارتا ہے، اور یہ ایک فیلڈر کے جوتے کو لڑھک کر چھوتا ہے۔ فیلڈر پھر اسے اٹھاتا ہے۔ نتیجہ کیا ہے؟</v>
      </c>
      <c r="L128" s="5" t="str">
        <f>IFERROR(__xludf.DUMMYFUNCTION("GOOGLETRANSLATE(C128, ""en"", ""ur"")"),"A) اسٹرائیکر آؤٹ ہے، B) اسٹرائیکر ناٹ آؤٹ ہے، C) باری دوبارہ چلائی جاتی ہے، D) فیلڈر کو جرمانہ کیا جاتا ہے")</f>
        <v>A) اسٹرائیکر آؤٹ ہے، B) اسٹرائیکر ناٹ آؤٹ ہے، C) باری دوبارہ چلائی جاتی ہے، D) فیلڈر کو جرمانہ کیا جاتا ہے</v>
      </c>
      <c r="M128" s="5" t="str">
        <f>IFERROR(__xludf.DUMMYFUNCTION("GOOGLETRANSLATE(D128, ""en"", ""ur"")"),"ب) اسٹرائیکر ناٹ آؤٹ ہے۔")</f>
        <v>ب) اسٹرائیکر ناٹ آؤٹ ہے۔</v>
      </c>
      <c r="N128" s="5" t="str">
        <f>IFERROR(__xludf.DUMMYFUNCTION("GOOGLETRANSLATE(E128, ""en"", ""ur"")"),"گلی کو ہوا میں پکڑنا ضروری ہے۔ ایک بار جب یہ گراؤنڈ یا گراؤنڈ کھلاڑی کو چھو لیتا ہے، تو یہ کیچ نہیں رہتا۔")</f>
        <v>گلی کو ہوا میں پکڑنا ضروری ہے۔ ایک بار جب یہ گراؤنڈ یا گراؤنڈ کھلاڑی کو چھو لیتا ہے، تو یہ کیچ نہیں رہتا۔</v>
      </c>
    </row>
    <row r="129">
      <c r="A129" s="3">
        <v>128.0</v>
      </c>
      <c r="B129" s="4" t="s">
        <v>2451</v>
      </c>
      <c r="C129" s="4" t="s">
        <v>2786</v>
      </c>
      <c r="D129" s="4" t="s">
        <v>2787</v>
      </c>
      <c r="E129" s="4" t="s">
        <v>2788</v>
      </c>
      <c r="J129" s="5" t="str">
        <f>IFERROR(__xludf.DUMMYFUNCTION("GOOGLETRANSLATE(A129, ""en"", ""ur"")"),"128")</f>
        <v>128</v>
      </c>
      <c r="K129" s="5" t="str">
        <f>IFERROR(__xludf.DUMMYFUNCTION("GOOGLETRANSLATE(B129, ""en"", ""ur"")"),"پاکستان کے بڑے شہری مراکز میں گلی ڈنڈا کے زوال کی بنیادی وجہ کیا ہے؟")</f>
        <v>پاکستان کے بڑے شہری مراکز میں گلی ڈنڈا کے زوال کی بنیادی وجہ کیا ہے؟</v>
      </c>
      <c r="L129" s="5" t="str">
        <f>IFERROR(__xludf.DUMMYFUNCTION("GOOGLETRANSLATE(C129, ""en"", ""ur"")"),"A) کھیل اب غیر قانونی ہے، B) کھلی جگہوں کی کمی اور کرکٹ جیسے دیگر کھیلوں کا عروج، C) سامان بہت مہنگا ہے، D) اسے پرانے زمانے کا کھیل سمجھا جاتا ہے۔")</f>
        <v>A) کھیل اب غیر قانونی ہے، B) کھلی جگہوں کی کمی اور کرکٹ جیسے دیگر کھیلوں کا عروج، C) سامان بہت مہنگا ہے، D) اسے پرانے زمانے کا کھیل سمجھا جاتا ہے۔</v>
      </c>
      <c r="M129" s="5" t="str">
        <f>IFERROR(__xludf.DUMMYFUNCTION("GOOGLETRANSLATE(D129, ""en"", ""ur"")"),"ب) کھلی جگہوں کی کمی اور کرکٹ جیسے دیگر کھیلوں کا عروج")</f>
        <v>ب) کھلی جگہوں کی کمی اور کرکٹ جیسے دیگر کھیلوں کا عروج</v>
      </c>
      <c r="N129" s="5" t="str">
        <f>IFERROR(__xludf.DUMMYFUNCTION("GOOGLETRANSLATE(E129, ""en"", ""ur"")"),"شہری کاری کی وجہ سے کھلے میدان ختم ہو گئے ہیں اور جدید کھیل شہر کے نوجوانوں میں زیادہ مقبول ہو گئے ہیں۔")</f>
        <v>شہری کاری کی وجہ سے کھلے میدان ختم ہو گئے ہیں اور جدید کھیل شہر کے نوجوانوں میں زیادہ مقبول ہو گئے ہیں۔</v>
      </c>
    </row>
    <row r="130">
      <c r="A130" s="3">
        <v>129.0</v>
      </c>
      <c r="B130" s="4" t="s">
        <v>2789</v>
      </c>
      <c r="C130" s="4" t="s">
        <v>2790</v>
      </c>
      <c r="D130" s="4" t="s">
        <v>2445</v>
      </c>
      <c r="E130" s="4" t="s">
        <v>2791</v>
      </c>
      <c r="J130" s="5" t="str">
        <f>IFERROR(__xludf.DUMMYFUNCTION("GOOGLETRANSLATE(A130, ""en"", ""ur"")"),"129")</f>
        <v>129</v>
      </c>
      <c r="K130" s="5" t="str">
        <f>IFERROR(__xludf.DUMMYFUNCTION("GOOGLETRANSLATE(B130, ""en"", ""ur"")"),"گلی کو مارنے کے لیے ایک طرف کا موقف کیوں تجویز کیا جاتا ہے؟")</f>
        <v>گلی کو مارنے کے لیے ایک طرف کا موقف کیوں تجویز کیا جاتا ہے؟</v>
      </c>
      <c r="L130" s="5" t="str">
        <f>IFERROR(__xludf.DUMMYFUNCTION("GOOGLETRANSLATE(C130, ""en"", ""ur"")"),"A) یہ زیادہ روایتی ہے، B) یہ زیادہ سے زیادہ جسم کی گردش اور طاقت کی اجازت دیتا ہے، C) یہ فیلڈ کا بہتر نظارہ فراہم کرتا ہے، D) یہ دوڑنا آسان بناتا ہے۔")</f>
        <v>A) یہ زیادہ روایتی ہے، B) یہ زیادہ سے زیادہ جسم کی گردش اور طاقت کی اجازت دیتا ہے، C) یہ فیلڈ کا بہتر نظارہ فراہم کرتا ہے، D) یہ دوڑنا آسان بناتا ہے۔</v>
      </c>
      <c r="M130" s="5" t="str">
        <f>IFERROR(__xludf.DUMMYFUNCTION("GOOGLETRANSLATE(D130, ""en"", ""ur"")"),"ب) یہ زیادہ سے زیادہ جسم کی گردش اور طاقت کی اجازت دیتا ہے۔")</f>
        <v>ب) یہ زیادہ سے زیادہ جسم کی گردش اور طاقت کی اجازت دیتا ہے۔</v>
      </c>
      <c r="N130" s="5" t="str">
        <f>IFERROR(__xludf.DUMMYFUNCTION("GOOGLETRANSLATE(E130, ""en"", ""ur"")"),"کرکٹ یا بیس بال میں بیٹنگ کی طرح، ایک طرف کا موقف کھلاڑی کو اس قابل بناتا ہے کہ وہ اپنے پورے جسم کو جھولے میں طاقت پیدا کرنے کے لیے استعمال کر سکے۔")</f>
        <v>کرکٹ یا بیس بال میں بیٹنگ کی طرح، ایک طرف کا موقف کھلاڑی کو اس قابل بناتا ہے کہ وہ اپنے پورے جسم کو جھولے میں طاقت پیدا کرنے کے لیے استعمال کر سکے۔</v>
      </c>
    </row>
    <row r="131">
      <c r="A131" s="3">
        <v>130.0</v>
      </c>
      <c r="B131" s="4" t="s">
        <v>2447</v>
      </c>
      <c r="C131" s="4" t="s">
        <v>2448</v>
      </c>
      <c r="D131" s="4" t="s">
        <v>2449</v>
      </c>
      <c r="E131" s="4" t="s">
        <v>2450</v>
      </c>
      <c r="J131" s="5" t="str">
        <f>IFERROR(__xludf.DUMMYFUNCTION("GOOGLETRANSLATE(A131, ""en"", ""ur"")"),"130")</f>
        <v>130</v>
      </c>
      <c r="K131" s="5" t="str">
        <f>IFERROR(__xludf.DUMMYFUNCTION("GOOGLETRANSLATE(B131, ""en"", ""ur"")"),"ایک فیلڈر گلی کو کیچ کرتا ہے لیکن پھر ٹھوکر کھا کر باؤنڈری لائن پر گر جاتا ہے۔ کیا اسٹرائیکر باہر ہے؟")</f>
        <v>ایک فیلڈر گلی کو کیچ کرتا ہے لیکن پھر ٹھوکر کھا کر باؤنڈری لائن پر گر جاتا ہے۔ کیا اسٹرائیکر باہر ہے؟</v>
      </c>
      <c r="L131" s="5" t="str">
        <f>IFERROR(__xludf.DUMMYFUNCTION("GOOGLETRANSLATE(C131, ""en"", ""ur"")"),"A)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f>
        <v>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v>
      </c>
      <c r="M131" s="5" t="str">
        <f>IFERROR(__xludf.DUMMYFUNCTION("GOOGLETRANSLATE(D131, ""en"", ""ur"")"),"ب) نہیں، فیلڈر کو اپنے جسم کو قابو میں رکھتے ہوئے اور باؤنڈری کے اندر کیچ مکمل کرنا چاہیے۔")</f>
        <v>ب) نہیں، فیلڈر کو اپنے جسم کو قابو میں رکھتے ہوئے اور باؤنڈری کے اندر کیچ مکمل کرنا چاہیے۔</v>
      </c>
      <c r="N131" s="5" t="str">
        <f>IFERROR(__xludf.DUMMYFUNCTION("GOOGLETRANSLATE(E131, ""en"", ""ur"")"),"کرکٹ کی طرح، ایک فیلڈر کو قانونی طور پر کھیل کے میدان کے اندر رہتے ہوئے کیچ پر مکمل کنٹرول ہونا چاہیے۔")</f>
        <v>کرکٹ کی طرح، ایک فیلڈر کو قانونی طور پر کھیل کے میدان کے اندر رہتے ہوئے کیچ پر مکمل کنٹرول ہونا چاہیے۔</v>
      </c>
    </row>
    <row r="132">
      <c r="A132" s="3">
        <v>131.0</v>
      </c>
      <c r="B132" s="4" t="s">
        <v>2792</v>
      </c>
      <c r="C132" s="4" t="s">
        <v>2793</v>
      </c>
      <c r="D132" s="4" t="s">
        <v>2794</v>
      </c>
      <c r="E132" s="4" t="s">
        <v>2795</v>
      </c>
      <c r="J132" s="5" t="str">
        <f>IFERROR(__xludf.DUMMYFUNCTION("GOOGLETRANSLATE(A132, ""en"", ""ur"")"),"131")</f>
        <v>131</v>
      </c>
      <c r="K132" s="5" t="str">
        <f>IFERROR(__xludf.DUMMYFUNCTION("GOOGLETRANSLATE(B132, ""en"", ""ur"")"),"گلی ڈنڈا کا کھیل ختم ہونے کا سب سے عام طریقہ کیا ہے؟")</f>
        <v>گلی ڈنڈا کا کھیل ختم ہونے کا سب سے عام طریقہ کیا ہے؟</v>
      </c>
      <c r="L132" s="5" t="str">
        <f>IFERROR(__xludf.DUMMYFUNCTION("GOOGLETRANSLATE(C132, ""en"", ""ur"")"),"A)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f>
        <v>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v>
      </c>
      <c r="M132" s="5" t="str">
        <f>IFERROR(__xludf.DUMMYFUNCTION("GOOGLETRANSLATE(D132, ""en"", ""ur"")"),"D) مندرجہ بالا سبھی عام ہیں۔")</f>
        <v>D) مندرجہ بالا سبھی عام ہیں۔</v>
      </c>
      <c r="N132" s="5" t="str">
        <f>IFERROR(__xludf.DUMMYFUNCTION("GOOGLETRANSLATE(E132, ""en"", ""ur"")"),"اس کی غیر رسمی نوعیت کی وجہ سے، کھیل وقت، ہدف کے اسکور، یا کھلاڑیوں کی مکمل گردش مکمل ہونے پر ختم ہو سکتا ہے۔")</f>
        <v>اس کی غیر رسمی نوعیت کی وجہ سے، کھیل وقت، ہدف کے اسکور، یا کھلاڑیوں کی مکمل گردش مکمل ہونے پر ختم ہو سکتا ہے۔</v>
      </c>
    </row>
    <row r="133">
      <c r="A133" s="3">
        <v>132.0</v>
      </c>
      <c r="B133" s="4" t="s">
        <v>2796</v>
      </c>
      <c r="C133" s="4" t="s">
        <v>2797</v>
      </c>
      <c r="D133" s="4" t="s">
        <v>2798</v>
      </c>
      <c r="E133" s="4" t="s">
        <v>2799</v>
      </c>
      <c r="J133" s="5" t="str">
        <f>IFERROR(__xludf.DUMMYFUNCTION("GOOGLETRANSLATE(A133, ""en"", ""ur"")"),"132")</f>
        <v>132</v>
      </c>
      <c r="K133" s="5" t="str">
        <f>IFERROR(__xludf.DUMMYFUNCTION("GOOGLETRANSLATE(B133, ""en"", ""ur"")"),"گلی ڈنڈا اور ٹِپ کیٹ کے انگلش گیم میں بنیادی فرق کیا ہے؟")</f>
        <v>گلی ڈنڈا اور ٹِپ کیٹ کے انگلش گیم میں بنیادی فرق کیا ہے؟</v>
      </c>
      <c r="L133" s="5" t="str">
        <f>IFERROR(__xludf.DUMMYFUNCTION("GOOGLETRANSLATE(C133, ""en"", ""ur"")"),"A)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f>
        <v>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v>
      </c>
      <c r="M133" s="5" t="str">
        <f>IFERROR(__xludf.DUMMYFUNCTION("GOOGLETRANSLATE(D133, ""en"", ""ur"")"),"C) گلی ڈنڈا ڈنڈا سے ناپ کر اسکور کرتا ہے، جبکہ ٹپ-کیٹ فاصلے کا اندازہ لگا کر اسکور کرتا ہے")</f>
        <v>C) گلی ڈنڈا ڈنڈا سے ناپ کر اسکور کرتا ہے، جبکہ ٹپ-کیٹ فاصلے کا اندازہ لگا کر اسکور کرتا ہے</v>
      </c>
      <c r="N133" s="5" t="str">
        <f>IFERROR(__xludf.DUMMYFUNCTION("GOOGLETRANSLATE(E133, ""en"", ""ur"")"),"یہ ایک اہم تاریخی فرق ہے۔ ٹپ کیٹ میں، اسٹرائیکر فاصلے کا اندازہ قدموں میں لگاتا، اور اگر ان کا اندازہ غلط تھا، تو وہ اپنے پوائنٹس کھو بیٹھتے ہیں۔")</f>
        <v>یہ ایک اہم تاریخی فرق ہے۔ ٹپ کیٹ میں، اسٹرائیکر فاصلے کا اندازہ قدموں میں لگاتا، اور اگر ان کا اندازہ غلط تھا، تو وہ اپنے پوائنٹس کھو بیٹھتے ہیں۔</v>
      </c>
    </row>
    <row r="134">
      <c r="A134" s="3">
        <v>133.0</v>
      </c>
      <c r="B134" s="4" t="s">
        <v>2541</v>
      </c>
      <c r="C134" s="4" t="s">
        <v>2542</v>
      </c>
      <c r="D134" s="4" t="s">
        <v>2543</v>
      </c>
      <c r="E134" s="4" t="s">
        <v>2544</v>
      </c>
      <c r="J134" s="5" t="str">
        <f>IFERROR(__xludf.DUMMYFUNCTION("GOOGLETRANSLATE(A134, ""en"", ""ur"")"),"133")</f>
        <v>133</v>
      </c>
      <c r="K134" s="5" t="str">
        <f>IFERROR(__xludf.DUMMYFUNCTION("GOOGLETRANSLATE(B134, ""en"", ""ur"")"),"ایک فیلڈر گلی کو روکتا ہے لیکن 100 ڈنڈا کی لمبائی کے فاصلے پر ہے۔ وہ 'غیر تحریری اصول' کیا ہے جس کی وہ پیروی کر سکتے ہیں؟")</f>
        <v>ایک فیلڈر گلی کو روکتا ہے لیکن 100 ڈنڈا کی لمبائی کے فاصلے پر ہے۔ وہ 'غیر تحریری اصول' کیا ہے جس کی وہ پیروی کر سکتے ہیں؟</v>
      </c>
      <c r="L134" s="5" t="str">
        <f>IFERROR(__xludf.DUMMYFUNCTION("GOOGLETRANSLATE(C134, ""en"", ""ur"")"),"A) پھینکے بغیر اسکور کو تسلیم کریں، B) گلی کو جتنی مشکل سے ممکن ہو پھینکیں، C) ایک تماشائی سے اسے واپس پھینکنے کو کہیں، D) اسے اپنے قریبی ساتھی کو پھینک دیں۔")</f>
        <v>A) پھینکے بغیر اسکور کو تسلیم کریں، B) گلی کو جتنی مشکل سے ممکن ہو پھینکیں، C) ایک تماشائی سے اسے واپس پھینکنے کو کہیں، D) اسے اپنے قریبی ساتھی کو پھینک دیں۔</v>
      </c>
      <c r="M134" s="5" t="str">
        <f>IFERROR(__xludf.DUMMYFUNCTION("GOOGLETRANSLATE(D134, ""en"", ""ur"")"),"A) پھینکے بغیر اسکور کو تسلیم کریں۔")</f>
        <v>A) پھینکے بغیر اسکور کو تسلیم کریں۔</v>
      </c>
      <c r="N134" s="5" t="str">
        <f>IFERROR(__xludf.DUMMYFUNCTION("GOOGLETRANSLATE(E134, ""en"", ""ur"")"),"بہت دور سے، گھر پر ڈنڈا مارنے کا امکان تقریباً صفر ہے، اس لیے فیلڈرز اکثر وقت بچانے کے لیے پیمائش کو تسلیم کرتے ہیں۔")</f>
        <v>بہت دور سے، گھر پر ڈنڈا مارنے کا امکان تقریباً صفر ہے، اس لیے فیلڈرز اکثر وقت بچانے کے لیے پیمائش کو تسلیم کرتے ہیں۔</v>
      </c>
    </row>
    <row r="135">
      <c r="A135" s="3">
        <v>134.0</v>
      </c>
      <c r="B135" s="4" t="s">
        <v>2800</v>
      </c>
      <c r="C135" s="4" t="s">
        <v>2801</v>
      </c>
      <c r="D135" s="4" t="s">
        <v>2802</v>
      </c>
      <c r="E135" s="4" t="s">
        <v>2803</v>
      </c>
      <c r="J135" s="5" t="str">
        <f>IFERROR(__xludf.DUMMYFUNCTION("GOOGLETRANSLATE(A135, ""en"", ""ur"")"),"134")</f>
        <v>134</v>
      </c>
      <c r="K135" s="5" t="str">
        <f>IFERROR(__xludf.DUMMYFUNCTION("GOOGLETRANSLATE(B135, ""en"", ""ur"")"),"ایک 'pittù out' کیا ہے؟")</f>
        <v>ایک 'pittù out' کیا ہے؟</v>
      </c>
      <c r="L135" s="5" t="str">
        <f>IFERROR(__xludf.DUMMYFUNCTION("GOOGLETRANSLATE(C135, ""en"", ""ur"")"),"A) جب گلی کو پکڑا جاتا ہے، B) جب اسٹرائیکر تین بار چھوٹ جاتا ہے، C) جب ایک فیلڈر گلی کو پیچھے پھینکتا ہے اور سٹارٹنگ ہول پر رکھے ہوئے ڈنڈے کو مارتا ہے، D) جب اسٹرائیکر حد سے باہر نکل جاتا ہے۔")</f>
        <v>A) جب گلی کو پکڑا جاتا ہے، B) جب اسٹرائیکر تین بار چھوٹ جاتا ہے، C) جب ایک فیلڈر گلی کو پیچھے پھینکتا ہے اور سٹارٹنگ ہول پر رکھے ہوئے ڈنڈے کو مارتا ہے، D) جب اسٹرائیکر حد سے باہر نکل جاتا ہے۔</v>
      </c>
      <c r="M135" s="5" t="str">
        <f>IFERROR(__xludf.DUMMYFUNCTION("GOOGLETRANSLATE(D135, ""en"", ""ur"")"),"ج) جب ایک فیلڈر گلی کو پیچھے پھینکتا ہے اور شروع ہونے والے سوراخ پر رکھے ڈنڈے کو مارتا ہے۔")</f>
        <v>ج) جب ایک فیلڈر گلی کو پیچھے پھینکتا ہے اور شروع ہونے والے سوراخ پر رکھے ڈنڈے کو مارتا ہے۔</v>
      </c>
      <c r="N135" s="5" t="str">
        <f>IFERROR(__xludf.DUMMYFUNCTION("GOOGLETRANSLATE(E135, ""en"", ""ur"")"),"یہ ""رن آؤٹ"" کے آؤٹ ہونے کا نام ہے، جہاں فیلڈر ""گیند"" (گلی) سے کامیابی سے ""وکٹ"" (ڈنڈا) کو مارتا ہے۔")</f>
        <v>یہ "رن آؤٹ" کے آؤٹ ہونے کا نام ہے، جہاں فیلڈر "گیند" (گلی) سے کامیابی سے "وکٹ" (ڈنڈا) کو مارتا ہے۔</v>
      </c>
    </row>
    <row r="136">
      <c r="A136" s="3">
        <v>135.0</v>
      </c>
      <c r="B136" s="4" t="s">
        <v>2804</v>
      </c>
      <c r="C136" s="4" t="s">
        <v>2805</v>
      </c>
      <c r="D136" s="4" t="s">
        <v>2806</v>
      </c>
      <c r="E136" s="4" t="s">
        <v>2807</v>
      </c>
      <c r="J136" s="5" t="str">
        <f>IFERROR(__xludf.DUMMYFUNCTION("GOOGLETRANSLATE(A136, ""en"", ""ur"")"),"135")</f>
        <v>135</v>
      </c>
      <c r="K136" s="5" t="str">
        <f>IFERROR(__xludf.DUMMYFUNCTION("GOOGLETRANSLATE(B136, ""en"", ""ur"")"),"گلی ڈنڈا کے کھیل کا فیصلہ کرنے کا سب سے عام طریقہ کیا ہے؟")</f>
        <v>گلی ڈنڈا کے کھیل کا فیصلہ کرنے کا سب سے عام طریقہ کیا ہے؟</v>
      </c>
      <c r="L136" s="5" t="str">
        <f>IFERROR(__xludf.DUMMYFUNCTION("GOOGLETRANSLATE(C136, ""en"", ""ur"")"),"A) 100 پوائنٹس تک پہنچنے والا پہلا کھلاڑی جیت جاتا ہے، B) سب سے زیادہ سکور کرنے والا کھلاڑی یا ٹیم ہر ایک کے باری آنے کے بعد جیت جاتی ہے، C) سب سے طویل سنگل ہٹ جیتنے والا کھلاڑی، D) گیم کا کوئی فاتح نہیں ہوتا")</f>
        <v>A) 100 پوائنٹس تک پہنچنے والا پہلا کھلاڑی جیت جاتا ہے، B) سب سے زیادہ سکور کرنے والا کھلاڑی یا ٹیم ہر ایک کے باری آنے کے بعد جیت جاتی ہے، C) سب سے طویل سنگل ہٹ جیتنے والا کھلاڑی، D) گیم کا کوئی فاتح نہیں ہوتا</v>
      </c>
      <c r="M136" s="5" t="str">
        <f>IFERROR(__xludf.DUMMYFUNCTION("GOOGLETRANSLATE(D136, ""en"", ""ur"")"),"ب) ہر ایک کی باری آنے کے بعد سب سے زیادہ سکور والا کھلاڑی یا ٹیم جیت جاتی ہے۔")</f>
        <v>ب) ہر ایک کی باری آنے کے بعد سب سے زیادہ سکور والا کھلاڑی یا ٹیم جیت جاتی ہے۔</v>
      </c>
      <c r="N136" s="5" t="str">
        <f>IFERROR(__xludf.DUMMYFUNCTION("GOOGLETRANSLATE(E136, ""en"", ""ur"")"),"یہ کھیل عام طور پر ""اننگز"" میں کھیلا جاتا ہے، جہاں ہر کھلاڑی کے آؤٹ ہونے تک اسٹرائیک کی باری آتی ہے۔ سب سے زیادہ سکور کرنے والا جیتتا ہے۔")</f>
        <v>یہ کھیل عام طور پر "اننگز" میں کھیلا جاتا ہے، جہاں ہر کھلاڑی کے آؤٹ ہونے تک اسٹرائیک کی باری آتی ہے۔ سب سے زیادہ سکور کرنے والا جیتتا ہے۔</v>
      </c>
    </row>
    <row r="137">
      <c r="A137" s="3">
        <v>136.0</v>
      </c>
      <c r="B137" s="4" t="s">
        <v>2808</v>
      </c>
      <c r="C137" s="4" t="s">
        <v>2690</v>
      </c>
      <c r="D137" s="4" t="s">
        <v>2691</v>
      </c>
      <c r="E137" s="4" t="s">
        <v>2692</v>
      </c>
      <c r="J137" s="5" t="str">
        <f>IFERROR(__xludf.DUMMYFUNCTION("GOOGLETRANSLATE(A137, ""en"", ""ur"")"),"136")</f>
        <v>136</v>
      </c>
      <c r="K137" s="5" t="str">
        <f>IFERROR(__xludf.DUMMYFUNCTION("GOOGLETRANSLATE(B137, ""en"", ""ur"")"),"ایک کھلاڑی اپنی 'جگلنگ' مہارت کے لیے جانا جاتا ہے۔ اس میں کیا شامل ہے؟")</f>
        <v>ایک کھلاڑی اپنی 'جگلنگ' مہارت کے لیے جانا جاتا ہے۔ اس میں کیا شامل ہے؟</v>
      </c>
      <c r="L137" s="5" t="str">
        <f>IFERROR(__xludf.DUMMYFUNCTION("GOOGLETRANSLATE(C137, ""en"", ""ur"")"),"A) ایک سے زیادہ گلیوں کو جگانا، B) فائنل اسٹرائیک سے پہلے گلی کو کئی بار ہوا میں مارنا، C) فیلڈر کو کیچ بنانا، D) ڈنڈا کو جگانا")</f>
        <v>A) ایک سے زیادہ گلیوں کو جگانا، B) فائنل اسٹرائیک سے پہلے گلی کو کئی بار ہوا میں مارنا، C) فیلڈر کو کیچ بنانا، D) ڈنڈا کو جگانا</v>
      </c>
      <c r="M137" s="5" t="str">
        <f>IFERROR(__xludf.DUMMYFUNCTION("GOOGLETRANSLATE(D137, ""en"", ""ur"")"),"ب) آخری اسٹرائیک سے پہلے گلی کو کئی بار ہوا میں مارنا")</f>
        <v>ب) آخری اسٹرائیک سے پہلے گلی کو کئی بار ہوا میں مارنا</v>
      </c>
      <c r="N137" s="5" t="str">
        <f>IFERROR(__xludf.DUMMYFUNCTION("GOOGLETRANSLATE(E137, ""en"", ""ur"")"),"یہ ایک اعلی درجے کی مہارت ہے جہاں ایک کھلاڑی گلی کو ہوا سے چلنے اور اسے بالکل ٹھیک پوزیشن میں رکھنے کے لیے متعدد روشنی کے نلکوں کا استعمال کرتا ہے۔")</f>
        <v>یہ ایک اعلی درجے کی مہارت ہے جہاں ایک کھلاڑی گلی کو ہوا سے چلنے اور اسے بالکل ٹھیک پوزیشن میں رکھنے کے لیے متعدد روشنی کے نلکوں کا استعمال کرتا ہے۔</v>
      </c>
    </row>
    <row r="138">
      <c r="A138" s="3">
        <v>137.0</v>
      </c>
      <c r="B138" s="4" t="s">
        <v>2693</v>
      </c>
      <c r="C138" s="4" t="s">
        <v>2809</v>
      </c>
      <c r="D138" s="4" t="s">
        <v>2695</v>
      </c>
      <c r="E138" s="4" t="s">
        <v>2696</v>
      </c>
      <c r="J138" s="5" t="str">
        <f>IFERROR(__xludf.DUMMYFUNCTION("GOOGLETRANSLATE(A138, ""en"", ""ur"")"),"137")</f>
        <v>137</v>
      </c>
      <c r="K138" s="5" t="str">
        <f>IFERROR(__xludf.DUMMYFUNCTION("GOOGLETRANSLATE(B138, ""en"", ""ur"")"),"تمام فیلڈرز کے لیے اسٹرائیکر کے بہت قریب کھڑا ہونا حکمت عملی کے لحاظ سے خطرناک کیوں ہے؟")</f>
        <v>تمام فیلڈرز کے لیے اسٹرائیکر کے بہت قریب کھڑا ہونا حکمت عملی کے لحاظ سے خطرناک کیوں ہے؟</v>
      </c>
      <c r="L138" s="5" t="str">
        <f>IFERROR(__xludf.DUMMYFUNCTION("GOOGLETRANSLATE(C138, ""en"", ""ur"")"),"A) یہ خطرناک نہیں ہے؛ یہ بہترین دفاعی حکمت عملی ہے، B) ایک طاقتور لمبا ہٹ ان کے تمام سروں پر جائے گا، C) یہ کھیل کے اصولوں کے خلاف ہے، D) یہ فیلڈرز کو دوڑنے سے تھکا دے گا۔")</f>
        <v>A) یہ خطرناک نہیں ہے؛ یہ بہترین دفاعی حکمت عملی ہے، B) ایک طاقتور لمبا ہٹ ان کے تمام سروں پر جائے گا، C) یہ کھیل کے اصولوں کے خلاف ہے، D) یہ فیلڈرز کو دوڑنے سے تھکا دے گا۔</v>
      </c>
      <c r="M138" s="5" t="str">
        <f>IFERROR(__xludf.DUMMYFUNCTION("GOOGLETRANSLATE(D138, ""en"", ""ur"")"),"ب) ایک طاقتور لمبی ہٹ ان کے تمام سروں پر جائے گی۔")</f>
        <v>ب) ایک طاقتور لمبی ہٹ ان کے تمام سروں پر جائے گی۔</v>
      </c>
      <c r="N138" s="5" t="str">
        <f>IFERROR(__xludf.DUMMYFUNCTION("GOOGLETRANSLATE(E138, ""en"", ""ur"")"),"اگرچہ یہ حکمت عملی شارٹ ہٹ پکڑنے کے لیے اچھی ہے، لیکن یہ ایک ہنر مند اسٹرائیکر کے لیے گیلی کو بڑے سکور کے لیے مارنے کے لیے پورا آؤٹ فیلڈ کھلا چھوڑ دیتی ہے۔")</f>
        <v>اگرچہ یہ حکمت عملی شارٹ ہٹ پکڑنے کے لیے اچھی ہے، لیکن یہ ایک ہنر مند اسٹرائیکر کے لیے گیلی کو بڑے سکور کے لیے مارنے کے لیے پورا آؤٹ فیلڈ کھلا چھوڑ دیتی ہے۔</v>
      </c>
    </row>
    <row r="139">
      <c r="A139" s="3">
        <v>138.0</v>
      </c>
      <c r="B139" s="4" t="s">
        <v>2810</v>
      </c>
      <c r="C139" s="4" t="s">
        <v>2811</v>
      </c>
      <c r="D139" s="4" t="s">
        <v>2473</v>
      </c>
      <c r="E139" s="4" t="s">
        <v>2812</v>
      </c>
      <c r="J139" s="5" t="str">
        <f>IFERROR(__xludf.DUMMYFUNCTION("GOOGLETRANSLATE(A139, ""en"", ""ur"")"),"138")</f>
        <v>138</v>
      </c>
      <c r="K139" s="5" t="str">
        <f>IFERROR(__xludf.DUMMYFUNCTION("GOOGLETRANSLATE(B139, ""en"", ""ur"")"),"ایک سٹرائیکر کی ٹکر ایک درخت میں اونچی جگہ پر جا لگی۔ یہ کس طرح اسکور کیا جاتا ہے؟")</f>
        <v>ایک سٹرائیکر کی ٹکر ایک درخت میں اونچی جگہ پر جا لگی۔ یہ کس طرح اسکور کیا جاتا ہے؟</v>
      </c>
      <c r="L139" s="5" t="str">
        <f>IFERROR(__xludf.DUMMYFUNCTION("GOOGLETRANSLATE(C139, ""en"", ""ur"")"),"A) اسٹرائیکر گلی کو کھونے کے لئے باہر ہے، B) باری دوبارہ چلائی جاتی ہے، C) اسکور کو گلی کے نیچے زمین پر پوائنٹ تک ماپا جاتا ہے، D) اسٹرائیکر کو طاقتور ہٹ کے لئے بونس ملتا ہے۔")</f>
        <v>A) اسٹرائیکر گلی کو کھونے کے لئے باہر ہے، B) باری دوبارہ چلائی جاتی ہے، C) اسکور کو گلی کے نیچے زمین پر پوائنٹ تک ماپا جاتا ہے، D) اسٹرائیکر کو طاقتور ہٹ کے لئے بونس ملتا ہے۔</v>
      </c>
      <c r="M139" s="5" t="str">
        <f>IFERROR(__xludf.DUMMYFUNCTION("GOOGLETRANSLATE(D139, ""en"", ""ur"")"),"سی) اسکور کو گلی کے نیچے زمین پر پوائنٹ تک ناپا جاتا ہے۔")</f>
        <v>سی) اسکور کو گلی کے نیچے زمین پر پوائنٹ تک ناپا جاتا ہے۔</v>
      </c>
      <c r="N139" s="5" t="str">
        <f>IFERROR(__xludf.DUMMYFUNCTION("GOOGLETRANSLATE(E139, ""en"", ""ur"")"),"گلی کے پھنس جانے سے نمٹنے کے لیے یہ عام غیر رسمی اصول ہے۔ افقی فاصلہ وہی ہے جو ماپا جاتا ہے۔")</f>
        <v>گلی کے پھنس جانے سے نمٹنے کے لیے یہ عام غیر رسمی اصول ہے۔ افقی فاصلہ وہی ہے جو ماپا جاتا ہے۔</v>
      </c>
    </row>
    <row r="140">
      <c r="A140" s="3">
        <v>139.0</v>
      </c>
      <c r="B140" s="4" t="s">
        <v>2475</v>
      </c>
      <c r="C140" s="4" t="s">
        <v>2813</v>
      </c>
      <c r="D140" s="4" t="s">
        <v>2477</v>
      </c>
      <c r="E140" s="4" t="s">
        <v>2814</v>
      </c>
      <c r="J140" s="5" t="str">
        <f>IFERROR(__xludf.DUMMYFUNCTION("GOOGLETRANSLATE(A140, ""en"", ""ur"")"),"139")</f>
        <v>139</v>
      </c>
      <c r="K140" s="5" t="str">
        <f>IFERROR(__xludf.DUMMYFUNCTION("GOOGLETRANSLATE(B140, ""en"", ""ur"")"),"اسٹرائیکر کے قریب ہائی رسک پوزیشن پر کھڑے فیلڈر کے لیے سب سے اہم معیار کیا ہے؟")</f>
        <v>اسٹرائیکر کے قریب ہائی رسک پوزیشن پر کھڑے فیلڈر کے لیے سب سے اہم معیار کیا ہے؟</v>
      </c>
      <c r="L140" s="5" t="str">
        <f>IFERROR(__xludf.DUMMYFUNCTION("GOOGLETRANSLATE(C140, ""en"", ""ur"")"),"A) ایک مضبوط پھینکنے والا بازو، B) تیز دوڑنے کی رفتار، C) بہترین اضطراب اور ہمت، D) اچھی بات چیت کی مہارت")</f>
        <v>A) ایک مضبوط پھینکنے والا بازو، B) تیز دوڑنے کی رفتار، C) بہترین اضطراب اور ہمت، D) اچھی بات چیت کی مہارت</v>
      </c>
      <c r="M140" s="5" t="str">
        <f>IFERROR(__xludf.DUMMYFUNCTION("GOOGLETRANSLATE(D140, ""en"", ""ur"")"),"ج) بہترین اضطراب اور ہمت")</f>
        <v>ج) بہترین اضطراب اور ہمت</v>
      </c>
      <c r="N140" s="5" t="str">
        <f>IFERROR(__xludf.DUMMYFUNCTION("GOOGLETRANSLATE(E140, ""en"", ""ur"")"),"""سلی پوائنٹ"" فیلڈر کو قلیل رینج سے تیز رفتاری سے گیلی ہٹ کو پکڑنے کے لیے قریب کھڑے ہونے کے لیے اور بجلی کی تیز رفتار اضطراری صلاحیتوں کی ضرورت ہوتی ہے۔")</f>
        <v>"سلی پوائنٹ" فیلڈر کو قلیل رینج سے تیز رفتاری سے گیلی ہٹ کو پکڑنے کے لیے قریب کھڑے ہونے کے لیے اور بجلی کی تیز رفتار اضطراری صلاحیتوں کی ضرورت ہوتی ہے۔</v>
      </c>
    </row>
    <row r="141">
      <c r="A141" s="3">
        <v>140.0</v>
      </c>
      <c r="B141" s="4" t="s">
        <v>2815</v>
      </c>
      <c r="C141" s="4" t="s">
        <v>2816</v>
      </c>
      <c r="D141" s="4" t="s">
        <v>2817</v>
      </c>
      <c r="E141" s="4" t="s">
        <v>2818</v>
      </c>
      <c r="J141" s="5" t="str">
        <f>IFERROR(__xludf.DUMMYFUNCTION("GOOGLETRANSLATE(A141, ""en"", ""ur"")"),"140")</f>
        <v>140</v>
      </c>
      <c r="K141" s="5" t="str">
        <f>IFERROR(__xludf.DUMMYFUNCTION("GOOGLETRANSLATE(B141, ""en"", ""ur"")"),"ایک فیلڈر گلی کو اپنی ٹوپی میں پکڑتا ہے۔ کیا یہ قانونی پکڑ ہے؟")</f>
        <v>ایک فیلڈر گلی کو اپنی ٹوپی میں پکڑتا ہے۔ کیا یہ قانونی پکڑ ہے؟</v>
      </c>
      <c r="L141" s="5" t="str">
        <f>IFERROR(__xludf.DUMMYFUNCTION("GOOGLETRANSLATE(C141, ""en"", ""ur"")"),"A) جی ہاں، جب تک یہ زمین کو نہ چھوئے، B) نہیں، کیچ ہاتھوں سے لیا جانا چاہیے، C) یہ فیصلہ اسٹرائیکر پر منحصر ہے، D) باری دوبارہ چلائی جاتی ہے۔")</f>
        <v>A) جی ہاں، جب تک یہ زمین کو نہ چھوئے، B) نہیں، کیچ ہاتھوں سے لیا جانا چاہیے، C) یہ فیصلہ اسٹرائیکر پر منحصر ہے، D) باری دوبارہ چلائی جاتی ہے۔</v>
      </c>
      <c r="M141" s="5" t="str">
        <f>IFERROR(__xludf.DUMMYFUNCTION("GOOGLETRANSLATE(D141, ""en"", ""ur"")"),"ب) نہیں، کیچ کو ہاتھوں سے بنایا جانا چاہیے۔")</f>
        <v>ب) نہیں، کیچ کو ہاتھوں سے بنایا جانا چاہیے۔</v>
      </c>
      <c r="N141" s="5" t="str">
        <f>IFERROR(__xludf.DUMMYFUNCTION("GOOGLETRANSLATE(E141, ""en"", ""ur"")"),"روایتی اصولوں میں، کیچ صرف اس صورت میں درست ہے جب ننگے ہاتھوں سے بنایا جائے۔ کیچ میں مدد کے لیے ٹوپی یا قمیض جیسے کپڑے استعمال کرنے کی اجازت نہیں ہے۔")</f>
        <v>روایتی اصولوں میں، کیچ صرف اس صورت میں درست ہے جب ننگے ہاتھوں سے بنایا جائے۔ کیچ میں مدد کے لیے ٹوپی یا قمیض جیسے کپڑے استعمال کرنے کی اجازت نہیں ہے۔</v>
      </c>
    </row>
    <row r="142">
      <c r="A142" s="3">
        <v>141.0</v>
      </c>
      <c r="B142" s="4" t="s">
        <v>2819</v>
      </c>
      <c r="C142" s="4" t="s">
        <v>2746</v>
      </c>
      <c r="D142" s="4" t="s">
        <v>2747</v>
      </c>
      <c r="E142" s="4" t="s">
        <v>2748</v>
      </c>
      <c r="J142" s="5" t="str">
        <f>IFERROR(__xludf.DUMMYFUNCTION("GOOGLETRANSLATE(A142, ""en"", ""ur"")"),"141")</f>
        <v>141</v>
      </c>
      <c r="K142" s="5" t="str">
        <f>IFERROR(__xludf.DUMMYFUNCTION("GOOGLETRANSLATE(B142, ""en"", ""ur"")"),"اسٹرائیکر کے لئے ""تین کوشش"" کے اصول کی بنیادی وجہ کیا ہے؟")</f>
        <v>اسٹرائیکر کے لئے "تین کوشش" کے اصول کی بنیادی وجہ کیا ہے؟</v>
      </c>
      <c r="L142" s="5" t="str">
        <f>IFERROR(__xludf.DUMMYFUNCTION("GOOGLETRANSLATE(C142, ""en"", ""ur"")"),"A)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f>
        <v>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v>
      </c>
      <c r="M142" s="5" t="str">
        <f>IFERROR(__xludf.DUMMYFUNCTION("GOOGLETRANSLATE(D142, ""en"", ""ur"")"),"ب) اسٹرائیکر کو کھیل کو غیر معینہ مدت تک موخر کرنے سے روکتے ہوئے انہیں مناسب موقع فراہم کرنا")</f>
        <v>ب) اسٹرائیکر کو کھیل کو غیر معینہ مدت تک موخر کرنے سے روکتے ہوئے انہیں مناسب موقع فراہم کرنا</v>
      </c>
      <c r="N142" s="5" t="str">
        <f>IFERROR(__xludf.DUMMYFUNCTION("GOOGLETRANSLATE(E142, ""en"", ""ur"")"),"تین مواقع کی حد اسٹرائیکر کے ساتھ انصاف پسندی (جو شاید پہلی فلک سے محروم ہو جائے) اور فیلڈنگ ٹیم کے لیے کھیل کو جاری رکھنے کے درمیان توازن ہے۔")</f>
        <v>تین مواقع کی حد اسٹرائیکر کے ساتھ انصاف پسندی (جو شاید پہلی فلک سے محروم ہو جائے) اور فیلڈنگ ٹیم کے لیے کھیل کو جاری رکھنے کے درمیان توازن ہے۔</v>
      </c>
    </row>
    <row r="143">
      <c r="A143" s="3">
        <v>142.0</v>
      </c>
      <c r="B143" s="4" t="s">
        <v>2722</v>
      </c>
      <c r="C143" s="4" t="s">
        <v>2658</v>
      </c>
      <c r="D143" s="4" t="s">
        <v>2659</v>
      </c>
      <c r="E143" s="4" t="s">
        <v>2660</v>
      </c>
      <c r="J143" s="5" t="str">
        <f>IFERROR(__xludf.DUMMYFUNCTION("GOOGLETRANSLATE(A143, ""en"", ""ur"")"),"142")</f>
        <v>142</v>
      </c>
      <c r="K143" s="5" t="str">
        <f>IFERROR(__xludf.DUMMYFUNCTION("GOOGLETRANSLATE(B143, ""en"", ""ur"")"),"'ٹُلا' ہٹ کیا ہے؟")</f>
        <v>'ٹُلا' ہٹ کیا ہے؟</v>
      </c>
      <c r="L143" s="5" t="str">
        <f>IFERROR(__xludf.DUMMYFUNCTION("GOOGLETRANSLATE(C143, ""en"", ""ur"")"),"A) ایک بہت اونچی، لوپنگ ہٹ، B) ایک بہت ہی مختصر ہٹ، C) ایک طاقتور، چپٹی اور تیز ہٹ، D) ایک ہٹ جو پیچھے کی طرف جاتی ہے۔")</f>
        <v>A) ایک بہت اونچی، لوپنگ ہٹ، B) ایک بہت ہی مختصر ہٹ، C) ایک طاقتور، چپٹی اور تیز ہٹ، D) ایک ہٹ جو پیچھے کی طرف جاتی ہے۔</v>
      </c>
      <c r="M143" s="5" t="str">
        <f>IFERROR(__xludf.DUMMYFUNCTION("GOOGLETRANSLATE(D143, ""en"", ""ur"")"),"ج) ایک طاقتور، فلیٹ، اور تیز ہٹ")</f>
        <v>ج) ایک طاقتور، فلیٹ، اور تیز ہٹ</v>
      </c>
      <c r="N143" s="5" t="str">
        <f>IFERROR(__xludf.DUMMYFUNCTION("GOOGLETRANSLATE(E143, ""en"", ""ur"")"),"'ٹُلا' ایک کامل، طاقتور اسٹرائیک کے لیے ایک اصطلاح ہے جو کم رفتار کے ساتھ لمبا فاصلہ طے کرتی ہے، جس سے اسے پکڑنا بہت مشکل ہو جاتا ہے۔")</f>
        <v>'ٹُلا' ایک کامل، طاقتور اسٹرائیک کے لیے ایک اصطلاح ہے جو کم رفتار کے ساتھ لمبا فاصلہ طے کرتی ہے، جس سے اسے پکڑنا بہت مشکل ہو جاتا ہے۔</v>
      </c>
    </row>
    <row r="144">
      <c r="A144" s="3">
        <v>143.0</v>
      </c>
      <c r="B144" s="4" t="s">
        <v>2415</v>
      </c>
      <c r="C144" s="4" t="s">
        <v>2416</v>
      </c>
      <c r="D144" s="4" t="s">
        <v>2417</v>
      </c>
      <c r="E144" s="4" t="s">
        <v>2418</v>
      </c>
      <c r="J144" s="5" t="str">
        <f>IFERROR(__xludf.DUMMYFUNCTION("GOOGLETRANSLATE(A144, ""en"", ""ur"")"),"143")</f>
        <v>143</v>
      </c>
      <c r="K144" s="5" t="str">
        <f>IFERROR(__xludf.DUMMYFUNCTION("GOOGLETRANSLATE(B144, ""en"", ""ur"")"),"اسکورنگ کے تناظر میں 'ڈنڈا' کیا ہے؟")</f>
        <v>اسکورنگ کے تناظر میں 'ڈنڈا' کیا ہے؟</v>
      </c>
      <c r="L144" s="5" t="str">
        <f>IFERROR(__xludf.DUMMYFUNCTION("GOOGLETRANSLATE(C144, ""en"", ""ur"")"),"الف")</f>
        <v>الف</v>
      </c>
      <c r="M144" s="5" t="str">
        <f>IFERROR(__xludf.DUMMYFUNCTION("GOOGLETRANSLATE(D144, ""en"", ""ur"")"),"ب) پیمائش کی اکائی، بڑی چھڑی کی لمبائی کے برابر")</f>
        <v>ب) پیمائش کی اکائی، بڑی چھڑی کی لمبائی کے برابر</v>
      </c>
      <c r="N144" s="5" t="str">
        <f>IFERROR(__xludf.DUMMYFUNCTION("GOOGLETRANSLATE(E144, ""en"", ""ur"")"),"اسکور کو 'ڈنڈاس' میں شمار کیا جاتا ہے، مثال کے طور پر، ""یہ 50 ڈنڈوں کا ہٹ تھا۔""")</f>
        <v>اسکور کو 'ڈنڈاس' میں شمار کیا جاتا ہے، مثال کے طور پر، "یہ 50 ڈنڈوں کا ہٹ تھا۔"</v>
      </c>
    </row>
    <row r="145">
      <c r="A145" s="3">
        <v>144.0</v>
      </c>
      <c r="B145" s="4" t="s">
        <v>2820</v>
      </c>
      <c r="C145" s="4" t="s">
        <v>2821</v>
      </c>
      <c r="D145" s="4" t="s">
        <v>2822</v>
      </c>
      <c r="E145" s="4" t="s">
        <v>2823</v>
      </c>
      <c r="J145" s="5" t="str">
        <f>IFERROR(__xludf.DUMMYFUNCTION("GOOGLETRANSLATE(A145, ""en"", ""ur"")"),"144")</f>
        <v>144</v>
      </c>
      <c r="K145" s="5" t="str">
        <f>IFERROR(__xludf.DUMMYFUNCTION("GOOGLETRANSLATE(B145, ""en"", ""ur"")"),"ایک فیلڈر ٹیم کے ساتھی کی طرف سے مشغول ہو جاتا ہے اور ایک سادہ کیچ سے محروم ہو جاتا ہے۔ قصور کس کا ہے؟")</f>
        <v>ایک فیلڈر ٹیم کے ساتھی کی طرف سے مشغول ہو جاتا ہے اور ایک سادہ کیچ سے محروم ہو جاتا ہے۔ قصور کس کا ہے؟</v>
      </c>
      <c r="L145" s="5" t="str">
        <f>IFERROR(__xludf.DUMMYFUNCTION("GOOGLETRANSLATE(C145, ""en"", ""ur"")"),"A) اسٹرائیکرز، B) فیلڈر جو مشغول تھا، C) ٹیم کا ساتھی جس نے خلفشار پیدا کیا، D) یہ کوئی غلطی کا واقعہ نہیں ہے۔")</f>
        <v>A) اسٹرائیکرز، B) فیلڈر جو مشغول تھا، C) ٹیم کا ساتھی جس نے خلفشار پیدا کیا، D) یہ کوئی غلطی کا واقعہ نہیں ہے۔</v>
      </c>
      <c r="M145" s="5" t="str">
        <f>IFERROR(__xludf.DUMMYFUNCTION("GOOGLETRANSLATE(D145, ""en"", ""ur"")"),"ب) وہ فیلڈر جو مشغول تھا۔")</f>
        <v>ب) وہ فیلڈر جو مشغول تھا۔</v>
      </c>
      <c r="N145" s="5" t="str">
        <f>IFERROR(__xludf.DUMMYFUNCTION("GOOGLETRANSLATE(E145, ""en"", ""ur"")"),"فیلڈنگ میں، ہر کھلاڑی اپنی توجہ کو برقرار رکھنے کا ذمہ دار ہے۔ اسٹرائیکر ناٹ آؤٹ ہے۔")</f>
        <v>فیلڈنگ میں، ہر کھلاڑی اپنی توجہ کو برقرار رکھنے کا ذمہ دار ہے۔ اسٹرائیکر ناٹ آؤٹ ہے۔</v>
      </c>
    </row>
    <row r="146">
      <c r="A146" s="3">
        <v>145.0</v>
      </c>
      <c r="B146" s="4" t="s">
        <v>2487</v>
      </c>
      <c r="C146" s="4" t="s">
        <v>2488</v>
      </c>
      <c r="D146" s="4" t="s">
        <v>2489</v>
      </c>
      <c r="E146" s="4" t="s">
        <v>2824</v>
      </c>
      <c r="J146" s="5" t="str">
        <f>IFERROR(__xludf.DUMMYFUNCTION("GOOGLETRANSLATE(A146, ""en"", ""ur"")"),"145")</f>
        <v>145</v>
      </c>
      <c r="K146" s="5" t="str">
        <f>IFERROR(__xludf.DUMMYFUNCTION("GOOGLETRANSLATE(B146, ""en"", ""ur"")"),"ایک کھلاڑی کو ""ڈنڈا ماہر"" کہا جاتا ہے۔ اس کا کیا مطلب ہے؟")</f>
        <v>ایک کھلاڑی کو "ڈنڈا ماہر" کہا جاتا ہے۔ اس کا کیا مطلب ہے؟</v>
      </c>
      <c r="L146" s="5" t="str">
        <f>IFERROR(__xludf.DUMMYFUNCTION("GOOGLETRANSLATE(C146, ""en"", ""ur"")"),"A)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f>
        <v>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v>
      </c>
      <c r="M146" s="5" t="str">
        <f>IFERROR(__xludf.DUMMYFUNCTION("GOOGLETRANSLATE(D146, ""en"", ""ur"")"),"ب) وہ ایک غیر معمولی طاقتور اور درست اسٹرائیکر ہیں۔")</f>
        <v>ب) وہ ایک غیر معمولی طاقتور اور درست اسٹرائیکر ہیں۔</v>
      </c>
      <c r="N146" s="5" t="str">
        <f>IFERROR(__xludf.DUMMYFUNCTION("GOOGLETRANSLATE(E146, ""en"", ""ur"")"),"یہ ایک ایسے کھلاڑی کے لیے احترام کی اصطلاح ہے جس نے گلی کو زیادہ سے زیادہ فاصلے تک مارنے کے فن میں مہارت حاصل کی ہو۔")</f>
        <v>یہ ایک ایسے کھلاڑی کے لیے احترام کی اصطلاح ہے جس نے گلی کو زیادہ سے زیادہ فاصلے تک مارنے کے فن میں مہارت حاصل کی ہو۔</v>
      </c>
    </row>
    <row r="147">
      <c r="A147" s="3">
        <v>146.0</v>
      </c>
      <c r="B147" s="4" t="s">
        <v>2491</v>
      </c>
      <c r="C147" s="4" t="s">
        <v>2825</v>
      </c>
      <c r="D147" s="4" t="s">
        <v>2826</v>
      </c>
      <c r="E147" s="4" t="s">
        <v>2827</v>
      </c>
      <c r="J147" s="5" t="str">
        <f>IFERROR(__xludf.DUMMYFUNCTION("GOOGLETRANSLATE(A147, ""en"", ""ur"")"),"146")</f>
        <v>146</v>
      </c>
      <c r="K147" s="5" t="str">
        <f>IFERROR(__xludf.DUMMYFUNCTION("GOOGLETRANSLATE(B147, ""en"", ""ur"")"),"اگر کوئی کھیل برابر ہوجاتا ہے، تو عام طور پر زیادہ منظم میچ میں فاتح کا فیصلہ کیسے ہوتا ہے؟")</f>
        <v>اگر کوئی کھیل برابر ہوجاتا ہے، تو عام طور پر زیادہ منظم میچ میں فاتح کا فیصلہ کیسے ہوتا ہے؟</v>
      </c>
      <c r="L147" s="5" t="str">
        <f>IFERROR(__xludf.DUMMYFUNCTION("GOOGLETRANSLATE(C147, ""en"", ""ur"")"),"A) سکے کا ٹاس، B) سب سے طویل سنگل ہٹ جیتنے والی ٹیم، C) ایک ""سپر اوور"" یا اضافی راؤنڈ کھیلا جاتا ہے، D) میچ ڈرا قرار دیا جاتا ہے۔")</f>
        <v>A) سکے کا ٹاس، B) سب سے طویل سنگل ہٹ جیتنے والی ٹیم، C) ایک "سپر اوور" یا اضافی راؤنڈ کھیلا جاتا ہے، D) میچ ڈرا قرار دیا جاتا ہے۔</v>
      </c>
      <c r="M147" s="5" t="str">
        <f>IFERROR(__xludf.DUMMYFUNCTION("GOOGLETRANSLATE(D147, ""en"", ""ur"")"),"ج) ایک ""سپر اوور"" یا ایکسٹرا راؤنڈ کھیلا جاتا ہے۔")</f>
        <v>ج) ایک "سپر اوور" یا ایکسٹرا راؤنڈ کھیلا جاتا ہے۔</v>
      </c>
      <c r="N147" s="5" t="str">
        <f>IFERROR(__xludf.DUMMYFUNCTION("GOOGLETRANSLATE(E147, ""en"", ""ur"")"),"ٹائی کو توڑنے کے لیے، ایک فائنل راؤنڈ اکثر کھیلا جاتا ہے جہاں ہر ٹیم کو فاتح کا تعین کرنے کے لیے اسٹرائیکس کی ایک مقررہ تعداد ملتی ہے۔")</f>
        <v>ٹائی کو توڑنے کے لیے، ایک فائنل راؤنڈ اکثر کھیلا جاتا ہے جہاں ہر ٹیم کو فاتح کا تعین کرنے کے لیے اسٹرائیکس کی ایک مقررہ تعداد ملتی ہے۔</v>
      </c>
    </row>
    <row r="148">
      <c r="A148" s="3">
        <v>147.0</v>
      </c>
      <c r="B148" s="4" t="s">
        <v>2495</v>
      </c>
      <c r="C148" s="4" t="s">
        <v>2496</v>
      </c>
      <c r="D148" s="4" t="s">
        <v>2497</v>
      </c>
      <c r="E148" s="4" t="s">
        <v>2498</v>
      </c>
      <c r="J148" s="5" t="str">
        <f>IFERROR(__xludf.DUMMYFUNCTION("GOOGLETRANSLATE(A148, ""en"", ""ur"")"),"147")</f>
        <v>147</v>
      </c>
      <c r="K148" s="5" t="str">
        <f>IFERROR(__xludf.DUMMYFUNCTION("GOOGLETRANSLATE(B148, ""en"", ""ur"")"),"اس کے جوہر میں، گلی ڈنڈا کی روح کیا ہے؟")</f>
        <v>اس کے جوہر میں، گلی ڈنڈا کی روح کیا ہے؟</v>
      </c>
      <c r="L148" s="5" t="str">
        <f>IFERROR(__xludf.DUMMYFUNCTION("GOOGLETRANSLATE(C148, ""en"", ""ur"")"),"A)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f>
        <v>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v>
      </c>
      <c r="M148" s="5" t="str">
        <f>IFERROR(__xludf.DUMMYFUNCTION("GOOGLETRANSLATE(D148, ""en"", ""ur"")"),"ب) ایک سادہ، خوشگوار، اور غیر رسمی کھیل جو کمیونٹی اور مہارت کو فروغ دیتا ہے۔")</f>
        <v>ب) ایک سادہ، خوشگوار، اور غیر رسمی کھیل جو کمیونٹی اور مہارت کو فروغ دیتا ہے۔</v>
      </c>
      <c r="N148" s="5" t="str">
        <f>IFERROR(__xludf.DUMMYFUNCTION("GOOGLETRANSLATE(E148, ""en"", ""ur"")"),"گلی ڈنڈا کو اس کی سادگی، اس کی رسائی، اور کھلاڑیوں کے درمیان سماجی روابط کی وجہ سے پسند کیا جاتا ہے۔")</f>
        <v>گلی ڈنڈا کو اس کی سادگی، اس کی رسائی، اور کھلاڑیوں کے درمیان سماجی روابط کی وجہ سے پسند کیا جاتا ہے۔</v>
      </c>
    </row>
    <row r="149">
      <c r="A149" s="3">
        <v>148.0</v>
      </c>
      <c r="B149" s="4" t="s">
        <v>2753</v>
      </c>
      <c r="C149" s="4" t="s">
        <v>2828</v>
      </c>
      <c r="D149" s="4" t="s">
        <v>2755</v>
      </c>
      <c r="E149" s="4" t="s">
        <v>2829</v>
      </c>
      <c r="J149" s="5" t="str">
        <f>IFERROR(__xludf.DUMMYFUNCTION("GOOGLETRANSLATE(A149, ""en"", ""ur"")"),"148")</f>
        <v>148</v>
      </c>
      <c r="K149" s="5" t="str">
        <f>IFERROR(__xludf.DUMMYFUNCTION("GOOGLETRANSLATE(B149,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L149" s="5" t="str">
        <f>IFERROR(__xludf.DUMMYFUNCTION("GOOGLETRANSLATE(C149, ""en"", ""ur"")"),"A)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f>
        <v>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v>
      </c>
      <c r="M149" s="5" t="str">
        <f>IFERROR(__xludf.DUMMYFUNCTION("GOOGLETRANSLATE(D149, ""en"", ""ur"")"),"ج) گیم کھیلنے کے لیے درکار محفوظ، کھلی جگہوں کی کمی")</f>
        <v>ج) گیم کھیلنے کے لیے درکار محفوظ، کھلی جگہوں کی کمی</v>
      </c>
      <c r="N149" s="5" t="str">
        <f>IFERROR(__xludf.DUMMYFUNCTION("GOOGLETRANSLATE(E149, ""en"", ""ur"")"),"شہری کاری نے گلی ڈنڈا کو محفوظ طریقے سے کھیلنے کے لیے درکار کھلے میدانوں اور میدانوں کی تعداد میں کافی حد تک کمی کر دی ہے۔")</f>
        <v>شہری کاری نے گلی ڈنڈا کو محفوظ طریقے سے کھیلنے کے لیے درکار کھلے میدانوں اور میدانوں کی تعداد میں کافی حد تک کمی کر دی ہے۔</v>
      </c>
    </row>
    <row r="150">
      <c r="A150" s="3">
        <v>149.0</v>
      </c>
      <c r="B150" s="4" t="s">
        <v>2830</v>
      </c>
      <c r="C150" s="4" t="s">
        <v>2831</v>
      </c>
      <c r="D150" s="4" t="s">
        <v>2832</v>
      </c>
      <c r="E150" s="4" t="s">
        <v>2833</v>
      </c>
      <c r="J150" s="5" t="str">
        <f>IFERROR(__xludf.DUMMYFUNCTION("GOOGLETRANSLATE(A150, ""en"", ""ur"")"),"149")</f>
        <v>149</v>
      </c>
      <c r="K150" s="5" t="str">
        <f>IFERROR(__xludf.DUMMYFUNCTION("GOOGLETRANSLATE(B150, ""en"", ""ur"")"),"دیہی دیہات میں گلی ڈنڈا کیسے کھیلا جاتا ہے؟")</f>
        <v>دیہی دیہات میں گلی ڈنڈا کیسے کھیلا جاتا ہے؟</v>
      </c>
      <c r="L150" s="5" t="str">
        <f>IFERROR(__xludf.DUMMYFUNCTION("GOOGLETRANSLATE(C150, ""en"", ""ur"")"),"A) رسمی قواعد اور امپائرز کے ساتھ، B) غیر رسمی طور پر کھلے میدانوں میں بات چیت کے اصولوں کے ساتھ، C) صرف تہواروں کے دوران، D) ایک پیشہ ور لیگ کے طور پر")</f>
        <v>A) رسمی قواعد اور امپائرز کے ساتھ، B) غیر رسمی طور پر کھلے میدانوں میں بات چیت کے اصولوں کے ساتھ، C) صرف تہواروں کے دوران، D) ایک پیشہ ور لیگ کے طور پر</v>
      </c>
      <c r="M150" s="5" t="str">
        <f>IFERROR(__xludf.DUMMYFUNCTION("GOOGLETRANSLATE(D150, ""en"", ""ur"")"),"ب) غیر رسمی طور پر کھلے میدانوں میں بات چیت کے اصولوں کے ساتھ")</f>
        <v>ب) غیر رسمی طور پر کھلے میدانوں میں بات چیت کے اصولوں کے ساتھ</v>
      </c>
      <c r="N150" s="5" t="str">
        <f>IFERROR(__xludf.DUMMYFUNCTION("GOOGLETRANSLATE(E150, ""en"", ""ur"")"),"یہ کھیل ایک کلاسک لوک کھیل ہے، جس کے قواعد اکثر ایک گاؤں سے دوسرے گاؤں میں مختلف ہوتے ہیں اور کھیلنے سے پہلے ان پر اتفاق کیا جاتا ہے۔")</f>
        <v>یہ کھیل ایک کلاسک لوک کھیل ہے، جس کے قواعد اکثر ایک گاؤں سے دوسرے گاؤں میں مختلف ہوتے ہیں اور کھیلنے سے پہلے ان پر اتفاق کیا جاتا ہے۔</v>
      </c>
    </row>
    <row r="151">
      <c r="A151" s="3">
        <v>150.0</v>
      </c>
      <c r="B151" s="4" t="s">
        <v>2834</v>
      </c>
      <c r="C151" s="4" t="s">
        <v>2835</v>
      </c>
      <c r="D151" s="4" t="s">
        <v>2836</v>
      </c>
      <c r="E151" s="4" t="s">
        <v>2837</v>
      </c>
      <c r="J151" s="5" t="str">
        <f>IFERROR(__xludf.DUMMYFUNCTION("GOOGLETRANSLATE(A151, ""en"", ""ur"")"),"150")</f>
        <v>150</v>
      </c>
      <c r="K151" s="5" t="str">
        <f>IFERROR(__xludf.DUMMYFUNCTION("GOOGLETRANSLATE(B151, ""en"", ""ur"")"),"کونسی تاریخی دستاویز میں گلی ڈنڈا کی طرح چھڑی اور کھونٹی کے کھیل کا حوالہ ملتا ہے؟")</f>
        <v>کونسی تاریخی دستاویز میں گلی ڈنڈا کی طرح چھڑی اور کھونٹی کے کھیل کا حوالہ ملتا ہے؟</v>
      </c>
      <c r="L151" s="5" t="str">
        <f>IFERROR(__xludf.DUMMYFUNCTION("GOOGLETRANSLATE(C151, ""en"", ""ur"")"),"A) میگنا کارٹا، B) ہمورابی کا ضابطہ، C) مغل بادشاہ بابر کی یادداشتیں، D) دی مصری بک آف دی ڈیڈ")</f>
        <v>A) میگنا کارٹا، B) ہمورابی کا ضابطہ، C) مغل بادشاہ بابر کی یادداشتیں، D) دی مصری بک آف دی ڈیڈ</v>
      </c>
      <c r="M151" s="5" t="str">
        <f>IFERROR(__xludf.DUMMYFUNCTION("GOOGLETRANSLATE(D151, ""en"", ""ur"")"),"ج) مغل بادشاہ بابر کی یادداشتیں")</f>
        <v>ج) مغل بادشاہ بابر کی یادداشتیں</v>
      </c>
      <c r="N151" s="5" t="str">
        <f>IFERROR(__xludf.DUMMYFUNCTION("GOOGLETRANSLATE(E151, ""en"", ""ur"")"),"بابرنامہ میں برصغیر میں روزمرہ کی زندگی اور تفریحات کی تفصیل شامل ہے، جس میں مختلف لوک کھیلوں کے حوالے بھی شامل ہیں۔")</f>
        <v>بابرنامہ میں برصغیر میں روزمرہ کی زندگی اور تفریحات کی تفصیل شامل ہے، جس میں مختلف لوک کھیلوں کے حوالے بھی شامل ہیں۔</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2" max="15" width="37.63"/>
  </cols>
  <sheetData>
    <row r="1">
      <c r="A1" s="6" t="s">
        <v>605</v>
      </c>
      <c r="B1" s="1" t="s">
        <v>1</v>
      </c>
      <c r="C1" s="1" t="s">
        <v>2</v>
      </c>
      <c r="D1" s="1" t="s">
        <v>3</v>
      </c>
      <c r="E1" s="1" t="s">
        <v>4</v>
      </c>
      <c r="K1" s="2" t="s">
        <v>606</v>
      </c>
      <c r="L1" s="2" t="s">
        <v>6</v>
      </c>
      <c r="M1" s="2" t="s">
        <v>7</v>
      </c>
      <c r="N1" s="2" t="s">
        <v>8</v>
      </c>
      <c r="O1" s="2" t="s">
        <v>9</v>
      </c>
    </row>
    <row r="2">
      <c r="A2" s="3">
        <v>1.0</v>
      </c>
      <c r="B2" s="4" t="s">
        <v>2838</v>
      </c>
      <c r="C2" s="4" t="s">
        <v>2839</v>
      </c>
      <c r="D2" s="4" t="s">
        <v>2840</v>
      </c>
      <c r="E2" s="4" t="s">
        <v>2841</v>
      </c>
      <c r="K2" s="5" t="str">
        <f>IFERROR(__xludf.DUMMYFUNCTION("GOOGLETRANSLATE(A2, ""en"", ""ur"")"),"1")</f>
        <v>1</v>
      </c>
      <c r="L2" s="5" t="str">
        <f>IFERROR(__xludf.DUMMYFUNCTION("GOOGLETRANSLATE(B2, ""en"", ""ur"")"),"ٹینٹ پیگنگ کے گھڑ سوار کھیل کی تاریخی اصلیت کیا ہے؟")</f>
        <v>ٹینٹ پیگنگ کے گھڑ سوار کھیل کی تاریخی اصلیت کیا ہے؟</v>
      </c>
      <c r="M2" s="5" t="str">
        <f>IFERROR(__xludf.DUMMYFUNCTION("GOOGLETRANSLATE(C2, ""en"", ""ur"")"),"A) شکار کی مشق، B) شرافت کے لیے تفریحی کھیل، C) دشمن کے کیمپوں پر چھاپہ مارنے کے لیے کیولری کی تربیتی مشق، D) ایک مذہبی رسم")</f>
        <v>A) شکار کی مشق، B) شرافت کے لیے تفریحی کھیل، C) دشمن کے کیمپوں پر چھاپہ مارنے کے لیے کیولری کی تربیتی مشق، D) ایک مذہبی رسم</v>
      </c>
      <c r="N2" s="5" t="str">
        <f>IFERROR(__xludf.DUMMYFUNCTION("GOOGLETRANSLATE(D2, ""en"", ""ur"")"),"ج) دشمن کے کیمپوں پر چھاپہ مارنے کے لیے گھڑسواروں کی تربیتی مشق")</f>
        <v>ج) دشمن کے کیمپوں پر چھاپہ مارنے کے لیے گھڑسواروں کی تربیتی مشق</v>
      </c>
      <c r="O2" s="5" t="str">
        <f>IFERROR(__xludf.DUMMYFUNCTION("GOOGLETRANSLATE(E2, ""en"", ""ur"")"),"ٹینٹ پیگنگ ایک فوجی مشق کے طور پر شروع ہوئی تھی جہاں گھڑ سوار صبح کے وقت چارج کرتے تھے، دشمن کے خیموں کے کھونٹے کو انتشار پھیلانے کے لیے اپنی نیزوں کا استعمال کرتے تھے۔")</f>
        <v>ٹینٹ پیگنگ ایک فوجی مشق کے طور پر شروع ہوئی تھی جہاں گھڑ سوار صبح کے وقت چارج کرتے تھے، دشمن کے خیموں کے کھونٹے کو انتشار پھیلانے کے لیے اپنی نیزوں کا استعمال کرتے تھے۔</v>
      </c>
    </row>
    <row r="3">
      <c r="A3" s="3">
        <v>2.0</v>
      </c>
      <c r="B3" s="4" t="s">
        <v>2842</v>
      </c>
      <c r="C3" s="4" t="s">
        <v>2843</v>
      </c>
      <c r="D3" s="4" t="s">
        <v>2844</v>
      </c>
      <c r="E3" s="4" t="s">
        <v>2845</v>
      </c>
      <c r="K3" s="5" t="str">
        <f>IFERROR(__xludf.DUMMYFUNCTION("GOOGLETRANSLATE(A3, ""en"", ""ur"")"),"2")</f>
        <v>2</v>
      </c>
      <c r="L3" s="5" t="str">
        <f>IFERROR(__xludf.DUMMYFUNCTION("GOOGLETRANSLATE(B3, ""en"", ""ur"")"),"کس تاریخی دور کے دوران ٹینٹ پیگنگ کو ایک مسابقتی کھیل میں باضابطہ شکل دی گئی، خاص طور پر کیولری یونٹوں کے درمیان؟")</f>
        <v>کس تاریخی دور کے دوران ٹینٹ پیگنگ کو ایک مسابقتی کھیل میں باضابطہ شکل دی گئی، خاص طور پر کیولری یونٹوں کے درمیان؟</v>
      </c>
      <c r="M3" s="5" t="str">
        <f>IFERROR(__xludf.DUMMYFUNCTION("GOOGLETRANSLATE(C3, ""en"", ""ur"")"),"A) مغلیہ سلطنت، B) برطانوی نوآبادیاتی دور، C) سلطنتی دور، D) گپتا سلطنت")</f>
        <v>A) مغلیہ سلطنت، B) برطانوی نوآبادیاتی دور، C) سلطنتی دور، D) گپتا سلطنت</v>
      </c>
      <c r="N3" s="5" t="str">
        <f>IFERROR(__xludf.DUMMYFUNCTION("GOOGLETRANSLATE(D3, ""en"", ""ur"")"),"ب) برطانوی نوآبادیاتی دور")</f>
        <v>ب) برطانوی نوآبادیاتی دور</v>
      </c>
      <c r="O3" s="5" t="str">
        <f>IFERROR(__xludf.DUMMYFUNCTION("GOOGLETRANSLATE(E3, ""en"", ""ur"")"),"ہندوستان میں برطانوی فوج نے روایتی مشق کو ایک باضابطہ مسابقتی کھیل میں تبدیل کرتے ہوئے اصولوں اور آلات کو معیاری بنایا۔")</f>
        <v>ہندوستان میں برطانوی فوج نے روایتی مشق کو ایک باضابطہ مسابقتی کھیل میں تبدیل کرتے ہوئے اصولوں اور آلات کو معیاری بنایا۔</v>
      </c>
    </row>
    <row r="4">
      <c r="A4" s="3">
        <v>3.0</v>
      </c>
      <c r="B4" s="4" t="s">
        <v>2846</v>
      </c>
      <c r="C4" s="4" t="s">
        <v>2847</v>
      </c>
      <c r="D4" s="4" t="s">
        <v>2848</v>
      </c>
      <c r="E4" s="4" t="s">
        <v>2849</v>
      </c>
      <c r="K4" s="5" t="str">
        <f>IFERROR(__xludf.DUMMYFUNCTION("GOOGLETRANSLATE(A4, ""en"", ""ur"")"),"3")</f>
        <v>3</v>
      </c>
      <c r="L4" s="5" t="str">
        <f>IFERROR(__xludf.DUMMYFUNCTION("GOOGLETRANSLATE(B4, ""en"", ""ur"")"),"ٹینٹ پیگنگ کی مرکزی تقریب میں استعمال ہونے والا بنیادی ہتھیار کون سا ہے؟")</f>
        <v>ٹینٹ پیگنگ کی مرکزی تقریب میں استعمال ہونے والا بنیادی ہتھیار کون سا ہے؟</v>
      </c>
      <c r="M4" s="5" t="str">
        <f>IFERROR(__xludf.DUMMYFUNCTION("GOOGLETRANSLATE(C4, ""en"", ""ur"")"),"A) ایک نیزہ، B) ایک تلوار، C) ایک لانس، D) ایک کلہاڑی")</f>
        <v>A) ایک نیزہ، B) ایک تلوار، C) ایک لانس، D) ایک کلہاڑی</v>
      </c>
      <c r="N4" s="5" t="str">
        <f>IFERROR(__xludf.DUMMYFUNCTION("GOOGLETRANSLATE(D4, ""en"", ""ur"")"),"ج) ایک لانس")</f>
        <v>ج) ایک لانس</v>
      </c>
      <c r="O4" s="5" t="str">
        <f>IFERROR(__xludf.DUMMYFUNCTION("GOOGLETRANSLATE(E4, ""en"", ""ur"")"),"لانس، ایک قسم کا نیزہ جو خاص طور پر گھڑسواروں کے استعمال کے لیے ڈیزائن کیا گیا ہے، زمینی اہداف کو نشانہ بنانے کے لیے بنیادی عمل ہے۔")</f>
        <v>لانس، ایک قسم کا نیزہ جو خاص طور پر گھڑسواروں کے استعمال کے لیے ڈیزائن کیا گیا ہے، زمینی اہداف کو نشانہ بنانے کے لیے بنیادی عمل ہے۔</v>
      </c>
    </row>
    <row r="5">
      <c r="A5" s="3">
        <v>4.0</v>
      </c>
      <c r="B5" s="4" t="s">
        <v>2850</v>
      </c>
      <c r="C5" s="4" t="s">
        <v>2851</v>
      </c>
      <c r="D5" s="4" t="s">
        <v>2852</v>
      </c>
      <c r="E5" s="4" t="s">
        <v>2853</v>
      </c>
      <c r="K5" s="5" t="str">
        <f>IFERROR(__xludf.DUMMYFUNCTION("GOOGLETRANSLATE(A5, ""en"", ""ur"")"),"4")</f>
        <v>4</v>
      </c>
      <c r="L5" s="5" t="str">
        <f>IFERROR(__xludf.DUMMYFUNCTION("GOOGLETRANSLATE(B5, ""en"", ""ur"")"),"برصغیر پاک و ہند میں کون سی سلطنت ٹینٹ پیگنگ کی تکنیک کو بہتر بنانے اور اسے شاہی تقریبات میں شامل کرنے کے لیے مشہور ہے؟")</f>
        <v>برصغیر پاک و ہند میں کون سی سلطنت ٹینٹ پیگنگ کی تکنیک کو بہتر بنانے اور اسے شاہی تقریبات میں شامل کرنے کے لیے مشہور ہے؟</v>
      </c>
      <c r="M5" s="5" t="str">
        <f>IFERROR(__xludf.DUMMYFUNCTION("GOOGLETRANSLATE(C5, ""en"", ""ur"")"),"A) سلطنت عثمانیہ، B) مغل سلطنت، C) موریان سلطنت، D) برطانوی سلطنت")</f>
        <v>A) سلطنت عثمانیہ، B) مغل سلطنت، C) موریان سلطنت، D) برطانوی سلطنت</v>
      </c>
      <c r="N5" s="5" t="str">
        <f>IFERROR(__xludf.DUMMYFUNCTION("GOOGLETRANSLATE(D5, ""en"", ""ur"")"),"ب) مغلیہ سلطنت")</f>
        <v>ب) مغلیہ سلطنت</v>
      </c>
      <c r="O5" s="5" t="str">
        <f>IFERROR(__xludf.DUMMYFUNCTION("GOOGLETRANSLATE(E5, ""en"", ""ur"")"),"مغلوں نے اپنی مضبوط گھڑ سوار روایت کے ساتھ ٹینٹ پیگنگ کو بہتر بنایا اور اکثر اسے اپنے درباروں میں جنگی تفریح ​​کے طور پر پیش کیا۔")</f>
        <v>مغلوں نے اپنی مضبوط گھڑ سوار روایت کے ساتھ ٹینٹ پیگنگ کو بہتر بنایا اور اکثر اسے اپنے درباروں میں جنگی تفریح ​​کے طور پر پیش کیا۔</v>
      </c>
    </row>
    <row r="6">
      <c r="A6" s="3">
        <v>5.0</v>
      </c>
      <c r="B6" s="4" t="s">
        <v>2854</v>
      </c>
      <c r="C6" s="4" t="s">
        <v>2855</v>
      </c>
      <c r="D6" s="4" t="s">
        <v>2856</v>
      </c>
      <c r="E6" s="4" t="s">
        <v>2857</v>
      </c>
      <c r="K6" s="5" t="str">
        <f>IFERROR(__xludf.DUMMYFUNCTION("GOOGLETRANSLATE(A6, ""en"", ""ur"")"),"5")</f>
        <v>5</v>
      </c>
      <c r="L6" s="5" t="str">
        <f>IFERROR(__xludf.DUMMYFUNCTION("GOOGLETRANSLATE(B6, ""en"", ""ur"")"),"کون سا بین الاقوامی ادارہ ٹینٹ پیگنگ مقابلوں کا بنیادی عالمی گورنر ہے؟")</f>
        <v>کون سا بین الاقوامی ادارہ ٹینٹ پیگنگ مقابلوں کا بنیادی عالمی گورنر ہے؟</v>
      </c>
      <c r="M6" s="5" t="str">
        <f>IFERROR(__xludf.DUMMYFUNCTION("GOOGLETRANSLATE(C6, ""en"", ""ur"")"),"A) Fédération Équestre Internationale (FEI)، B) انٹرنیشنل اولمپک کمیٹی (IOC) C) انٹرنیشنل ٹینٹ پیگنگ فیڈریشن (ITPF) D) ورلڈ کیولری ایسوسی ایشن")</f>
        <v>A) Fédération Équestre Internationale (FEI)، B) انٹرنیشنل اولمپک کمیٹی (IOC) C) انٹرنیشنل ٹینٹ پیگنگ فیڈریشن (ITPF) D) ورلڈ کیولری ایسوسی ایشن</v>
      </c>
      <c r="N6" s="5" t="str">
        <f>IFERROR(__xludf.DUMMYFUNCTION("GOOGLETRANSLATE(D6, ""en"", ""ur"")"),"C) انٹرنیشنل ٹینٹ پیگنگ فیڈریشن (ITPF)")</f>
        <v>C) انٹرنیشنل ٹینٹ پیگنگ فیڈریشن (ITPF)</v>
      </c>
      <c r="O6" s="5" t="str">
        <f>IFERROR(__xludf.DUMMYFUNCTION("GOOGLETRANSLATE(E6, ""en"", ""ur"")"),"FEI کی طرف سے تسلیم شدہ، ITPF ایک وقف بین الاقوامی فیڈریشن ہے جو ورلڈ کپ منعقد کرتی ہے اور کھیل کے قوانین کو معیاری بناتی ہے۔")</f>
        <v>FEI کی طرف سے تسلیم شدہ، ITPF ایک وقف بین الاقوامی فیڈریشن ہے جو ورلڈ کپ منعقد کرتی ہے اور کھیل کے قوانین کو معیاری بناتی ہے۔</v>
      </c>
    </row>
    <row r="7">
      <c r="A7" s="3">
        <v>6.0</v>
      </c>
      <c r="B7" s="4" t="s">
        <v>2858</v>
      </c>
      <c r="C7" s="4" t="s">
        <v>2859</v>
      </c>
      <c r="D7" s="4" t="s">
        <v>2860</v>
      </c>
      <c r="E7" s="4" t="s">
        <v>2861</v>
      </c>
      <c r="K7" s="5" t="str">
        <f>IFERROR(__xludf.DUMMYFUNCTION("GOOGLETRANSLATE(A7, ""en"", ""ur"")"),"6")</f>
        <v>6</v>
      </c>
      <c r="L7" s="5" t="str">
        <f>IFERROR(__xludf.DUMMYFUNCTION("GOOGLETRANSLATE(B7, ""en"", ""ur"")"),"برصغیر پاک و ہند کا کون سا خطہ ٹینٹ پیگنگ کا ثقافتی مرکز سمجھا جاتا ہے؟")</f>
        <v>برصغیر پاک و ہند کا کون سا خطہ ٹینٹ پیگنگ کا ثقافتی مرکز سمجھا جاتا ہے؟</v>
      </c>
      <c r="M7" s="5" t="str">
        <f>IFERROR(__xludf.DUMMYFUNCTION("GOOGLETRANSLATE(C7, ""en"", ""ur"")"),"A) پنجاب، B) سندھ، C) بنگال، D) بلوچستان")</f>
        <v>A) پنجاب، B) سندھ، C) بنگال، D) بلوچستان</v>
      </c>
      <c r="N7" s="5" t="str">
        <f>IFERROR(__xludf.DUMMYFUNCTION("GOOGLETRANSLATE(D7, ""en"", ""ur"")"),"الف) پنجاب")</f>
        <v>الف) پنجاب</v>
      </c>
      <c r="O7" s="5" t="str">
        <f>IFERROR(__xludf.DUMMYFUNCTION("GOOGLETRANSLATE(E7, ""en"", ""ur"")"),"پنجاب کا خطہ، جو پاکستان اور ہندوستان دونوں پر پھیلا ہوا ہے، گھڑسوار کی ایک گہری روایت رکھتا ہے اور اس کھیل کی تاریخ اور مقبولیت کا مرکز ہے۔")</f>
        <v>پنجاب کا خطہ، جو پاکستان اور ہندوستان دونوں پر پھیلا ہوا ہے، گھڑسوار کی ایک گہری روایت رکھتا ہے اور اس کھیل کی تاریخ اور مقبولیت کا مرکز ہے۔</v>
      </c>
    </row>
    <row r="8">
      <c r="A8" s="3">
        <v>7.0</v>
      </c>
      <c r="B8" s="4" t="s">
        <v>2862</v>
      </c>
      <c r="C8" s="4" t="s">
        <v>2863</v>
      </c>
      <c r="D8" s="4" t="s">
        <v>2864</v>
      </c>
      <c r="E8" s="4" t="s">
        <v>2865</v>
      </c>
      <c r="K8" s="5" t="str">
        <f>IFERROR(__xludf.DUMMYFUNCTION("GOOGLETRANSLATE(A8, ""en"", ""ur"")"),"7")</f>
        <v>7</v>
      </c>
      <c r="L8" s="5" t="str">
        <f>IFERROR(__xludf.DUMMYFUNCTION("GOOGLETRANSLATE(B8, ""en"", ""ur"")"),"کھیل کے تاریخی تناظر میں علامتی طور پر ""خیمہ پیگ"" کا ہدف کس چیز کی نمائندگی کرتا ہے؟")</f>
        <v>کھیل کے تاریخی تناظر میں علامتی طور پر "خیمہ پیگ" کا ہدف کس چیز کی نمائندگی کرتا ہے؟</v>
      </c>
      <c r="M8" s="5" t="str">
        <f>IFERROR(__xludf.DUMMYFUNCTION("GOOGLETRANSLATE(C8, ""en"", ""ur"")"),"A) دشمن کی دولت، B) ایک فوجی نشان، C) دشمن کے خیمے کو تھامے ہوئے داؤ، D) گھوڑے کی پٹی")</f>
        <v>A) دشمن کی دولت، B) ایک فوجی نشان، C) دشمن کے خیمے کو تھامے ہوئے داؤ، D) گھوڑے کی پٹی</v>
      </c>
      <c r="N8" s="5" t="str">
        <f>IFERROR(__xludf.DUMMYFUNCTION("GOOGLETRANSLATE(D8, ""en"", ""ur"")"),"ج) دشمن کے خیمے کو پکڑنے والی داغ")</f>
        <v>ج) دشمن کے خیمے کو پکڑنے والی داغ</v>
      </c>
      <c r="O8" s="5" t="str">
        <f>IFERROR(__xludf.DUMMYFUNCTION("GOOGLETRANSLATE(E8, ""en"", ""ur"")"),"کھونٹی کھینچنے کا عمل گھڑسواروں کے کامیاب حملے کی علامت ہے، جہاں دشمن کے خیموں کو گرانا ایک اہم مقصد تھا۔")</f>
        <v>کھونٹی کھینچنے کا عمل گھڑسواروں کے کامیاب حملے کی علامت ہے، جہاں دشمن کے خیموں کو گرانا ایک اہم مقصد تھا۔</v>
      </c>
    </row>
    <row r="9">
      <c r="A9" s="3">
        <v>8.0</v>
      </c>
      <c r="B9" s="4" t="s">
        <v>2866</v>
      </c>
      <c r="C9" s="4" t="s">
        <v>2867</v>
      </c>
      <c r="D9" s="4" t="s">
        <v>2868</v>
      </c>
      <c r="E9" s="4" t="s">
        <v>2869</v>
      </c>
      <c r="K9" s="5" t="str">
        <f>IFERROR(__xludf.DUMMYFUNCTION("GOOGLETRANSLATE(A9, ""en"", ""ur"")"),"8")</f>
        <v>8</v>
      </c>
      <c r="L9" s="5" t="str">
        <f>IFERROR(__xludf.DUMMYFUNCTION("GOOGLETRANSLATE(B9, ""en"", ""ur"")"),"برصغیر سے گھوڑوں کی کون سی نسل، جو اپنے اندرونی خمیدہ کانوں اور چستی کے لیے مشہور ہے، ٹینٹ پیگنگ کے لیے بہت زیادہ پسند کی جاتی ہے؟")</f>
        <v>برصغیر سے گھوڑوں کی کون سی نسل، جو اپنے اندرونی خمیدہ کانوں اور چستی کے لیے مشہور ہے، ٹینٹ پیگنگ کے لیے بہت زیادہ پسند کی جاتی ہے؟</v>
      </c>
      <c r="M9" s="5" t="str">
        <f>IFERROR(__xludf.DUMMYFUNCTION("GOOGLETRANSLATE(C9, ""en"", ""ur"")"),"A) عربی، B) Throughbred، C) مارواڑی، D) اندلس")</f>
        <v>A) عربی، B) Throughbred، C) مارواڑی، D) اندلس</v>
      </c>
      <c r="N9" s="5" t="str">
        <f>IFERROR(__xludf.DUMMYFUNCTION("GOOGLETRANSLATE(D9, ""en"", ""ur"")"),"ج) مارواڑی")</f>
        <v>ج) مارواڑی</v>
      </c>
      <c r="O9" s="5" t="str">
        <f>IFERROR(__xludf.DUMMYFUNCTION("GOOGLETRANSLATE(E9, ""en"", ""ur"")"),"مارواڑی نسل، ایک روایتی ہندوستانی گھڑ سوار گھوڑا ہے، جو اس کی بہادری، چستی اور صلاحیت کے لیے قابل قدر ہے، جو اسے کھیل کے لیے مثالی بناتا ہے۔")</f>
        <v>مارواڑی نسل، ایک روایتی ہندوستانی گھڑ سوار گھوڑا ہے، جو اس کی بہادری، چستی اور صلاحیت کے لیے قابل قدر ہے، جو اسے کھیل کے لیے مثالی بناتا ہے۔</v>
      </c>
    </row>
    <row r="10">
      <c r="A10" s="3">
        <v>9.0</v>
      </c>
      <c r="B10" s="4" t="s">
        <v>2870</v>
      </c>
      <c r="C10" s="4" t="s">
        <v>2871</v>
      </c>
      <c r="D10" s="4" t="s">
        <v>2872</v>
      </c>
      <c r="E10" s="4" t="s">
        <v>2873</v>
      </c>
      <c r="K10" s="5" t="str">
        <f>IFERROR(__xludf.DUMMYFUNCTION("GOOGLETRANSLATE(A10, ""en"", ""ur"")"),"9")</f>
        <v>9</v>
      </c>
      <c r="L10" s="5" t="str">
        <f>IFERROR(__xludf.DUMMYFUNCTION("GOOGLETRANSLATE(B10, ""en"", ""ur"")"),"کون سا جدید ملک جنوبی ایشیا میں ٹینٹ پیگنگ کا ایک بڑا مرکز سمجھا جاتا ہے، جس میں متعدد کلب اور مقابلے ہوتے ہیں؟")</f>
        <v>کون سا جدید ملک جنوبی ایشیا میں ٹینٹ پیگنگ کا ایک بڑا مرکز سمجھا جاتا ہے، جس میں متعدد کلب اور مقابلے ہوتے ہیں؟</v>
      </c>
      <c r="M10" s="5" t="str">
        <f>IFERROR(__xludf.DUMMYFUNCTION("GOOGLETRANSLATE(C10, ""en"", ""ur"")"),"A) بھارت، B) پاکستان، C) افغانستان، D) بنگلہ دیش")</f>
        <v>A) بھارت، B) پاکستان، C) افغانستان، D) بنگلہ دیش</v>
      </c>
      <c r="N10" s="5" t="str">
        <f>IFERROR(__xludf.DUMMYFUNCTION("GOOGLETRANSLATE(D10, ""en"", ""ur"")"),"ب) پاکستان")</f>
        <v>ب) پاکستان</v>
      </c>
      <c r="O10" s="5" t="str">
        <f>IFERROR(__xludf.DUMMYFUNCTION("GOOGLETRANSLATE(E10, ""en"", ""ur"")"),"پاکستان میں ایک بہت مضبوط اور فعال ٹینٹ پیگنگ کمیونٹی ہے، جس میں کھیل اس کی دیہی اور فوجی ثقافت کا ایک بڑا حصہ ہے۔")</f>
        <v>پاکستان میں ایک بہت مضبوط اور فعال ٹینٹ پیگنگ کمیونٹی ہے، جس میں کھیل اس کی دیہی اور فوجی ثقافت کا ایک بڑا حصہ ہے۔</v>
      </c>
    </row>
    <row r="11">
      <c r="A11" s="3">
        <v>10.0</v>
      </c>
      <c r="B11" s="4" t="s">
        <v>2874</v>
      </c>
      <c r="C11" s="4" t="s">
        <v>2875</v>
      </c>
      <c r="D11" s="4" t="s">
        <v>2876</v>
      </c>
      <c r="E11" s="4" t="s">
        <v>2877</v>
      </c>
      <c r="K11" s="5" t="str">
        <f>IFERROR(__xludf.DUMMYFUNCTION("GOOGLETRANSLATE(A11, ""en"", ""ur"")"),"10")</f>
        <v>10</v>
      </c>
      <c r="L11" s="5" t="str">
        <f>IFERROR(__xludf.DUMMYFUNCTION("GOOGLETRANSLATE(B11, ""en"", ""ur"")"),"پاکستان اور ایران میں اس کھیل کا روایتی نام ""نیزا بازی"" ہے۔ اس اصطلاح کا کیا مطلب ہے؟")</f>
        <v>پاکستان اور ایران میں اس کھیل کا روایتی نام "نیزا بازی" ہے۔ اس اصطلاح کا کیا مطلب ہے؟</v>
      </c>
      <c r="M11" s="5" t="str">
        <f>IFERROR(__xludf.DUMMYFUNCTION("GOOGLETRANSLATE(C11, ""en"", ""ur"")"),"A) ہارس گیم، B) سپیئر پلے، C) سرکل آف آنر، D) ٹارگٹ پریکٹس")</f>
        <v>A) ہارس گیم، B) سپیئر پلے، C) سرکل آف آنر، D) ٹارگٹ پریکٹس</v>
      </c>
      <c r="N11" s="5" t="str">
        <f>IFERROR(__xludf.DUMMYFUNCTION("GOOGLETRANSLATE(D11, ""en"", ""ur"")"),"ب) نیزہ بجانا")</f>
        <v>ب) نیزہ بجانا</v>
      </c>
      <c r="O11" s="5" t="str">
        <f>IFERROR(__xludf.DUMMYFUNCTION("GOOGLETRANSLATE(E11, ""en"", ""ur"")"),"نیزا بازی اس کھیل کے لیے فارسی/اردو اصطلاح ہے، جس کا لفظی ترجمہ ""نیزہ بجانا"" یا ""لانڈنگ"" ہوتا ہے۔")</f>
        <v>نیزا بازی اس کھیل کے لیے فارسی/اردو اصطلاح ہے، جس کا لفظی ترجمہ "نیزہ بجانا" یا "لانڈنگ" ہوتا ہے۔</v>
      </c>
    </row>
    <row r="12">
      <c r="A12" s="3">
        <v>11.0</v>
      </c>
      <c r="B12" s="4" t="s">
        <v>2878</v>
      </c>
      <c r="C12" s="4" t="s">
        <v>2879</v>
      </c>
      <c r="D12" s="4" t="s">
        <v>2880</v>
      </c>
      <c r="E12" s="4" t="s">
        <v>2881</v>
      </c>
      <c r="K12" s="5" t="str">
        <f>IFERROR(__xludf.DUMMYFUNCTION("GOOGLETRANSLATE(A12, ""en"", ""ur"")"),"11")</f>
        <v>11</v>
      </c>
      <c r="L12" s="5" t="str">
        <f>IFERROR(__xludf.DUMMYFUNCTION("GOOGLETRANSLATE(B12, ""en"", ""ur"")"),"سکھ سلطنت کا کون سا حکمران ٹینٹ پیگنگ کا بہت بڑا سرپرست تھا، جس نے اسے اپنے گھڑسواروں کے لیے جنگی کھیل کے طور پر ادارہ بنایا؟")</f>
        <v>سکھ سلطنت کا کون سا حکمران ٹینٹ پیگنگ کا بہت بڑا سرپرست تھا، جس نے اسے اپنے گھڑسواروں کے لیے جنگی کھیل کے طور پر ادارہ بنایا؟</v>
      </c>
      <c r="M12" s="5" t="str">
        <f>IFERROR(__xludf.DUMMYFUNCTION("GOOGLETRANSLATE(C12, ""en"", ""ur"")"),"A) گرو گوبند سنگھ، B) مہاراجہ رنجیت سنگھ، C) ہری سنگھ نلوا، D) دلیپ سنگھ")</f>
        <v>A) گرو گوبند سنگھ، B) مہاراجہ رنجیت سنگھ، C) ہری سنگھ نلوا، D) دلیپ سنگھ</v>
      </c>
      <c r="N12" s="5" t="str">
        <f>IFERROR(__xludf.DUMMYFUNCTION("GOOGLETRANSLATE(D12, ""en"", ""ur"")"),"ب) مہاراجہ رنجیت سنگھ")</f>
        <v>ب) مہاراجہ رنجیت سنگھ</v>
      </c>
      <c r="O12" s="5" t="str">
        <f>IFERROR(__xludf.DUMMYFUNCTION("GOOGLETRANSLATE(E12, ""en"", ""ur"")"),"سکھ سلطنت کے بانی مہاراجہ رنجیت سنگھ نے اپنی فوج کی مارشل روایات کے حصے کے طور پر ٹینٹ پیگنگ کو فعال طور پر فروغ دیا اور منظم کیا۔")</f>
        <v>سکھ سلطنت کے بانی مہاراجہ رنجیت سنگھ نے اپنی فوج کی مارشل روایات کے حصے کے طور پر ٹینٹ پیگنگ کو فعال طور پر فروغ دیا اور منظم کیا۔</v>
      </c>
    </row>
    <row r="13">
      <c r="A13" s="3">
        <v>12.0</v>
      </c>
      <c r="B13" s="4" t="s">
        <v>2882</v>
      </c>
      <c r="C13" s="4" t="s">
        <v>2883</v>
      </c>
      <c r="D13" s="4" t="s">
        <v>2884</v>
      </c>
      <c r="E13" s="4" t="s">
        <v>2885</v>
      </c>
      <c r="K13" s="5" t="str">
        <f>IFERROR(__xludf.DUMMYFUNCTION("GOOGLETRANSLATE(A13, ""en"", ""ur"")"),"12")</f>
        <v>12</v>
      </c>
      <c r="L13" s="5" t="str">
        <f>IFERROR(__xludf.DUMMYFUNCTION("GOOGLETRANSLATE(B13, ""en"", ""ur"")"),"شروع لائن سے ختم لائن تک، مقابلہ کے ٹریک کی معیاری لمبائی کتنی ہے؟")</f>
        <v>شروع لائن سے ختم لائن تک، مقابلہ کے ٹریک کی معیاری لمبائی کتنی ہے؟</v>
      </c>
      <c r="M13" s="5" t="str">
        <f>IFERROR(__xludf.DUMMYFUNCTION("GOOGLETRANSLATE(C13, ""en"", ""ur"")"),"A) 50 میٹر، B) 75 میٹر، C) 100 میٹر، D) 150 میٹر")</f>
        <v>A) 50 میٹر، B) 75 میٹر، C) 100 میٹر، D) 150 میٹر</v>
      </c>
      <c r="N13" s="5" t="str">
        <f>IFERROR(__xludf.DUMMYFUNCTION("GOOGLETRANSLATE(D13, ""en"", ""ur"")"),"C) 100 میٹر")</f>
        <v>C) 100 میٹر</v>
      </c>
      <c r="O13" s="5" t="str">
        <f>IFERROR(__xludf.DUMMYFUNCTION("GOOGLETRANSLATE(E13, ""en"", ""ur"")"),"100 میٹر کا ٹریک گھوڑے کو مناسب رفتار سے تیز کرنے اور سوار کو ہڑتال کی تیاری کے لیے کافی فاصلہ فراہم کرتا ہے۔")</f>
        <v>100 میٹر کا ٹریک گھوڑے کو مناسب رفتار سے تیز کرنے اور سوار کو ہڑتال کی تیاری کے لیے کافی فاصلہ فراہم کرتا ہے۔</v>
      </c>
    </row>
    <row r="14">
      <c r="A14" s="3">
        <v>13.0</v>
      </c>
      <c r="B14" s="4" t="s">
        <v>2886</v>
      </c>
      <c r="C14" s="4" t="s">
        <v>2887</v>
      </c>
      <c r="D14" s="4" t="s">
        <v>2888</v>
      </c>
      <c r="E14" s="4" t="s">
        <v>2889</v>
      </c>
      <c r="K14" s="5" t="str">
        <f>IFERROR(__xludf.DUMMYFUNCTION("GOOGLETRANSLATE(A14, ""en"", ""ur"")"),"13")</f>
        <v>13</v>
      </c>
      <c r="L14" s="5" t="str">
        <f>IFERROR(__xludf.DUMMYFUNCTION("GOOGLETRANSLATE(B14, ""en"", ""ur"")"),"ایک ""مکمل پیگ"" کے لیے کتنے پوائنٹس دیے جاتے ہیں جہاں پیگ کو کامیابی کے ساتھ مارا جاتا ہے اور ختم لائن پر لے جایا جاتا ہے؟")</f>
        <v>ایک "مکمل پیگ" کے لیے کتنے پوائنٹس دیے جاتے ہیں جہاں پیگ کو کامیابی کے ساتھ مارا جاتا ہے اور ختم لائن پر لے جایا جاتا ہے؟</v>
      </c>
      <c r="M14" s="5" t="str">
        <f>IFERROR(__xludf.DUMMYFUNCTION("GOOGLETRANSLATE(C14, ""en"", ""ur"")"),"A) 4 پوائنٹس، B) 6 پوائنٹس، C) 8 پوائنٹس، D) 10 پوائنٹس")</f>
        <v>A) 4 پوائنٹس، B) 6 پوائنٹس، C) 8 پوائنٹس، D) 10 پوائنٹس</v>
      </c>
      <c r="N14" s="5" t="str">
        <f>IFERROR(__xludf.DUMMYFUNCTION("GOOGLETRANSLATE(D14, ""en"", ""ur"")"),"ب) 6 پوائنٹس")</f>
        <v>ب) 6 پوائنٹس</v>
      </c>
      <c r="O14" s="5" t="str">
        <f>IFERROR(__xludf.DUMMYFUNCTION("GOOGLETRANSLATE(E14, ""en"", ""ur"")"),"کھونٹی کو ختم لائن کے پار صاف طور پر مارنا اور لے جانا کسی ایک زمینی ہدف کے لیے سب سے زیادہ سکور ہے، عام طور پر 6 پوائنٹس دیے جاتے ہیں۔")</f>
        <v>کھونٹی کو ختم لائن کے پار صاف طور پر مارنا اور لے جانا کسی ایک زمینی ہدف کے لیے سب سے زیادہ سکور ہے، عام طور پر 6 پوائنٹس دیے جاتے ہیں۔</v>
      </c>
    </row>
    <row r="15">
      <c r="A15" s="3">
        <v>14.0</v>
      </c>
      <c r="B15" s="4" t="s">
        <v>2890</v>
      </c>
      <c r="C15" s="4" t="s">
        <v>2891</v>
      </c>
      <c r="D15" s="4" t="s">
        <v>2892</v>
      </c>
      <c r="E15" s="4" t="s">
        <v>2893</v>
      </c>
      <c r="K15" s="5" t="str">
        <f>IFERROR(__xludf.DUMMYFUNCTION("GOOGLETRANSLATE(A15, ""en"", ""ur"")"),"14")</f>
        <v>14</v>
      </c>
      <c r="L15" s="5" t="str">
        <f>IFERROR(__xludf.DUMMYFUNCTION("GOOGLETRANSLATE(B15, ""en"", ""ur"")"),"اس سوار کے لیے کیا سزا ہے جو بھاگتے وقت کھونٹی کو پوری طرح سے کھو دیتا ہے؟")</f>
        <v>اس سوار کے لیے کیا سزا ہے جو بھاگتے وقت کھونٹی کو پوری طرح سے کھو دیتا ہے؟</v>
      </c>
      <c r="M15" s="5" t="str">
        <f>IFERROR(__xludf.DUMMYFUNCTION("GOOGLETRANSLATE(C15, ""en"", ""ur"")"),"A) 0 کا سکور دیا جاتا ہے، B) ان کے کل سے 2 پوائنٹس کاٹے جاتے ہیں، C) سوار کو نااہل قرار دیا جاتا ہے، D) سوار کو زبانی وارننگ ملتی ہے۔")</f>
        <v>A) 0 کا سکور دیا جاتا ہے، B) ان کے کل سے 2 پوائنٹس کاٹے جاتے ہیں، C) سوار کو نااہل قرار دیا جاتا ہے، D) سوار کو زبانی وارننگ ملتی ہے۔</v>
      </c>
      <c r="N15" s="5" t="str">
        <f>IFERROR(__xludf.DUMMYFUNCTION("GOOGLETRANSLATE(D15, ""en"", ""ur"")"),"A) 0 کا سکور دیا جاتا ہے۔")</f>
        <v>A) 0 کا سکور دیا جاتا ہے۔</v>
      </c>
      <c r="O15" s="5" t="str">
        <f>IFERROR(__xludf.DUMMYFUNCTION("GOOGLETRANSLATE(E15, ""en"", ""ur"")"),"ہدف کی کمی کے نتیجے میں اس رن کے صفر پوائنٹس ہوتے ہیں، لیکن سوار کے مجموعی اسکور سے مزید کوئی جرمانہ یا کٹوتی نہیں ہوتی ہے۔")</f>
        <v>ہدف کی کمی کے نتیجے میں اس رن کے صفر پوائنٹس ہوتے ہیں، لیکن سوار کے مجموعی اسکور سے مزید کوئی جرمانہ یا کٹوتی نہیں ہوتی ہے۔</v>
      </c>
    </row>
    <row r="16">
      <c r="A16" s="3">
        <v>15.0</v>
      </c>
      <c r="B16" s="4" t="s">
        <v>2894</v>
      </c>
      <c r="C16" s="4" t="s">
        <v>2895</v>
      </c>
      <c r="D16" s="4" t="s">
        <v>2896</v>
      </c>
      <c r="E16" s="4" t="s">
        <v>2897</v>
      </c>
      <c r="K16" s="5" t="str">
        <f>IFERROR(__xludf.DUMMYFUNCTION("GOOGLETRANSLATE(A16, ""en"", ""ur"")"),"15")</f>
        <v>15</v>
      </c>
      <c r="L16" s="5" t="str">
        <f>IFERROR(__xludf.DUMMYFUNCTION("GOOGLETRANSLATE(B16, ""en"", ""ur"")"),"کس ٹینٹ پیگنگ ڈسپلن میں سوار کو لانس کی بجائے تلوار استعمال کرنے کی ضرورت ہے؟")</f>
        <v>کس ٹینٹ پیگنگ ڈسپلن میں سوار کو لانس کی بجائے تلوار استعمال کرنے کی ضرورت ہے؟</v>
      </c>
      <c r="M16" s="5" t="str">
        <f>IFERROR(__xludf.DUMMYFUNCTION("GOOGLETRANSLATE(C16, ""en"", ""ur"")"),"اے) سنگل پیگنگ، بی) رنگ پیگنگ، سی) لیمن کٹنگ، ڈی) انڈین فائل")</f>
        <v>اے) سنگل پیگنگ، بی) رنگ پیگنگ، سی) لیمن کٹنگ، ڈی) انڈین فائل</v>
      </c>
      <c r="N16" s="5" t="str">
        <f>IFERROR(__xludf.DUMMYFUNCTION("GOOGLETRANSLATE(D16, ""en"", ""ur"")"),"ج) لیموں کاٹنا")</f>
        <v>ج) لیموں کاٹنا</v>
      </c>
      <c r="O16" s="5" t="str">
        <f>IFERROR(__xludf.DUMMYFUNCTION("GOOGLETRANSLATE(E16, ""en"", ""ur"")"),"لیموں کی کٹنگ ایک ایسا نظم ہے جو سوار کی تلوار کی مہارت کا امتحان لیتا ہے، جس کے لیے انہیں ایک معلق لیموں یا دوسرے چھوٹے ہدف کو صاف طور پر کاٹنا پڑتا ہے۔")</f>
        <v>لیموں کی کٹنگ ایک ایسا نظم ہے جو سوار کی تلوار کی مہارت کا امتحان لیتا ہے، جس کے لیے انہیں ایک معلق لیموں یا دوسرے چھوٹے ہدف کو صاف طور پر کاٹنا پڑتا ہے۔</v>
      </c>
    </row>
    <row r="17">
      <c r="A17" s="3">
        <v>16.0</v>
      </c>
      <c r="B17" s="4" t="s">
        <v>2898</v>
      </c>
      <c r="C17" s="4" t="s">
        <v>2899</v>
      </c>
      <c r="D17" s="4" t="s">
        <v>2900</v>
      </c>
      <c r="E17" s="4" t="s">
        <v>2901</v>
      </c>
      <c r="K17" s="5" t="str">
        <f>IFERROR(__xludf.DUMMYFUNCTION("GOOGLETRANSLATE(A17, ""en"", ""ur"")"),"16")</f>
        <v>16</v>
      </c>
      <c r="L17" s="5" t="str">
        <f>IFERROR(__xludf.DUMMYFUNCTION("GOOGLETRANSLATE(B17, ""en"", ""ur"")"),"سینئر سطح کے بین الاقوامی مقابلوں میں استعمال ہونے والے لانس کا معیاری وزن کیا ہے؟")</f>
        <v>سینئر سطح کے بین الاقوامی مقابلوں میں استعمال ہونے والے لانس کا معیاری وزن کیا ہے؟</v>
      </c>
      <c r="M17" s="5" t="str">
        <f>IFERROR(__xludf.DUMMYFUNCTION("GOOGLETRANSLATE(C17, ""en"", ""ur"")"),"A) 1.0 - 1.2 کلوگرام، B) 1.5 - 2.0 کلوگرام، C) 2.0 - 2.5 کلوگرام، D) 2.5 - 3.0 کلوگرام")</f>
        <v>A) 1.0 - 1.2 کلوگرام، B) 1.5 - 2.0 کلوگرام، C) 2.0 - 2.5 کلوگرام، D) 2.5 - 3.0 کلوگرام</v>
      </c>
      <c r="N17" s="5" t="str">
        <f>IFERROR(__xludf.DUMMYFUNCTION("GOOGLETRANSLATE(D17, ""en"", ""ur"")"),"C) 2.0 - 2.5 کلوگرام")</f>
        <v>C) 2.0 - 2.5 کلوگرام</v>
      </c>
      <c r="O17" s="5" t="str">
        <f>IFERROR(__xludf.DUMMYFUNCTION("GOOGLETRANSLATE(E17, ""en"", ""ur"")"),"لانس کے لیے یہ وزن کی حد (عام طور پر بانس یا فائبر گلاس سے بنی) اس بات کو یقینی بناتی ہے کہ یہ کام کے لیے کافی مضبوط ہے لیکن تدبیر کے لیے کافی ہلکا ہے۔")</f>
        <v>لانس کے لیے یہ وزن کی حد (عام طور پر بانس یا فائبر گلاس سے بنی) اس بات کو یقینی بناتی ہے کہ یہ کام کے لیے کافی مضبوط ہے لیکن تدبیر کے لیے کافی ہلکا ہے۔</v>
      </c>
    </row>
    <row r="18">
      <c r="A18" s="3">
        <v>17.0</v>
      </c>
      <c r="B18" s="4" t="s">
        <v>2902</v>
      </c>
      <c r="C18" s="4" t="s">
        <v>2903</v>
      </c>
      <c r="D18" s="4" t="s">
        <v>2904</v>
      </c>
      <c r="E18" s="4" t="s">
        <v>2905</v>
      </c>
      <c r="K18" s="5" t="str">
        <f>IFERROR(__xludf.DUMMYFUNCTION("GOOGLETRANSLATE(A18, ""en"", ""ur"")"),"17")</f>
        <v>17</v>
      </c>
      <c r="L18" s="5" t="str">
        <f>IFERROR(__xludf.DUMMYFUNCTION("GOOGLETRANSLATE(B18, ""en"", ""ur"")"),"اگر کوئی سوار کامیابی کے ساتھ کھونٹی کو ""ڈرا"" لے (اسے زمین سے اٹھا لے) لیکن اسے ختم لائن سے پہلے گرا دے تو اس کا کیا حکم ہے؟")</f>
        <v>اگر کوئی سوار کامیابی کے ساتھ کھونٹی کو "ڈرا" لے (اسے زمین سے اٹھا لے) لیکن اسے ختم لائن سے پہلے گرا دے تو اس کا کیا حکم ہے؟</v>
      </c>
      <c r="M18" s="5" t="str">
        <f>IFERROR(__xludf.DUMMYFUNCTION("GOOGLETRANSLATE(C18, ""en"", ""ur"")"),"A) 6 پوائنٹس دیئے گئے، B) 4 پوائنٹس دیئے گئے، C) 2 پوائنٹس دیئے گئے، D) 0 پوائنٹس دیئے گئے")</f>
        <v>A) 6 پوائنٹس دیئے گئے، B) 4 پوائنٹس دیئے گئے، C) 2 پوائنٹس دیئے گئے، D) 0 پوائنٹس دیئے گئے</v>
      </c>
      <c r="N18" s="5" t="str">
        <f>IFERROR(__xludf.DUMMYFUNCTION("GOOGLETRANSLATE(D18, ""en"", ""ur"")"),"C) 2 پوائنٹس دیئے جاتے ہیں۔")</f>
        <v>C) 2 پوائنٹس دیئے جاتے ہیں۔</v>
      </c>
      <c r="O18" s="5" t="str">
        <f>IFERROR(__xludf.DUMMYFUNCTION("GOOGLETRANSLATE(E18, ""en"", ""ur"")"),"ایک ""ڈرا ہوا"" پیگ، جہاں سوار کامیابی سے ہدف کو ہٹاتا ہے لیکن اسے لے جانے میں ناکام رہتا ہے، اسے 2 پوائنٹس کا کم اسکور دیا جاتا ہے۔")</f>
        <v>ایک "ڈرا ہوا" پیگ، جہاں سوار کامیابی سے ہدف کو ہٹاتا ہے لیکن اسے لے جانے میں ناکام رہتا ہے، اسے 2 پوائنٹس کا کم اسکور دیا جاتا ہے۔</v>
      </c>
    </row>
    <row r="19">
      <c r="A19" s="3">
        <v>18.0</v>
      </c>
      <c r="B19" s="4" t="s">
        <v>2906</v>
      </c>
      <c r="C19" s="4" t="s">
        <v>2907</v>
      </c>
      <c r="D19" s="4" t="s">
        <v>2908</v>
      </c>
      <c r="E19" s="4" t="s">
        <v>2909</v>
      </c>
      <c r="K19" s="5" t="str">
        <f>IFERROR(__xludf.DUMMYFUNCTION("GOOGLETRANSLATE(A19, ""en"", ""ur"")"),"18")</f>
        <v>18</v>
      </c>
      <c r="L19" s="5" t="str">
        <f>IFERROR(__xludf.DUMMYFUNCTION("GOOGLETRANSLATE(B19, ""en"", ""ur"")"),"ایک سوار کے لیے اپنی 100 میٹر کی دوڑ مکمل کرنے کے لیے معیاری وقت کی حد کیا ہے؟")</f>
        <v>ایک سوار کے لیے اپنی 100 میٹر کی دوڑ مکمل کرنے کے لیے معیاری وقت کی حد کیا ہے؟</v>
      </c>
      <c r="M19" s="5" t="str">
        <f>IFERROR(__xludf.DUMMYFUNCTION("GOOGLETRANSLATE(C19, ""en"", ""ur"")"),"A) 6 سیکنڈ، B) 8 سیکنڈ، C) 10 سیکنڈ، D) 12 سیکنڈ")</f>
        <v>A) 6 سیکنڈ، B) 8 سیکنڈ، C) 10 سیکنڈ، D) 12 سیکنڈ</v>
      </c>
      <c r="N19" s="5" t="str">
        <f>IFERROR(__xludf.DUMMYFUNCTION("GOOGLETRANSLATE(D19, ""en"", ""ur"")"),"ب) 8 سیکنڈ")</f>
        <v>ب) 8 سیکنڈ</v>
      </c>
      <c r="O19" s="5" t="str">
        <f>IFERROR(__xludf.DUMMYFUNCTION("GOOGLETRANSLATE(E19, ""en"", ""ur"")"),"تیز رفتار اور مسابقتی رفتار کو یقینی بنانے کے لیے، ایک وقت کی حد نافذ ہے۔ اس وقت سے تجاوز کرنے کے نتیجے میں اس رن کے لیے صفر کا سکور نکلتا ہے، چاہے پیگ اکٹھا کیا جائے۔")</f>
        <v>تیز رفتار اور مسابقتی رفتار کو یقینی بنانے کے لیے، ایک وقت کی حد نافذ ہے۔ اس وقت سے تجاوز کرنے کے نتیجے میں اس رن کے لیے صفر کا سکور نکلتا ہے، چاہے پیگ اکٹھا کیا جائے۔</v>
      </c>
    </row>
    <row r="20">
      <c r="A20" s="3">
        <v>19.0</v>
      </c>
      <c r="B20" s="4" t="s">
        <v>2910</v>
      </c>
      <c r="C20" s="4" t="s">
        <v>2911</v>
      </c>
      <c r="D20" s="4" t="s">
        <v>2912</v>
      </c>
      <c r="E20" s="4" t="s">
        <v>2913</v>
      </c>
      <c r="K20" s="5" t="str">
        <f>IFERROR(__xludf.DUMMYFUNCTION("GOOGLETRANSLATE(A20, ""en"", ""ur"")"),"19")</f>
        <v>19</v>
      </c>
      <c r="L20" s="5" t="str">
        <f>IFERROR(__xludf.DUMMYFUNCTION("GOOGLETRANSLATE(B20, ""en"", ""ur"")"),"آزادی کے بعد پاکستان میں کس ادارے کو ٹینٹ پیگنگ کے تحفظ اور فروغ کا سب سے زیادہ سہرا جاتا ہے؟")</f>
        <v>آزادی کے بعد پاکستان میں کس ادارے کو ٹینٹ پیگنگ کے تحفظ اور فروغ کا سب سے زیادہ سہرا جاتا ہے؟</v>
      </c>
      <c r="M20" s="5" t="str">
        <f>IFERROR(__xludf.DUMMYFUNCTION("GOOGLETRANSLATE(C20, ""en"", ""ur"")"),"A) سول سروس، B) دیہی گاؤں کی کونسلیں، C) پاکستان آرمی، خاص طور پر اس کی کیولری یونٹس، D) یونیورسٹی اسپورٹس بورڈز")</f>
        <v>A) سول سروس، B) دیہی گاؤں کی کونسلیں، C) پاکستان آرمی، خاص طور پر اس کی کیولری یونٹس، D) یونیورسٹی اسپورٹس بورڈز</v>
      </c>
      <c r="N20" s="5" t="str">
        <f>IFERROR(__xludf.DUMMYFUNCTION("GOOGLETRANSLATE(D20, ""en"", ""ur"")"),"ج) پاکستان آرمی، خاص طور پر اس کی کیولری یونٹس")</f>
        <v>ج) پاکستان آرمی، خاص طور پر اس کی کیولری یونٹس</v>
      </c>
      <c r="O20" s="5" t="str">
        <f>IFERROR(__xludf.DUMMYFUNCTION("GOOGLETRANSLATE(E20, ""en"", ""ur"")"),"پاک فوج کی کیولری رجمنٹ نے ٹینٹ پیگنگ کی روایات اور مسابقتی جذبے کو زندہ رکھنے میں مرکزی کردار ادا کیا ہے۔")</f>
        <v>پاک فوج کی کیولری رجمنٹ نے ٹینٹ پیگنگ کی روایات اور مسابقتی جذبے کو زندہ رکھنے میں مرکزی کردار ادا کیا ہے۔</v>
      </c>
    </row>
    <row r="21">
      <c r="A21" s="3">
        <v>20.0</v>
      </c>
      <c r="B21" s="4" t="s">
        <v>2914</v>
      </c>
      <c r="C21" s="4" t="s">
        <v>2915</v>
      </c>
      <c r="D21" s="4" t="s">
        <v>2916</v>
      </c>
      <c r="E21" s="4" t="s">
        <v>2917</v>
      </c>
      <c r="K21" s="5" t="str">
        <f>IFERROR(__xludf.DUMMYFUNCTION("GOOGLETRANSLATE(A21, ""en"", ""ur"")"),"20")</f>
        <v>20</v>
      </c>
      <c r="L21" s="5" t="str">
        <f>IFERROR(__xludf.DUMMYFUNCTION("GOOGLETRANSLATE(B21, ""en"", ""ur"")"),"معیاری لکڑی کے پیگ میں ایک مستطیل کراس سیکشن ہوتا ہے۔ اس کے عام طول و عرض کیا ہیں؟")</f>
        <v>معیاری لکڑی کے پیگ میں ایک مستطیل کراس سیکشن ہوتا ہے۔ اس کے عام طول و عرض کیا ہیں؟</v>
      </c>
      <c r="M21" s="5" t="str">
        <f>IFERROR(__xludf.DUMMYFUNCTION("GOOGLETRANSLATE(C21, ""en"", ""ur"")"),"A) 2 سینٹی میٹر چوڑا x 2 سینٹی میٹر موٹا، B) 4 سینٹی میٹر چوڑا x 2 سینٹی میٹر موٹا، C) 6 سینٹی میٹر چوڑا x 4 سینٹی میٹر موٹا، D) 10 سینٹی میٹر چوڑا x 5 سینٹی میٹر موٹا")</f>
        <v>A) 2 سینٹی میٹر چوڑا x 2 سینٹی میٹر موٹا، B) 4 سینٹی میٹر چوڑا x 2 سینٹی میٹر موٹا، C) 6 سینٹی میٹر چوڑا x 4 سینٹی میٹر موٹا، D) 10 سینٹی میٹر چوڑا x 5 سینٹی میٹر موٹا</v>
      </c>
      <c r="N21" s="5" t="str">
        <f>IFERROR(__xludf.DUMMYFUNCTION("GOOGLETRANSLATE(D21, ""en"", ""ur"")"),"ب) 4 سینٹی میٹر چوڑا x 2 سینٹی میٹر موٹا")</f>
        <v>ب) 4 سینٹی میٹر چوڑا x 2 سینٹی میٹر موٹا</v>
      </c>
      <c r="O21" s="5" t="str">
        <f>IFERROR(__xludf.DUMMYFUNCTION("GOOGLETRANSLATE(E21, ""en"", ""ur"")"),"پیگ عام طور پر سوار کو پیش کیے جانے والے چہرے پر 4 سینٹی میٹر چوڑا اور 2 سینٹی میٹر موٹا ہوتا ہے، جو ایک معیاری اور چیلنجنگ ہدف فراہم کرتا ہے۔")</f>
        <v>پیگ عام طور پر سوار کو پیش کیے جانے والے چہرے پر 4 سینٹی میٹر چوڑا اور 2 سینٹی میٹر موٹا ہوتا ہے، جو ایک معیاری اور چیلنجنگ ہدف فراہم کرتا ہے۔</v>
      </c>
    </row>
    <row r="22">
      <c r="A22" s="3">
        <v>21.0</v>
      </c>
      <c r="B22" s="4" t="s">
        <v>2918</v>
      </c>
      <c r="C22" s="4" t="s">
        <v>2919</v>
      </c>
      <c r="D22" s="4" t="s">
        <v>2920</v>
      </c>
      <c r="E22" s="4" t="s">
        <v>2921</v>
      </c>
      <c r="K22" s="5" t="str">
        <f>IFERROR(__xludf.DUMMYFUNCTION("GOOGLETRANSLATE(A22, ""en"", ""ur"")"),"21")</f>
        <v>21</v>
      </c>
      <c r="L22" s="5" t="str">
        <f>IFERROR(__xludf.DUMMYFUNCTION("GOOGLETRANSLATE(B22, ""en"", ""ur"")"),"تمام سواروں کے لیے مناسب چیلنج فراہم کرنے کے لیے عام طور پر زمین میں کھونٹی کو کس زاویے پر رکھا جاتا ہے؟")</f>
        <v>تمام سواروں کے لیے مناسب چیلنج فراہم کرنے کے لیے عام طور پر زمین میں کھونٹی کو کس زاویے پر رکھا جاتا ہے؟</v>
      </c>
      <c r="M22" s="5" t="str">
        <f>IFERROR(__xludf.DUMMYFUNCTION("GOOGLETRANSLATE(C22, ""en"", ""ur"")"),"A) 30 ڈگری، B) 45 ڈگری، C) 60 ڈگری، D) 90 ڈگری (عمودی)")</f>
        <v>A) 30 ڈگری، B) 45 ڈگری، C) 60 ڈگری، D) 90 ڈگری (عمودی)</v>
      </c>
      <c r="N22" s="5" t="str">
        <f>IFERROR(__xludf.DUMMYFUNCTION("GOOGLETRANSLATE(D22, ""en"", ""ur"")"),"C) 60 ڈگری")</f>
        <v>C) 60 ڈگری</v>
      </c>
      <c r="O22" s="5" t="str">
        <f>IFERROR(__xludf.DUMMYFUNCTION("GOOGLETRANSLATE(E22, ""en"", ""ur"")"),"کھونٹی کو 60 ڈگری کے زاویے پر زمین میں داخل کیا جاتا ہے، چارج کی سمت سے ہٹ کر، لفٹ کے لیے مستقل دشواری کو یقینی بنانے کے لیے۔")</f>
        <v>کھونٹی کو 60 ڈگری کے زاویے پر زمین میں داخل کیا جاتا ہے، چارج کی سمت سے ہٹ کر، لفٹ کے لیے مستقل دشواری کو یقینی بنانے کے لیے۔</v>
      </c>
    </row>
    <row r="23">
      <c r="A23" s="3">
        <v>22.0</v>
      </c>
      <c r="B23" s="4" t="s">
        <v>2922</v>
      </c>
      <c r="C23" s="4" t="s">
        <v>2923</v>
      </c>
      <c r="D23" s="4" t="s">
        <v>2924</v>
      </c>
      <c r="E23" s="4" t="s">
        <v>2925</v>
      </c>
      <c r="K23" s="5" t="str">
        <f>IFERROR(__xludf.DUMMYFUNCTION("GOOGLETRANSLATE(A23, ""en"", ""ur"")"),"22")</f>
        <v>22</v>
      </c>
      <c r="L23" s="5" t="str">
        <f>IFERROR(__xludf.DUMMYFUNCTION("GOOGLETRANSLATE(B23, ""en"", ""ur"")"),"""رنگ اینڈ پیگ"" ایونٹ میں، ایک سوار کو ایک ہی دوڑ میں کیا کرنا چاہیے؟")</f>
        <v>"رنگ اینڈ پیگ" ایونٹ میں، ایک سوار کو ایک ہی دوڑ میں کیا کرنا چاہیے؟</v>
      </c>
      <c r="M23" s="5" t="str">
        <f>IFERROR(__xludf.DUMMYFUNCTION("GOOGLETRANSLATE(C23, ""en"", ""ur"")"),"A)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f>
        <v>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v>
      </c>
      <c r="N23" s="5" t="str">
        <f>IFERROR(__xludf.DUMMYFUNCTION("GOOGLETRANSLATE(D23, ""en"", ""ur"")"),"ب) ایک انگوٹھی اور پھر ایک کھونٹی نیزہ")</f>
        <v>ب) ایک انگوٹھی اور پھر ایک کھونٹی نیزہ</v>
      </c>
      <c r="O23" s="5" t="str">
        <f>IFERROR(__xludf.DUMMYFUNCTION("GOOGLETRANSLATE(E23, ""en"", ""ur"")"),"یہ نظم و ضبط سوار کی اپنے مقصد کو ایڈجسٹ کرنے کی صلاحیت کی جانچ کرتا ہے، پہلے ایک چھوٹی سی معطل انگوٹھی کو جمع کرتا ہے اور پھر اسی دوڑ میں زمینی کھونٹی مارتا ہے۔")</f>
        <v>یہ نظم و ضبط سوار کی اپنے مقصد کو ایڈجسٹ کرنے کی صلاحیت کی جانچ کرتا ہے، پہلے ایک چھوٹی سی معطل انگوٹھی کو جمع کرتا ہے اور پھر اسی دوڑ میں زمینی کھونٹی مارتا ہے۔</v>
      </c>
    </row>
    <row r="24">
      <c r="A24" s="3">
        <v>23.0</v>
      </c>
      <c r="B24" s="4" t="s">
        <v>2926</v>
      </c>
      <c r="C24" s="4" t="s">
        <v>2927</v>
      </c>
      <c r="D24" s="4" t="s">
        <v>2928</v>
      </c>
      <c r="E24" s="4" t="s">
        <v>2929</v>
      </c>
      <c r="K24" s="5" t="str">
        <f>IFERROR(__xludf.DUMMYFUNCTION("GOOGLETRANSLATE(A24, ""en"", ""ur"")"),"23")</f>
        <v>23</v>
      </c>
      <c r="L24" s="5" t="str">
        <f>IFERROR(__xludf.DUMMYFUNCTION("GOOGLETRANSLATE(B24, ""en"", ""ur"")"),"دوڑ کے دوران اگر سوار گھوڑے سے گر جائے تو اس کا کیا حکم ہے؟")</f>
        <v>دوڑ کے دوران اگر سوار گھوڑے سے گر جائے تو اس کا کیا حکم ہے؟</v>
      </c>
      <c r="M24" s="5" t="str">
        <f>IFERROR(__xludf.DUMMYFUNCTION("GOOGLETRANSLATE(C24, ""en"", ""ur"")"),"A)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f>
        <v>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v>
      </c>
      <c r="N24" s="5" t="str">
        <f>IFERROR(__xludf.DUMMYFUNCTION("GOOGLETRANSLATE(D24, ""en"", ""ur"")"),"C) وہ اس رن سے باہر ہو جاتے ہیں اور صفر کا سکور حاصل کرتے ہیں۔")</f>
        <v>C) وہ اس رن سے باہر ہو جاتے ہیں اور صفر کا سکور حاصل کرتے ہیں۔</v>
      </c>
      <c r="O24" s="5" t="str">
        <f>IFERROR(__xludf.DUMMYFUNCTION("GOOGLETRANSLATE(E24, ""en"", ""ur"")"),"گھوڑے سے گرنے کا نتیجہ حفاظتی وجوہات کی بنا پر اس مخصوص دوڑ سے فوری طور پر ختم ہو جاتا ہے۔")</f>
        <v>گھوڑے سے گرنے کا نتیجہ حفاظتی وجوہات کی بنا پر اس مخصوص دوڑ سے فوری طور پر ختم ہو جاتا ہے۔</v>
      </c>
    </row>
    <row r="25">
      <c r="A25" s="3">
        <v>24.0</v>
      </c>
      <c r="B25" s="4" t="s">
        <v>2930</v>
      </c>
      <c r="C25" s="4" t="s">
        <v>2931</v>
      </c>
      <c r="D25" s="4" t="s">
        <v>2932</v>
      </c>
      <c r="E25" s="4" t="s">
        <v>2933</v>
      </c>
      <c r="K25" s="5" t="str">
        <f>IFERROR(__xludf.DUMMYFUNCTION("GOOGLETRANSLATE(A25, ""en"", ""ur"")"),"24")</f>
        <v>24</v>
      </c>
      <c r="L25" s="5" t="str">
        <f>IFERROR(__xludf.DUMMYFUNCTION("GOOGLETRANSLATE(B25, ""en"", ""ur"")"),"ٹیم ایونٹس میں، ""مکمل پاس"" کیا ہے؟")</f>
        <v>ٹیم ایونٹس میں، "مکمل پاس" کیا ہے؟</v>
      </c>
      <c r="M25" s="5" t="str">
        <f>IFERROR(__xludf.DUMMYFUNCTION("GOOGLETRANSLATE(C25, ""en"", ""ur"")"),"A) ٹیم اگلے راؤنڈ میں پہنچ گئی ہے، B) سیکشن کے چاروں سواروں نے کامیابی کے ساتھ مکمل پیگ اسکور کیا ہے، C) چاروں سواروں نے اپنے پیگ چھوٹ دیے ہیں، D) ٹیم نے مقررہ وقت میں رن مکمل کیا۔")</f>
        <v>A) ٹیم اگلے راؤنڈ میں پہنچ گئی ہے، B) سیکشن کے چاروں سواروں نے کامیابی کے ساتھ مکمل پیگ اسکور کیا ہے، C) چاروں سواروں نے اپنے پیگ چھوٹ دیے ہیں، D) ٹیم نے مقررہ وقت میں رن مکمل کیا۔</v>
      </c>
      <c r="N25" s="5" t="str">
        <f>IFERROR(__xludf.DUMMYFUNCTION("GOOGLETRANSLATE(D25, ""en"", ""ur"")"),"ب) سیکشن میں چاروں سواروں نے کامیابی سے مکمل پیگ اسکور کیا ہے۔")</f>
        <v>ب) سیکشن میں چاروں سواروں نے کامیابی سے مکمل پیگ اسکور کیا ہے۔</v>
      </c>
      <c r="O25" s="5" t="str">
        <f>IFERROR(__xludf.DUMMYFUNCTION("GOOGLETRANSLATE(E25, ""en"", ""ur"")"),"ایک ""مکمل پاس"" ایک بہترین دوڑ ہے جہاں ٹیم کا ہر رکن زیادہ سے زیادہ پوائنٹس اسکور کرتا ہے، اکثر مجموعی سٹینڈنگ میں بونس حاصل کرتا ہے۔")</f>
        <v>ایک "مکمل پاس" ایک بہترین دوڑ ہے جہاں ٹیم کا ہر رکن زیادہ سے زیادہ پوائنٹس اسکور کرتا ہے، اکثر مجموعی سٹینڈنگ میں بونس حاصل کرتا ہے۔</v>
      </c>
    </row>
    <row r="26">
      <c r="A26" s="3">
        <v>25.0</v>
      </c>
      <c r="B26" s="4" t="s">
        <v>2934</v>
      </c>
      <c r="C26" s="4" t="s">
        <v>2935</v>
      </c>
      <c r="D26" s="4" t="s">
        <v>2936</v>
      </c>
      <c r="E26" s="4" t="s">
        <v>2937</v>
      </c>
      <c r="K26" s="5" t="str">
        <f>IFERROR(__xludf.DUMMYFUNCTION("GOOGLETRANSLATE(A26, ""en"", ""ur"")"),"25")</f>
        <v>25</v>
      </c>
      <c r="L26" s="5" t="str">
        <f>IFERROR(__xludf.DUMMYFUNCTION("GOOGLETRANSLATE(B26, ""en"", ""ur"")"),"ایک سوار کا لانس کھونٹی تک پہنچنے سے پہلے زمین کو چھوتا ہے۔ جرمانہ کیا ہے؟")</f>
        <v>ایک سوار کا لانس کھونٹی تک پہنچنے سے پہلے زمین کو چھوتا ہے۔ جرمانہ کیا ہے؟</v>
      </c>
      <c r="M26" s="5" t="str">
        <f>IFERROR(__xludf.DUMMYFUNCTION("GOOGLETRANSLATE(C26, ""en"", ""ur"")"),"A) اس رن سے نااہلی (صفر کا سکور)، B) 2 پوائنٹ کی کٹوتی، C) ایک زبانی وارننگ جاری کی جاتی ہے، D) کوئی جرمانہ نہیں")</f>
        <v>A) اس رن سے نااہلی (صفر کا سکور)، B) 2 پوائنٹ کی کٹوتی، C) ایک زبانی وارننگ جاری کی جاتی ہے، D) کوئی جرمانہ نہیں</v>
      </c>
      <c r="N26" s="5" t="str">
        <f>IFERROR(__xludf.DUMMYFUNCTION("GOOGLETRANSLATE(D26, ""en"", ""ur"")"),"ا) اس رن سے نااہلی (صفر کا سکور)")</f>
        <v>ا) اس رن سے نااہلی (صفر کا سکور)</v>
      </c>
      <c r="O26" s="5" t="str">
        <f>IFERROR(__xludf.DUMMYFUNCTION("GOOGLETRANSLATE(E26, ""en"", ""ur"")"),"سوار کو اپنا ہتھیار صاف رکھنا چاہیے۔ ہدف سے پہلے لانس کے ساتھ زمین کو چھونے سے اس کوشش کا اسکور صفر ہوتا ہے۔")</f>
        <v>سوار کو اپنا ہتھیار صاف رکھنا چاہیے۔ ہدف سے پہلے لانس کے ساتھ زمین کو چھونے سے اس کوشش کا اسکور صفر ہوتا ہے۔</v>
      </c>
    </row>
    <row r="27">
      <c r="A27" s="3">
        <v>26.0</v>
      </c>
      <c r="B27" s="4" t="s">
        <v>2938</v>
      </c>
      <c r="C27" s="4" t="s">
        <v>2939</v>
      </c>
      <c r="D27" s="4" t="s">
        <v>2940</v>
      </c>
      <c r="E27" s="4" t="s">
        <v>2941</v>
      </c>
      <c r="K27" s="5" t="str">
        <f>IFERROR(__xludf.DUMMYFUNCTION("GOOGLETRANSLATE(A27, ""en"", ""ur"")"),"26")</f>
        <v>26</v>
      </c>
      <c r="L27" s="5" t="str">
        <f>IFERROR(__xludf.DUMMYFUNCTION("GOOGLETRANSLATE(B27, ""en"", ""ur"")"),"پاکستان کے فوجی اور ثقافتی ورثے کا کون سا حصہ ٹینٹ پیگنگ میں سب سے زیادہ جھلکتا ہے؟")</f>
        <v>پاکستان کے فوجی اور ثقافتی ورثے کا کون سا حصہ ٹینٹ پیگنگ میں سب سے زیادہ جھلکتا ہے؟</v>
      </c>
      <c r="M27" s="5" t="str">
        <f>IFERROR(__xludf.DUMMYFUNCTION("GOOGLETRANSLATE(C27, ""en"", ""ur"")"),"A) بحری روایات، B) پیادہ مشقیں، C) مغل اور برطانوی ہندوستانی گھڑسوار فوج کی میراث، D) فضائیہ کی تقریبات")</f>
        <v>A) بحری روایات، B) پیادہ مشقیں، C) مغل اور برطانوی ہندوستانی گھڑسوار فوج کی میراث، D) فضائیہ کی تقریبات</v>
      </c>
      <c r="N27" s="5" t="str">
        <f>IFERROR(__xludf.DUMMYFUNCTION("GOOGLETRANSLATE(D27, ""en"", ""ur"")"),"ج) مغل اور برطانوی ہندوستانی گھڑسوار فوج کی میراث")</f>
        <v>ج) مغل اور برطانوی ہندوستانی گھڑسوار فوج کی میراث</v>
      </c>
      <c r="O27" s="5" t="str">
        <f>IFERROR(__xludf.DUMMYFUNCTION("GOOGLETRANSLATE(E27, ""en"", ""ur"")"),"یہ کھیل برصغیر پاک و ہند کی تاریخی کیولری رجمنٹوں کی مہارت اور مقابلہ بازی کا براہ راست تسلسل ہے۔")</f>
        <v>یہ کھیل برصغیر پاک و ہند کی تاریخی کیولری رجمنٹوں کی مہارت اور مقابلہ بازی کا براہ راست تسلسل ہے۔</v>
      </c>
    </row>
    <row r="28">
      <c r="A28" s="3">
        <v>27.0</v>
      </c>
      <c r="B28" s="4" t="s">
        <v>2942</v>
      </c>
      <c r="C28" s="4" t="s">
        <v>2943</v>
      </c>
      <c r="D28" s="4" t="s">
        <v>2944</v>
      </c>
      <c r="E28" s="4" t="s">
        <v>2945</v>
      </c>
      <c r="K28" s="5" t="str">
        <f>IFERROR(__xludf.DUMMYFUNCTION("GOOGLETRANSLATE(A28, ""en"", ""ur"")"),"27")</f>
        <v>27</v>
      </c>
      <c r="L28" s="5" t="str">
        <f>IFERROR(__xludf.DUMMYFUNCTION("GOOGLETRANSLATE(B28, ""en"", ""ur"")"),"اگر کوئی سوار کامیابی کے ساتھ ختم لائن پر لے جانے کے بعد ہی کھونٹی گرا دے تو اس کا کیا حکم ہے؟")</f>
        <v>اگر کوئی سوار کامیابی کے ساتھ ختم لائن پر لے جانے کے بعد ہی کھونٹی گرا دے تو اس کا کیا حکم ہے؟</v>
      </c>
      <c r="M28" s="5" t="str">
        <f>IFERROR(__xludf.DUMMYFUNCTION("GOOGLETRANSLATE(C28, ""en"", ""ur"")"),"A) سکور منسوخ کر دیا جاتا ہے، B) سوار کو 2 پوائنٹس کا جرمانہ ملتا ہے، C) رن کو ""فل پیگ"" (6 پوائنٹس) کے طور پر اسکور کیا جاتا ہے، D) رن کو ""ڈرا ہوا پیگ"" کے طور پر بنایا جاتا ہے (2 پوائنٹس)")</f>
        <v>A) سکور منسوخ کر دیا جاتا ہے، B) سوار کو 2 پوائنٹس کا جرمانہ ملتا ہے، C) رن کو "فل پیگ" (6 پوائنٹس) کے طور پر اسکور کیا جاتا ہے، D) رن کو "ڈرا ہوا پیگ" کے طور پر بنایا جاتا ہے (2 پوائنٹس)</v>
      </c>
      <c r="N28" s="5" t="str">
        <f>IFERROR(__xludf.DUMMYFUNCTION("GOOGLETRANSLATE(D28, ""en"", ""ur"")"),"C) رن کو ""فل پیگ"" کے طور پر بنایا جاتا ہے (6 پوائنٹس)")</f>
        <v>C) رن کو "فل پیگ" کے طور پر بنایا جاتا ہے (6 پوائنٹس)</v>
      </c>
      <c r="O28" s="5" t="str">
        <f>IFERROR(__xludf.DUMMYFUNCTION("GOOGLETRANSLATE(E28, ""en"", ""ur"")"),"کھونٹی کو ختم لائن کے پار لے جانا ضروری ہے۔ ایک بار لائن کراس کرنے کے بعد، سکور درست ہے، اور اسے بعد میں چھوڑنے سے پوائنٹس باطل نہیں ہوتے۔")</f>
        <v>کھونٹی کو ختم لائن کے پار لے جانا ضروری ہے۔ ایک بار لائن کراس کرنے کے بعد، سکور درست ہے، اور اسے بعد میں چھوڑنے سے پوائنٹس باطل نہیں ہوتے۔</v>
      </c>
    </row>
    <row r="29">
      <c r="A29" s="3">
        <v>28.0</v>
      </c>
      <c r="B29" s="4" t="s">
        <v>2946</v>
      </c>
      <c r="C29" s="4" t="s">
        <v>2947</v>
      </c>
      <c r="D29" s="4" t="s">
        <v>2948</v>
      </c>
      <c r="E29" s="4" t="s">
        <v>2949</v>
      </c>
      <c r="K29" s="5" t="str">
        <f>IFERROR(__xludf.DUMMYFUNCTION("GOOGLETRANSLATE(A29, ""en"", ""ur"")"),"28")</f>
        <v>28</v>
      </c>
      <c r="L29" s="5" t="str">
        <f>IFERROR(__xludf.DUMMYFUNCTION("GOOGLETRANSLATE(B29, ""en"", ""ur"")"),"جدید، مسابقتی گریڈ لانس کا بنیادی مواد کیا ہے؟")</f>
        <v>جدید، مسابقتی گریڈ لانس کا بنیادی مواد کیا ہے؟</v>
      </c>
      <c r="M29" s="5" t="str">
        <f>IFERROR(__xludf.DUMMYFUNCTION("GOOGLETRANSLATE(C29, ""en"", ""ur"")"),"A) ٹھوس لکڑی، B) ایلومینیم، C) فائبر گلاس یا اعلیٰ معیار کا بانس، D) سٹیل")</f>
        <v>A) ٹھوس لکڑی، B) ایلومینیم، C) فائبر گلاس یا اعلیٰ معیار کا بانس، D) سٹیل</v>
      </c>
      <c r="N29" s="5" t="str">
        <f>IFERROR(__xludf.DUMMYFUNCTION("GOOGLETRANSLATE(D29, ""en"", ""ur"")"),"سی) فائبر گلاس یا اعلی معیار کا بانس")</f>
        <v>سی) فائبر گلاس یا اعلی معیار کا بانس</v>
      </c>
      <c r="O29" s="5" t="str">
        <f>IFERROR(__xludf.DUMMYFUNCTION("GOOGLETRANSLATE(E29, ""en"", ""ur"")"),"زیادہ سے زیادہ کارکردگی کے لیے طاقت، لچک اور ہلکے وزن کا امتزاج فراہم کرنے کے لیے جدید لینس اکثر ان مواد سے بنائے جاتے ہیں۔")</f>
        <v>زیادہ سے زیادہ کارکردگی کے لیے طاقت، لچک اور ہلکے وزن کا امتزاج فراہم کرنے کے لیے جدید لینس اکثر ان مواد سے بنائے جاتے ہیں۔</v>
      </c>
    </row>
    <row r="30">
      <c r="A30" s="3">
        <v>29.0</v>
      </c>
      <c r="B30" s="4" t="s">
        <v>2950</v>
      </c>
      <c r="C30" s="4" t="s">
        <v>2951</v>
      </c>
      <c r="D30" s="4" t="s">
        <v>2952</v>
      </c>
      <c r="E30" s="4" t="s">
        <v>2953</v>
      </c>
      <c r="K30" s="5" t="str">
        <f>IFERROR(__xludf.DUMMYFUNCTION("GOOGLETRANSLATE(A30, ""en"", ""ur"")"),"29")</f>
        <v>29</v>
      </c>
      <c r="L30" s="5" t="str">
        <f>IFERROR(__xludf.DUMMYFUNCTION("GOOGLETRANSLATE(B30, ""en"", ""ur"")"),"کس نوآبادیاتی دور کے افسر کو ٹینٹ پیگنگ کے قوانین کو باقاعدہ بنانے اور اسے ایک کھیل کے طور پر فروغ دینے کا سہرا دیا جاتا ہے؟")</f>
        <v>کس نوآبادیاتی دور کے افسر کو ٹینٹ پیگنگ کے قوانین کو باقاعدہ بنانے اور اسے ایک کھیل کے طور پر فروغ دینے کا سہرا دیا جاتا ہے؟</v>
      </c>
      <c r="M30" s="5" t="str">
        <f>IFERROR(__xludf.DUMMYFUNCTION("GOOGLETRANSLATE(C30, ""en"", ""ur"")"),"A) لارڈ کرزن، B) لارڈ ماؤنٹ بیٹن، C) جنرل لارڈ رابرٹس، D) رابرٹ کلائیو")</f>
        <v>A) لارڈ کرزن، B) لارڈ ماؤنٹ بیٹن، C) جنرل لارڈ رابرٹس، D) رابرٹ کلائیو</v>
      </c>
      <c r="N30" s="5" t="str">
        <f>IFERROR(__xludf.DUMMYFUNCTION("GOOGLETRANSLATE(D30, ""en"", ""ur"")"),"ج) جنرل لارڈ رابرٹس")</f>
        <v>ج) جنرل لارڈ رابرٹس</v>
      </c>
      <c r="O30" s="5" t="str">
        <f>IFERROR(__xludf.DUMMYFUNCTION("GOOGLETRANSLATE(E30, ""en"", ""ur"")"),"لارڈ رابرٹس نے 19ویں صدی کے اواخر میں اس کھیل کے قوانین کو وضع کرنے اور اسے برٹش انڈین آرمی میں مقبول بنانے میں اہم کردار ادا کیا۔")</f>
        <v>لارڈ رابرٹس نے 19ویں صدی کے اواخر میں اس کھیل کے قوانین کو وضع کرنے اور اسے برٹش انڈین آرمی میں مقبول بنانے میں اہم کردار ادا کیا۔</v>
      </c>
    </row>
    <row r="31">
      <c r="A31" s="3">
        <v>30.0</v>
      </c>
      <c r="B31" s="4" t="s">
        <v>2954</v>
      </c>
      <c r="C31" s="4" t="s">
        <v>2955</v>
      </c>
      <c r="D31" s="4" t="s">
        <v>2956</v>
      </c>
      <c r="E31" s="4" t="s">
        <v>2957</v>
      </c>
      <c r="K31" s="5" t="str">
        <f>IFERROR(__xludf.DUMMYFUNCTION("GOOGLETRANSLATE(A31, ""en"", ""ur"")"),"30")</f>
        <v>30</v>
      </c>
      <c r="L31" s="5" t="str">
        <f>IFERROR(__xludf.DUMMYFUNCTION("GOOGLETRANSLATE(B31, ""en"", ""ur"")"),"ایک سوار کا گھوڑا سرپٹ بھاگنے سے انکار کرتا ہے اور دھیمی رفتار سے دوڑ مکمل کرتا ہے۔ سب سے زیادہ ممکنہ نتیجہ کیا ہے؟")</f>
        <v>ایک سوار کا گھوڑا سرپٹ بھاگنے سے انکار کرتا ہے اور دھیمی رفتار سے دوڑ مکمل کرتا ہے۔ سب سے زیادہ ممکنہ نتیجہ کیا ہے؟</v>
      </c>
      <c r="M31" s="5" t="str">
        <f>IFERROR(__xludf.DUMMYFUNCTION("GOOGLETRANSLATE(C31, ""en"", ""ur"")"),"A) سوار کو بہت سست ہونے کی وجہ سے نااہل قرار دیا جاتا ہے، B) سوار کو کھونٹی مارنے پر پوائنٹس دیئے جائیں گے، C) وقت کی حد سے تجاوز کرنے پر سوار صفر اسکور کرے گا، D) سوار کو مختلف گھوڑے کے ساتھ دوبارہ دوڑایا جائے گا۔")</f>
        <v>A) سوار کو بہت سست ہونے کی وجہ سے نااہل قرار دیا جاتا ہے، B) سوار کو کھونٹی مارنے پر پوائنٹس دیئے جائیں گے، C) وقت کی حد سے تجاوز کرنے پر سوار صفر اسکور کرے گا، D) سوار کو مختلف گھوڑے کے ساتھ دوبارہ دوڑایا جائے گا۔</v>
      </c>
      <c r="N31" s="5" t="str">
        <f>IFERROR(__xludf.DUMMYFUNCTION("GOOGLETRANSLATE(D31, ""en"", ""ur"")"),"C) وقت کی حد سے تجاوز کرنے پر سوار صفر اسکور کرے گا۔")</f>
        <v>C) وقت کی حد سے تجاوز کرنے پر سوار صفر اسکور کرے گا۔</v>
      </c>
      <c r="O31" s="5" t="str">
        <f>IFERROR(__xludf.DUMMYFUNCTION("GOOGLETRANSLATE(E31, ""en"", ""ur"")"),"بہت آہستہ چلنے والا گھوڑا 100 میٹر ٹریک کو سخت وقت کی حد (مثلاً 8 سیکنڈ) میں نہیں ڈھانپ سکتا، جس کے نتیجے میں وقت کی خرابی ہوتی ہے۔")</f>
        <v>بہت آہستہ چلنے والا گھوڑا 100 میٹر ٹریک کو سخت وقت کی حد (مثلاً 8 سیکنڈ) میں نہیں ڈھانپ سکتا، جس کے نتیجے میں وقت کی خرابی ہوتی ہے۔</v>
      </c>
    </row>
    <row r="32">
      <c r="A32" s="3">
        <v>31.0</v>
      </c>
      <c r="B32" s="4" t="s">
        <v>2958</v>
      </c>
      <c r="C32" s="4" t="s">
        <v>2959</v>
      </c>
      <c r="D32" s="4" t="s">
        <v>2960</v>
      </c>
      <c r="E32" s="4" t="s">
        <v>2961</v>
      </c>
      <c r="K32" s="5" t="str">
        <f>IFERROR(__xludf.DUMMYFUNCTION("GOOGLETRANSLATE(A32, ""en"", ""ur"")"),"31")</f>
        <v>31</v>
      </c>
      <c r="L32" s="5" t="str">
        <f>IFERROR(__xludf.DUMMYFUNCTION("GOOGLETRANSLATE(B32, ""en"", ""ur"")"),"ٹیم ریلے ایونٹس میں، عام طور پر سواروں کے درمیان تبدیلی کیسے کی جاتی ہے؟")</f>
        <v>ٹیم ریلے ایونٹس میں، عام طور پر سواروں کے درمیان تبدیلی کیسے کی جاتی ہے؟</v>
      </c>
      <c r="M32" s="5" t="str">
        <f>IFERROR(__xludf.DUMMYFUNCTION("GOOGLETRANSLATE(C32, ""en"", ""ur"")"),"A)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f>
        <v>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v>
      </c>
      <c r="N32" s="5" t="str">
        <f>IFERROR(__xludf.DUMMYFUNCTION("GOOGLETRANSLATE(D32, ""en"", ""ur"")"),"ب) اگلا سوار اپنی دوڑ شروع کرتا ہے کیونکہ پچھلا سوار فائنل لائن کو عبور کرتا ہے۔")</f>
        <v>ب) اگلا سوار اپنی دوڑ شروع کرتا ہے کیونکہ پچھلا سوار فائنل لائن کو عبور کرتا ہے۔</v>
      </c>
      <c r="O32" s="5" t="str">
        <f>IFERROR(__xludf.DUMMYFUNCTION("GOOGLETRANSLATE(E32, ""en"", ""ur"")"),"ریلے رفتار اور وقت کا ایک امتحان ہے، جس میں ایک رن ختم ہونے سے اگلے سوار کی ترتیب میں آغاز ہوتا ہے۔")</f>
        <v>ریلے رفتار اور وقت کا ایک امتحان ہے، جس میں ایک رن ختم ہونے سے اگلے سوار کی ترتیب میں آغاز ہوتا ہے۔</v>
      </c>
    </row>
    <row r="33">
      <c r="A33" s="3">
        <v>32.0</v>
      </c>
      <c r="B33" s="4" t="s">
        <v>2962</v>
      </c>
      <c r="C33" s="4" t="s">
        <v>2963</v>
      </c>
      <c r="D33" s="4" t="s">
        <v>2964</v>
      </c>
      <c r="E33" s="4" t="s">
        <v>2965</v>
      </c>
      <c r="K33" s="5" t="str">
        <f>IFERROR(__xludf.DUMMYFUNCTION("GOOGLETRANSLATE(A33, ""en"", ""ur"")"),"32")</f>
        <v>32</v>
      </c>
      <c r="L33" s="5" t="str">
        <f>IFERROR(__xludf.DUMMYFUNCTION("GOOGLETRANSLATE(B33, ""en"", ""ur"")"),"اگر ایک کھونٹی صحیح سے ماری جائے لیکن دو ٹکڑے ہو جائے اور ایک حصہ زمین میں رہ جائے تو اس کا کیا حکم ہے؟")</f>
        <v>اگر ایک کھونٹی صحیح سے ماری جائے لیکن دو ٹکڑے ہو جائے اور ایک حصہ زمین میں رہ جائے تو اس کا کیا حکم ہے؟</v>
      </c>
      <c r="M33" s="5" t="str">
        <f>IFERROR(__xludf.DUMMYFUNCTION("GOOGLETRANSLATE(C33, ""en"", ""ur"")"),"A) کوئی پوائنٹ نہیں دیا جاتا ہے، B) A ""Full Peg"" دیا جاتا ہے، C) A ""Drawn Peg"" دیا جاتا ہے، D) رن دوبارہ چلایا جاتا ہے")</f>
        <v>A) کوئی پوائنٹ نہیں دیا جاتا ہے، B) A "Full Peg" دیا جاتا ہے، C) A "Drawn Peg" دیا جاتا ہے، D) رن دوبارہ چلایا جاتا ہے</v>
      </c>
      <c r="N33" s="5" t="str">
        <f>IFERROR(__xludf.DUMMYFUNCTION("GOOGLETRANSLATE(D33, ""en"", ""ur"")"),"C) A ""Drawn Peg"" سے نوازا جاتا ہے۔")</f>
        <v>C) A "Drawn Peg" سے نوازا جاتا ہے۔</v>
      </c>
      <c r="O33" s="5" t="str">
        <f>IFERROR(__xludf.DUMMYFUNCTION("GOOGLETRANSLATE(E33, ""en"", ""ur"")"),"چونکہ کھونٹی کو زمین سے صاف طور پر نہیں اٹھایا گیا تھا، لیکن کامیابی کے ساتھ مارا گیا تھا اور اسے ہٹا دیا گیا تھا، اس لیے اسے 2 نکاتی ""ڈرا"" پیگ کے طور پر اسکور کیا جاتا ہے۔")</f>
        <v>چونکہ کھونٹی کو زمین سے صاف طور پر نہیں اٹھایا گیا تھا، لیکن کامیابی کے ساتھ مارا گیا تھا اور اسے ہٹا دیا گیا تھا، اس لیے اسے 2 نکاتی "ڈرا" پیگ کے طور پر اسکور کیا جاتا ہے۔</v>
      </c>
    </row>
    <row r="34">
      <c r="A34" s="3">
        <v>33.0</v>
      </c>
      <c r="B34" s="4" t="s">
        <v>2966</v>
      </c>
      <c r="C34" s="4" t="s">
        <v>2967</v>
      </c>
      <c r="D34" s="4" t="s">
        <v>2968</v>
      </c>
      <c r="E34" s="4" t="s">
        <v>2969</v>
      </c>
      <c r="K34" s="5" t="str">
        <f>IFERROR(__xludf.DUMMYFUNCTION("GOOGLETRANSLATE(A34, ""en"", ""ur"")"),"33")</f>
        <v>33</v>
      </c>
      <c r="L34" s="5" t="str">
        <f>IFERROR(__xludf.DUMMYFUNCTION("GOOGLETRANSLATE(B34, ""en"", ""ur"")"),"""انڈین فائل"" ایک ٹیم ایونٹ ہے۔ اس میں سواروں کو کیا کرنے کی ضرورت ہے؟")</f>
        <v>"انڈین فائل" ایک ٹیم ایونٹ ہے۔ اس میں سواروں کو کیا کرنے کی ضرورت ہے؟</v>
      </c>
      <c r="M34" s="5" t="str">
        <f>IFERROR(__xludf.DUMMYFUNCTION("GOOGLETRANSLATE(C34, ""en"", ""ur"")"),"A) ایک ہی فائل لائن میں سواری کریں، ہر ایک لگاتار ایک پیگ مارتا ہے، B) وی فارمیشن میں سواری، C) سب ایک ہی پیگ مارتے ہیں، D) رسمی سلامی پیش کرتے ہیں۔")</f>
        <v>A) ایک ہی فائل لائن میں سواری کریں، ہر ایک لگاتار ایک پیگ مارتا ہے، B) وی فارمیشن میں سواری، C) سب ایک ہی پیگ مارتے ہیں، D) رسمی سلامی پیش کرتے ہیں۔</v>
      </c>
      <c r="N34" s="5" t="str">
        <f>IFERROR(__xludf.DUMMYFUNCTION("GOOGLETRANSLATE(D34, ""en"", ""ur"")"),"A) ایک فائل لائن میں سواری کریں، ہر ایک لگاتار پیگ مارتا ہے۔")</f>
        <v>A) ایک فائل لائن میں سواری کریں، ہر ایک لگاتار پیگ مارتا ہے۔</v>
      </c>
      <c r="O34" s="5" t="str">
        <f>IFERROR(__xludf.DUMMYFUNCTION("GOOGLETRANSLATE(E34, ""en"", ""ur"")"),"یہ نظم و ضبط ہر سوار کی انفرادی توجہ اور مہارت کو جانچتا ہے جب کہ ایک سخت، تیز رفتار شکل میں سواری کرتے ہیں۔")</f>
        <v>یہ نظم و ضبط ہر سوار کی انفرادی توجہ اور مہارت کو جانچتا ہے جب کہ ایک سخت، تیز رفتار شکل میں سواری کرتے ہیں۔</v>
      </c>
    </row>
    <row r="35">
      <c r="A35" s="3">
        <v>34.0</v>
      </c>
      <c r="B35" s="4" t="s">
        <v>2970</v>
      </c>
      <c r="C35" s="4" t="s">
        <v>2971</v>
      </c>
      <c r="D35" s="4" t="s">
        <v>2972</v>
      </c>
      <c r="E35" s="4" t="s">
        <v>2973</v>
      </c>
      <c r="K35" s="5" t="str">
        <f>IFERROR(__xludf.DUMMYFUNCTION("GOOGLETRANSLATE(A35, ""en"", ""ur"")"),"34")</f>
        <v>34</v>
      </c>
      <c r="L35" s="5" t="str">
        <f>IFERROR(__xludf.DUMMYFUNCTION("GOOGLETRANSLATE(B35, ""en"", ""ur"")"),"رن کے دوران ہیلمٹ کھونے والے سوار کے لیے کیا سزا ہے؟")</f>
        <v>رن کے دوران ہیلمٹ کھونے والے سوار کے لیے کیا سزا ہے؟</v>
      </c>
      <c r="M35" s="5" t="str">
        <f>IFERROR(__xludf.DUMMYFUNCTION("GOOGLETRANSLATE(C35, ""en"", ""ur"")"),"A) کوئی جرمانہ نہیں ہے، B) 2 پوائنٹ کی کٹوتی، C) اس رن سے نااہلی (صفر کا سکور)، D) پوری ٹیم کو نااہل قرار دیا گیا ہے۔")</f>
        <v>A) کوئی جرمانہ نہیں ہے، B) 2 پوائنٹ کی کٹوتی، C) اس رن سے نااہلی (صفر کا سکور)، D) پوری ٹیم کو نااہل قرار دیا گیا ہے۔</v>
      </c>
      <c r="N35" s="5" t="str">
        <f>IFERROR(__xludf.DUMMYFUNCTION("GOOGLETRANSLATE(D35, ""en"", ""ur"")"),"C) اس رن سے نااہلی (صفر کا سکور)")</f>
        <v>C) اس رن سے نااہلی (صفر کا سکور)</v>
      </c>
      <c r="O35" s="5" t="str">
        <f>IFERROR(__xludf.DUMMYFUNCTION("GOOGLETRANSLATE(E35, ""en"", ""ur"")"),"ہیلمٹ لازمی حفاظتی سامان ہے۔ اگر یہ گر جاتا ہے، تو حفاظتی وجوہات کی بناء پر صفر کے سکور کے ساتھ رن کو فوری طور پر منسوخ کر دیا جاتا ہے۔")</f>
        <v>ہیلمٹ لازمی حفاظتی سامان ہے۔ اگر یہ گر جاتا ہے، تو حفاظتی وجوہات کی بناء پر صفر کے سکور کے ساتھ رن کو فوری طور پر منسوخ کر دیا جاتا ہے۔</v>
      </c>
    </row>
    <row r="36">
      <c r="A36" s="3">
        <v>35.0</v>
      </c>
      <c r="B36" s="4" t="s">
        <v>2974</v>
      </c>
      <c r="C36" s="4" t="s">
        <v>2975</v>
      </c>
      <c r="D36" s="4" t="s">
        <v>2976</v>
      </c>
      <c r="E36" s="4" t="s">
        <v>2977</v>
      </c>
      <c r="K36" s="5" t="str">
        <f>IFERROR(__xludf.DUMMYFUNCTION("GOOGLETRANSLATE(A36, ""en"", ""ur"")"),"35")</f>
        <v>35</v>
      </c>
      <c r="L36" s="5" t="str">
        <f>IFERROR(__xludf.DUMMYFUNCTION("GOOGLETRANSLATE(B36, ""en"", ""ur"")"),"ٹینٹ پیگنگ گھوڑے کو کم سے کم لگام کے حکم کے ساتھ بالکل سیدھی لائن میں چلانے کی تربیت کیوں دی جانی چاہیے؟")</f>
        <v>ٹینٹ پیگنگ گھوڑے کو کم سے کم لگام کے حکم کے ساتھ بالکل سیدھی لائن میں چلانے کی تربیت کیوں دی جانی چاہیے؟</v>
      </c>
      <c r="M36" s="5" t="str">
        <f>IFERROR(__xludf.DUMMYFUNCTION("GOOGLETRANSLATE(C36, ""en"", ""ur"")"),"A) یہ ایک اصول ہے کہ لگام کا استعمال نہیں کیا جا سکتا، B) یہ سوار کو لانس پر ایک ہاتھ کی گرفت کے ساتھ ہدف پر مکمل توجہ مرکوز کرنے کی اجازت دیتا ہے، C) یہ زگ زیگ راستے سے زیادہ تیز ہے، D) یہ زیادہ روایتی ہے۔")</f>
        <v>A) یہ ایک اصول ہے کہ لگام کا استعمال نہیں کیا جا سکتا، B) یہ سوار کو لانس پر ایک ہاتھ کی گرفت کے ساتھ ہدف پر مکمل توجہ مرکوز کرنے کی اجازت دیتا ہے، C) یہ زگ زیگ راستے سے زیادہ تیز ہے، D) یہ زیادہ روایتی ہے۔</v>
      </c>
      <c r="N36" s="5" t="str">
        <f>IFERROR(__xludf.DUMMYFUNCTION("GOOGLETRANSLATE(D36, ""en"", ""ur"")"),"ب) یہ سوار کو لانس پر ایک ہاتھ کی گرفت کے ساتھ ہدف پر مکمل توجہ مرکوز کرنے دیتا ہے۔")</f>
        <v>ب) یہ سوار کو لانس پر ایک ہاتھ کی گرفت کے ساتھ ہدف پر مکمل توجہ مرکوز کرنے دیتا ہے۔</v>
      </c>
      <c r="O36" s="5" t="str">
        <f>IFERROR(__xludf.DUMMYFUNCTION("GOOGLETRANSLATE(E36, ""en"", ""ur"")"),"ایک اچھی طرح سے تربیت یافتہ گھوڑا اپنے راستے کو خود بخود برقرار رکھتا ہے، سوار کو ہدف کے مشکل، الگ الگ دوسرے کام پر توجہ مرکوز کرنے کے لیے آزاد کرتا ہے۔")</f>
        <v>ایک اچھی طرح سے تربیت یافتہ گھوڑا اپنے راستے کو خود بخود برقرار رکھتا ہے، سوار کو ہدف کے مشکل، الگ الگ دوسرے کام پر توجہ مرکوز کرنے کے لیے آزاد کرتا ہے۔</v>
      </c>
    </row>
    <row r="37">
      <c r="A37" s="3">
        <v>36.0</v>
      </c>
      <c r="B37" s="4" t="s">
        <v>2978</v>
      </c>
      <c r="C37" s="4" t="s">
        <v>2979</v>
      </c>
      <c r="D37" s="4" t="s">
        <v>2980</v>
      </c>
      <c r="E37" s="4" t="s">
        <v>2981</v>
      </c>
      <c r="K37" s="5" t="str">
        <f>IFERROR(__xludf.DUMMYFUNCTION("GOOGLETRANSLATE(A37, ""en"", ""ur"")"),"36")</f>
        <v>36</v>
      </c>
      <c r="L37" s="5" t="str">
        <f>IFERROR(__xludf.DUMMYFUNCTION("GOOGLETRANSLATE(B37, ""en"", ""ur"")"),"کس ملک کو ٹینٹ پیگنگ کا ""جدید مرکز"" سمجھا جاتا ہے، جس نے ورلڈ کپ کی میزبانی اور عالمی سطح پر اس کھیل کو فروغ دینے میں بہت زیادہ سرمایہ کاری کی ہے؟")</f>
        <v>کس ملک کو ٹینٹ پیگنگ کا "جدید مرکز" سمجھا جاتا ہے، جس نے ورلڈ کپ کی میزبانی اور عالمی سطح پر اس کھیل کو فروغ دینے میں بہت زیادہ سرمایہ کاری کی ہے؟</v>
      </c>
      <c r="M37" s="5" t="str">
        <f>IFERROR(__xludf.DUMMYFUNCTION("GOOGLETRANSLATE(C37, ""en"", ""ur"")"),"A) پاکستان، B) عمان، C) بھارت، D) جنوبی افریقہ")</f>
        <v>A) پاکستان، B) عمان، C) بھارت، D) جنوبی افریقہ</v>
      </c>
      <c r="N37" s="5" t="str">
        <f>IFERROR(__xludf.DUMMYFUNCTION("GOOGLETRANSLATE(D37, ""en"", ""ur"")"),"ب) عمان")</f>
        <v>ب) عمان</v>
      </c>
      <c r="O37" s="5" t="str">
        <f>IFERROR(__xludf.DUMMYFUNCTION("GOOGLETRANSLATE(E37, ""en"", ""ur"")"),"جنوبی ایشیا میں بہت زیادہ مقبول ہونے کے باوجود عمان نے کھیل کی جدید بین الاقوامی ترقی اور پیشہ ورانہ ترقی میں اہم کردار ادا کیا ہے۔")</f>
        <v>جنوبی ایشیا میں بہت زیادہ مقبول ہونے کے باوجود عمان نے کھیل کی جدید بین الاقوامی ترقی اور پیشہ ورانہ ترقی میں اہم کردار ادا کیا ہے۔</v>
      </c>
    </row>
    <row r="38">
      <c r="A38" s="3">
        <v>37.0</v>
      </c>
      <c r="B38" s="4" t="s">
        <v>2982</v>
      </c>
      <c r="C38" s="4" t="s">
        <v>2983</v>
      </c>
      <c r="D38" s="4" t="s">
        <v>2984</v>
      </c>
      <c r="E38" s="4" t="s">
        <v>2985</v>
      </c>
      <c r="K38" s="5" t="str">
        <f>IFERROR(__xludf.DUMMYFUNCTION("GOOGLETRANSLATE(A38, ""en"", ""ur"")"),"37")</f>
        <v>37</v>
      </c>
      <c r="L38" s="5" t="str">
        <f>IFERROR(__xludf.DUMMYFUNCTION("GOOGLETRANSLATE(B38, ""en"", ""ur"")"),"صفر کے اسکور یا ناکام کوشش کے لیے جج کا اشارہ کیا ہے، جیسے کہ مس یا وقت کی غلطی؟")</f>
        <v>صفر کے اسکور یا ناکام کوشش کے لیے جج کا اشارہ کیا ہے، جیسے کہ مس یا وقت کی غلطی؟</v>
      </c>
      <c r="M38" s="5" t="str">
        <f>IFERROR(__xludf.DUMMYFUNCTION("GOOGLETRANSLATE(C38, ""en"", ""ur"")"),"A) ایک سرخ جھنڈا بلند کیا جاتا ہے، B) سبز جھنڈا بلند کیا جاتا ہے، C) جج اپنا سر ہلاتا ہے، D) جج ایک بار سیٹی بجاتا ہے۔")</f>
        <v>A) ایک سرخ جھنڈا بلند کیا جاتا ہے، B) سبز جھنڈا بلند کیا جاتا ہے، C) جج اپنا سر ہلاتا ہے، D) جج ایک بار سیٹی بجاتا ہے۔</v>
      </c>
      <c r="N38" s="5" t="str">
        <f>IFERROR(__xludf.DUMMYFUNCTION("GOOGLETRANSLATE(D38, ""en"", ""ur"")"),"A) ایک سرخ جھنڈا بلند کیا گیا ہے۔")</f>
        <v>A) ایک سرخ جھنڈا بلند کیا گیا ہے۔</v>
      </c>
      <c r="O38" s="5" t="str">
        <f>IFERROR(__xludf.DUMMYFUNCTION("GOOGLETRANSLATE(E38, ""en"", ""ur"")"),"ایک سرخ جھنڈا معیاری سگنل ہے جو اس بات کی نشاندہی کرتا ہے کہ رن ناکام رہا اور کوئی پوائنٹ نہیں دیا گیا۔")</f>
        <v>ایک سرخ جھنڈا معیاری سگنل ہے جو اس بات کی نشاندہی کرتا ہے کہ رن ناکام رہا اور کوئی پوائنٹ نہیں دیا گیا۔</v>
      </c>
    </row>
    <row r="39">
      <c r="A39" s="3">
        <v>38.0</v>
      </c>
      <c r="B39" s="4" t="s">
        <v>2986</v>
      </c>
      <c r="C39" s="4" t="s">
        <v>2987</v>
      </c>
      <c r="D39" s="4" t="s">
        <v>2988</v>
      </c>
      <c r="E39" s="4" t="s">
        <v>2989</v>
      </c>
      <c r="K39" s="5" t="str">
        <f>IFERROR(__xludf.DUMMYFUNCTION("GOOGLETRANSLATE(A39, ""en"", ""ur"")"),"38")</f>
        <v>38</v>
      </c>
      <c r="L39" s="5" t="str">
        <f>IFERROR(__xludf.DUMMYFUNCTION("GOOGLETRANSLATE(B39, ""en"", ""ur"")"),"کون سی تاریخی فوجی حکمت عملی ""لیموں کی کٹنگ"" کے نظم و ضبط میں آزمائی گئی مہارتوں سے سب سے زیادہ گہرا تعلق رکھتی ہے؟")</f>
        <v>کون سی تاریخی فوجی حکمت عملی "لیموں کی کٹنگ" کے نظم و ضبط میں آزمائی گئی مہارتوں سے سب سے زیادہ گہرا تعلق رکھتی ہے؟</v>
      </c>
      <c r="M39" s="5" t="str">
        <f>IFERROR(__xludf.DUMMYFUNCTION("GOOGLETRANSLATE(C39, ""en"", ""ur"")"),"A) ایک تیرانداز گھوڑے کی پیٹھ سے تیر چلا رہا ہے، B) ایک گھڑ سوار دشمن کے پیدل سپاہی کو کاٹنے کے لیے کرپان کا استعمال کر رہا ہے، C) ایک جاسوس کیمپ میں گھس رہا ہے، D) توپ سے فائر کیا جا رہا ہے۔")</f>
        <v>A) ایک تیرانداز گھوڑے کی پیٹھ سے تیر چلا رہا ہے، B) ایک گھڑ سوار دشمن کے پیدل سپاہی کو کاٹنے کے لیے کرپان کا استعمال کر رہا ہے، C) ایک جاسوس کیمپ میں گھس رہا ہے، D) توپ سے فائر کیا جا رہا ہے۔</v>
      </c>
      <c r="N39" s="5" t="str">
        <f>IFERROR(__xludf.DUMMYFUNCTION("GOOGLETRANSLATE(D39, ""en"", ""ur"")"),"ب) ایک گھڑسوار دشمن کے پیدل سپاہی کو کاٹنے کے لیے کرپان کا استعمال کر رہا ہے۔")</f>
        <v>ب) ایک گھڑسوار دشمن کے پیدل سپاہی کو کاٹنے کے لیے کرپان کا استعمال کر رہا ہے۔</v>
      </c>
      <c r="O39" s="5" t="str">
        <f>IFERROR(__xludf.DUMMYFUNCTION("GOOGLETRANSLATE(E39, ""en"", ""ur"")"),"یہ واقعہ براہ راست ایک تاریخی جنگی تکنیک کی نقالی کرتا ہے، جس میں سوار کی پوری سرپٹ کے دوران تلوار سے درست اور طاقتور سلیش دینے کی صلاحیت کی جانچ ہوتی ہے۔")</f>
        <v>یہ واقعہ براہ راست ایک تاریخی جنگی تکنیک کی نقالی کرتا ہے، جس میں سوار کی پوری سرپٹ کے دوران تلوار سے درست اور طاقتور سلیش دینے کی صلاحیت کی جانچ ہوتی ہے۔</v>
      </c>
    </row>
    <row r="40">
      <c r="A40" s="3">
        <v>39.0</v>
      </c>
      <c r="B40" s="4" t="s">
        <v>2990</v>
      </c>
      <c r="C40" s="4" t="s">
        <v>2991</v>
      </c>
      <c r="D40" s="4" t="s">
        <v>2992</v>
      </c>
      <c r="E40" s="4" t="s">
        <v>2993</v>
      </c>
      <c r="K40" s="5" t="str">
        <f>IFERROR(__xludf.DUMMYFUNCTION("GOOGLETRANSLATE(A40, ""en"", ""ur"")"),"39")</f>
        <v>39</v>
      </c>
      <c r="L40" s="5" t="str">
        <f>IFERROR(__xludf.DUMMYFUNCTION("GOOGLETRANSLATE(B40, ""en"", ""ur"")"),"بنیادی وجہ کیا ہے کہ سواروں کو اپنے بازو سے لانس باندھنے یا باندھنے کی اجازت نہیں ہے؟")</f>
        <v>بنیادی وجہ کیا ہے کہ سواروں کو اپنے بازو سے لانس باندھنے یا باندھنے کی اجازت نہیں ہے؟</v>
      </c>
      <c r="M40" s="5" t="str">
        <f>IFERROR(__xludf.DUMMYFUNCTION("GOOGLETRANSLATE(C40, ""en"", ""ur"")"),"A)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f>
        <v>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v>
      </c>
      <c r="N40" s="5" t="str">
        <f>IFERROR(__xludf.DUMMYFUNCTION("GOOGLETRANSLATE(D40, ""en"", ""ur"")"),"ب) حفاظت کے لیے؛ انہیں ہنگامی حالت میں لانس چھوڑنے کے قابل ہونا چاہیے۔")</f>
        <v>ب) حفاظت کے لیے؛ انہیں ہنگامی حالت میں لانس چھوڑنے کے قابل ہونا چاہیے۔</v>
      </c>
      <c r="O40" s="5" t="str">
        <f>IFERROR(__xludf.DUMMYFUNCTION("GOOGLETRANSLATE(E40, ""en"", ""ur"")"),"جسم پر لینس کا پٹا لگانا انتہائی خطرناک ہے۔ ایک سوار کو ہتھیار کو فوری طور پر چھوڑنے کے قابل ہونا چاہیے اگر یہ زمین میں پھنس جائے یا گر جائے۔")</f>
        <v>جسم پر لینس کا پٹا لگانا انتہائی خطرناک ہے۔ ایک سوار کو ہتھیار کو فوری طور پر چھوڑنے کے قابل ہونا چاہیے اگر یہ زمین میں پھنس جائے یا گر جائے۔</v>
      </c>
    </row>
    <row r="41">
      <c r="A41" s="3">
        <v>40.0</v>
      </c>
      <c r="B41" s="4" t="s">
        <v>2994</v>
      </c>
      <c r="C41" s="4" t="s">
        <v>2995</v>
      </c>
      <c r="D41" s="4" t="s">
        <v>2996</v>
      </c>
      <c r="E41" s="4" t="s">
        <v>2997</v>
      </c>
      <c r="K41" s="5" t="str">
        <f>IFERROR(__xludf.DUMMYFUNCTION("GOOGLETRANSLATE(A41, ""en"", ""ur"")"),"40")</f>
        <v>40</v>
      </c>
      <c r="L41" s="5" t="str">
        <f>IFERROR(__xludf.DUMMYFUNCTION("GOOGLETRANSLATE(B41, ""en"", ""ur"")"),"ٹینٹ پیگنگ اور جوسٹنگ کے درمیان بنیادی فرق کیا ہے؟")</f>
        <v>ٹینٹ پیگنگ اور جوسٹنگ کے درمیان بنیادی فرق کیا ہے؟</v>
      </c>
      <c r="M41" s="5" t="str">
        <f>IFERROR(__xludf.DUMMYFUNCTION("GOOGLETRANSLATE(C41, ""en"", ""ur"")"),"A) Jousting تلواروں کا استعمال کرتا ہے جبکہ Tent Pegging lances کا استعمال کرتا ہے، B) Jousting میں دو سوار ایک دوسرے کو چارج کرتے ہیں، جبکہ Tent Pegging ایک اسٹیشنری ہدف پر چارج ہوتا ہے، C) Jousting ایک پرانا کھیل ہے، D) کوئی حقیقی فرق نہیں ہے۔")</f>
        <v>A) Jousting تلواروں کا استعمال کرتا ہے جبکہ Tent Pegging lances کا استعمال کرتا ہے، B) Jousting میں دو سوار ایک دوسرے کو چارج کرتے ہیں، جبکہ Tent Pegging ایک اسٹیشنری ہدف پر چارج ہوتا ہے، C) Jousting ایک پرانا کھیل ہے، D) کوئی حقیقی فرق نہیں ہے۔</v>
      </c>
      <c r="N41" s="5" t="str">
        <f>IFERROR(__xludf.DUMMYFUNCTION("GOOGLETRANSLATE(D41, ""en"", ""ur"")"),"ب) جوسٹنگ میں دو سوار ایک دوسرے پر چارج کرتے ہیں، جبکہ ٹینٹ پیگنگ ایک اسٹیشنری ہدف پر چارج ہوتا ہے۔")</f>
        <v>ب) جوسٹنگ میں دو سوار ایک دوسرے پر چارج کرتے ہیں، جبکہ ٹینٹ پیگنگ ایک اسٹیشنری ہدف پر چارج ہوتا ہے۔</v>
      </c>
      <c r="O41" s="5" t="str">
        <f>IFERROR(__xludf.DUMMYFUNCTION("GOOGLETRANSLATE(E41, ""en"", ""ur"")"),"جوسٹنگ دو مخالفین کے درمیان فرضی لڑائی کی ایک شکل ہے، جبکہ ٹینٹ پیگنگ ہدف کے خلاف انفرادی یا ٹیم کی مہارت کا امتحان ہے۔")</f>
        <v>جوسٹنگ دو مخالفین کے درمیان فرضی لڑائی کی ایک شکل ہے، جبکہ ٹینٹ پیگنگ ہدف کے خلاف انفرادی یا ٹیم کی مہارت کا امتحان ہے۔</v>
      </c>
    </row>
    <row r="42">
      <c r="A42" s="3">
        <v>41.0</v>
      </c>
      <c r="B42" s="4" t="s">
        <v>2998</v>
      </c>
      <c r="C42" s="4" t="s">
        <v>2999</v>
      </c>
      <c r="D42" s="4" t="s">
        <v>3000</v>
      </c>
      <c r="E42" s="4" t="s">
        <v>3001</v>
      </c>
      <c r="K42" s="5" t="str">
        <f>IFERROR(__xludf.DUMMYFUNCTION("GOOGLETRANSLATE(A42, ""en"", ""ur"")"),"41")</f>
        <v>41</v>
      </c>
      <c r="L42" s="5" t="str">
        <f>IFERROR(__xludf.DUMMYFUNCTION("GOOGLETRANSLATE(B42, ""en"", ""ur"")"),"سوار کا گھوڑا 100 میٹر کی دوڑ 5 سیکنڈ میں مکمل کرتا ہے اور اسے مکمل پیگ ملتا ہے۔ کیا یہ درست سکور ہے؟")</f>
        <v>سوار کا گھوڑا 100 میٹر کی دوڑ 5 سیکنڈ میں مکمل کرتا ہے اور اسے مکمل پیگ ملتا ہے۔ کیا یہ درست سکور ہے؟</v>
      </c>
      <c r="M42" s="5" t="str">
        <f>IFERROR(__xludf.DUMMYFUNCTION("GOOGLETRANSLATE(C42, ""en"", ""ur"")"),"A) ہاں، اور انہیں رفتار کے لیے بونس مل سکتا ہے، B) نہیں، رن بہت تیز تھی جس کا صحیح اندازہ لگایا جا سکتا ہے، C) ہاں، کیونکہ یہ زیادہ سے زیادہ وقت کی حد کے تحت ہے، D) نہیں، اس کے ساتھ ساتھ کم از کم وقت کی حد بھی ہے۔")</f>
        <v>A) ہاں، اور انہیں رفتار کے لیے بونس مل سکتا ہے، B) نہیں، رن بہت تیز تھی جس کا صحیح اندازہ لگایا جا سکتا ہے، C) ہاں، کیونکہ یہ زیادہ سے زیادہ وقت کی حد کے تحت ہے، D) نہیں، اس کے ساتھ ساتھ کم از کم وقت کی حد بھی ہے۔</v>
      </c>
      <c r="N42" s="5" t="str">
        <f>IFERROR(__xludf.DUMMYFUNCTION("GOOGLETRANSLATE(D42, ""en"", ""ur"")"),"ج) جی ہاں، جیسا کہ یہ زیادہ سے زیادہ وقت کی حد کے تحت ہے۔")</f>
        <v>ج) جی ہاں، جیسا کہ یہ زیادہ سے زیادہ وقت کی حد کے تحت ہے۔</v>
      </c>
      <c r="O42" s="5" t="str">
        <f>IFERROR(__xludf.DUMMYFUNCTION("GOOGLETRANSLATE(E42, ""en"", ""ur"")"),"زیادہ سے زیادہ وقت کی حد ہے (مثال کے طور پر، 8 سیکنڈ)، لیکن کوئی کم از کم نہیں۔ تیز دوڑنا ایک ہنر مند سوار اور تیز گھوڑے کی علامت ہے، اور اسکور درست ہے۔")</f>
        <v>زیادہ سے زیادہ وقت کی حد ہے (مثال کے طور پر، 8 سیکنڈ)، لیکن کوئی کم از کم نہیں۔ تیز دوڑنا ایک ہنر مند سوار اور تیز گھوڑے کی علامت ہے، اور اسکور درست ہے۔</v>
      </c>
    </row>
    <row r="43">
      <c r="A43" s="3">
        <v>42.0</v>
      </c>
      <c r="B43" s="4" t="s">
        <v>3002</v>
      </c>
      <c r="C43" s="4" t="s">
        <v>3003</v>
      </c>
      <c r="D43" s="4" t="s">
        <v>3004</v>
      </c>
      <c r="E43" s="4" t="s">
        <v>3005</v>
      </c>
      <c r="K43" s="5" t="str">
        <f>IFERROR(__xludf.DUMMYFUNCTION("GOOGLETRANSLATE(A43, ""en"", ""ur"")"),"42")</f>
        <v>42</v>
      </c>
      <c r="L43" s="5" t="str">
        <f>IFERROR(__xludf.DUMMYFUNCTION("GOOGLETRANSLATE(B43, ""en"", ""ur"")"),"ٹیم ایونٹ میں ""مکمل سیکشن اٹیک"" کیا ہے؟")</f>
        <v>ٹیم ایونٹ میں "مکمل سیکشن اٹیک" کیا ہے؟</v>
      </c>
      <c r="M43" s="5" t="str">
        <f>IFERROR(__xludf.DUMMYFUNCTION("GOOGLETRANSLATE(C43, ""en"", ""ur"")"),"A)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f>
        <v>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v>
      </c>
      <c r="N43" s="5" t="str">
        <f>IFERROR(__xludf.DUMMYFUNCTION("GOOGLETRANSLATE(D43, ""en"", ""ur"")"),"A) چاروں سوار بیک وقت ایک لائن میں پیگز چارج کرتے ہیں۔")</f>
        <v>A) چاروں سوار بیک وقت ایک لائن میں پیگز چارج کرتے ہیں۔</v>
      </c>
      <c r="O43" s="5" t="str">
        <f>IFERROR(__xludf.DUMMYFUNCTION("GOOGLETRANSLATE(E43, ""en"", ""ur"")"),"یہ کلاسک ٹیم ایونٹ ہے، جہاں چار سواروں کو اپنے انفرادی ہدف کو نشانہ بناتے ہوئے بہترین فارمیشن برقرار رکھنا چاہیے۔")</f>
        <v>یہ کلاسک ٹیم ایونٹ ہے، جہاں چار سواروں کو اپنے انفرادی ہدف کو نشانہ بناتے ہوئے بہترین فارمیشن برقرار رکھنا چاہیے۔</v>
      </c>
    </row>
    <row r="44">
      <c r="A44" s="3">
        <v>43.0</v>
      </c>
      <c r="B44" s="4" t="s">
        <v>3006</v>
      </c>
      <c r="C44" s="4" t="s">
        <v>3007</v>
      </c>
      <c r="D44" s="4" t="s">
        <v>3008</v>
      </c>
      <c r="E44" s="4" t="s">
        <v>3009</v>
      </c>
      <c r="K44" s="5" t="str">
        <f>IFERROR(__xludf.DUMMYFUNCTION("GOOGLETRANSLATE(A44, ""en"", ""ur"")"),"43")</f>
        <v>43</v>
      </c>
      <c r="L44" s="5" t="str">
        <f>IFERROR(__xludf.DUMMYFUNCTION("GOOGLETRANSLATE(B44, ""en"", ""ur"")"),"ایک سوار ایک ہی دوڑ میں دو معلق انگوٹھیوں کو کامیابی کے ساتھ چلاتا ہے۔ کیا یہ ممکن ہے؟")</f>
        <v>ایک سوار ایک ہی دوڑ میں دو معلق انگوٹھیوں کو کامیابی کے ساتھ چلاتا ہے۔ کیا یہ ممکن ہے؟</v>
      </c>
      <c r="M44" s="5" t="str">
        <f>IFERROR(__xludf.DUMMYFUNCTION("GOOGLETRANSLATE(C44, ""en"", ""ur"")"),"A) نہیں، فی رن صرف ایک انگوٹھی کی اجازت ہے، B) جی ہاں، یہ ""ہنر مندی"" کے زمرے میں ایک معیاری ایونٹ ہے، C) صرف اس صورت میں جب وہ دو لانس استعمال کرتے ہیں، D) ہاں، لیکن یہ اضافی پوائنٹس نہیں بناتا")</f>
        <v>A) نہیں، فی رن صرف ایک انگوٹھی کی اجازت ہے، B) جی ہاں، یہ "ہنر مندی" کے زمرے میں ایک معیاری ایونٹ ہے، C) صرف اس صورت میں جب وہ دو لانس استعمال کرتے ہیں، D) ہاں، لیکن یہ اضافی پوائنٹس نہیں بناتا</v>
      </c>
      <c r="N44" s="5" t="str">
        <f>IFERROR(__xludf.DUMMYFUNCTION("GOOGLETRANSLATE(D44, ""en"", ""ur"")"),"ب) جی ہاں، یہ ""ہنر پر ہتھیار"" کے زمرے میں ایک معیاری واقعہ ہے۔")</f>
        <v>ب) جی ہاں، یہ "ہنر پر ہتھیار" کے زمرے میں ایک معیاری واقعہ ہے۔</v>
      </c>
      <c r="O44" s="5" t="str">
        <f>IFERROR(__xludf.DUMMYFUNCTION("GOOGLETRANSLATE(E44, ""en"", ""ur"")"),"""رِنگز"" ایونٹ میں اکثر دو معطل انگوٹھیاں ہوتی ہیں جنہیں سوار کو اپنی رفتار اور درستگی کی جانچ کرتے ہوئے ایک ہی پاس میں جمع کرنا ہوتا ہے۔")</f>
        <v>"رِنگز" ایونٹ میں اکثر دو معطل انگوٹھیاں ہوتی ہیں جنہیں سوار کو اپنی رفتار اور درستگی کی جانچ کرتے ہوئے ایک ہی پاس میں جمع کرنا ہوتا ہے۔</v>
      </c>
    </row>
    <row r="45">
      <c r="A45" s="3">
        <v>44.0</v>
      </c>
      <c r="B45" s="4" t="s">
        <v>3010</v>
      </c>
      <c r="C45" s="4" t="s">
        <v>3011</v>
      </c>
      <c r="D45" s="4" t="s">
        <v>3012</v>
      </c>
      <c r="E45" s="4" t="s">
        <v>3013</v>
      </c>
      <c r="K45" s="5" t="str">
        <f>IFERROR(__xludf.DUMMYFUNCTION("GOOGLETRANSLATE(A45, ""en"", ""ur"")"),"44")</f>
        <v>44</v>
      </c>
      <c r="L45" s="5" t="str">
        <f>IFERROR(__xludf.DUMMYFUNCTION("GOOGLETRANSLATE(B45, ""en"", ""ur"")"),"سواروں کو ایڑی والے جوتے پہننے کی بنیادی وجہ کیا ہے؟")</f>
        <v>سواروں کو ایڑی والے جوتے پہننے کی بنیادی وجہ کیا ہے؟</v>
      </c>
      <c r="M45" s="5" t="str">
        <f>IFERROR(__xludf.DUMMYFUNCTION("GOOGLETRANSLATE(C45, ""en"", ""ur"")"),"A) یہ برطانوی گھڑسوار فوج کی روایت ہے، B) وہ رکاب میں بہتر گرفت فراہم کرتے ہیں، C) ایڑی رکاب کے ذریعے پاؤں کو پھسلنے سے روکتی ہے، D) وہ زیادہ پیشہ ور نظر آتے ہیں۔")</f>
        <v>A) یہ برطانوی گھڑسوار فوج کی روایت ہے، B) وہ رکاب میں بہتر گرفت فراہم کرتے ہیں، C) ایڑی رکاب کے ذریعے پاؤں کو پھسلنے سے روکتی ہے، D) وہ زیادہ پیشہ ور نظر آتے ہیں۔</v>
      </c>
      <c r="N45" s="5" t="str">
        <f>IFERROR(__xludf.DUMMYFUNCTION("GOOGLETRANSLATE(D45, ""en"", ""ur"")"),"ج) ایڑی رکاب کے ذریعے پاؤں کو پھسلنے سے روکتی ہے۔")</f>
        <v>ج) ایڑی رکاب کے ذریعے پاؤں کو پھسلنے سے روکتی ہے۔</v>
      </c>
      <c r="O45" s="5" t="str">
        <f>IFERROR(__xludf.DUMMYFUNCTION("GOOGLETRANSLATE(E45, ""en"", ""ur"")"),"ایڑی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46">
      <c r="A46" s="3">
        <v>45.0</v>
      </c>
      <c r="B46" s="4" t="s">
        <v>3014</v>
      </c>
      <c r="C46" s="4" t="s">
        <v>3015</v>
      </c>
      <c r="D46" s="4" t="s">
        <v>3016</v>
      </c>
      <c r="E46" s="4" t="s">
        <v>3017</v>
      </c>
      <c r="K46" s="5" t="str">
        <f>IFERROR(__xludf.DUMMYFUNCTION("GOOGLETRANSLATE(A46, ""en"", ""ur"")"),"45")</f>
        <v>45</v>
      </c>
      <c r="L46" s="5" t="str">
        <f>IFERROR(__xludf.DUMMYFUNCTION("GOOGLETRANSLATE(B46, ""en"", ""ur"")"),"سوار کا گھوڑا لنگڑا ہوتا ہے، اس لیے وہ اپنی دوڑ کے لیے ساتھی کے گھوڑے کو استعمال کرنے کی کوشش کرتے ہیں۔ کیا رسمی مقابلے میں اس کی اجازت ہے؟")</f>
        <v>سوار کا گھوڑا لنگڑا ہوتا ہے، اس لیے وہ اپنی دوڑ کے لیے ساتھی کے گھوڑے کو استعمال کرنے کی کوشش کرتے ہیں۔ کیا رسمی مقابلے میں اس کی اجازت ہے؟</v>
      </c>
      <c r="M46" s="5" t="str">
        <f>IFERROR(__xludf.DUMMYFUNCTION("GOOGLETRANSLATE(C46, ""en"", ""ur"")"),"A) ہاں، اگر ٹیم کا ساتھی راضی ہو، B) نہیں، سوار کو اپنے رجسٹرڈ گھوڑے پر مقابلہ کرنا چاہیے، C) صرف پریکٹس راؤنڈز میں، D) صرف اس صورت میں جب گھوڑے ایک ہی رنگ کے ہوں۔")</f>
        <v>A) ہاں، اگر ٹیم کا ساتھی راضی ہو، B) نہیں، سوار کو اپنے رجسٹرڈ گھوڑے پر مقابلہ کرنا چاہیے، C) صرف پریکٹس راؤنڈز میں، D) صرف اس صورت میں جب گھوڑے ایک ہی رنگ کے ہوں۔</v>
      </c>
      <c r="N46" s="5" t="str">
        <f>IFERROR(__xludf.DUMMYFUNCTION("GOOGLETRANSLATE(D46, ""en"", ""ur"")"),"ب) نہیں، سوار کو اپنے رجسٹرڈ گھوڑے پر مقابلہ کرنا چاہیے۔")</f>
        <v>ب) نہیں، سوار کو اپنے رجسٹرڈ گھوڑے پر مقابلہ کرنا چاہیے۔</v>
      </c>
      <c r="O46" s="5" t="str">
        <f>IFERROR(__xludf.DUMMYFUNCTION("GOOGLETRANSLATE(E46, ""en"", ""ur"")"),"سرکاری مقابلوں میں ایک سوار اور ان کے گھوڑے کو ایک جوڑے کے طور پر رجسٹر کیا جاتا ہے۔ ایک سوار صرف اپنی دوڑ کے لیے کسی دوسرے گھوڑے کی طرف نہیں جا سکتا۔")</f>
        <v>سرکاری مقابلوں میں ایک سوار اور ان کے گھوڑے کو ایک جوڑے کے طور پر رجسٹر کیا جاتا ہے۔ ایک سوار صرف اپنی دوڑ کے لیے کسی دوسرے گھوڑے کی طرف نہیں جا سکتا۔</v>
      </c>
    </row>
    <row r="47">
      <c r="A47" s="3">
        <v>46.0</v>
      </c>
      <c r="B47" s="4" t="s">
        <v>3018</v>
      </c>
      <c r="C47" s="4" t="s">
        <v>3019</v>
      </c>
      <c r="D47" s="4" t="s">
        <v>3020</v>
      </c>
      <c r="E47" s="4" t="s">
        <v>3021</v>
      </c>
      <c r="K47" s="5" t="str">
        <f>IFERROR(__xludf.DUMMYFUNCTION("GOOGLETRANSLATE(A47, ""en"", ""ur"")"),"46")</f>
        <v>46</v>
      </c>
      <c r="L47" s="5" t="str">
        <f>IFERROR(__xludf.DUMMYFUNCTION("GOOGLETRANSLATE(B47, ""en"", ""ur"")"),"""ہنر پر ہتھیار"" ایونٹ میں، ایک سوار کو کیا کرنا پڑے گا؟")</f>
        <v>"ہنر پر ہتھیار" ایونٹ میں، ایک سوار کو کیا کرنا پڑے گا؟</v>
      </c>
      <c r="M47" s="5" t="str">
        <f>IFERROR(__xludf.DUMMYFUNCTION("GOOGLETRANSLATE(C47, ""en"", ""ur"")"),"A)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f>
        <v>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v>
      </c>
      <c r="N47" s="5" t="str">
        <f>IFERROR(__xludf.DUMMYFUNCTION("GOOGLETRANSLATE(D47, ""en"", ""ur"")"),"A) ایک ہی دوڑ میں مختلف کام انجام دیں، جیسے کھونٹی کو نیزہ لگانا اور لیموں کاٹنا")</f>
        <v>A) ایک ہی دوڑ میں مختلف کام انجام دیں، جیسے کھونٹی کو نیزہ لگانا اور لیموں کاٹنا</v>
      </c>
      <c r="O47" s="5" t="str">
        <f>IFERROR(__xludf.DUMMYFUNCTION("GOOGLETRANSLATE(E47, ""en"", ""ur"")"),"یہ ایک جامع ایونٹ ہے جو سوار کی مختلف ہتھیاروں میں مہارت اور ایک ہی بار میں نشانہ بنانے کی مہارت کو جانچتا ہے۔")</f>
        <v>یہ ایک جامع ایونٹ ہے جو سوار کی مختلف ہتھیاروں میں مہارت اور ایک ہی بار میں نشانہ بنانے کی مہارت کو جانچتا ہے۔</v>
      </c>
    </row>
    <row r="48">
      <c r="A48" s="3">
        <v>47.0</v>
      </c>
      <c r="B48" s="4" t="s">
        <v>3022</v>
      </c>
      <c r="C48" s="4" t="s">
        <v>3023</v>
      </c>
      <c r="D48" s="4" t="s">
        <v>3024</v>
      </c>
      <c r="E48" s="4" t="s">
        <v>3025</v>
      </c>
      <c r="K48" s="5" t="str">
        <f>IFERROR(__xludf.DUMMYFUNCTION("GOOGLETRANSLATE(A48, ""en"", ""ur"")"),"47")</f>
        <v>47</v>
      </c>
      <c r="L48" s="5" t="str">
        <f>IFERROR(__xludf.DUMMYFUNCTION("GOOGLETRANSLATE(B48, ""en"", ""ur"")"),"ایک سوار کو بہت بھاری لانس رکھنے کی وجہ سے نااہل قرار دیا جاتا ہے۔ زیادہ سے زیادہ وزن کا اصول کیوں موجود ہوگا؟")</f>
        <v>ایک سوار کو بہت بھاری لانس رکھنے کی وجہ سے نااہل قرار دیا جاتا ہے۔ زیادہ سے زیادہ وزن کا اصول کیوں موجود ہوگا؟</v>
      </c>
      <c r="M48" s="5" t="str">
        <f>IFERROR(__xludf.DUMMYFUNCTION("GOOGLETRANSLATE(C48, ""en"", ""ur"")"),"A)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ایک حقیقی اصول نہیں ہے۔")</f>
        <v>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ایک حقیقی اصول نہیں ہے۔</v>
      </c>
      <c r="N48" s="5" t="str">
        <f>IFERROR(__xludf.DUMMYFUNCTION("GOOGLETRANSLATE(D48, ""en"", ""ur"")"),"ب) انصاف پسندی کو یقینی بنانا اور تیز ہوا کے حالات میں سواروں کو فائدہ اٹھانے سے روکنا")</f>
        <v>ب) انصاف پسندی کو یقینی بنانا اور تیز ہوا کے حالات میں سواروں کو فائدہ اٹھانے سے روکنا</v>
      </c>
      <c r="O48" s="5" t="str">
        <f>IFERROR(__xludf.DUMMYFUNCTION("GOOGLETRANSLATE(E48, ""en"", ""ur"")"),"بہت بھاری لینس ہوا سے کم متاثر ہوتا ہے، اس لیے زیادہ سے زیادہ وزن کی حد یقینی بناتی ہے کہ تمام سواروں کو ایک جیسے چیلنجوں کا سامنا کرنا پڑے۔")</f>
        <v>بہت بھاری لینس ہوا سے کم متاثر ہوتا ہے، اس لیے زیادہ سے زیادہ وزن کی حد یقینی بناتی ہے کہ تمام سواروں کو ایک جیسے چیلنجوں کا سامنا کرنا پڑے۔</v>
      </c>
    </row>
    <row r="49">
      <c r="A49" s="3">
        <v>48.0</v>
      </c>
      <c r="B49" s="4" t="s">
        <v>3026</v>
      </c>
      <c r="C49" s="4" t="s">
        <v>3027</v>
      </c>
      <c r="D49" s="4" t="s">
        <v>3028</v>
      </c>
      <c r="E49" s="4" t="s">
        <v>3029</v>
      </c>
      <c r="K49" s="5" t="str">
        <f>IFERROR(__xludf.DUMMYFUNCTION("GOOGLETRANSLATE(A49, ""en"", ""ur"")"),"48")</f>
        <v>48</v>
      </c>
      <c r="L49" s="5" t="str">
        <f>IFERROR(__xludf.DUMMYFUNCTION("GOOGLETRANSLATE(B49, ""en"", ""ur"")"),"اسٹارٹ لائن سے پہلے ""رن اپ"" زون کی بنیادی وجہ کیا ہے؟")</f>
        <v>اسٹارٹ لائن سے پہلے "رن اپ" زون کی بنیادی وجہ کیا ہے؟</v>
      </c>
      <c r="M49" s="5" t="str">
        <f>IFERROR(__xludf.DUMMYFUNCTION("GOOGLETRANSLATE(C49, ""en"", ""ur"")"),"A) گھوڑے کو ایک کنٹرول شدہ اور مستحکم سرپٹ کی طرف تیز کرنے کی اجازت دینے کے لئے، B) یہ سواروں کے لیے انتظار کرنے کی جگہ ہے، C) سوار کو دوڑنے سے پہلے اپنے مقصد کی مشق کرنے کی اجازت دینا، D) تماشائیوں کو خوش کرنا اور سسپنس پیدا کرنا")</f>
        <v>A) گھوڑے کو ایک کنٹرول شدہ اور مستحکم سرپٹ کی طرف تیز کرنے کی اجازت دینے کے لئے، B) یہ سواروں کے لیے انتظار کرنے کی جگہ ہے، C) سوار کو دوڑنے سے پہلے اپنے مقصد کی مشق کرنے کی اجازت دینا، D) تماشائیوں کو خوش کرنا اور سسپنس پیدا کرنا</v>
      </c>
      <c r="N49" s="5" t="str">
        <f>IFERROR(__xludf.DUMMYFUNCTION("GOOGLETRANSLATE(D49, ""en"", ""ur"")"),"A) گھوڑے کو ایک کنٹرول اور مستحکم سرپٹ کی طرف تیز کرنے کی اجازت دینا")</f>
        <v>A) گھوڑے کو ایک کنٹرول اور مستحکم سرپٹ کی طرف تیز کرنے کی اجازت دینا</v>
      </c>
      <c r="O49" s="5" t="str">
        <f>IFERROR(__xludf.DUMMYFUNCTION("GOOGLETRANSLATE(E49, ""en"", ""ur"")"),"ایک گھوڑا ٹھہرے ہوئے سے فوری طور پر کامل سرپٹ کی طرف نہیں جا سکتا۔ رن اپ گھوڑے کو مقررہ دوڑ شروع ہونے سے پہلے اپنی تال اور رفتار تلاش کرنے کا وقت دیتا ہے۔")</f>
        <v>ایک گھوڑا ٹھہرے ہوئے سے فوری طور پر کامل سرپٹ کی طرف نہیں جا سکتا۔ رن اپ گھوڑے کو مقررہ دوڑ شروع ہونے سے پہلے اپنی تال اور رفتار تلاش کرنے کا وقت دیتا ہے۔</v>
      </c>
    </row>
    <row r="50">
      <c r="A50" s="3">
        <v>49.0</v>
      </c>
      <c r="B50" s="4" t="s">
        <v>3030</v>
      </c>
      <c r="C50" s="4" t="s">
        <v>3031</v>
      </c>
      <c r="D50" s="4" t="s">
        <v>3032</v>
      </c>
      <c r="E50" s="4" t="s">
        <v>3033</v>
      </c>
      <c r="K50" s="5" t="str">
        <f>IFERROR(__xludf.DUMMYFUNCTION("GOOGLETRANSLATE(A50, ""en"", ""ur"")"),"49")</f>
        <v>49</v>
      </c>
      <c r="L50" s="5" t="str">
        <f>IFERROR(__xludf.DUMMYFUNCTION("GOOGLETRANSLATE(B50, ""en"", ""ur"")"),"مارواڑی گھوڑوں کی نسل کی بنیادی خصوصیت کیا ہے جو اسے ٹینٹ پیگنگ کے لیے اتنا موزوں بناتی ہے؟")</f>
        <v>مارواڑی گھوڑوں کی نسل کی بنیادی خصوصیت کیا ہے جو اسے ٹینٹ پیگنگ کے لیے اتنا موزوں بناتی ہے؟</v>
      </c>
      <c r="M50" s="5" t="str">
        <f>IFERROR(__xludf.DUMMYFUNCTION("GOOGLETRANSLATE(C50, ""en"", ""ur"")"),"A) اس کی اونچائی اور لمبا قدم، B) اس کا پرسکون اور پرسکون مزاج، C) اس کی فطری چستی، جفاکشی، اور بہادری، D) اس کی عضلاتی، بھاری ساخت")</f>
        <v>A) اس کی اونچائی اور لمبا قدم، B) اس کا پرسکون اور پرسکون مزاج، C) اس کی فطری چستی، جفاکشی، اور بہادری، D) اس کی عضلاتی، بھاری ساخت</v>
      </c>
      <c r="N50" s="5" t="str">
        <f>IFERROR(__xludf.DUMMYFUNCTION("GOOGLETRANSLATE(D50, ""en"", ""ur"")"),"ج) اس کی فطری چستی، سختی اور بہادری۔")</f>
        <v>ج) اس کی فطری چستی، سختی اور بہادری۔</v>
      </c>
      <c r="O50" s="5" t="str">
        <f>IFERROR(__xludf.DUMMYFUNCTION("GOOGLETRANSLATE(E50, ""en"", ""ur"")"),"مارواڑی ایک روایتی جنوبی ایشیائی گھڑ سوار گھوڑا ہے جو افراتفری والے، تیز رفتار کھیل میں درکار تمام کلیدی صفات کے لیے جانا جاتا ہے۔")</f>
        <v>مارواڑی ایک روایتی جنوبی ایشیائی گھڑ سوار گھوڑا ہے جو افراتفری والے، تیز رفتار کھیل میں درکار تمام کلیدی صفات کے لیے جانا جاتا ہے۔</v>
      </c>
    </row>
    <row r="51">
      <c r="A51" s="3">
        <v>50.0</v>
      </c>
      <c r="B51" s="4" t="s">
        <v>3034</v>
      </c>
      <c r="C51" s="4" t="s">
        <v>3035</v>
      </c>
      <c r="D51" s="4" t="s">
        <v>3036</v>
      </c>
      <c r="E51" s="4" t="s">
        <v>3037</v>
      </c>
      <c r="K51" s="5" t="str">
        <f>IFERROR(__xludf.DUMMYFUNCTION("GOOGLETRANSLATE(A51, ""en"", ""ur"")"),"50")</f>
        <v>50</v>
      </c>
      <c r="L51" s="5" t="str">
        <f>IFERROR(__xludf.DUMMYFUNCTION("GOOGLETRANSLATE(B51, ""en"", ""ur"")"),"ٹینٹ پیگنگ میں مہارت کا حتمی اظہار کیا ہے؟")</f>
        <v>ٹینٹ پیگنگ میں مہارت کا حتمی اظہار کیا ہے؟</v>
      </c>
      <c r="M51" s="5" t="str">
        <f>IFERROR(__xludf.DUMMYFUNCTION("GOOGLETRANSLATE(C51, ""en"", ""ur"")"),"A) مقابلے میں تیز ترین گھوڑے پر سوار ہونا، B) تیز رفتاری سے چھوٹے ہدف کو نشانہ بنانے کے مشکل کام کو آسان بنانا، C) مہنگا ترین سامان ہونا، D) ہر ایک میچ جیتنا")</f>
        <v>A) مقابلے میں تیز ترین گھوڑے پر سوار ہونا، B) تیز رفتاری سے چھوٹے ہدف کو نشانہ بنانے کے مشکل کام کو آسان بنانا، C) مہنگا ترین سامان ہونا، D) ہر ایک میچ جیتنا</v>
      </c>
      <c r="N51" s="5" t="str">
        <f>IFERROR(__xludf.DUMMYFUNCTION("GOOGLETRANSLATE(D51, ""en"", ""ur"")"),"ب) تیز رفتاری سے چھوٹے ہدف کو نشانہ بنانے کے مشکل کام کو آسان بنانا")</f>
        <v>ب) تیز رفتاری سے چھوٹے ہدف کو نشانہ بنانے کے مشکل کام کو آسان بنانا</v>
      </c>
      <c r="O51" s="5" t="str">
        <f>IFERROR(__xludf.DUMMYFUNCTION("GOOGLETRANSLATE(E51, ""en"", ""ur"")"),"ایک حقیقی ماسٹر کا نشان صرف کامیابی نہیں ہے، بلکہ ناقابل یقین حد تک مشکل مہارت کو انجام دینے میں آسان فضل اور کامل وقت کی ظاہری شکل ہے۔")</f>
        <v>ایک حقیقی ماسٹر کا نشان صرف کامیابی نہیں ہے، بلکہ ناقابل یقین حد تک مشکل مہارت کو انجام دینے میں آسان فضل اور کامل وقت کی ظاہری شکل ہے۔</v>
      </c>
    </row>
    <row r="52">
      <c r="A52" s="3">
        <v>51.0</v>
      </c>
      <c r="B52" s="4" t="s">
        <v>3038</v>
      </c>
      <c r="C52" s="4" t="s">
        <v>3039</v>
      </c>
      <c r="D52" s="4" t="s">
        <v>3040</v>
      </c>
      <c r="E52" s="4" t="s">
        <v>3041</v>
      </c>
      <c r="K52" s="5" t="str">
        <f>IFERROR(__xludf.DUMMYFUNCTION("GOOGLETRANSLATE(A52, ""en"", ""ur"")"),"51")</f>
        <v>51</v>
      </c>
      <c r="L52" s="5" t="str">
        <f>IFERROR(__xludf.DUMMYFUNCTION("GOOGLETRANSLATE(B52, ""en"", ""ur"")"),"ایک سوار ""سابق فوجیوں"" کے زمرے کا حصہ ہے۔ اس کا عام طور پر کیا مطلب ہے؟")</f>
        <v>ایک سوار "سابق فوجیوں" کے زمرے کا حصہ ہے۔ اس کا عام طور پر کیا مطلب ہے؟</v>
      </c>
      <c r="M52" s="5" t="str">
        <f>IFERROR(__xludf.DUMMYFUNCTION("GOOGLETRANSLATE(C52, ""en"", ""ur"")"),"A) وہ مسلح افواج کے رکن ہیں، B) وہ ایک بوڑھے، تجربہ کار سوار ہیں جو اپنے ساتھیوں کے خلاف مقابلہ کرتے ہیں، C) وہ گھوڑے کا استعمال کرتے ہیں جو ماضی کا چیمپئن ہے، D) وہ ماضی کے قومی چیمپئن ہیں")</f>
        <v>A) وہ مسلح افواج کے رکن ہیں، B) وہ ایک بوڑھے، تجربہ کار سوار ہیں جو اپنے ساتھیوں کے خلاف مقابلہ کرتے ہیں، C) وہ گھوڑے کا استعمال کرتے ہیں جو ماضی کا چیمپئن ہے، D) وہ ماضی کے قومی چیمپئن ہیں</v>
      </c>
      <c r="N52" s="5" t="str">
        <f>IFERROR(__xludf.DUMMYFUNCTION("GOOGLETRANSLATE(D52, ""en"", ""ur"")"),"ب) وہ ایک بوڑھے، تجربہ کار سوار ہیں جو اپنے ساتھیوں کا مقابلہ کرتے ہیں۔")</f>
        <v>ب) وہ ایک بوڑھے، تجربہ کار سوار ہیں جو اپنے ساتھیوں کا مقابلہ کرتے ہیں۔</v>
      </c>
      <c r="O52" s="5" t="str">
        <f>IFERROR(__xludf.DUMMYFUNCTION("GOOGLETRANSLATE(E52, ""en"", ""ur"")"),"مقابلوں میں اکثر عمر کے زمرے ہوتے ہیں، جس میں منصفانہ کھیل کو یقینی بنانے کے لیے سینئر حریفوں کے لیے تجربہ کاروں کی تقسیم ہوتی ہے۔")</f>
        <v>مقابلوں میں اکثر عمر کے زمرے ہوتے ہیں، جس میں منصفانہ کھیل کو یقینی بنانے کے لیے سینئر حریفوں کے لیے تجربہ کاروں کی تقسیم ہوتی ہے۔</v>
      </c>
    </row>
    <row r="53">
      <c r="A53" s="3">
        <v>52.0</v>
      </c>
      <c r="B53" s="4" t="s">
        <v>3042</v>
      </c>
      <c r="C53" s="4" t="s">
        <v>3043</v>
      </c>
      <c r="D53" s="4" t="s">
        <v>3044</v>
      </c>
      <c r="E53" s="4" t="s">
        <v>3045</v>
      </c>
      <c r="K53" s="5" t="str">
        <f>IFERROR(__xludf.DUMMYFUNCTION("GOOGLETRANSLATE(A53, ""en"", ""ur"")"),"52")</f>
        <v>52</v>
      </c>
      <c r="L53" s="5" t="str">
        <f>IFERROR(__xludf.DUMMYFUNCTION("GOOGLETRANSLATE(B53, ""en"", ""ur"")"),"اس کھیل کو کبھی کبھی ""نیزا بازی"" بھی کہا جاتا ہے۔ ""نیزا"" کا فارسی/اردو میں کیا مطلب ہے؟")</f>
        <v>اس کھیل کو کبھی کبھی "نیزا بازی" بھی کہا جاتا ہے۔ "نیزا" کا فارسی/اردو میں کیا مطلب ہے؟</v>
      </c>
      <c r="M53" s="5" t="str">
        <f>IFERROR(__xludf.DUMMYFUNCTION("GOOGLETRANSLATE(C53, ""en"", ""ur"")"),"A) گھوڑا، B) کھیل، C) نیزہ یا لانس، D) ہدف")</f>
        <v>A) گھوڑا، B) کھیل، C) نیزہ یا لانس، D) ہدف</v>
      </c>
      <c r="N53" s="5" t="str">
        <f>IFERROR(__xludf.DUMMYFUNCTION("GOOGLETRANSLATE(D53, ""en"", ""ur"")"),"ج) نیزہ یا لانس")</f>
        <v>ج) نیزہ یا لانس</v>
      </c>
      <c r="O53" s="5" t="str">
        <f>IFERROR(__xludf.DUMMYFUNCTION("GOOGLETRANSLATE(E53, ""en"", ""ur"")"),"نیزا بازی اس کھیل کی روایتی اصطلاح ہے، جس کا ترجمہ ""نیزہ بجانا"" یا ""لانسنگ"" ہوتا ہے۔")</f>
        <v>نیزا بازی اس کھیل کی روایتی اصطلاح ہے، جس کا ترجمہ "نیزہ بجانا" یا "لانسنگ" ہوتا ہے۔</v>
      </c>
    </row>
    <row r="54">
      <c r="A54" s="3">
        <v>53.0</v>
      </c>
      <c r="B54" s="4" t="s">
        <v>3046</v>
      </c>
      <c r="C54" s="4" t="s">
        <v>3047</v>
      </c>
      <c r="D54" s="4" t="s">
        <v>3048</v>
      </c>
      <c r="E54" s="4" t="s">
        <v>3049</v>
      </c>
      <c r="K54" s="5" t="str">
        <f>IFERROR(__xludf.DUMMYFUNCTION("GOOGLETRANSLATE(A54, ""en"", ""ur"")"),"53")</f>
        <v>53</v>
      </c>
      <c r="L54" s="5" t="str">
        <f>IFERROR(__xludf.DUMMYFUNCTION("GOOGLETRANSLATE(B54, ""en"", ""ur"")"),"ایک سوار کو ""کراس کرنے"" پر سزا دی جاتی ہے۔ ٹیم ایونٹ میں اس کا کیا مطلب ہے؟")</f>
        <v>ایک سوار کو "کراس کرنے" پر سزا دی جاتی ہے۔ ٹیم ایونٹ میں اس کا کیا مطلب ہے؟</v>
      </c>
      <c r="M54" s="5" t="str">
        <f>IFERROR(__xludf.DUMMYFUNCTION("GOOGLETRANSLATE(C54, ""en"", ""ur"")"),"A)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f>
        <v>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v>
      </c>
      <c r="N54" s="5" t="str">
        <f>IFERROR(__xludf.DUMMYFUNCTION("GOOGLETRANSLATE(D54, ""en"", ""ur"")"),"ب) وہ ایک ٹیم کے ساتھی کے راستے میں داخل ہوئے، جس سے حفاظتی خطرہ پیدا ہوا۔")</f>
        <v>ب) وہ ایک ٹیم کے ساتھی کے راستے میں داخل ہوئے، جس سے حفاظتی خطرہ پیدا ہوا۔</v>
      </c>
      <c r="O54" s="5" t="str">
        <f>IFERROR(__xludf.DUMMYFUNCTION("GOOGLETRANSLATE(E54, ""en"", ""ur"")"),"سیکشن اٹیک میں، ہر سوار کو اپنی لین کو برقرار رکھنا چاہیے۔ کسی دوسرے سوار کا راستہ عبور کرنا ایک بہت ہی خطرناک فاؤل ہے۔")</f>
        <v>سیکشن اٹیک میں، ہر سوار کو اپنی لین کو برقرار رکھنا چاہیے۔ کسی دوسرے سوار کا راستہ عبور کرنا ایک بہت ہی خطرناک فاؤل ہے۔</v>
      </c>
    </row>
    <row r="55">
      <c r="A55" s="3">
        <v>54.0</v>
      </c>
      <c r="B55" s="4" t="s">
        <v>3050</v>
      </c>
      <c r="C55" s="4" t="s">
        <v>3051</v>
      </c>
      <c r="D55" s="4" t="s">
        <v>3052</v>
      </c>
      <c r="E55" s="4" t="s">
        <v>3053</v>
      </c>
      <c r="K55" s="5" t="str">
        <f>IFERROR(__xludf.DUMMYFUNCTION("GOOGLETRANSLATE(A55, ""en"", ""ur"")"),"54")</f>
        <v>54</v>
      </c>
      <c r="L55" s="5" t="str">
        <f>IFERROR(__xludf.DUMMYFUNCTION("GOOGLETRANSLATE(B55, ""en"", ""ur"")"),"لانس کے آخر میں دھاتی نوک کا بنیادی مقصد کیا ہے؟")</f>
        <v>لانس کے آخر میں دھاتی نوک کا بنیادی مقصد کیا ہے؟</v>
      </c>
      <c r="M55" s="5" t="str">
        <f>IFERROR(__xludf.DUMMYFUNCTION("GOOGLETRANSLATE(C55, ""en"", ""ur"")"),"A) یہ خالصتاً سجاوٹ کے لیے ہے، B) لکڑی کے کھونٹے کو مؤثر طریقے سے گھسنے اور اٹھانے کے لیے اس کی ضرورت ہے، C) یہ بہتر توازن کے لیے لانس میں وزن بڑھاتا ہے، D) یہ کھیل کی روایتی ضرورت ہے۔")</f>
        <v>A) یہ خالصتاً سجاوٹ کے لیے ہے، B) لکڑی کے کھونٹے کو مؤثر طریقے سے گھسنے اور اٹھانے کے لیے اس کی ضرورت ہے، C) یہ بہتر توازن کے لیے لانس میں وزن بڑھاتا ہے، D) یہ کھیل کی روایتی ضرورت ہے۔</v>
      </c>
      <c r="N55" s="5" t="str">
        <f>IFERROR(__xludf.DUMMYFUNCTION("GOOGLETRANSLATE(D55, ""en"", ""ur"")"),"ب) لکڑی کے کھونٹے کو مؤثر طریقے سے گھسنے اور اٹھانے کے لیے اس کی ضرورت ہے۔")</f>
        <v>ب) لکڑی کے کھونٹے کو مؤثر طریقے سے گھسنے اور اٹھانے کے لیے اس کی ضرورت ہے۔</v>
      </c>
      <c r="O55" s="5" t="str">
        <f>IFERROR(__xludf.DUMMYFUNCTION("GOOGLETRANSLATE(E55, ""en"", ""ur"")"),"لانس کے لیے ایک دھاتی نوک ضروری ہے کہ وہ ہتھیار خود کو توڑے یا پھسلے بغیر ہدف کو زمین سے چھیدنے اور اٹھا سکے۔")</f>
        <v>لانس کے لیے ایک دھاتی نوک ضروری ہے کہ وہ ہتھیار خود کو توڑے یا پھسلے بغیر ہدف کو زمین سے چھیدنے اور اٹھا سکے۔</v>
      </c>
    </row>
    <row r="56">
      <c r="A56" s="3">
        <v>55.0</v>
      </c>
      <c r="B56" s="4" t="s">
        <v>3054</v>
      </c>
      <c r="C56" s="4" t="s">
        <v>3055</v>
      </c>
      <c r="D56" s="4" t="s">
        <v>3056</v>
      </c>
      <c r="E56" s="4" t="s">
        <v>3057</v>
      </c>
      <c r="K56" s="5" t="str">
        <f>IFERROR(__xludf.DUMMYFUNCTION("GOOGLETRANSLATE(A56, ""en"", ""ur"")"),"55")</f>
        <v>55</v>
      </c>
      <c r="L56" s="5" t="str">
        <f>IFERROR(__xludf.DUMMYFUNCTION("GOOGLETRANSLATE(B56, ""en"", ""ur"")"),"سوار کی ٹانگوں کے اشارے کا جواب دینے کے لیے گھوڑے کو اچھی طرح سے تربیت یافتہ ہونے کی بنیادی وجہ کیا ہے؟")</f>
        <v>سوار کی ٹانگوں کے اشارے کا جواب دینے کے لیے گھوڑے کو اچھی طرح سے تربیت یافتہ ہونے کی بنیادی وجہ کیا ہے؟</v>
      </c>
      <c r="M56" s="5" t="str">
        <f>IFERROR(__xludf.DUMMYFUNCTION("GOOGLETRANSLATE(C56, ""en"", ""ur"")"),"A) یہ ایک اصول ہے کہ لگام استعمال نہیں کی جا سکتی، B) سوار کو لانس کے لیے ایک ہاتھ کی ضرورت ہوتی ہے، اس لیے وہ اپنی ٹانگوں سے گھوڑے کی رہنمائی کرے، C) یہ گھوڑے کو زیادہ آرام دہ بناتا ہے، D) یہ زیادہ پیشہ ور نظر آتا ہے۔")</f>
        <v>A) یہ ایک اصول ہے کہ لگام استعمال نہیں کی جا سکتی، B) سوار کو لانس کے لیے ایک ہاتھ کی ضرورت ہوتی ہے، اس لیے وہ اپنی ٹانگوں سے گھوڑے کی رہنمائی کرے، C) یہ گھوڑے کو زیادہ آرام دہ بناتا ہے، D) یہ زیادہ پیشہ ور نظر آتا ہے۔</v>
      </c>
      <c r="N56" s="5" t="str">
        <f>IFERROR(__xludf.DUMMYFUNCTION("GOOGLETRANSLATE(D56, ""en"", ""ur"")"),"ب) سوار کو لانس کے لیے ایک ہاتھ کی ضرورت ہوتی ہے، اس لیے انہیں اپنی ٹانگوں سے گھوڑے کی رہنمائی کرنی چاہیے۔")</f>
        <v>ب) سوار کو لانس کے لیے ایک ہاتھ کی ضرورت ہوتی ہے، اس لیے انہیں اپنی ٹانگوں سے گھوڑے کی رہنمائی کرنی چاہیے۔</v>
      </c>
      <c r="O56" s="5" t="str">
        <f>IFERROR(__xludf.DUMMYFUNCTION("GOOGLETRANSLATE(E56, ""en"", ""ur"")"),"ٹینٹ پیگنگ گھوڑا کم سے کم لگام کے ساتھ قابل کنٹرول ہونا چاہیے، کیونکہ سوار کی توجہ اور غالب ہاتھ ہتھیار پر مرکوز ہوتے ہیں۔")</f>
        <v>ٹینٹ پیگنگ گھوڑا کم سے کم لگام کے ساتھ قابل کنٹرول ہونا چاہیے، کیونکہ سوار کی توجہ اور غالب ہاتھ ہتھیار پر مرکوز ہوتے ہیں۔</v>
      </c>
    </row>
    <row r="57">
      <c r="A57" s="3">
        <v>56.0</v>
      </c>
      <c r="B57" s="4" t="s">
        <v>3058</v>
      </c>
      <c r="C57" s="4" t="s">
        <v>3059</v>
      </c>
      <c r="D57" s="4" t="s">
        <v>3060</v>
      </c>
      <c r="E57" s="4" t="s">
        <v>3061</v>
      </c>
      <c r="K57" s="5" t="str">
        <f>IFERROR(__xludf.DUMMYFUNCTION("GOOGLETRANSLATE(A57, ""en"", ""ur"")"),"56")</f>
        <v>56</v>
      </c>
      <c r="L57" s="5" t="str">
        <f>IFERROR(__xludf.DUMMYFUNCTION("GOOGLETRANSLATE(B57, ""en"", ""ur"")"),"ایک سوار کو بہت چھوٹا لانس رکھنے کی وجہ سے نااہل قرار دیا جاتا ہے۔ کم از کم لمبائی کا اصول کیوں ہے؟")</f>
        <v>ایک سوار کو بہت چھوٹا لانس رکھنے کی وجہ سے نااہل قرار دیا جاتا ہے۔ کم از کم لمبائی کا اصول کیوں ہے؟</v>
      </c>
      <c r="M57" s="5" t="str">
        <f>IFERROR(__xludf.DUMMYFUNCTION("GOOGLETRANSLATE(C57, ""en"", ""ur"")"),"A) ججوں کے لیے شارٹ لانس دیکھنا مشکل ہے، B) سواروں کو چالبازی میں غیر منصفانہ فائدہ اٹھانے سے روکنے کے لیے، C) اس بات کو یقینی بنانا کہ سوار مارتے وقت کھونٹی سے محفوظ فاصلہ رکھے، D) یہ ایک روایتی اصول ہے جس کا کوئی عملی مقصد نہیں ہے۔")</f>
        <v>A) ججوں کے لیے شارٹ لانس دیکھنا مشکل ہے، B) سواروں کو چالبازی میں غیر منصفانہ فائدہ اٹھانے سے روکنے کے لیے، C) اس بات کو یقینی بنانا کہ سوار مارتے وقت کھونٹی سے محفوظ فاصلہ رکھے، D) یہ ایک روایتی اصول ہے جس کا کوئی عملی مقصد نہیں ہے۔</v>
      </c>
      <c r="N57" s="5" t="str">
        <f>IFERROR(__xludf.DUMMYFUNCTION("GOOGLETRANSLATE(D57, ""en"", ""ur"")"),"ب) سواریوں کو چالبازی میں غیر منصفانہ فائدہ حاصل کرنے سے روکنا")</f>
        <v>ب) سواریوں کو چالبازی میں غیر منصفانہ فائدہ حاصل کرنے سے روکنا</v>
      </c>
      <c r="O57" s="5" t="str">
        <f>IFERROR(__xludf.DUMMYFUNCTION("GOOGLETRANSLATE(E57, ""en"", ""ur"")"),"ایک بہت ہی مختصر لانس مقصد اور کنٹرول میں بہت آسان ہو گا، لہذا سب کے لیے ایک منصفانہ چیلنج کو یقینی بنانے کے لیے ایک معیاری کم از کم لمبائی کی ضرورت ہے۔")</f>
        <v>ایک بہت ہی مختصر لانس مقصد اور کنٹرول میں بہت آسان ہو گا، لہذا سب کے لیے ایک منصفانہ چیلنج کو یقینی بنانے کے لیے ایک معیاری کم از کم لمبائی کی ضرورت ہے۔</v>
      </c>
    </row>
    <row r="58">
      <c r="A58" s="3">
        <v>57.0</v>
      </c>
      <c r="B58" s="4" t="s">
        <v>3062</v>
      </c>
      <c r="C58" s="4" t="s">
        <v>3063</v>
      </c>
      <c r="D58" s="4" t="s">
        <v>3064</v>
      </c>
      <c r="E58" s="4" t="s">
        <v>3065</v>
      </c>
      <c r="K58" s="5" t="str">
        <f>IFERROR(__xludf.DUMMYFUNCTION("GOOGLETRANSLATE(A58, ""en"", ""ur"")"),"57")</f>
        <v>57</v>
      </c>
      <c r="L58" s="5" t="str">
        <f>IFERROR(__xludf.DUMMYFUNCTION("GOOGLETRANSLATE(B58, ""en"", ""ur"")"),"ٹیم ایونٹ میں، کس کو فاتح قرار دیا جاتا ہے؟")</f>
        <v>ٹیم ایونٹ میں، کس کو فاتح قرار دیا جاتا ہے؟</v>
      </c>
      <c r="M58" s="5" t="str">
        <f>IFERROR(__xludf.DUMMYFUNCTION("GOOGLETRANSLATE(C58, ""en"", ""ur"")"),"A)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f>
        <v>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v>
      </c>
      <c r="N58" s="5" t="str">
        <f>IFERROR(__xludf.DUMMYFUNCTION("GOOGLETRANSLATE(D58, ""en"", ""ur"")"),"C) اپنے تمام سواروں سے سب سے زیادہ مجموعی اسکور والی ٹیم")</f>
        <v>C) اپنے تمام سواروں سے سب سے زیادہ مجموعی اسکور والی ٹیم</v>
      </c>
      <c r="O58" s="5" t="str">
        <f>IFERROR(__xludf.DUMMYFUNCTION("GOOGLETRANSLATE(E58, ""en"", ""ur"")"),"جیتنے والی ٹیم وہ ہوتی ہے جس کے اراکین مجموعی طور پر مقابلے کے تمام رنز میں سب سے زیادہ پوائنٹس حاصل کرتے ہیں۔")</f>
        <v>جیتنے والی ٹیم وہ ہوتی ہے جس کے اراکین مجموعی طور پر مقابلے کے تمام رنز میں سب سے زیادہ پوائنٹس حاصل کرتے ہیں۔</v>
      </c>
    </row>
    <row r="59">
      <c r="A59" s="3">
        <v>58.0</v>
      </c>
      <c r="B59" s="4" t="s">
        <v>3066</v>
      </c>
      <c r="C59" s="4" t="s">
        <v>3067</v>
      </c>
      <c r="D59" s="4" t="s">
        <v>3068</v>
      </c>
      <c r="E59" s="4" t="s">
        <v>3069</v>
      </c>
      <c r="K59" s="5" t="str">
        <f>IFERROR(__xludf.DUMMYFUNCTION("GOOGLETRANSLATE(A59, ""en"", ""ur"")"),"58")</f>
        <v>58</v>
      </c>
      <c r="L59" s="5" t="str">
        <f>IFERROR(__xludf.DUMMYFUNCTION("GOOGLETRANSLATE(B59, ""en"", ""ur"")"),"آئی ٹی پی ایف ایونٹ میں ""ٹیکنیکل ڈیلیگیٹ"" کا کیا کردار ہوتا ہے؟")</f>
        <v>آئی ٹی پی ایف ایونٹ میں "ٹیکنیکل ڈیلیگیٹ" کا کیا کردار ہوتا ہے؟</v>
      </c>
      <c r="M59" s="5" t="str">
        <f>IFERROR(__xludf.DUMMYFUNCTION("GOOGLETRANSLATE(C59, ""en"", ""ur"")"),"A) گھریلو ٹیم کی کوچنگ کے لیے، B) میدان، سازوسامان اور زمینی حالات سرکاری بین الاقوامی معیارات پر پورا اترنے کو یقینی بنانے کے لیے، C) ججنگ پینل کا سربراہ ہونا، D) ٹیلی ویژن کی نشریات کا انتظام کرنا")</f>
        <v>A) گھریلو ٹیم کی کوچنگ کے لیے، B) میدان، سازوسامان اور زمینی حالات سرکاری بین الاقوامی معیارات پر پورا اترنے کو یقینی بنانے کے لیے، C) ججنگ پینل کا سربراہ ہونا، D) ٹیلی ویژن کی نشریات کا انتظام کرنا</v>
      </c>
      <c r="N59" s="5" t="str">
        <f>IFERROR(__xludf.DUMMYFUNCTION("GOOGLETRANSLATE(D59, ""en"", ""ur"")"),"ب) میدان، سازوسامان اور زمینی حالات سرکاری بین الاقوامی معیارات پر پورا اترنے کو یقینی بنانا")</f>
        <v>ب) میدان، سازوسامان اور زمینی حالات سرکاری بین الاقوامی معیارات پر پورا اترنے کو یقینی بنانا</v>
      </c>
      <c r="O59" s="5" t="str">
        <f>IFERROR(__xludf.DUMMYFUNCTION("GOOGLETRANSLATE(E59, ""en"", ""ur"")"),"تکنیکی مندوب مقابلے کے تکنیکی پہلوؤں پر اعلیٰ ترین اتھارٹی ہے، جو منصفانہ اور محفوظ حالات کو یقینی بناتا ہے۔")</f>
        <v>تکنیکی مندوب مقابلے کے تکنیکی پہلوؤں پر اعلیٰ ترین اتھارٹی ہے، جو منصفانہ اور محفوظ حالات کو یقینی بناتا ہے۔</v>
      </c>
    </row>
    <row r="60">
      <c r="A60" s="3">
        <v>59.0</v>
      </c>
      <c r="B60" s="4" t="s">
        <v>3070</v>
      </c>
      <c r="C60" s="4" t="s">
        <v>3071</v>
      </c>
      <c r="D60" s="4" t="s">
        <v>3072</v>
      </c>
      <c r="E60" s="4" t="s">
        <v>3073</v>
      </c>
      <c r="K60" s="5" t="str">
        <f>IFERROR(__xludf.DUMMYFUNCTION("GOOGLETRANSLATE(A60, ""en"", ""ur"")"),"59")</f>
        <v>59</v>
      </c>
      <c r="L60" s="5" t="str">
        <f>IFERROR(__xludf.DUMMYFUNCTION("GOOGLETRANSLATE(B60, ""en"", ""ur"")"),"سوار کے لیے کاٹھی میں گہری، محفوظ نشست کیوں ضروری ہے؟")</f>
        <v>سوار کے لیے کاٹھی میں گہری، محفوظ نشست کیوں ضروری ہے؟</v>
      </c>
      <c r="M60" s="5" t="str">
        <f>IFERROR(__xludf.DUMMYFUNCTION("GOOGLETRANSLATE(C60, ""en"", ""ur"")"),"A)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f>
        <v>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v>
      </c>
      <c r="N60" s="5" t="str">
        <f>IFERROR(__xludf.DUMMYFUNCTION("GOOGLETRANSLATE(D60, ""en"", ""ur"")"),"ب) یہ سوار کو گھوڑے کی حرکت کو جذب کرنے اور لانس اسٹرائیک کے لیے ایک مستحکم پلیٹ فارم مہیا کرنے دیتا ہے۔")</f>
        <v>ب) یہ سوار کو گھوڑے کی حرکت کو جذب کرنے اور لانس اسٹرائیک کے لیے ایک مستحکم پلیٹ فارم مہیا کرنے دیتا ہے۔</v>
      </c>
      <c r="O60" s="5" t="str">
        <f>IFERROR(__xludf.DUMMYFUNCTION("GOOGLETRANSLATE(E60, ""en"", ""ur"")"),"ایک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f>
        <v>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v>
      </c>
    </row>
    <row r="61">
      <c r="A61" s="3">
        <v>60.0</v>
      </c>
      <c r="B61" s="4" t="s">
        <v>3074</v>
      </c>
      <c r="C61" s="4" t="s">
        <v>3075</v>
      </c>
      <c r="D61" s="4" t="s">
        <v>3076</v>
      </c>
      <c r="E61" s="4" t="s">
        <v>3077</v>
      </c>
      <c r="K61" s="5" t="str">
        <f>IFERROR(__xludf.DUMMYFUNCTION("GOOGLETRANSLATE(A61, ""en"", ""ur"")"),"60")</f>
        <v>60</v>
      </c>
      <c r="L61" s="5" t="str">
        <f>IFERROR(__xludf.DUMMYFUNCTION("GOOGLETRANSLATE(B61, ""en"", ""ur"")"),"فنش لائن کے بعد ""رن آؤٹ"" ایریا کا مقصد کیا ہے؟")</f>
        <v>فنش لائن کے بعد "رن آؤٹ" ایریا کا مقصد کیا ہے؟</v>
      </c>
      <c r="M61" s="5" t="str">
        <f>IFERROR(__xludf.DUMMYFUNCTION("GOOGLETRANSLATE(C61, ""en"", ""ur"")"),"A)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f>
        <v>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v>
      </c>
      <c r="N61" s="5" t="str">
        <f>IFERROR(__xludf.DUMMYFUNCTION("GOOGLETRANSLATE(D61, ""en"", ""ur"")"),"ب) یہ گھوڑے کے تیز رفتار دوڑ کے بعد محفوظ طریقے سے سست ہونے کے لیے ایک مخصوص جگہ ہے۔")</f>
        <v>ب) یہ گھوڑے کے تیز رفتار دوڑ کے بعد محفوظ طریقے سے سست ہونے کے لیے ایک مخصوص جگہ ہے۔</v>
      </c>
      <c r="O61" s="5" t="str">
        <f>IFERROR(__xludf.DUMMYFUNCTION("GOOGLETRANSLATE(E61, ""en"", ""ur"")"),"رن آؤٹ ایریا ایک اہم حفاظتی خصوصیت ہے جو گھوڑے کو اچانک رکنے کے بغیر قدرتی طور پر سست ہونے دیتا ہے۔")</f>
        <v>رن آؤٹ ایریا ایک اہم حفاظتی خصوصیت ہے جو گھوڑے کو اچانک رکنے کے بغیر قدرتی طور پر سست ہونے دیتا ہے۔</v>
      </c>
    </row>
    <row r="62">
      <c r="A62" s="3">
        <v>61.0</v>
      </c>
      <c r="B62" s="4" t="s">
        <v>3078</v>
      </c>
      <c r="C62" s="4" t="s">
        <v>3079</v>
      </c>
      <c r="D62" s="4" t="s">
        <v>3080</v>
      </c>
      <c r="E62" s="4" t="s">
        <v>3081</v>
      </c>
      <c r="K62" s="5" t="str">
        <f>IFERROR(__xludf.DUMMYFUNCTION("GOOGLETRANSLATE(A62, ""en"", ""ur"")"),"61")</f>
        <v>61</v>
      </c>
      <c r="L62" s="5" t="str">
        <f>IFERROR(__xludf.DUMMYFUNCTION("GOOGLETRANSLATE(B62, ""en"", ""ur"")"),"""ڈرا پیگ"" (2 پوائنٹس) کے لیے جج کا اشارہ کیا ہے؟")</f>
        <v>"ڈرا پیگ" (2 پوائنٹس) کے لیے جج کا اشارہ کیا ہے؟</v>
      </c>
      <c r="M62" s="5" t="str">
        <f>IFERROR(__xludf.DUMMYFUNCTION("GOOGLETRANSLATE(C62, ""en"", ""ur"")"),"A) ایک سبز پرچم، B) ایک سفید پرچم، C) ایک سرخ پرچم، D) ایک نیلا پرچم")</f>
        <v>A) ایک سبز پرچم، B) ایک سفید پرچم، C) ایک سرخ پرچم، D) ایک نیلا پرچم</v>
      </c>
      <c r="N62" s="5" t="str">
        <f>IFERROR(__xludf.DUMMYFUNCTION("GOOGLETRANSLATE(D62, ""en"", ""ur"")"),"ب) ایک سفید جھنڈا۔")</f>
        <v>ب) ایک سفید جھنڈا۔</v>
      </c>
      <c r="O62" s="5" t="str">
        <f>IFERROR(__xludf.DUMMYFUNCTION("GOOGLETRANSLATE(E62, ""en"", ""ur"")"),"آئی ٹی پی ایف فلیگ سسٹم میں، سفید ایک کھونٹی کے جزوی اسکور کی نشاندہی کرتا ہے جسے ختم کر دیا گیا تھا لیکن ختم لائن پر نہیں لے جایا گیا تھا۔")</f>
        <v>آئی ٹی پی ایف فلیگ سسٹم میں، سفید ایک کھونٹی کے جزوی اسکور کی نشاندہی کرتا ہے جسے ختم کر دیا گیا تھا لیکن ختم لائن پر نہیں لے جایا گیا تھا۔</v>
      </c>
    </row>
    <row r="63">
      <c r="A63" s="3">
        <v>62.0</v>
      </c>
      <c r="B63" s="4" t="s">
        <v>3002</v>
      </c>
      <c r="C63" s="4" t="s">
        <v>3003</v>
      </c>
      <c r="D63" s="4" t="s">
        <v>3004</v>
      </c>
      <c r="E63" s="4" t="s">
        <v>3005</v>
      </c>
      <c r="K63" s="5" t="str">
        <f>IFERROR(__xludf.DUMMYFUNCTION("GOOGLETRANSLATE(A63, ""en"", ""ur"")"),"62")</f>
        <v>62</v>
      </c>
      <c r="L63" s="5" t="str">
        <f>IFERROR(__xludf.DUMMYFUNCTION("GOOGLETRANSLATE(B63, ""en"", ""ur"")"),"ٹیم ایونٹ میں ""مکمل سیکشن اٹیک"" کیا ہے؟")</f>
        <v>ٹیم ایونٹ میں "مکمل سیکشن اٹیک" کیا ہے؟</v>
      </c>
      <c r="M63" s="5" t="str">
        <f>IFERROR(__xludf.DUMMYFUNCTION("GOOGLETRANSLATE(C63, ""en"", ""ur"")"),"A)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f>
        <v>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v>
      </c>
      <c r="N63" s="5" t="str">
        <f>IFERROR(__xludf.DUMMYFUNCTION("GOOGLETRANSLATE(D63, ""en"", ""ur"")"),"A) چاروں سوار بیک وقت ایک لائن میں پیگز چارج کرتے ہیں۔")</f>
        <v>A) چاروں سوار بیک وقت ایک لائن میں پیگز چارج کرتے ہیں۔</v>
      </c>
      <c r="O63" s="5" t="str">
        <f>IFERROR(__xludf.DUMMYFUNCTION("GOOGLETRANSLATE(E63, ""en"", ""ur"")"),"یہ کلاسک ٹیم ایونٹ ہے، جہاں چار سواروں کو اپنے انفرادی ہدف کو نشانہ بناتے ہوئے بہترین فارمیشن برقرار رکھنا چاہیے۔")</f>
        <v>یہ کلاسک ٹیم ایونٹ ہے، جہاں چار سواروں کو اپنے انفرادی ہدف کو نشانہ بناتے ہوئے بہترین فارمیشن برقرار رکھنا چاہیے۔</v>
      </c>
    </row>
    <row r="64">
      <c r="A64" s="3">
        <v>63.0</v>
      </c>
      <c r="B64" s="4" t="s">
        <v>3082</v>
      </c>
      <c r="C64" s="4" t="s">
        <v>3083</v>
      </c>
      <c r="D64" s="4" t="s">
        <v>3084</v>
      </c>
      <c r="E64" s="4" t="s">
        <v>3085</v>
      </c>
      <c r="K64" s="5" t="str">
        <f>IFERROR(__xludf.DUMMYFUNCTION("GOOGLETRANSLATE(A64, ""en"", ""ur"")"),"63")</f>
        <v>63</v>
      </c>
      <c r="L64" s="5" t="str">
        <f>IFERROR(__xludf.DUMMYFUNCTION("GOOGLETRANSLATE(B64, ""en"", ""ur"")"),"رن کے بعد ""لانس آؤٹ"" سلیوٹ میں، سوار کیا کرتا ہے؟")</f>
        <v>رن کے بعد "لانس آؤٹ" سلیوٹ میں، سوار کیا کرتا ہے؟</v>
      </c>
      <c r="M64" s="5" t="str">
        <f>IFERROR(__xludf.DUMMYFUNCTION("GOOGLETRANSLATE(C64, ""en"", ""ur"")"),"A) لانس کو ہوا میں پھینکتا ہے، B) ججوں کو تسلیم کرنے کے لیے لانس کو سیدھا اوپر کرتا ہے، C) لانس کو زمین پر رکھتا ہے، D) لانس کسی اہلکار کے حوالے کرتا ہے۔")</f>
        <v>A) لانس کو ہوا میں پھینکتا ہے، B) ججوں کو تسلیم کرنے کے لیے لانس کو سیدھا اوپر کرتا ہے، C) لانس کو زمین پر رکھتا ہے، D) لانس کسی اہلکار کے حوالے کرتا ہے۔</v>
      </c>
      <c r="N64" s="5" t="str">
        <f>IFERROR(__xludf.DUMMYFUNCTION("GOOGLETRANSLATE(D64, ""en"", ""ur"")"),"ب) ججوں کو تسلیم کرنے کے لیے لانس کو سیدھا اوپر کرتا ہے۔")</f>
        <v>ب) ججوں کو تسلیم کرنے کے لیے لانس کو سیدھا اوپر کرتا ہے۔</v>
      </c>
      <c r="O64" s="5" t="str">
        <f>IFERROR(__xludf.DUMMYFUNCTION("GOOGLETRANSLATE(E64, ""en"", ""ur"")"),"یہ رن کی تکمیل کا اشارہ دینے اور عہدیداروں کو تسلیم کرنے کے لئے ایک روایتی اور احترام والا اشارہ ہے۔")</f>
        <v>یہ رن کی تکمیل کا اشارہ دینے اور عہدیداروں کو تسلیم کرنے کے لئے ایک روایتی اور احترام والا اشارہ ہے۔</v>
      </c>
    </row>
    <row r="65">
      <c r="A65" s="3">
        <v>64.0</v>
      </c>
      <c r="B65" s="4" t="s">
        <v>3086</v>
      </c>
      <c r="C65" s="4" t="s">
        <v>3087</v>
      </c>
      <c r="D65" s="4" t="s">
        <v>3088</v>
      </c>
      <c r="E65" s="4" t="s">
        <v>3089</v>
      </c>
      <c r="K65" s="5" t="str">
        <f>IFERROR(__xludf.DUMMYFUNCTION("GOOGLETRANSLATE(A65, ""en"", ""ur"")"),"64")</f>
        <v>64</v>
      </c>
      <c r="L65" s="5" t="str">
        <f>IFERROR(__xludf.DUMMYFUNCTION("GOOGLETRANSLATE(B65, ""en"", ""ur"")"),"ایک سوار کو انفرادی مقابلے سے نکال دیا جاتا ہے۔ کیا وہ اب بھی ٹیم ایونٹ میں حصہ لے سکتے ہیں؟")</f>
        <v>ایک سوار کو انفرادی مقابلے سے نکال دیا جاتا ہے۔ کیا وہ اب بھی ٹیم ایونٹ میں حصہ لے سکتے ہیں؟</v>
      </c>
      <c r="M65" s="5" t="str">
        <f>IFERROR(__xludf.DUMMYFUNCTION("GOOGLETRANSLATE(C65, ""en"", ""ur"")"),"A)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f>
        <v>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v>
      </c>
      <c r="N65" s="5" t="str">
        <f>IFERROR(__xludf.DUMMYFUNCTION("GOOGLETRANSLATE(D65, ""en"", ""ur"")"),"ب) جی ہاں، انفرادی اور ٹیم ایونٹ الگ الگ مقابلے ہیں۔")</f>
        <v>ب) جی ہاں، انفرادی اور ٹیم ایونٹ الگ الگ مقابلے ہیں۔</v>
      </c>
      <c r="O65" s="5" t="str">
        <f>IFERROR(__xludf.DUMMYFUNCTION("GOOGLETRANSLATE(E65, ""en"", ""ur"")"),"ایک ایونٹ میں سوار کی کارکردگی اسی ٹورنامنٹ میں دوسرے شیڈول ایونٹس میں مقابلہ کرنے کی ان کی اہلیت کو متاثر نہیں کرتی ہے۔")</f>
        <v>ایک ایونٹ میں سوار کی کارکردگی اسی ٹورنامنٹ میں دوسرے شیڈول ایونٹس میں مقابلہ کرنے کی ان کی اہلیت کو متاثر نہیں کرتی ہے۔</v>
      </c>
    </row>
    <row r="66">
      <c r="A66" s="3">
        <v>65.0</v>
      </c>
      <c r="B66" s="4" t="s">
        <v>3090</v>
      </c>
      <c r="C66" s="4" t="s">
        <v>3091</v>
      </c>
      <c r="D66" s="4" t="s">
        <v>3092</v>
      </c>
      <c r="E66" s="4" t="s">
        <v>3093</v>
      </c>
      <c r="K66" s="5" t="str">
        <f>IFERROR(__xludf.DUMMYFUNCTION("GOOGLETRANSLATE(A66, ""en"", ""ur"")"),"65")</f>
        <v>65</v>
      </c>
      <c r="L66" s="5" t="str">
        <f>IFERROR(__xludf.DUMMYFUNCTION("GOOGLETRANSLATE(B66, ""en"", ""ur"")"),"اگر ایک کھونٹی اٹھائی جائے لیکن سوار ختم لائن سے پہلے اپنی لانس (کھنٹی پر موجود ہے) گرا دے تو کیا حکم ہے؟")</f>
        <v>اگر ایک کھونٹی اٹھائی جائے لیکن سوار ختم لائن سے پہلے اپنی لانس (کھنٹی پر موجود ہے) گرا دے تو کیا حکم ہے؟</v>
      </c>
      <c r="M66" s="5" t="str">
        <f>IFERROR(__xludf.DUMMYFUNCTION("GOOGLETRANSLATE(C66, ""en"", ""ur"")"),"A) مکمل پوائنٹس دیئے جاتے ہیں، B) آدھے پوائنٹس دیئے جاتے ہیں، C) زیرو پوائنٹس دیئے جاتے ہیں، D) رن دوبارہ چلایا جاتا ہے")</f>
        <v>A) مکمل پوائنٹس دیئے جاتے ہیں، B) آدھے پوائنٹس دیئے جاتے ہیں، C) زیرو پوائنٹس دیئے جاتے ہیں، D) رن دوبارہ چلایا جاتا ہے</v>
      </c>
      <c r="N66" s="5" t="str">
        <f>IFERROR(__xludf.DUMMYFUNCTION("GOOGLETRANSLATE(D66, ""en"", ""ur"")"),"C) زیرو پوائنٹس دیئے جاتے ہیں۔")</f>
        <v>C) زیرو پوائنٹس دیئے جاتے ہیں۔</v>
      </c>
      <c r="O66" s="5" t="str">
        <f>IFERROR(__xludf.DUMMYFUNCTION("GOOGLETRANSLATE(E66, ""en"", ""ur"")"),"سوار کو پوری دوڑ میں اپنے ہتھیار کا کنٹرول برقرار رکھنا چاہیے۔ لانس کو گرانے سے صفر کا سکور ہوتا ہے۔")</f>
        <v>سوار کو پوری دوڑ میں اپنے ہتھیار کا کنٹرول برقرار رکھنا چاہیے۔ لانس کو گرانے سے صفر کا سکور ہوتا ہے۔</v>
      </c>
    </row>
    <row r="67">
      <c r="A67" s="3">
        <v>66.0</v>
      </c>
      <c r="B67" s="4" t="s">
        <v>3094</v>
      </c>
      <c r="C67" s="4" t="s">
        <v>3095</v>
      </c>
      <c r="D67" s="4" t="s">
        <v>3096</v>
      </c>
      <c r="E67" s="4" t="s">
        <v>3097</v>
      </c>
      <c r="K67" s="5" t="str">
        <f>IFERROR(__xludf.DUMMYFUNCTION("GOOGLETRANSLATE(A67, ""en"", ""ur"")"),"66")</f>
        <v>66</v>
      </c>
      <c r="L67" s="5" t="str">
        <f>IFERROR(__xludf.DUMMYFUNCTION("GOOGLETRANSLATE(B67, ""en"", ""ur"")"),"کیوں سوار اکثر رسمی نمائش کے دوران روایتی، بہتے ہوئے لباس پہنتے ہیں لیکن اعلیٰ سطح کے مقابلوں میں نہیں؟")</f>
        <v>کیوں سوار اکثر رسمی نمائش کے دوران روایتی، بہتے ہوئے لباس پہنتے ہیں لیکن اعلیٰ سطح کے مقابلوں میں نہیں؟</v>
      </c>
      <c r="M67" s="5" t="str">
        <f>IFERROR(__xludf.DUMMYFUNCTION("GOOGLETRANSLATE(C67, ""en"", ""ur"")"),"A)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f>
        <v>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v>
      </c>
      <c r="N67" s="5" t="str">
        <f>IFERROR(__xludf.DUMMYFUNCTION("GOOGLETRANSLATE(D67, ""en"", ""ur"")"),"ب) کپڑے پھنس سکتے ہیں یا الجھ سکتے ہیں، جو کہ وقتی تقریب میں حفاظتی خطرہ ہے۔")</f>
        <v>ب) کپڑے پھنس سکتے ہیں یا الجھ سکتے ہیں، جو کہ وقتی تقریب میں حفاظتی خطرہ ہے۔</v>
      </c>
      <c r="O67" s="5" t="str">
        <f>IFERROR(__xludf.DUMMYFUNCTION("GOOGLETRANSLATE(E67, ""en"", ""ur"")"),"بصری طور پر متاثر کن ہونے کے باوجود، ڈھیلے لباس تیز رفتاری سے خطرناک ہو سکتے ہیں، اس لیے مقابلوں میں حفاظت کے لیے گھڑ سواری کے سامان کی ضرورت ہوتی ہے۔")</f>
        <v>بصری طور پر متاثر کن ہونے کے باوجود، ڈھیلے لباس تیز رفتاری سے خطرناک ہو سکتے ہیں، اس لیے مقابلوں میں حفاظت کے لیے گھڑ سواری کے سامان کی ضرورت ہوتی ہے۔</v>
      </c>
    </row>
    <row r="68">
      <c r="A68" s="3">
        <v>67.0</v>
      </c>
      <c r="B68" s="4" t="s">
        <v>3098</v>
      </c>
      <c r="C68" s="4" t="s">
        <v>3099</v>
      </c>
      <c r="D68" s="4" t="s">
        <v>3100</v>
      </c>
      <c r="E68" s="4" t="s">
        <v>3101</v>
      </c>
      <c r="K68" s="5" t="str">
        <f>IFERROR(__xludf.DUMMYFUNCTION("GOOGLETRANSLATE(A68, ""en"", ""ur"")"),"67")</f>
        <v>67</v>
      </c>
      <c r="L68" s="5" t="str">
        <f>IFERROR(__xludf.DUMMYFUNCTION("GOOGLETRANSLATE(B68, ""en"", ""ur"")"),"ایک سوار کو لانس کا استعمال کرتے ہوئے دیکھا جاتا ہے جو نمایاں طور پر موٹا اور معیاری سے زیادہ بھاری ہوتا ہے۔ ممکنہ فائدہ کیا ہے؟")</f>
        <v>ایک سوار کو لانس کا استعمال کرتے ہوئے دیکھا جاتا ہے جو نمایاں طور پر موٹا اور معیاری سے زیادہ بھاری ہوتا ہے۔ ممکنہ فائدہ کیا ہے؟</v>
      </c>
      <c r="M68" s="5" t="str">
        <f>IFERROR(__xludf.DUMMYFUNCTION("GOOGLETRANSLATE(C68, ""en"", ""ur"")"),"A) بہتر درستگی، B) ہوا کے حالات میں زیادہ استحکام، C) اسے پکڑنا آسان ہے، D) اس کے ٹوٹنے کا امکان کم ہے")</f>
        <v>A) بہتر درستگی، B) ہوا کے حالات میں زیادہ استحکام، C) اسے پکڑنا آسان ہے، D) اس کے ٹوٹنے کا امکان کم ہے</v>
      </c>
      <c r="N68" s="5" t="str">
        <f>IFERROR(__xludf.DUMMYFUNCTION("GOOGLETRANSLATE(D68, ""en"", ""ur"")"),"ب) ہوا کے حالات میں زیادہ استحکام")</f>
        <v>ب) ہوا کے حالات میں زیادہ استحکام</v>
      </c>
      <c r="O68" s="5" t="str">
        <f>IFERROR(__xludf.DUMMYFUNCTION("GOOGLETRANSLATE(E68, ""en"", ""ur"")"),"ایک بھاری لانس کراس ونڈز سے کم متاثر ہوتا ہے، جو کہ کچھ سواروں کے لیے منفی موسم میں فائدہ مند ثابت ہو سکتا ہے۔")</f>
        <v>ایک بھاری لانس کراس ونڈز سے کم متاثر ہوتا ہے، جو کہ کچھ سواروں کے لیے منفی موسم میں فائدہ مند ثابت ہو سکتا ہے۔</v>
      </c>
    </row>
    <row r="69">
      <c r="A69" s="3">
        <v>68.0</v>
      </c>
      <c r="B69" s="4" t="s">
        <v>3102</v>
      </c>
      <c r="C69" s="4" t="s">
        <v>3103</v>
      </c>
      <c r="D69" s="4" t="s">
        <v>3104</v>
      </c>
      <c r="E69" s="4" t="s">
        <v>3105</v>
      </c>
      <c r="K69" s="5" t="str">
        <f>IFERROR(__xludf.DUMMYFUNCTION("GOOGLETRANSLATE(A69, ""en"", ""ur"")"),"68")</f>
        <v>68</v>
      </c>
      <c r="L69" s="5" t="str">
        <f>IFERROR(__xludf.DUMMYFUNCTION("GOOGLETRANSLATE(B69, ""en"", ""ur"")"),"پلاسٹک کی بجائے لکڑی کا کھونٹا استعمال کرنے کی بنیادی وجہ کیا ہے؟")</f>
        <v>پلاسٹک کی بجائے لکڑی کا کھونٹا استعمال کرنے کی بنیادی وجہ کیا ہے؟</v>
      </c>
      <c r="M69" s="5" t="str">
        <f>IFERROR(__xludf.DUMMYFUNCTION("GOOGLETRANSLATE(C69, ""en"", ""ur"")"),"A) لکڑی سستی ہے، B) لکڑی مناسب مقدار میں مزاحمت فراہم کرتی ہے اور اسے لانس سے سوراخ کیا جا سکتا ہے، C) پلاسٹک بہت بھاری ہے، D) یہ ایک جدید رجحان ہے۔")</f>
        <v>A) لکڑی سستی ہے، B) لکڑی مناسب مقدار میں مزاحمت فراہم کرتی ہے اور اسے لانس سے سوراخ کیا جا سکتا ہے، C) پلاسٹک بہت بھاری ہے، D) یہ ایک جدید رجحان ہے۔</v>
      </c>
      <c r="N69" s="5" t="str">
        <f>IFERROR(__xludf.DUMMYFUNCTION("GOOGLETRANSLATE(D69, ""en"", ""ur"")"),"ب) لکڑی مناسب مقدار میں مزاحمت فراہم کرتی ہے اور اسے لانس سے چھید کیا جاسکتا ہے۔")</f>
        <v>ب) لکڑی مناسب مقدار میں مزاحمت فراہم کرتی ہے اور اسے لانس سے چھید کیا جاسکتا ہے۔</v>
      </c>
      <c r="O69" s="5" t="str">
        <f>IFERROR(__xludf.DUMMYFUNCTION("GOOGLETRANSLATE(E69, ""en"", ""ur"")"),"دھاتی لانس کی نوک اور لکڑی کے کھونٹے کے درمیان تعامل روایتی ہے اور یہ مخصوص چیلنج فراہم کرتا ہے جس پر کھیل کی بنیاد ہے۔")</f>
        <v>دھاتی لانس کی نوک اور لکڑی کے کھونٹے کے درمیان تعامل روایتی ہے اور یہ مخصوص چیلنج فراہم کرتا ہے جس پر کھیل کی بنیاد ہے۔</v>
      </c>
    </row>
    <row r="70">
      <c r="A70" s="3">
        <v>69.0</v>
      </c>
      <c r="B70" s="4" t="s">
        <v>3106</v>
      </c>
      <c r="C70" s="4" t="s">
        <v>3107</v>
      </c>
      <c r="D70" s="4" t="s">
        <v>3108</v>
      </c>
      <c r="E70" s="4" t="s">
        <v>3109</v>
      </c>
      <c r="K70" s="5" t="str">
        <f>IFERROR(__xludf.DUMMYFUNCTION("GOOGLETRANSLATE(A70, ""en"", ""ur"")"),"69")</f>
        <v>69</v>
      </c>
      <c r="L70" s="5" t="str">
        <f>IFERROR(__xludf.DUMMYFUNCTION("GOOGLETRANSLATE(B70, ""en"", ""ur"")"),"ایک سوار کامیابی کے ساتھ ایک انگوٹھی چلاتا ہے، لیکن یہ فائنل لائن سے پہلے لانس سے گر جاتا ہے۔ سکور کیا ہے؟")</f>
        <v>ایک سوار کامیابی کے ساتھ ایک انگوٹھی چلاتا ہے، لیکن یہ فائنل لائن سے پہلے لانس سے گر جاتا ہے۔ سکور کیا ہے؟</v>
      </c>
      <c r="M70" s="5" t="str">
        <f>IFERROR(__xludf.DUMMYFUNCTION("GOOGLETRANSLATE(C70, ""en"", ""ur"")"),"A) مکمل پوائنٹس، B) نصف پوائنٹس، C) زیرو پوائنٹس، D) رن دوبارہ چلایا جاتا ہے")</f>
        <v>A) مکمل پوائنٹس، B) نصف پوائنٹس، C) زیرو پوائنٹس، D) رن دوبارہ چلایا جاتا ہے</v>
      </c>
      <c r="N70" s="5" t="str">
        <f>IFERROR(__xludf.DUMMYFUNCTION("GOOGLETRANSLATE(D70, ""en"", ""ur"")"),"C) زیرو پوائنٹس")</f>
        <v>C) زیرو پوائنٹس</v>
      </c>
      <c r="O70" s="5" t="str">
        <f>IFERROR(__xludf.DUMMYFUNCTION("GOOGLETRANSLATE(E70, ""en"", ""ur"")"),"بالکل اسی طرح جیسے گراؤنڈ پیگ کے ساتھ، ایک معطل ہدف کو کامیابی کے ساتھ جمع کرنا اور اسکور کرنے کے لیے فنش لائن کے پار لے جانا چاہیے۔")</f>
        <v>بالکل اسی طرح جیسے گراؤنڈ پیگ کے ساتھ، ایک معطل ہدف کو کامیابی کے ساتھ جمع کرنا اور اسکور کرنے کے لیے فنش لائن کے پار لے جانا چاہیے۔</v>
      </c>
    </row>
    <row r="71">
      <c r="A71" s="3">
        <v>70.0</v>
      </c>
      <c r="B71" s="4" t="s">
        <v>3110</v>
      </c>
      <c r="C71" s="4" t="s">
        <v>3111</v>
      </c>
      <c r="D71" s="4" t="s">
        <v>3112</v>
      </c>
      <c r="E71" s="4" t="s">
        <v>3113</v>
      </c>
      <c r="K71" s="5" t="str">
        <f>IFERROR(__xludf.DUMMYFUNCTION("GOOGLETRANSLATE(A71, ""en"", ""ur"")"),"70")</f>
        <v>70</v>
      </c>
      <c r="L71" s="5" t="str">
        <f>IFERROR(__xludf.DUMMYFUNCTION("GOOGLETRANSLATE(B71, ""en"", ""ur"")"),"""نیزا بازی"" کی اصطلاح سے کیا مراد ہے؟")</f>
        <v>"نیزا بازی" کی اصطلاح سے کیا مراد ہے؟</v>
      </c>
      <c r="M71" s="5" t="str">
        <f>IFERROR(__xludf.DUMMYFUNCTION("GOOGLETRANSLATE(C71, ""en"", ""ur"")"),"A) ٹینٹ پیگنگ کا پاکستانی نام، B) گھوڑے کی ایک قسم، C) رسمی یونیفارم، D) چیمپئن شپ ٹرافی")</f>
        <v>A) ٹینٹ پیگنگ کا پاکستانی نام، B) گھوڑے کی ایک قسم، C) رسمی یونیفارم، D) چیمپئن شپ ٹرافی</v>
      </c>
      <c r="N71" s="5" t="str">
        <f>IFERROR(__xludf.DUMMYFUNCTION("GOOGLETRANSLATE(D71, ""en"", ""ur"")"),"A) ٹینٹ پیگنگ کا پاکستانی نام")</f>
        <v>A) ٹینٹ پیگنگ کا پاکستانی نام</v>
      </c>
      <c r="O71" s="5" t="str">
        <f>IFERROR(__xludf.DUMMYFUNCTION("GOOGLETRANSLATE(E71, ""en"", ""ur"")"),"نیزا بازی کھیل کے لیے روایتی فارسی اور اردو اصطلاح ہے، جس کا مطلب ہے ""نیزہ بجانا۔""")</f>
        <v>نیزا بازی کھیل کے لیے روایتی فارسی اور اردو اصطلاح ہے، جس کا مطلب ہے "نیزہ بجانا۔"</v>
      </c>
    </row>
    <row r="72">
      <c r="A72" s="3">
        <v>71.0</v>
      </c>
      <c r="B72" s="4" t="s">
        <v>3114</v>
      </c>
      <c r="C72" s="4" t="s">
        <v>3115</v>
      </c>
      <c r="D72" s="4" t="s">
        <v>3116</v>
      </c>
      <c r="E72" s="4" t="s">
        <v>3117</v>
      </c>
      <c r="K72" s="5" t="str">
        <f>IFERROR(__xludf.DUMMYFUNCTION("GOOGLETRANSLATE(A72, ""en"", ""ur"")"),"71")</f>
        <v>71</v>
      </c>
      <c r="L72" s="5" t="str">
        <f>IFERROR(__xludf.DUMMYFUNCTION("GOOGLETRANSLATE(B72, ""en"", ""ur"")"),"آفیشل اسٹارٹ لائن سے پہلے ""گیلوپنگ ٹریک"" یا رن اپ ایریا کا بنیادی مقصد کیا ہے؟")</f>
        <v>آفیشل اسٹارٹ لائن سے پہلے "گیلوپنگ ٹریک" یا رن اپ ایریا کا بنیادی مقصد کیا ہے؟</v>
      </c>
      <c r="M72" s="5" t="str">
        <f>IFERROR(__xludf.DUMMYFUNCTION("GOOGLETRANSLATE(C72, ""en"", ""ur"")"),"A)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f>
        <v>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v>
      </c>
      <c r="N72" s="5" t="str">
        <f>IFERROR(__xludf.DUMMYFUNCTION("GOOGLETRANSLATE(D72, ""en"", ""ur"")"),"A) گھوڑے اور سوار کو صحیح رفتار اور تال کے مطابق بنانے کی اجازت دینا")</f>
        <v>A) گھوڑے اور سوار کو صحیح رفتار اور تال کے مطابق بنانے کی اجازت دینا</v>
      </c>
      <c r="O72" s="5" t="str">
        <f>IFERROR(__xludf.DUMMYFUNCTION("GOOGLETRANSLATE(E72, ""en"", ""ur"")"),"یہ رن اپ ایریا گھوڑے کے لیے وقتی دوڑ شروع ہونے سے پہلے ایک مستحکم، کنٹرول شدہ سرپٹ تک پہنچنے کے لیے اہم ہے۔")</f>
        <v>یہ رن اپ ایریا گھوڑے کے لیے وقتی دوڑ شروع ہونے سے پہلے ایک مستحکم، کنٹرول شدہ سرپٹ تک پہنچنے کے لیے اہم ہے۔</v>
      </c>
    </row>
    <row r="73">
      <c r="A73" s="3">
        <v>72.0</v>
      </c>
      <c r="B73" s="4" t="s">
        <v>3118</v>
      </c>
      <c r="C73" s="4" t="s">
        <v>3119</v>
      </c>
      <c r="D73" s="4" t="s">
        <v>3120</v>
      </c>
      <c r="E73" s="4" t="s">
        <v>3121</v>
      </c>
      <c r="K73" s="5" t="str">
        <f>IFERROR(__xludf.DUMMYFUNCTION("GOOGLETRANSLATE(A73, ""en"", ""ur"")"),"72")</f>
        <v>72</v>
      </c>
      <c r="L73" s="5" t="str">
        <f>IFERROR(__xludf.DUMMYFUNCTION("GOOGLETRANSLATE(B73, ""en"", ""ur"")"),"ایک سوار کو ""خطرناک سواری"" کے لیے نااہل قرار دیا جاتا ہے۔ ممکنہ وجہ کیا ہے؟")</f>
        <v>ایک سوار کو "خطرناک سواری" کے لیے نااہل قرار دیا جاتا ہے۔ ممکنہ وجہ کیا ہے؟</v>
      </c>
      <c r="M73" s="5" t="str">
        <f>IFERROR(__xludf.DUMMYFUNCTION("GOOGLETRANSLATE(C73, ""en"", ""ur"")"),"A) بہت تیز سواری کرنا، B) اپنے گھوڑے پر قابو نہ رکھنا، دوسروں کے لیے خطرہ بننا، C) دوڑ کے دوران چیخنا، D) غلط رنگ پہننا")</f>
        <v>A) بہت تیز سواری کرنا، B) اپنے گھوڑے پر قابو نہ رکھنا، دوسروں کے لیے خطرہ بننا، C) دوڑ کے دوران چیخنا، D) غلط رنگ پہننا</v>
      </c>
      <c r="N73" s="5" t="str">
        <f>IFERROR(__xludf.DUMMYFUNCTION("GOOGLETRANSLATE(D73, ""en"", ""ur"")"),"ب) اپنے گھوڑے پر قابو نہ پانا، دوسروں کے لیے خطرہ بننا")</f>
        <v>ب) اپنے گھوڑے پر قابو نہ پانا، دوسروں کے لیے خطرہ بننا</v>
      </c>
      <c r="O73" s="5" t="str">
        <f>IFERROR(__xludf.DUMMYFUNCTION("GOOGLETRANSLATE(E73, ""en"", ""ur"")"),"کوئی بھی عمل جو کنٹرول کی کمی کو ظاہر کرتا ہے اور دوسرے سواروں، گھوڑوں یا اہلکاروں کو خطرے میں ڈالتا ہے خطرناک سواری سمجھا جاتا ہے۔")</f>
        <v>کوئی بھی عمل جو کنٹرول کی کمی کو ظاہر کرتا ہے اور دوسرے سواروں، گھوڑوں یا اہلکاروں کو خطرے میں ڈالتا ہے خطرناک سواری سمجھا جاتا ہے۔</v>
      </c>
    </row>
    <row r="74">
      <c r="A74" s="3">
        <v>73.0</v>
      </c>
      <c r="B74" s="4" t="s">
        <v>3122</v>
      </c>
      <c r="C74" s="4" t="s">
        <v>2983</v>
      </c>
      <c r="D74" s="4" t="s">
        <v>2984</v>
      </c>
      <c r="E74" s="4" t="s">
        <v>2985</v>
      </c>
      <c r="K74" s="5" t="str">
        <f>IFERROR(__xludf.DUMMYFUNCTION("GOOGLETRANSLATE(A74, ""en"", ""ur"")"),"73")</f>
        <v>73</v>
      </c>
      <c r="L74" s="5" t="str">
        <f>IFERROR(__xludf.DUMMYFUNCTION("GOOGLETRANSLATE(B74, ""en"", ""ur"")"),"صفر کے اسکور یا ناکام کوشش کے لیے جج کا اشارہ کیا ہے؟")</f>
        <v>صفر کے اسکور یا ناکام کوشش کے لیے جج کا اشارہ کیا ہے؟</v>
      </c>
      <c r="M74" s="5" t="str">
        <f>IFERROR(__xludf.DUMMYFUNCTION("GOOGLETRANSLATE(C74, ""en"", ""ur"")"),"A) ایک سرخ جھنڈا بلند کیا جاتا ہے، B) سبز جھنڈا بلند کیا جاتا ہے، C) جج اپنا سر ہلاتا ہے، D) جج ایک بار سیٹی بجاتا ہے۔")</f>
        <v>A) ایک سرخ جھنڈا بلند کیا جاتا ہے، B) سبز جھنڈا بلند کیا جاتا ہے، C) جج اپنا سر ہلاتا ہے، D) جج ایک بار سیٹی بجاتا ہے۔</v>
      </c>
      <c r="N74" s="5" t="str">
        <f>IFERROR(__xludf.DUMMYFUNCTION("GOOGLETRANSLATE(D74, ""en"", ""ur"")"),"A) ایک سرخ جھنڈا بلند کیا گیا ہے۔")</f>
        <v>A) ایک سرخ جھنڈا بلند کیا گیا ہے۔</v>
      </c>
      <c r="O74" s="5" t="str">
        <f>IFERROR(__xludf.DUMMYFUNCTION("GOOGLETRANSLATE(E74, ""en"", ""ur"")"),"ایک سرخ جھنڈا معیاری سگنل ہے جو اس بات کی نشاندہی کرتا ہے کہ رن ناکام رہا اور کوئی پوائنٹ نہیں دیا گیا۔")</f>
        <v>ایک سرخ جھنڈا معیاری سگنل ہے جو اس بات کی نشاندہی کرتا ہے کہ رن ناکام رہا اور کوئی پوائنٹ نہیں دیا گیا۔</v>
      </c>
    </row>
    <row r="75">
      <c r="A75" s="3">
        <v>74.0</v>
      </c>
      <c r="B75" s="4" t="s">
        <v>3123</v>
      </c>
      <c r="C75" s="4" t="s">
        <v>2991</v>
      </c>
      <c r="D75" s="4" t="s">
        <v>2992</v>
      </c>
      <c r="E75" s="4" t="s">
        <v>3124</v>
      </c>
      <c r="K75" s="5" t="str">
        <f>IFERROR(__xludf.DUMMYFUNCTION("GOOGLETRANSLATE(A75, ""en"", ""ur"")"),"74")</f>
        <v>74</v>
      </c>
      <c r="L75" s="5" t="str">
        <f>IFERROR(__xludf.DUMMYFUNCTION("GOOGLETRANSLATE(B75, ""en"", ""ur"")"),"سواروں کو اپنے بازو پر لانس باندھنے کی اجازت کیوں نہیں ہے؟")</f>
        <v>سواروں کو اپنے بازو پر لانس باندھنے کی اجازت کیوں نہیں ہے؟</v>
      </c>
      <c r="M75" s="5" t="str">
        <f>IFERROR(__xludf.DUMMYFUNCTION("GOOGLETRANSLATE(C75, ""en"", ""ur"")"),"A)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f>
        <v>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v>
      </c>
      <c r="N75" s="5" t="str">
        <f>IFERROR(__xludf.DUMMYFUNCTION("GOOGLETRANSLATE(D75, ""en"", ""ur"")"),"ب) حفاظت کے لیے؛ انہیں ہنگامی حالت میں لانس چھوڑنے کے قابل ہونا چاہیے۔")</f>
        <v>ب) حفاظت کے لیے؛ انہیں ہنگامی حالت میں لانس چھوڑنے کے قابل ہونا چاہیے۔</v>
      </c>
      <c r="O75" s="5" t="str">
        <f>IFERROR(__xludf.DUMMYFUNCTION("GOOGLETRANSLATE(E75, ""en"", ""ur"")"),"جسم پر لینس کا پٹا لگانا انتہائی خطرناک ہے۔ ایک سوار کو ہتھیار کو فوری طور پر چھوڑنے کے قابل ہونا چاہیے اگر یہ پھنس جائے یا گر جائے۔")</f>
        <v>جسم پر لینس کا پٹا لگانا انتہائی خطرناک ہے۔ ایک سوار کو ہتھیار کو فوری طور پر چھوڑنے کے قابل ہونا چاہیے اگر یہ پھنس جائے یا گر جائے۔</v>
      </c>
    </row>
    <row r="76">
      <c r="A76" s="3">
        <v>75.0</v>
      </c>
      <c r="B76" s="4" t="s">
        <v>3125</v>
      </c>
      <c r="C76" s="4" t="s">
        <v>3126</v>
      </c>
      <c r="D76" s="4" t="s">
        <v>3127</v>
      </c>
      <c r="E76" s="4" t="s">
        <v>3128</v>
      </c>
      <c r="K76" s="5" t="str">
        <f>IFERROR(__xludf.DUMMYFUNCTION("GOOGLETRANSLATE(A76, ""en"", ""ur"")"),"75")</f>
        <v>75</v>
      </c>
      <c r="L76" s="5" t="str">
        <f>IFERROR(__xludf.DUMMYFUNCTION("GOOGLETRANSLATE(B76, ""en"", ""ur"")"),"ایک ٹیم ایونٹ میں، اگر ایک سوار کو غلط آغاز کے لیے ختم کر دیا جاتا ہے تو کیا جرمانہ ہے؟")</f>
        <v>ایک ٹیم ایونٹ میں، اگر ایک سوار کو غلط آغاز کے لیے ختم کر دیا جاتا ہے تو کیا جرمانہ ہے؟</v>
      </c>
      <c r="M76" s="5" t="str">
        <f>IFERROR(__xludf.DUMMYFUNCTION("GOOGLETRANSLATE(C76, ""en"", ""ur"")"),"A)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f>
        <v>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v>
      </c>
      <c r="N76" s="5" t="str">
        <f>IFERROR(__xludf.DUMMYFUNCTION("GOOGLETRANSLATE(D76, ""en"", ""ur"")"),"ب) ٹیم تین سواروں کے ساتھ جاری رہتی ہے، لیکن ختم ہونے والے سوار کو صفر کا سکور ملتا ہے۔")</f>
        <v>ب) ٹیم تین سواروں کے ساتھ جاری رہتی ہے، لیکن ختم ہونے والے سوار کو صفر کا سکور ملتا ہے۔</v>
      </c>
      <c r="O76" s="5" t="str">
        <f>IFERROR(__xludf.DUMMYFUNCTION("GOOGLETRANSLATE(E76, ""en"", ""ur"")"),"انفرادی سوار کا سکور منسوخ کر دیا جاتا ہے، لیکن یہ ٹیم کے دیگر اراکین کو نااہل نہیں کرتا، جن کے اسکور ابھی بھی شمار ہوتے ہیں۔")</f>
        <v>انفرادی سوار کا سکور منسوخ کر دیا جاتا ہے، لیکن یہ ٹیم کے دیگر اراکین کو نااہل نہیں کرتا، جن کے اسکور ابھی بھی شمار ہوتے ہیں۔</v>
      </c>
    </row>
    <row r="77">
      <c r="A77" s="3">
        <v>76.0</v>
      </c>
      <c r="B77" s="4" t="s">
        <v>3129</v>
      </c>
      <c r="C77" s="4" t="s">
        <v>3130</v>
      </c>
      <c r="D77" s="4" t="s">
        <v>3131</v>
      </c>
      <c r="E77" s="4" t="s">
        <v>3132</v>
      </c>
      <c r="K77" s="5" t="str">
        <f>IFERROR(__xludf.DUMMYFUNCTION("GOOGLETRANSLATE(A77, ""en"", ""ur"")"),"76")</f>
        <v>76</v>
      </c>
      <c r="L77" s="5" t="str">
        <f>IFERROR(__xludf.DUMMYFUNCTION("GOOGLETRANSLATE(B77, ""en"", ""ur"")"),"ایک سوار پاکستانی فوج کی ٹیم کا حصہ ہے۔ اس کی کیا اہمیت ہے؟")</f>
        <v>ایک سوار پاکستانی فوج کی ٹیم کا حصہ ہے۔ اس کی کیا اہمیت ہے؟</v>
      </c>
      <c r="M77" s="5" t="str">
        <f>IFERROR(__xludf.DUMMYFUNCTION("GOOGLETRANSLATE(C77, ""en"", ""ur"")"),"A)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f>
        <v>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v>
      </c>
      <c r="N77" s="5" t="str">
        <f>IFERROR(__xludf.DUMMYFUNCTION("GOOGLETRANSLATE(D77, ""en"", ""ur"")"),"ب) مسلح افواج، خاص طور پر گھڑسوار دستے، کھیل کے ایک بڑے محافظ اور فروغ دینے والے ہیں۔")</f>
        <v>ب) مسلح افواج، خاص طور پر گھڑسوار دستے، کھیل کے ایک بڑے محافظ اور فروغ دینے والے ہیں۔</v>
      </c>
      <c r="O77" s="5" t="str">
        <f>IFERROR(__xludf.DUMMYFUNCTION("GOOGLETRANSLATE(E77, ""en"", ""ur"")"),"پاکستان میں ٹینٹ پیگنگ کی کئی سرفہرست ٹیمیں آرمی کیولری یونٹس سے وابستہ ہیں، جنہوں نے روایت کو زندہ رکھا ہے۔")</f>
        <v>پاکستان میں ٹینٹ پیگنگ کی کئی سرفہرست ٹیمیں آرمی کیولری یونٹس سے وابستہ ہیں، جنہوں نے روایت کو زندہ رکھا ہے۔</v>
      </c>
    </row>
    <row r="78">
      <c r="A78" s="3">
        <v>77.0</v>
      </c>
      <c r="B78" s="4" t="s">
        <v>3133</v>
      </c>
      <c r="C78" s="4" t="s">
        <v>3134</v>
      </c>
      <c r="D78" s="4" t="s">
        <v>3135</v>
      </c>
      <c r="E78" s="4" t="s">
        <v>3136</v>
      </c>
      <c r="K78" s="5" t="str">
        <f>IFERROR(__xludf.DUMMYFUNCTION("GOOGLETRANSLATE(A78, ""en"", ""ur"")"),"77")</f>
        <v>77</v>
      </c>
      <c r="L78" s="5" t="str">
        <f>IFERROR(__xludf.DUMMYFUNCTION("GOOGLETRANSLATE(B78, ""en"", ""ur"")"),"ایک سوار تین جہتی نوک کے ساتھ لانس استعمال کر رہا ہے۔ کیا یہ معیاری پیگنگ ایونٹ میں قانونی ہے؟")</f>
        <v>ایک سوار تین جہتی نوک کے ساتھ لانس استعمال کر رہا ہے۔ کیا یہ معیاری پیگنگ ایونٹ میں قانونی ہے؟</v>
      </c>
      <c r="M78" s="5" t="str">
        <f>IFERROR(__xludf.DUMMYFUNCTION("GOOGLETRANSLATE(C78, ""en"", ""ur"")"),"A) جی ہاں، یہ کھونٹی کو پکڑنا آسان بناتا ہے، B) نہیں، ایک پوائنٹ کی ضرورت ہے، C) صرف اس صورت میں جب ریفری منظور کرے، D) ہاں، لیکن اس سے کم پوائنٹس حاصل ہوتے ہیں۔")</f>
        <v>A) جی ہاں، یہ کھونٹی کو پکڑنا آسان بناتا ہے، B) نہیں، ایک پوائنٹ کی ضرورت ہے، C) صرف اس صورت میں جب ریفری منظور کرے، D) ہاں، لیکن اس سے کم پوائنٹس حاصل ہوتے ہیں۔</v>
      </c>
      <c r="N78" s="5" t="str">
        <f>IFERROR(__xludf.DUMMYFUNCTION("GOOGLETRANSLATE(D78, ""en"", ""ur"")"),"ب) نہیں، ایک پوائنٹ درکار ہے۔")</f>
        <v>ب) نہیں، ایک پوائنٹ درکار ہے۔</v>
      </c>
      <c r="O78" s="5" t="str">
        <f>IFERROR(__xludf.DUMMYFUNCTION("GOOGLETRANSLATE(E78, ""en"", ""ur"")"),"معیاری لانس میں ایک سادہ، واحد نقطہ ہونا ضروری ہے۔ مرکزی نظم و ضبط میں کثیر جہتی سروں کی اجازت نہیں ہے۔")</f>
        <v>معیاری لانس میں ایک سادہ، واحد نقطہ ہونا ضروری ہے۔ مرکزی نظم و ضبط میں کثیر جہتی سروں کی اجازت نہیں ہے۔</v>
      </c>
    </row>
    <row r="79">
      <c r="A79" s="3">
        <v>78.0</v>
      </c>
      <c r="B79" s="4" t="s">
        <v>3137</v>
      </c>
      <c r="C79" s="4" t="s">
        <v>3138</v>
      </c>
      <c r="D79" s="4" t="s">
        <v>3139</v>
      </c>
      <c r="E79" s="4" t="s">
        <v>3140</v>
      </c>
      <c r="K79" s="5" t="str">
        <f>IFERROR(__xludf.DUMMYFUNCTION("GOOGLETRANSLATE(A79, ""en"", ""ur"")"),"78")</f>
        <v>78</v>
      </c>
      <c r="L79" s="5" t="str">
        <f>IFERROR(__xludf.DUMMYFUNCTION("GOOGLETRANSLATE(B79, ""en"", ""ur"")"),"ایک سوار کو اپنے اڈے کے قریب لانس رکھنے کی بنیادی وجہ کیا ہے؟")</f>
        <v>ایک سوار کو اپنے اڈے کے قریب لانس رکھنے کی بنیادی وجہ کیا ہے؟</v>
      </c>
      <c r="M79" s="5" t="str">
        <f>IFERROR(__xludf.DUMMYFUNCTION("GOOGLETRANSLATE(C79, ""en"", ""ur"")"),"A) یہ ایک اصول ہے، B) یہ ہڑتال کے لیے زیادہ سے زیادہ رسائی اور فائدہ فراہم کرتا ہے، C) توازن رکھنا آسان ہے، D) یہ ہاتھ کی حفاظت کرتا ہے")</f>
        <v>A) یہ ایک اصول ہے، B) یہ ہڑتال کے لیے زیادہ سے زیادہ رسائی اور فائدہ فراہم کرتا ہے، C) توازن رکھنا آسان ہے، D) یہ ہاتھ کی حفاظت کرتا ہے</v>
      </c>
      <c r="N79" s="5" t="str">
        <f>IFERROR(__xludf.DUMMYFUNCTION("GOOGLETRANSLATE(D79, ""en"", ""ur"")"),"ب) یہ ہڑتال کے لیے زیادہ سے زیادہ رسائی اور فائدہ فراہم کرتا ہے۔")</f>
        <v>ب) یہ ہڑتال کے لیے زیادہ سے زیادہ رسائی اور فائدہ فراہم کرتا ہے۔</v>
      </c>
      <c r="O79" s="5" t="str">
        <f>IFERROR(__xludf.DUMMYFUNCTION("GOOGLETRANSLATE(E79, ""en"", ""ur"")"),"لانس کو اس کے سرے پر رکھنا، پول کیو کی طرح، بازو کی طویل ترین اور مستحکم توسیع کی اجازت دیتا ہے۔")</f>
        <v>لانس کو اس کے سرے پر رکھنا، پول کیو کی طرح، بازو کی طویل ترین اور مستحکم توسیع کی اجازت دیتا ہے۔</v>
      </c>
    </row>
    <row r="80">
      <c r="A80" s="3">
        <v>79.0</v>
      </c>
      <c r="B80" s="4" t="s">
        <v>3141</v>
      </c>
      <c r="C80" s="4" t="s">
        <v>3142</v>
      </c>
      <c r="D80" s="4" t="s">
        <v>3143</v>
      </c>
      <c r="E80" s="4" t="s">
        <v>3144</v>
      </c>
      <c r="K80" s="5" t="str">
        <f>IFERROR(__xludf.DUMMYFUNCTION("GOOGLETRANSLATE(A80, ""en"", ""ur"")"),"79")</f>
        <v>79</v>
      </c>
      <c r="L80" s="5" t="str">
        <f>IFERROR(__xludf.DUMMYFUNCTION("GOOGLETRANSLATE(B80, ""en"", ""ur"")"),"ایسے سوار کے لیے کیا جرمانہ ہے جس کے پاس غیر قانونی طور پر تیز لانس کی ٹپ پائی جاتی ہے؟")</f>
        <v>ایسے سوار کے لیے کیا جرمانہ ہے جس کے پاس غیر قانونی طور پر تیز لانس کی ٹپ پائی جاتی ہے؟</v>
      </c>
      <c r="M80" s="5" t="str">
        <f>IFERROR(__xludf.DUMMYFUNCTION("GOOGLETRANSLATE(C80, ""en"", ""ur"")"),"A)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f>
        <v>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v>
      </c>
      <c r="N80" s="5" t="str">
        <f>IFERROR(__xludf.DUMMYFUNCTION("GOOGLETRANSLATE(D80, ""en"", ""ur"")"),"ب) انہیں مقابلے سے فوری طور پر نااہل قرار دے دیا جاتا ہے۔")</f>
        <v>ب) انہیں مقابلے سے فوری طور پر نااہل قرار دے دیا جاتا ہے۔</v>
      </c>
      <c r="O80" s="5" t="str">
        <f>IFERROR(__xludf.DUMMYFUNCTION("GOOGLETRANSLATE(E80, ""en"", ""ur"")"),"تیز لانس ایک بڑی حفاظتی خلاف ورزی ہے جو گھوڑے کو شدید چوٹ پہنچا سکتی ہے اگر سوار چھوٹ جائے، اور یہ سختی سے منع ہے۔")</f>
        <v>تیز لانس ایک بڑی حفاظتی خلاف ورزی ہے جو گھوڑے کو شدید چوٹ پہنچا سکتی ہے اگر سوار چھوٹ جائے، اور یہ سختی سے منع ہے۔</v>
      </c>
    </row>
    <row r="81">
      <c r="A81" s="3">
        <v>80.0</v>
      </c>
      <c r="B81" s="4" t="s">
        <v>3145</v>
      </c>
      <c r="C81" s="4" t="s">
        <v>3146</v>
      </c>
      <c r="D81" s="4" t="s">
        <v>3147</v>
      </c>
      <c r="E81" s="4" t="s">
        <v>3148</v>
      </c>
      <c r="K81" s="5" t="str">
        <f>IFERROR(__xludf.DUMMYFUNCTION("GOOGLETRANSLATE(A81, ""en"", ""ur"")"),"80")</f>
        <v>80</v>
      </c>
      <c r="L81" s="5" t="str">
        <f>IFERROR(__xludf.DUMMYFUNCTION("GOOGLETRANSLATE(B81, ""en"", ""ur"")"),"ایک سوار کا گھوڑا بلنکرز پہنے نظر آتا ہے۔ ان کا مقصد کیا ہے؟")</f>
        <v>ایک سوار کا گھوڑا بلنکرز پہنے نظر آتا ہے۔ ان کا مقصد کیا ہے؟</v>
      </c>
      <c r="M81" s="5" t="str">
        <f>IFERROR(__xludf.DUMMYFUNCTION("GOOGLETRANSLATE(C81, ""en"", ""ur"")"),"A)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f>
        <v>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v>
      </c>
      <c r="N81" s="5" t="str">
        <f>IFERROR(__xludf.DUMMYFUNCTION("GOOGLETRANSLATE(D81, ""en"", ""ur"")"),"ب) گھوڑے کے بصارت کے میدان کو محدود کرنا اور اسے آگے کی پٹری پر مرکوز رکھنا")</f>
        <v>ب) گھوڑے کے بصارت کے میدان کو محدود کرنا اور اسے آگے کی پٹری پر مرکوز رکھنا</v>
      </c>
      <c r="O81" s="5" t="str">
        <f>IFERROR(__xludf.DUMMYFUNCTION("GOOGLETRANSLATE(E81, ""en"", ""ur"")"),"بلنکرز ٹیک کا ایک ایسا ٹکڑا ہے جو گھوڑے کو اس کی طرف یا پیچھے کی طرف حرکت سے مشغول ہونے سے روکتا ہے، اس بات کو یقینی بناتا ہے کہ وہ سیدھا چلتا ہے۔")</f>
        <v>بلنکرز ٹیک کا ایک ایسا ٹکڑا ہے جو گھوڑے کو اس کی طرف یا پیچھے کی طرف حرکت سے مشغول ہونے سے روکتا ہے، اس بات کو یقینی بناتا ہے کہ وہ سیدھا چلتا ہے۔</v>
      </c>
    </row>
    <row r="82">
      <c r="A82" s="3">
        <v>81.0</v>
      </c>
      <c r="B82" s="4" t="s">
        <v>3149</v>
      </c>
      <c r="C82" s="4" t="s">
        <v>3150</v>
      </c>
      <c r="D82" s="4" t="s">
        <v>3151</v>
      </c>
      <c r="E82" s="4" t="s">
        <v>3152</v>
      </c>
      <c r="K82" s="5" t="str">
        <f>IFERROR(__xludf.DUMMYFUNCTION("GOOGLETRANSLATE(A82, ""en"", ""ur"")"),"81")</f>
        <v>81</v>
      </c>
      <c r="L82" s="5" t="str">
        <f>IFERROR(__xludf.DUMMYFUNCTION("GOOGLETRANSLATE(B82, ""en"", ""ur"")"),"جج کا کیا حکم ہے اگر کوئی سوار کھونٹی کو مار کر اسے اٹھا لے لیکن کھونٹی کو لانس کے ساتھ لگا دیا جائے؟")</f>
        <v>جج کا کیا حکم ہے اگر کوئی سوار کھونٹی کو مار کر اسے اٹھا لے لیکن کھونٹی کو لانس کے ساتھ لگا دیا جائے؟</v>
      </c>
      <c r="M82" s="5" t="str">
        <f>IFERROR(__xludf.DUMMYFUNCTION("GOOGLETRANSLATE(C82, ""en"", ""ur"")"),"A) ایک مکمل پیگ دیا جاتا ہے، B) ایک ڈراون پیگ دیا جاتا ہے، C) کوئی پوائنٹ نہیں دیا جاتا ہے، D) رن دوبارہ چلایا جاتا ہے")</f>
        <v>A) ایک مکمل پیگ دیا جاتا ہے، B) ایک ڈراون پیگ دیا جاتا ہے، C) کوئی پوائنٹ نہیں دیا جاتا ہے، D) رن دوبارہ چلایا جاتا ہے</v>
      </c>
      <c r="N82" s="5" t="str">
        <f>IFERROR(__xludf.DUMMYFUNCTION("GOOGLETRANSLATE(D82, ""en"", ""ur"")"),"A) ایک مکمل پیگ دیا جاتا ہے۔")</f>
        <v>A) ایک مکمل پیگ دیا جاتا ہے۔</v>
      </c>
      <c r="O82" s="5" t="str">
        <f>IFERROR(__xludf.DUMMYFUNCTION("GOOGLETRANSLATE(E82, ""en"", ""ur"")"),"جس انداز میں کھونٹی کو لانس کے ساتھ جوڑا گیا ہے اس سے کوئی فرق نہیں پڑتا ہے۔ جب تک اسے اٹھا کر لائن کے پار لے جایا جاتا ہے، یہ ایک مکمل اسکور ہے۔")</f>
        <v>جس انداز میں کھونٹی کو لانس کے ساتھ جوڑا گیا ہے اس سے کوئی فرق نہیں پڑتا ہے۔ جب تک اسے اٹھا کر لائن کے پار لے جایا جاتا ہے، یہ ایک مکمل اسکور ہے۔</v>
      </c>
    </row>
    <row r="83">
      <c r="A83" s="3">
        <v>82.0</v>
      </c>
      <c r="B83" s="4" t="s">
        <v>3153</v>
      </c>
      <c r="C83" s="4" t="s">
        <v>3154</v>
      </c>
      <c r="D83" s="4" t="s">
        <v>3155</v>
      </c>
      <c r="E83" s="4" t="s">
        <v>3156</v>
      </c>
      <c r="K83" s="5" t="str">
        <f>IFERROR(__xludf.DUMMYFUNCTION("GOOGLETRANSLATE(A83, ""en"", ""ur"")"),"82")</f>
        <v>82</v>
      </c>
      <c r="L83" s="5" t="str">
        <f>IFERROR(__xludf.DUMMYFUNCTION("GOOGLETRANSLATE(B83, ""en"", ""ur"")"),"ٹائی بریکنگ راؤنڈ میں، اہلکار کس طرح مشکل میں اضافہ کر سکتے ہیں؟")</f>
        <v>ٹائی بریکنگ راؤنڈ میں، اہلکار کس طرح مشکل میں اضافہ کر سکتے ہیں؟</v>
      </c>
      <c r="M83" s="5" t="str">
        <f>IFERROR(__xludf.DUMMYFUNCTION("GOOGLETRANSLATE(C83, ""en"", ""ur"")"),"A) سواروں کو بھاری لانس استعمال کرنے پر مجبور کریں، B) ٹارگٹ پیگ کی چوڑائی کو کم کریں، C) سواروں کو تیز تر کریں، D) ٹریک کو لمبا کریں۔")</f>
        <v>A) سواروں کو بھاری لانس استعمال کرنے پر مجبور کریں، B) ٹارگٹ پیگ کی چوڑائی کو کم کریں، C) سواروں کو تیز تر کریں، D) ٹریک کو لمبا کریں۔</v>
      </c>
      <c r="N83" s="5" t="str">
        <f>IFERROR(__xludf.DUMMYFUNCTION("GOOGLETRANSLATE(D83, ""en"", ""ur"")"),"ب) ٹارگٹ پیگ کی چوڑائی کو کم کریں۔")</f>
        <v>ب) ٹارگٹ پیگ کی چوڑائی کو کم کریں۔</v>
      </c>
      <c r="O83" s="5" t="str">
        <f>IFERROR(__xludf.DUMMYFUNCTION("GOOGLETRANSLATE(E83, ""en"", ""ur"")"),"بہترین سواروں کو الگ کرنے کے لیے، ایک چھوٹا ہدف استعمال کر کے چیلنج کو بڑھایا جا سکتا ہے، جس سے درستگی کا امتحان اور بھی بڑا ہو سکتا ہے۔")</f>
        <v>بہترین سواروں کو الگ کرنے کے لیے، ایک چھوٹا ہدف استعمال کر کے چیلنج کو بڑھایا جا سکتا ہے، جس سے درستگی کا امتحان اور بھی بڑا ہو سکتا ہے۔</v>
      </c>
    </row>
    <row r="84">
      <c r="A84" s="3">
        <v>83.0</v>
      </c>
      <c r="B84" s="4" t="s">
        <v>3157</v>
      </c>
      <c r="C84" s="4" t="s">
        <v>3158</v>
      </c>
      <c r="D84" s="4" t="s">
        <v>3159</v>
      </c>
      <c r="E84" s="4" t="s">
        <v>3013</v>
      </c>
      <c r="K84" s="5" t="str">
        <f>IFERROR(__xludf.DUMMYFUNCTION("GOOGLETRANSLATE(A84, ""en"", ""ur"")"),"83")</f>
        <v>83</v>
      </c>
      <c r="L84" s="5" t="str">
        <f>IFERROR(__xludf.DUMMYFUNCTION("GOOGLETRANSLATE(B84, ""en"", ""ur"")"),"ایک سوار کو ایڑی والے جوتے پہننے کی بنیادی وجہ کیا ہے؟")</f>
        <v>ایک سوار کو ایڑی والے جوتے پہننے کی بنیادی وجہ کیا ہے؟</v>
      </c>
      <c r="M84" s="5" t="str">
        <f>IFERROR(__xludf.DUMMYFUNCTION("GOOGLETRANSLATE(C84, ""en"", ""ur"")"),"A) یہ ایک روایت ہے، B) وہ رکاب میں بہتر گرفت فراہم کرتے ہیں، C) ایڑی پاؤں کو رکاب میں پھسلنے سے روکتی ہے، D) وہ زیادہ پیشہ ور نظر آتے ہیں۔")</f>
        <v>A) یہ ایک روایت ہے، B) وہ رکاب میں بہتر گرفت فراہم کرتے ہیں، C) ایڑی پاؤں کو رکاب میں پھسلنے سے روکتی ہے، D) وہ زیادہ پیشہ ور نظر آتے ہیں۔</v>
      </c>
      <c r="N84" s="5" t="str">
        <f>IFERROR(__xludf.DUMMYFUNCTION("GOOGLETRANSLATE(D84, ""en"", ""ur"")"),"ج) ایڑی پاؤں کو رکاب کے ذریعے پھسلنے سے روکتی ہے۔")</f>
        <v>ج) ایڑی پاؤں کو رکاب کے ذریعے پھسلنے سے روکتی ہے۔</v>
      </c>
      <c r="O84" s="5" t="str">
        <f>IFERROR(__xludf.DUMMYFUNCTION("GOOGLETRANSLATE(E84, ""en"", ""ur"")"),"ایڑی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85">
      <c r="A85" s="3">
        <v>84.0</v>
      </c>
      <c r="B85" s="4" t="s">
        <v>3160</v>
      </c>
      <c r="C85" s="4" t="s">
        <v>3015</v>
      </c>
      <c r="D85" s="4" t="s">
        <v>3016</v>
      </c>
      <c r="E85" s="4" t="s">
        <v>3161</v>
      </c>
      <c r="K85" s="5" t="str">
        <f>IFERROR(__xludf.DUMMYFUNCTION("GOOGLETRANSLATE(A85, ""en"", ""ur"")"),"84")</f>
        <v>84</v>
      </c>
      <c r="L85" s="5" t="str">
        <f>IFERROR(__xludf.DUMMYFUNCTION("GOOGLETRANSLATE(B85, ""en"", ""ur"")"),"سوار کا گھوڑا لنگڑا ہوتا ہے، اس لیے وہ اپنے ساتھی کے گھوڑے کو استعمال کرنے کی کوشش کرتے ہیں۔ کیا اس کی اجازت ہے؟")</f>
        <v>سوار کا گھوڑا لنگڑا ہوتا ہے، اس لیے وہ اپنے ساتھی کے گھوڑے کو استعمال کرنے کی کوشش کرتے ہیں۔ کیا اس کی اجازت ہے؟</v>
      </c>
      <c r="M85" s="5" t="str">
        <f>IFERROR(__xludf.DUMMYFUNCTION("GOOGLETRANSLATE(C85, ""en"", ""ur"")"),"A) ہاں، اگر ٹیم کا ساتھی راضی ہو، B) نہیں، سوار کو اپنے رجسٹرڈ گھوڑے پر مقابلہ کرنا چاہیے، C) صرف پریکٹس راؤنڈز میں، D) صرف اس صورت میں جب گھوڑے ایک ہی رنگ کے ہوں۔")</f>
        <v>A) ہاں، اگر ٹیم کا ساتھی راضی ہو، B) نہیں، سوار کو اپنے رجسٹرڈ گھوڑے پر مقابلہ کرنا چاہیے، C) صرف پریکٹس راؤنڈز میں، D) صرف اس صورت میں جب گھوڑے ایک ہی رنگ کے ہوں۔</v>
      </c>
      <c r="N85" s="5" t="str">
        <f>IFERROR(__xludf.DUMMYFUNCTION("GOOGLETRANSLATE(D85, ""en"", ""ur"")"),"ب) نہیں، سوار کو اپنے رجسٹرڈ گھوڑے پر مقابلہ کرنا چاہیے۔")</f>
        <v>ب) نہیں، سوار کو اپنے رجسٹرڈ گھوڑے پر مقابلہ کرنا چاہیے۔</v>
      </c>
      <c r="O85" s="5" t="str">
        <f>IFERROR(__xludf.DUMMYFUNCTION("GOOGLETRANSLATE(E85, ""en"", ""ur"")"),"سرکاری مقابلوں میں ایک سوار اور ان کے گھوڑے کو ایک جوڑے کے طور پر رجسٹر کیا جاتا ہے۔ ایک سوار صرف ایک مختلف گھوڑے پر نہیں جا سکتا۔")</f>
        <v>سرکاری مقابلوں میں ایک سوار اور ان کے گھوڑے کو ایک جوڑے کے طور پر رجسٹر کیا جاتا ہے۔ ایک سوار صرف ایک مختلف گھوڑے پر نہیں جا سکتا۔</v>
      </c>
    </row>
    <row r="86">
      <c r="A86" s="3">
        <v>85.0</v>
      </c>
      <c r="B86" s="4" t="s">
        <v>3162</v>
      </c>
      <c r="C86" s="4" t="s">
        <v>3163</v>
      </c>
      <c r="D86" s="4" t="s">
        <v>3164</v>
      </c>
      <c r="E86" s="4" t="s">
        <v>3165</v>
      </c>
      <c r="K86" s="5" t="str">
        <f>IFERROR(__xludf.DUMMYFUNCTION("GOOGLETRANSLATE(A86, ""en"", ""ur"")"),"85")</f>
        <v>85</v>
      </c>
      <c r="L86" s="5" t="str">
        <f>IFERROR(__xludf.DUMMYFUNCTION("GOOGLETRANSLATE(B86, ""en"", ""ur"")"),"""کلین رن"" کیا ہے؟")</f>
        <v>"کلین رن" کیا ہے؟</v>
      </c>
      <c r="M86" s="5" t="str">
        <f>IFERROR(__xludf.DUMMYFUNCTION("GOOGLETRANSLATE(C86, ""en"", ""ur"")"),"A) ایک رن جہاں سوار مکمل پیگ اسکور کرتا ہے، B) ایک رن جو بغیر کسی جرمانے یا فاول کے مکمل کی جاتی ہے، C) وہ دوڑ جہاں سوار کی وردی صاف رہتی ہے، D) ایک رن جو بہت تیز ہو")</f>
        <v>A) ایک رن جہاں سوار مکمل پیگ اسکور کرتا ہے، B) ایک رن جو بغیر کسی جرمانے یا فاول کے مکمل کی جاتی ہے، C) وہ دوڑ جہاں سوار کی وردی صاف رہتی ہے، D) ایک رن جو بہت تیز ہو</v>
      </c>
      <c r="N86" s="5" t="str">
        <f>IFERROR(__xludf.DUMMYFUNCTION("GOOGLETRANSLATE(D86, ""en"", ""ur"")"),"ب) ایک رن جو بغیر کسی جرمانے یا فاؤل کے مکمل ہوتا ہے۔")</f>
        <v>ب) ایک رن جو بغیر کسی جرمانے یا فاؤل کے مکمل ہوتا ہے۔</v>
      </c>
      <c r="O86" s="5" t="str">
        <f>IFERROR(__xludf.DUMMYFUNCTION("GOOGLETRANSLATE(E86, ""en"", ""ur"")"),"""کلین رن"" وہ ہوتا ہے جہاں سوار کوئی غلطی نہیں کرتا، جیسے غلط آغاز، وقت کی غلطی، یا اپنا ہتھیار گرانا۔")</f>
        <v>"کلین رن" وہ ہوتا ہے جہاں سوار کوئی غلطی نہیں کرتا، جیسے غلط آغاز، وقت کی غلطی، یا اپنا ہتھیار گرانا۔</v>
      </c>
    </row>
    <row r="87">
      <c r="A87" s="3">
        <v>86.0</v>
      </c>
      <c r="B87" s="4" t="s">
        <v>3166</v>
      </c>
      <c r="C87" s="4" t="s">
        <v>3167</v>
      </c>
      <c r="D87" s="4" t="s">
        <v>3168</v>
      </c>
      <c r="E87" s="4" t="s">
        <v>3169</v>
      </c>
      <c r="K87" s="5" t="str">
        <f>IFERROR(__xludf.DUMMYFUNCTION("GOOGLETRANSLATE(A87, ""en"", ""ur"")"),"86")</f>
        <v>86</v>
      </c>
      <c r="L87" s="5" t="str">
        <f>IFERROR(__xludf.DUMMYFUNCTION("GOOGLETRANSLATE(B87, ""en"", ""ur"")"),"ٹیم ایونٹ میں غیر میچ یونیفارم کے ساتھ ٹیم کے لئے کیا جرمانہ ہے؟")</f>
        <v>ٹیم ایونٹ میں غیر میچ یونیفارم کے ساتھ ٹیم کے لئے کیا جرمانہ ہے؟</v>
      </c>
      <c r="M87" s="5" t="str">
        <f>IFERROR(__xludf.DUMMYFUNCTION("GOOGLETRANSLATE(C87, ""en"", ""ur"")"),"A) ایک پوائنٹ کی کٹوتی، B) نااہلی، C) انہیں شروع کرنے کی اجازت نہیں ہے، D) ایک انتباہ جاری کیا جاتا ہے")</f>
        <v>A) ایک پوائنٹ کی کٹوتی، B) نااہلی، C) انہیں شروع کرنے کی اجازت نہیں ہے، D) ایک انتباہ جاری کیا جاتا ہے</v>
      </c>
      <c r="N87" s="5" t="str">
        <f>IFERROR(__xludf.DUMMYFUNCTION("GOOGLETRANSLATE(D87, ""en"", ""ur"")"),"ج) انہیں شروع کرنے کی اجازت نہیں ہے۔")</f>
        <v>ج) انہیں شروع کرنے کی اجازت نہیں ہے۔</v>
      </c>
      <c r="O87" s="5" t="str">
        <f>IFERROR(__xludf.DUMMYFUNCTION("GOOGLETRANSLATE(E87, ""en"", ""ur"")"),"ٹیم کے مقابلوں میں، سواروں کے پاس پیشہ ورانہ ظہور کے لیے مماثل لباس ہونا چاہیے اس سے پہلے کہ وہ مقابلہ کر سکیں۔")</f>
        <v>ٹیم کے مقابلوں میں، سواروں کے پاس پیشہ ورانہ ظہور کے لیے مماثل لباس ہونا چاہیے اس سے پہلے کہ وہ مقابلہ کر سکیں۔</v>
      </c>
    </row>
    <row r="88">
      <c r="A88" s="3">
        <v>87.0</v>
      </c>
      <c r="B88" s="4" t="s">
        <v>3170</v>
      </c>
      <c r="C88" s="4" t="s">
        <v>3171</v>
      </c>
      <c r="D88" s="4" t="s">
        <v>3172</v>
      </c>
      <c r="E88" s="4" t="s">
        <v>3173</v>
      </c>
      <c r="K88" s="5" t="str">
        <f>IFERROR(__xludf.DUMMYFUNCTION("GOOGLETRANSLATE(A88, ""en"", ""ur"")"),"87")</f>
        <v>87</v>
      </c>
      <c r="L88" s="5" t="str">
        <f>IFERROR(__xludf.DUMMYFUNCTION("GOOGLETRANSLATE(B88, ""en"", ""ur"")"),"سوار کے لیے ""نرم ہاتھ"" ہونے کا کیا مطلب ہے؟")</f>
        <v>سوار کے لیے "نرم ہاتھ" ہونے کا کیا مطلب ہے؟</v>
      </c>
      <c r="M88" s="5" t="str">
        <f>IFERROR(__xludf.DUMMYFUNCTION("GOOGLETRANSLATE(C88, ""en"", ""ur"")"),"A) ان کے ہاتھ کمزور ہیں، B) وہ ہلکے لگام کے اشارے سے گھوڑے کی رہنمائی کرتے ہیں، C) وہ نرم دستانے پہنتے ہیں، D) وہ ابتدائی ہیں")</f>
        <v>A) ان کے ہاتھ کمزور ہیں، B) وہ ہلکے لگام کے اشارے سے گھوڑے کی رہنمائی کرتے ہیں، C) وہ نرم دستانے پہنتے ہیں، D) وہ ابتدائی ہیں</v>
      </c>
      <c r="N88" s="5" t="str">
        <f>IFERROR(__xludf.DUMMYFUNCTION("GOOGLETRANSLATE(D88, ""en"", ""ur"")"),"ب) وہ ہلکے لگام کے اشاروں سے گھوڑے کی رہنمائی کرتے ہیں۔")</f>
        <v>ب) وہ ہلکے لگام کے اشاروں سے گھوڑے کی رہنمائی کرتے ہیں۔</v>
      </c>
      <c r="O88" s="5" t="str">
        <f>IFERROR(__xludf.DUMMYFUNCTION("GOOGLETRANSLATE(E88, ""en"", ""ur"")"),"""نرم ہاتھ"" ایک ماہر گھڑ سوار کو کہتے ہیں جو لطیف اشاروں کے ذریعے بات چیت کرتا ہے۔")</f>
        <v>"نرم ہاتھ" ایک ماہر گھڑ سوار کو کہتے ہیں جو لطیف اشاروں کے ذریعے بات چیت کرتا ہے۔</v>
      </c>
    </row>
    <row r="89">
      <c r="A89" s="3">
        <v>88.0</v>
      </c>
      <c r="B89" s="4" t="s">
        <v>3174</v>
      </c>
      <c r="C89" s="4" t="s">
        <v>3175</v>
      </c>
      <c r="D89" s="4" t="s">
        <v>3176</v>
      </c>
      <c r="E89" s="4" t="s">
        <v>3177</v>
      </c>
      <c r="K89" s="5" t="str">
        <f>IFERROR(__xludf.DUMMYFUNCTION("GOOGLETRANSLATE(A89, ""en"", ""ur"")"),"88")</f>
        <v>88</v>
      </c>
      <c r="L89" s="5" t="str">
        <f>IFERROR(__xludf.DUMMYFUNCTION("GOOGLETRANSLATE(B89, ""en"", ""ur"")"),"اگر کوئی سوار سورج کی روشنی کے بارے میں احتجاج کرے تو اس کا کیا حکم ہے؟")</f>
        <v>اگر کوئی سوار سورج کی روشنی کے بارے میں احتجاج کرے تو اس کا کیا حکم ہے؟</v>
      </c>
      <c r="M89" s="5" t="str">
        <f>IFERROR(__xludf.DUMMYFUNCTION("GOOGLETRANSLATE(C89, ""en"", ""ur"")"),"A) انہیں دوبارہ رن ملتا ہے، B) احتجاج کو مسترد کر دیا جاتا ہے، C) مقابلہ روک دیا جاتا ہے، D) انہیں جزوی پوائنٹس ملتے ہیں")</f>
        <v>A) انہیں دوبارہ رن ملتا ہے، B) احتجاج کو مسترد کر دیا جاتا ہے، C) مقابلہ روک دیا جاتا ہے، D) انہیں جزوی پوائنٹس ملتے ہیں</v>
      </c>
      <c r="N89" s="5" t="str">
        <f>IFERROR(__xludf.DUMMYFUNCTION("GOOGLETRANSLATE(D89, ""en"", ""ur"")"),"ب) احتجاج کو مسترد کر دیا جاتا ہے۔")</f>
        <v>ب) احتجاج کو مسترد کر دیا جاتا ہے۔</v>
      </c>
      <c r="O89" s="5" t="str">
        <f>IFERROR(__xludf.DUMMYFUNCTION("GOOGLETRANSLATE(E89, ""en"", ""ur"")"),"سورج کی چمک جیسے ماحولیاتی حالات کو کھیل کے چیلنج کا حصہ سمجھا جاتا ہے۔")</f>
        <v>سورج کی چمک جیسے ماحولیاتی حالات کو کھیل کے چیلنج کا حصہ سمجھا جاتا ہے۔</v>
      </c>
    </row>
    <row r="90">
      <c r="A90" s="3">
        <v>89.0</v>
      </c>
      <c r="B90" s="4" t="s">
        <v>3178</v>
      </c>
      <c r="C90" s="4" t="s">
        <v>3179</v>
      </c>
      <c r="D90" s="4" t="s">
        <v>3180</v>
      </c>
      <c r="E90" s="4" t="s">
        <v>3181</v>
      </c>
      <c r="K90" s="5" t="str">
        <f>IFERROR(__xludf.DUMMYFUNCTION("GOOGLETRANSLATE(A90, ""en"", ""ur"")"),"89")</f>
        <v>89</v>
      </c>
      <c r="L90" s="5" t="str">
        <f>IFERROR(__xludf.DUMMYFUNCTION("GOOGLETRANSLATE(B90, ""en"", ""ur"")"),"لانس اور نیزہ کے درمیان بنیادی فرق کیا ہے؟")</f>
        <v>لانس اور نیزہ کے درمیان بنیادی فرق کیا ہے؟</v>
      </c>
      <c r="M90" s="5" t="str">
        <f>IFERROR(__xludf.DUMMYFUNCTION("GOOGLETRANSLATE(C90, ""en"", ""ur"")"),"A) کوئی فرق نہیں، B) ایک لانس گھوڑے کی پیٹھ پر استعمال کے لئے ہے، C) ایک نیزہ لمبا ہے، D) ایک لانس دھات ہے")</f>
        <v>A) کوئی فرق نہیں، B) ایک لانس گھوڑے کی پیٹھ پر استعمال کے لئے ہے، C) ایک نیزہ لمبا ہے، D) ایک لانس دھات ہے</v>
      </c>
      <c r="N90" s="5" t="str">
        <f>IFERROR(__xludf.DUMMYFUNCTION("GOOGLETRANSLATE(D90, ""en"", ""ur"")"),"ب) ایک لانس گھوڑے کی پیٹھ پر استعمال کے لیے ہے۔")</f>
        <v>ب) ایک لانس گھوڑے کی پیٹھ پر استعمال کے لیے ہے۔</v>
      </c>
      <c r="O90" s="5" t="str">
        <f>IFERROR(__xludf.DUMMYFUNCTION("GOOGLETRANSLATE(E90, ""en"", ""ur"")"),"لانس ایک قسم کا نیزہ ہے جو خاص طور پر گھڑسواروں کے استعمال کے لیے ڈھال لیا جاتا ہے۔")</f>
        <v>لانس ایک قسم کا نیزہ ہے جو خاص طور پر گھڑسواروں کے استعمال کے لیے ڈھال لیا جاتا ہے۔</v>
      </c>
    </row>
    <row r="91">
      <c r="A91" s="3">
        <v>90.0</v>
      </c>
      <c r="B91" s="4" t="s">
        <v>3182</v>
      </c>
      <c r="C91" s="4" t="s">
        <v>3183</v>
      </c>
      <c r="D91" s="4" t="s">
        <v>3184</v>
      </c>
      <c r="E91" s="4" t="s">
        <v>3185</v>
      </c>
      <c r="K91" s="5" t="str">
        <f>IFERROR(__xludf.DUMMYFUNCTION("GOOGLETRANSLATE(A91, ""en"", ""ur"")"),"90")</f>
        <v>90</v>
      </c>
      <c r="L91" s="5" t="str">
        <f>IFERROR(__xludf.DUMMYFUNCTION("GOOGLETRANSLATE(B91, ""en"", ""ur"")"),"کیا ایک خارج شدہ انفرادی سوار اب بھی ٹیم ایونٹ میں حصہ لے سکتا ہے؟")</f>
        <v>کیا ایک خارج شدہ انفرادی سوار اب بھی ٹیم ایونٹ میں حصہ لے سکتا ہے؟</v>
      </c>
      <c r="M91" s="5" t="str">
        <f>IFERROR(__xludf.DUMMYFUNCTION("GOOGLETRANSLATE(C91, ""en"", ""ur"")"),"A) نہیں، B) ہاں، C) صرف اس صورت میں جب کپتان راضی ہو، D) صرف اس صورت میں جب وہ معافی مانگیں۔")</f>
        <v>A) نہیں، B) ہاں، C) صرف اس صورت میں جب کپتان راضی ہو، D) صرف اس صورت میں جب وہ معافی مانگیں۔</v>
      </c>
      <c r="N91" s="5" t="str">
        <f>IFERROR(__xludf.DUMMYFUNCTION("GOOGLETRANSLATE(D91, ""en"", ""ur"")"),"ب) ہاں")</f>
        <v>ب) ہاں</v>
      </c>
      <c r="O91" s="5" t="str">
        <f>IFERROR(__xludf.DUMMYFUNCTION("GOOGLETRANSLATE(E91, ""en"", ""ur"")"),"انفرادی اور ٹیم ایونٹ الگ الگ مقابلے ہوتے ہیں۔ اہلیت منسلک نہیں ہے.")</f>
        <v>انفرادی اور ٹیم ایونٹ الگ الگ مقابلے ہوتے ہیں۔ اہلیت منسلک نہیں ہے.</v>
      </c>
    </row>
    <row r="92">
      <c r="A92" s="3">
        <v>91.0</v>
      </c>
      <c r="B92" s="4" t="s">
        <v>3066</v>
      </c>
      <c r="C92" s="4" t="s">
        <v>3186</v>
      </c>
      <c r="D92" s="4" t="s">
        <v>3187</v>
      </c>
      <c r="E92" s="4" t="s">
        <v>3069</v>
      </c>
      <c r="K92" s="5" t="str">
        <f>IFERROR(__xludf.DUMMYFUNCTION("GOOGLETRANSLATE(A92, ""en"", ""ur"")"),"91")</f>
        <v>91</v>
      </c>
      <c r="L92" s="5" t="str">
        <f>IFERROR(__xludf.DUMMYFUNCTION("GOOGLETRANSLATE(B92, ""en"", ""ur"")"),"آئی ٹی پی ایف ایونٹ میں ""ٹیکنیکل ڈیلیگیٹ"" کا کیا کردار ہوتا ہے؟")</f>
        <v>آئی ٹی پی ایف ایونٹ میں "ٹیکنیکل ڈیلیگیٹ" کا کیا کردار ہوتا ہے؟</v>
      </c>
      <c r="M92" s="5" t="str">
        <f>IFERROR(__xludf.DUMMYFUNCTION("GOOGLETRANSLATE(C92, ""en"", ""ur"")"),"A) ہوم ٹیم کی کوچنگ کے لیے، B) تمام آلات اور شرائط کو سرکاری معیارات پر پورا اترنے کو یقینی بنانا، C) ججنگ پینل کا سربراہ ہونا، D) نشریات کا انتظام کرنا")</f>
        <v>A) ہوم ٹیم کی کوچنگ کے لیے، B) تمام آلات اور شرائط کو سرکاری معیارات پر پورا اترنے کو یقینی بنانا، C) ججنگ پینل کا سربراہ ہونا، D) نشریات کا انتظام کرنا</v>
      </c>
      <c r="N92" s="5" t="str">
        <f>IFERROR(__xludf.DUMMYFUNCTION("GOOGLETRANSLATE(D92, ""en"", ""ur"")"),"ب) تمام آلات اور شرائط کو سرکاری معیارات پر پورا اترنے کو یقینی بنانا")</f>
        <v>ب) تمام آلات اور شرائط کو سرکاری معیارات پر پورا اترنے کو یقینی بنانا</v>
      </c>
      <c r="O92" s="5" t="str">
        <f>IFERROR(__xludf.DUMMYFUNCTION("GOOGLETRANSLATE(E92, ""en"", ""ur"")"),"تکنیکی مندوب مقابلے کے تکنیکی پہلوؤں پر اعلیٰ ترین اتھارٹی ہے، جو منصفانہ اور محفوظ حالات کو یقینی بناتا ہے۔")</f>
        <v>تکنیکی مندوب مقابلے کے تکنیکی پہلوؤں پر اعلیٰ ترین اتھارٹی ہے، جو منصفانہ اور محفوظ حالات کو یقینی بناتا ہے۔</v>
      </c>
    </row>
    <row r="93">
      <c r="A93" s="3">
        <v>92.0</v>
      </c>
      <c r="B93" s="4" t="s">
        <v>3188</v>
      </c>
      <c r="C93" s="4" t="s">
        <v>3189</v>
      </c>
      <c r="D93" s="4" t="s">
        <v>3052</v>
      </c>
      <c r="E93" s="4" t="s">
        <v>3190</v>
      </c>
      <c r="K93" s="5" t="str">
        <f>IFERROR(__xludf.DUMMYFUNCTION("GOOGLETRANSLATE(A93, ""en"", ""ur"")"),"92")</f>
        <v>92</v>
      </c>
      <c r="L93" s="5" t="str">
        <f>IFERROR(__xludf.DUMMYFUNCTION("GOOGLETRANSLATE(B93, ""en"", ""ur"")"),"لینس کی نوک دھات کی کیوں ہونی چاہیے؟")</f>
        <v>لینس کی نوک دھات کی کیوں ہونی چاہیے؟</v>
      </c>
      <c r="M93" s="5" t="str">
        <f>IFERROR(__xludf.DUMMYFUNCTION("GOOGLETRANSLATE(C93, ""en"", ""ur"")"),"A) یہ بہتر لگ رہا ہے، B) لکڑی کے کھونٹے کو مؤثر طریقے سے گھسنے اور اٹھانے کے لیے اس کی ضرورت ہے، C) یہ لانس میں وزن بڑھاتا ہے، D) یہ ایک روایتی ضرورت ہے۔")</f>
        <v>A) یہ بہتر لگ رہا ہے، B) لکڑی کے کھونٹے کو مؤثر طریقے سے گھسنے اور اٹھانے کے لیے اس کی ضرورت ہے، C) یہ لانس میں وزن بڑھاتا ہے، D) یہ ایک روایتی ضرورت ہے۔</v>
      </c>
      <c r="N93" s="5" t="str">
        <f>IFERROR(__xludf.DUMMYFUNCTION("GOOGLETRANSLATE(D93, ""en"", ""ur"")"),"ب) لکڑی کے کھونٹے کو مؤثر طریقے سے گھسنے اور اٹھانے کے لیے اس کی ضرورت ہے۔")</f>
        <v>ب) لکڑی کے کھونٹے کو مؤثر طریقے سے گھسنے اور اٹھانے کے لیے اس کی ضرورت ہے۔</v>
      </c>
      <c r="O93" s="5" t="str">
        <f>IFERROR(__xludf.DUMMYFUNCTION("GOOGLETRANSLATE(E93, ""en"", ""ur"")"),"لانس کے لیے دھات کی نوک ضروری ہے کہ وہ ہتھیار خود کو ٹوٹے بغیر ہدف کو زمین سے چھیدنے اور اٹھانے کے قابل ہو۔")</f>
        <v>لانس کے لیے دھات کی نوک ضروری ہے کہ وہ ہتھیار خود کو ٹوٹے بغیر ہدف کو زمین سے چھیدنے اور اٹھانے کے قابل ہو۔</v>
      </c>
    </row>
    <row r="94">
      <c r="A94" s="3">
        <v>93.0</v>
      </c>
      <c r="B94" s="4" t="s">
        <v>3191</v>
      </c>
      <c r="C94" s="4" t="s">
        <v>3192</v>
      </c>
      <c r="D94" s="4" t="s">
        <v>3193</v>
      </c>
      <c r="E94" s="4" t="s">
        <v>3194</v>
      </c>
      <c r="K94" s="5" t="str">
        <f>IFERROR(__xludf.DUMMYFUNCTION("GOOGLETRANSLATE(A94, ""en"", ""ur"")"),"93")</f>
        <v>93</v>
      </c>
      <c r="L94" s="5" t="str">
        <f>IFERROR(__xludf.DUMMYFUNCTION("GOOGLETRANSLATE(B94, ""en"", ""ur"")"),"جدید مقابلوں میں ""سلو موشن"" ری پلے کیمرہ کا بنیادی مقصد کیا ہے؟")</f>
        <v>جدید مقابلوں میں "سلو موشن" ری پلے کیمرہ کا بنیادی مقصد کیا ہے؟</v>
      </c>
      <c r="M94" s="5" t="str">
        <f>IFERROR(__xludf.DUMMYFUNCTION("GOOGLETRANSLATE(C94, ""en"", ""ur"")"),"A) ایونٹ کو ڈرامائی بنانے کے لئے، B) ججوں کو درست فیصلے کرنے میں مدد کرنے کے لئے، C) کوچوں کی مدد کرنے کے لئے، D) ہجوم کو تفریح ​​​​کرنے کے لئے")</f>
        <v>A) ایونٹ کو ڈرامائی بنانے کے لئے، B) ججوں کو درست فیصلے کرنے میں مدد کرنے کے لئے، C) کوچوں کی مدد کرنے کے لئے، D) ہجوم کو تفریح ​​​​کرنے کے لئے</v>
      </c>
      <c r="N94" s="5" t="str">
        <f>IFERROR(__xludf.DUMMYFUNCTION("GOOGLETRANSLATE(D94, ""en"", ""ur"")"),"ب) ججوں کو درست فیصلے کرنے میں مدد کرنا")</f>
        <v>ب) ججوں کو درست فیصلے کرنے میں مدد کرنا</v>
      </c>
      <c r="O94" s="5" t="str">
        <f>IFERROR(__xludf.DUMMYFUNCTION("GOOGLETRANSLATE(E94, ""en"", ""ur"")"),"قریبی کالوں اور احتجاج کا جائزہ لینے کے لیے سلو موشن ری پلے ایک اہم آفیشل ٹول ہے۔")</f>
        <v>قریبی کالوں اور احتجاج کا جائزہ لینے کے لیے سلو موشن ری پلے ایک اہم آفیشل ٹول ہے۔</v>
      </c>
    </row>
    <row r="95">
      <c r="A95" s="3">
        <v>94.0</v>
      </c>
      <c r="B95" s="4" t="s">
        <v>3195</v>
      </c>
      <c r="C95" s="4" t="s">
        <v>3196</v>
      </c>
      <c r="D95" s="4" t="s">
        <v>3197</v>
      </c>
      <c r="E95" s="4" t="s">
        <v>3198</v>
      </c>
      <c r="K95" s="5" t="str">
        <f>IFERROR(__xludf.DUMMYFUNCTION("GOOGLETRANSLATE(A95, ""en"", ""ur"")"),"94")</f>
        <v>94</v>
      </c>
      <c r="L95" s="5" t="str">
        <f>IFERROR(__xludf.DUMMYFUNCTION("GOOGLETRANSLATE(B95, ""en"", ""ur"")"),"صلاحیت کے لیے گھوڑے کی خوراک کا اہم حصہ کیا ہے؟")</f>
        <v>صلاحیت کے لیے گھوڑے کی خوراک کا اہم حصہ کیا ہے؟</v>
      </c>
      <c r="M95" s="5" t="str">
        <f>IFERROR(__xludf.DUMMYFUNCTION("GOOGLETRANSLATE(C95, ""en"", ""ur"")"),"A) شوگر کیوبز، B) اعلیٰ قسم کی گھاس اور اناج، C) صرف گھاس، D) پھل اور سبزیاں")</f>
        <v>A) شوگر کیوبز، B) اعلیٰ قسم کی گھاس اور اناج، C) صرف گھاس، D) پھل اور سبزیاں</v>
      </c>
      <c r="N95" s="5" t="str">
        <f>IFERROR(__xludf.DUMMYFUNCTION("GOOGLETRANSLATE(D95, ""en"", ""ur"")"),"ب) اعلیٰ قسم کی گھاس اور اناج")</f>
        <v>ب) اعلیٰ قسم کی گھاس اور اناج</v>
      </c>
      <c r="O95" s="5" t="str">
        <f>IFERROR(__xludf.DUMMYFUNCTION("GOOGLETRANSLATE(E95, ""en"", ""ur"")"),"ایک اتھلیٹک گھوڑے کو کارکردگی کے لیے متوازن خوراک اور توانائی سے بھرپور اناج کی ضرورت ہوتی ہے۔")</f>
        <v>ایک اتھلیٹک گھوڑے کو کارکردگی کے لیے متوازن خوراک اور توانائی سے بھرپور اناج کی ضرورت ہوتی ہے۔</v>
      </c>
    </row>
    <row r="96">
      <c r="A96" s="3">
        <v>95.0</v>
      </c>
      <c r="B96" s="4" t="s">
        <v>3022</v>
      </c>
      <c r="C96" s="4" t="s">
        <v>3199</v>
      </c>
      <c r="D96" s="4" t="s">
        <v>3200</v>
      </c>
      <c r="E96" s="4" t="s">
        <v>3025</v>
      </c>
      <c r="K96" s="5" t="str">
        <f>IFERROR(__xludf.DUMMYFUNCTION("GOOGLETRANSLATE(A96, ""en"", ""ur"")"),"95")</f>
        <v>95</v>
      </c>
      <c r="L96" s="5" t="str">
        <f>IFERROR(__xludf.DUMMYFUNCTION("GOOGLETRANSLATE(B96, ""en"", ""ur"")"),"ایک سوار کو بہت بھاری لانس رکھنے کی وجہ سے نااہل قرار دیا جاتا ہے۔ زیادہ سے زیادہ وزن کا اصول کیوں موجود ہوگا؟")</f>
        <v>ایک سوار کو بہت بھاری لانس رکھنے کی وجہ سے نااہل قرار دیا جاتا ہے۔ زیادہ سے زیادہ وزن کا اصول کیوں موجود ہوگا؟</v>
      </c>
      <c r="M96" s="5" t="str">
        <f>IFERROR(__xludf.DUMMYFUNCTION("GOOGLETRANSLATE(C96, ""en"", ""ur"")"),"A) ایک بھاری لانس زیادہ خطرناک ہے، B) انصاف کو یقینی بنانے اور تیز ہوا کے حالات میں فائدہ کو روکنے کے لئے، C) بھاری لانس کے ٹوٹنے کا امکان زیادہ ہوتا ہے، D) یہ کوئی اصول نہیں ہے۔")</f>
        <v>A) ایک بھاری لانس زیادہ خطرناک ہے، B) انصاف کو یقینی بنانے اور تیز ہوا کے حالات میں فائدہ کو روکنے کے لئے، C) بھاری لانس کے ٹوٹنے کا امکان زیادہ ہوتا ہے، D) یہ کوئی اصول نہیں ہے۔</v>
      </c>
      <c r="N96" s="5" t="str">
        <f>IFERROR(__xludf.DUMMYFUNCTION("GOOGLETRANSLATE(D96, ""en"", ""ur"")"),"ب) انصاف کو یقینی بنانا اور ہوا کے حالات میں فائدہ کو روکنے کے لیے")</f>
        <v>ب) انصاف کو یقینی بنانا اور ہوا کے حالات میں فائدہ کو روکنے کے لیے</v>
      </c>
      <c r="O96" s="5" t="str">
        <f>IFERROR(__xludf.DUMMYFUNCTION("GOOGLETRANSLATE(E96, ""en"", ""ur"")"),"بہت بھاری لینس ہوا سے کم متاثر ہوتا ہے، اس لیے زیادہ سے زیادہ وزن کی حد یقینی بناتی ہے کہ تمام سواروں کو ایک جیسے چیلنجوں کا سامنا کرنا پڑے۔")</f>
        <v>بہت بھاری لینس ہوا سے کم متاثر ہوتا ہے، اس لیے زیادہ سے زیادہ وزن کی حد یقینی بناتی ہے کہ تمام سواروں کو ایک جیسے چیلنجوں کا سامنا کرنا پڑے۔</v>
      </c>
    </row>
    <row r="97">
      <c r="A97" s="3">
        <v>96.0</v>
      </c>
      <c r="B97" s="4" t="s">
        <v>3201</v>
      </c>
      <c r="C97" s="4" t="s">
        <v>3202</v>
      </c>
      <c r="D97" s="4" t="s">
        <v>3016</v>
      </c>
      <c r="E97" s="4" t="s">
        <v>3203</v>
      </c>
      <c r="K97" s="5" t="str">
        <f>IFERROR(__xludf.DUMMYFUNCTION("GOOGLETRANSLATE(A97, ""en"", ""ur"")"),"96")</f>
        <v>96</v>
      </c>
      <c r="L97" s="5" t="str">
        <f>IFERROR(__xludf.DUMMYFUNCTION("GOOGLETRANSLATE(B97, ""en"", ""ur"")"),"سوار کا گھوڑا لنگڑا ہے اس لیے وہ گھوڑا ادھار لیتے ہیں۔ کیا اس کی اجازت ہے؟")</f>
        <v>سوار کا گھوڑا لنگڑا ہے اس لیے وہ گھوڑا ادھار لیتے ہیں۔ کیا اس کی اجازت ہے؟</v>
      </c>
      <c r="M97" s="5" t="str">
        <f>IFERROR(__xludf.DUMMYFUNCTION("GOOGLETRANSLATE(C97, ""en"", ""ur"")"),"A) ہاں، اگر مالک راضی ہو، B) نہیں، سوار کو اپنے رجسٹرڈ گھوڑے پر مقابلہ کرنا چاہیے، C) صرف عملی طور پر، D) صرف اس صورت میں جب گھوڑے ایک ہی رنگ کے ہوں")</f>
        <v>A) ہاں، اگر مالک راضی ہو، B) نہیں، سوار کو اپنے رجسٹرڈ گھوڑے پر مقابلہ کرنا چاہیے، C) صرف عملی طور پر، D) صرف اس صورت میں جب گھوڑے ایک ہی رنگ کے ہوں</v>
      </c>
      <c r="N97" s="5" t="str">
        <f>IFERROR(__xludf.DUMMYFUNCTION("GOOGLETRANSLATE(D97, ""en"", ""ur"")"),"ب) نہیں، سوار کو اپنے رجسٹرڈ گھوڑے پر مقابلہ کرنا چاہیے۔")</f>
        <v>ب) نہیں، سوار کو اپنے رجسٹرڈ گھوڑے پر مقابلہ کرنا چاہیے۔</v>
      </c>
      <c r="O97" s="5" t="str">
        <f>IFERROR(__xludf.DUMMYFUNCTION("GOOGLETRANSLATE(E97, ""en"", ""ur"")"),"سرکاری مقابلوں میں ایک سوار اور ان کا گھوڑا رجسٹرڈ جوڑا ہوتا ہے۔ ایک سوار دوسرے گھوڑے پر نہیں جا سکتا۔")</f>
        <v>سرکاری مقابلوں میں ایک سوار اور ان کا گھوڑا رجسٹرڈ جوڑا ہوتا ہے۔ ایک سوار دوسرے گھوڑے پر نہیں جا سکتا۔</v>
      </c>
    </row>
    <row r="98">
      <c r="A98" s="3">
        <v>97.0</v>
      </c>
      <c r="B98" s="4" t="s">
        <v>3204</v>
      </c>
      <c r="C98" s="4" t="s">
        <v>3205</v>
      </c>
      <c r="D98" s="4" t="s">
        <v>3206</v>
      </c>
      <c r="E98" s="4" t="s">
        <v>3207</v>
      </c>
      <c r="K98" s="5" t="str">
        <f>IFERROR(__xludf.DUMMYFUNCTION("GOOGLETRANSLATE(A98, ""en"", ""ur"")"),"97")</f>
        <v>97</v>
      </c>
      <c r="L98" s="5" t="str">
        <f>IFERROR(__xludf.DUMMYFUNCTION("GOOGLETRANSLATE(B98, ""en"", ""ur"")"),"ٹیم ایونٹ میں ""مکمل پاس"" کی اصطلاح کا کیا مطلب ہے؟")</f>
        <v>ٹیم ایونٹ میں "مکمل پاس" کی اصطلاح کا کیا مطلب ہے؟</v>
      </c>
      <c r="M98" s="5" t="str">
        <f>IFERROR(__xludf.DUMMYFUNCTION("GOOGLETRANSLATE(C98, ""en"", ""ur"")"),"A) ٹیم آگے بڑھ گئی ہے، B) چاروں سواروں نے مکمل پیگ اسکور کیا، C) چاروں سوار چھوٹ گئے، D) ٹیم وقت پر ختم ہو گئی۔")</f>
        <v>A) ٹیم آگے بڑھ گئی ہے، B) چاروں سواروں نے مکمل پیگ اسکور کیا، C) چاروں سوار چھوٹ گئے، D) ٹیم وقت پر ختم ہو گئی۔</v>
      </c>
      <c r="N98" s="5" t="str">
        <f>IFERROR(__xludf.DUMMYFUNCTION("GOOGLETRANSLATE(D98, ""en"", ""ur"")"),"ب) چاروں سواروں نے ایک مکمل پیگ اسکور کیا۔")</f>
        <v>ب) چاروں سواروں نے ایک مکمل پیگ اسکور کیا۔</v>
      </c>
      <c r="O98" s="5" t="str">
        <f>IFERROR(__xludf.DUMMYFUNCTION("GOOGLETRANSLATE(E98, ""en"", ""ur"")"),"ایک ""مکمل پاس"" ایک بہترین رن ہے، جو اکثر بونس حاصل کرتا ہے۔")</f>
        <v>ایک "مکمل پاس" ایک بہترین رن ہے، جو اکثر بونس حاصل کرتا ہے۔</v>
      </c>
    </row>
    <row r="99">
      <c r="A99" s="3">
        <v>98.0</v>
      </c>
      <c r="B99" s="4" t="s">
        <v>3046</v>
      </c>
      <c r="C99" s="4" t="s">
        <v>3208</v>
      </c>
      <c r="D99" s="4" t="s">
        <v>3209</v>
      </c>
      <c r="E99" s="4" t="s">
        <v>3210</v>
      </c>
      <c r="K99" s="5" t="str">
        <f>IFERROR(__xludf.DUMMYFUNCTION("GOOGLETRANSLATE(A99, ""en"", ""ur"")"),"98")</f>
        <v>98</v>
      </c>
      <c r="L99" s="5" t="str">
        <f>IFERROR(__xludf.DUMMYFUNCTION("GOOGLETRANSLATE(B99, ""en"", ""ur"")"),"ایک سوار کو ""کراس کرنے"" پر سزا دی جاتی ہے۔ ٹیم ایونٹ میں اس کا کیا مطلب ہے؟")</f>
        <v>ایک سوار کو "کراس کرنے" پر سزا دی جاتی ہے۔ ٹیم ایونٹ میں اس کا کیا مطلب ہے؟</v>
      </c>
      <c r="M99" s="5" t="str">
        <f>IFERROR(__xludf.DUMMYFUNCTION("GOOGLETRANSLATE(C99, ""en"", ""ur"")"),"A) انہوں نے فنش لائن کو بہت آہستہ سے عبور کیا، B) انہوں نے ٹیم کے ساتھی کے راستے کو عبور کیا، جس سے خطرہ پیدا ہوا، C) انہوں نے سواری کے دوران اپنی ٹانگیں عبور کیں، D) انہوں نے کراس نسل کا گھوڑا استعمال کیا۔")</f>
        <v>A) انہوں نے فنش لائن کو بہت آہستہ سے عبور کیا، B) انہوں نے ٹیم کے ساتھی کے راستے کو عبور کیا، جس سے خطرہ پیدا ہوا، C) انہوں نے سواری کے دوران اپنی ٹانگیں عبور کیں، D) انہوں نے کراس نسل کا گھوڑا استعمال کیا۔</v>
      </c>
      <c r="N99" s="5" t="str">
        <f>IFERROR(__xludf.DUMMYFUNCTION("GOOGLETRANSLATE(D99, ""en"", ""ur"")"),"ب) وہ ایک ٹیم کے ساتھی کے راستے میں داخل ہوئے، ایک خطرہ پیدا کیا۔")</f>
        <v>ب) وہ ایک ٹیم کے ساتھی کے راستے میں داخل ہوئے، ایک خطرہ پیدا کیا۔</v>
      </c>
      <c r="O99" s="5" t="str">
        <f>IFERROR(__xludf.DUMMYFUNCTION("GOOGLETRANSLATE(E99, ""en"", ""ur"")"),"سیکشن حملے میں، ہر سوار کو اپنی لین کو برقرار رکھنا چاہیے۔ کسی دوسرے سوار کا راستہ عبور کرنا ایک بہت ہی خطرناک فاؤل ہے۔")</f>
        <v>سیکشن حملے میں، ہر سوار کو اپنی لین کو برقرار رکھنا چاہیے۔ کسی دوسرے سوار کا راستہ عبور کرنا ایک بہت ہی خطرناک فاؤل ہے۔</v>
      </c>
    </row>
    <row r="100">
      <c r="A100" s="3">
        <v>99.0</v>
      </c>
      <c r="B100" s="4" t="s">
        <v>3211</v>
      </c>
      <c r="C100" s="4" t="s">
        <v>3212</v>
      </c>
      <c r="D100" s="4" t="s">
        <v>3213</v>
      </c>
      <c r="E100" s="4" t="s">
        <v>3214</v>
      </c>
      <c r="K100" s="5" t="str">
        <f>IFERROR(__xludf.DUMMYFUNCTION("GOOGLETRANSLATE(A100, ""en"", ""ur"")"),"99")</f>
        <v>99</v>
      </c>
      <c r="L100" s="5" t="str">
        <f>IFERROR(__xludf.DUMMYFUNCTION("GOOGLETRANSLATE(B100, ""en"", ""ur"")"),"لیموں کاٹنے کے لیے کرپان استعمال کرنے کی بنیادی وجہ کیا ہے؟")</f>
        <v>لیموں کاٹنے کے لیے کرپان استعمال کرنے کی بنیادی وجہ کیا ہے؟</v>
      </c>
      <c r="M100" s="5" t="str">
        <f>IFERROR(__xludf.DUMMYFUNCTION("GOOGLETRANSLATE(C100, ""en"", ""ur"")"),"A) یہ روایتی لگتا ہے، B) ایک مڑے ہوئے بلیڈ کو کاٹنے کے لیے ڈیزائن کیا گیا ہے، C) یہ ہلکا ہے، D) یہ تیز ہے")</f>
        <v>A) یہ روایتی لگتا ہے، B) ایک مڑے ہوئے بلیڈ کو کاٹنے کے لیے ڈیزائن کیا گیا ہے، C) یہ ہلکا ہے، D) یہ تیز ہے</v>
      </c>
      <c r="N100" s="5" t="str">
        <f>IFERROR(__xludf.DUMMYFUNCTION("GOOGLETRANSLATE(D100, ""en"", ""ur"")"),"ب) ایک مڑے ہوئے بلیڈ کو کاٹنے کے لیے ڈیزائن کیا گیا ہے۔")</f>
        <v>ب) ایک مڑے ہوئے بلیڈ کو کاٹنے کے لیے ڈیزائن کیا گیا ہے۔</v>
      </c>
      <c r="O100" s="5" t="str">
        <f>IFERROR(__xludf.DUMMYFUNCTION("GOOGLETRANSLATE(E100, ""en"", ""ur"")"),"کرپان کا گھماؤ بلیڈ کو ہدف کے ذریعے مؤثر طریقے سے کاٹنے کی اجازت دیتا ہے جب سوار گزر جاتا ہے۔")</f>
        <v>کرپان کا گھماؤ بلیڈ کو ہدف کے ذریعے مؤثر طریقے سے کاٹنے کی اجازت دیتا ہے جب سوار گزر جاتا ہے۔</v>
      </c>
    </row>
    <row r="101">
      <c r="A101" s="3">
        <v>100.0</v>
      </c>
      <c r="B101" s="4" t="s">
        <v>3215</v>
      </c>
      <c r="C101" s="4" t="s">
        <v>3216</v>
      </c>
      <c r="D101" s="4" t="s">
        <v>3217</v>
      </c>
      <c r="E101" s="4" t="s">
        <v>3218</v>
      </c>
      <c r="K101" s="5" t="str">
        <f>IFERROR(__xludf.DUMMYFUNCTION("GOOGLETRANSLATE(A101, ""en"", ""ur"")"),"100")</f>
        <v>100</v>
      </c>
      <c r="L101" s="5" t="str">
        <f>IFERROR(__xludf.DUMMYFUNCTION("GOOGLETRANSLATE(B101, ""en"", ""ur"")"),"ٹینٹ پیگر کے لیے ایک اہم ذہنی مہارت کیا ہے؟")</f>
        <v>ٹینٹ پیگر کے لیے ایک اہم ذہنی مہارت کیا ہے؟</v>
      </c>
      <c r="M101" s="5" t="str">
        <f>IFERROR(__xludf.DUMMYFUNCTION("GOOGLETRANSLATE(C101, ""en"", ""ur"")"),"A) دباؤ کو نظر انداز کرنے اور کسی ایک نقطہ پر شدت سے توجہ مرکوز کرنے کی صلاحیت، B) قواعد کے لیے اچھی یادداشت، C) ریاضی کو تیزی سے کرنے کی صلاحیت، D) بلند آواز")</f>
        <v>A) دباؤ کو نظر انداز کرنے اور کسی ایک نقطہ پر شدت سے توجہ مرکوز کرنے کی صلاحیت، B) قواعد کے لیے اچھی یادداشت، C) ریاضی کو تیزی سے کرنے کی صلاحیت، D) بلند آواز</v>
      </c>
      <c r="N101" s="5" t="str">
        <f>IFERROR(__xludf.DUMMYFUNCTION("GOOGLETRANSLATE(D101, ""en"", ""ur"")"),"A) دباؤ کو نظر انداز کرنے اور ایک نقطہ پر شدت سے توجہ مرکوز کرنے کی صلاحیت")</f>
        <v>A) دباؤ کو نظر انداز کرنے اور ایک نقطہ پر شدت سے توجہ مرکوز کرنے کی صلاحیت</v>
      </c>
      <c r="O101" s="5" t="str">
        <f>IFERROR(__xludf.DUMMYFUNCTION("GOOGLETRANSLATE(E101, ""en"", ""ur"")"),"کھیل کو تیز رفتار، ہائی پریشر والے ماحول میں درست کارروائی کرنے کے لیے بے پناہ ارتکاز کی ضرورت ہوتی ہے۔")</f>
        <v>کھیل کو تیز رفتار، ہائی پریشر والے ماحول میں درست کارروائی کرنے کے لیے بے پناہ ارتکاز کی ضرورت ہوتی ہے۔</v>
      </c>
    </row>
    <row r="102">
      <c r="A102" s="3">
        <v>101.0</v>
      </c>
      <c r="B102" s="4" t="s">
        <v>3219</v>
      </c>
      <c r="C102" s="4" t="s">
        <v>3220</v>
      </c>
      <c r="D102" s="4" t="s">
        <v>3221</v>
      </c>
      <c r="E102" s="4" t="s">
        <v>3222</v>
      </c>
      <c r="K102" s="5" t="str">
        <f>IFERROR(__xludf.DUMMYFUNCTION("GOOGLETRANSLATE(A102, ""en"", ""ur"")"),"101")</f>
        <v>101</v>
      </c>
      <c r="L102" s="5" t="str">
        <f>IFERROR(__xludf.DUMMYFUNCTION("GOOGLETRANSLATE(B102, ""en"", ""ur"")"),"ایک سوار کا گھوڑا بلنکرز پہنے ہوئے ہے۔ ان کا مقصد کیا ہے؟")</f>
        <v>ایک سوار کا گھوڑا بلنکرز پہنے ہوئے ہے۔ ان کا مقصد کیا ہے؟</v>
      </c>
      <c r="M102" s="5" t="str">
        <f>IFERROR(__xludf.DUMMYFUNCTION("GOOGLETRANSLATE(C102, ""en"", ""ur"")"),"A) گھوڑے کی آنکھوں کی حفاظت کے لئے، B) گھوڑے کی بینائی کو محدود کرنے اور اسے آگے مرکوز رکھنے کے لئے، C) وہ آرائشی ہیں، D) وہ رات کو گھوڑے کو دیکھنے میں مدد کرتے ہیں۔")</f>
        <v>A) گھوڑے کی آنکھوں کی حفاظت کے لئے، B) گھوڑے کی بینائی کو محدود کرنے اور اسے آگے مرکوز رکھنے کے لئے، C) وہ آرائشی ہیں، D) وہ رات کو گھوڑے کو دیکھنے میں مدد کرتے ہیں۔</v>
      </c>
      <c r="N102" s="5" t="str">
        <f>IFERROR(__xludf.DUMMYFUNCTION("GOOGLETRANSLATE(D102, ""en"", ""ur"")"),"ب) گھوڑے کی بینائی کو محدود کرنا اور اسے آگے مرکوز رکھنا")</f>
        <v>ب) گھوڑے کی بینائی کو محدود کرنا اور اسے آگے مرکوز رکھنا</v>
      </c>
      <c r="O102" s="5" t="str">
        <f>IFERROR(__xludf.DUMMYFUNCTION("GOOGLETRANSLATE(E102, ""en"", ""ur"")"),"پلکیں جھپکنے والے گھوڑے کو اس کی طرف یا پیچھے کی طرف حرکت سے مشغول ہونے سے روکتے ہیں، اس بات کو یقینی بناتے ہوئے کہ یہ سیدھا چلتا ہے۔")</f>
        <v>پلکیں جھپکنے والے گھوڑے کو اس کی طرف یا پیچھے کی طرف حرکت سے مشغول ہونے سے روکتے ہیں، اس بات کو یقینی بناتے ہوئے کہ یہ سیدھا چلتا ہے۔</v>
      </c>
    </row>
    <row r="103">
      <c r="A103" s="3">
        <v>102.0</v>
      </c>
      <c r="B103" s="4" t="s">
        <v>3223</v>
      </c>
      <c r="C103" s="4" t="s">
        <v>3150</v>
      </c>
      <c r="D103" s="4" t="s">
        <v>3151</v>
      </c>
      <c r="E103" s="4" t="s">
        <v>3224</v>
      </c>
      <c r="K103" s="5" t="str">
        <f>IFERROR(__xludf.DUMMYFUNCTION("GOOGLETRANSLATE(A103, ""en"", ""ur"")"),"102")</f>
        <v>102</v>
      </c>
      <c r="L103" s="5" t="str">
        <f>IFERROR(__xludf.DUMMYFUNCTION("GOOGLETRANSLATE(B103, ""en"", ""ur"")"),"اگر سوار لانس پر کھونٹی کو بغل میں اٹھائے تو کیا حکم ہے؟")</f>
        <v>اگر سوار لانس پر کھونٹی کو بغل میں اٹھائے تو کیا حکم ہے؟</v>
      </c>
      <c r="M103" s="5" t="str">
        <f>IFERROR(__xludf.DUMMYFUNCTION("GOOGLETRANSLATE(C103, ""en"", ""ur"")"),"A) ایک مکمل پیگ دیا جاتا ہے، B) ایک ڈراون پیگ دیا جاتا ہے، C) کوئی پوائنٹ نہیں دیا جاتا ہے، D) رن دوبارہ چلایا جاتا ہے")</f>
        <v>A) ایک مکمل پیگ دیا جاتا ہے، B) ایک ڈراون پیگ دیا جاتا ہے، C) کوئی پوائنٹ نہیں دیا جاتا ہے، D) رن دوبارہ چلایا جاتا ہے</v>
      </c>
      <c r="N103" s="5" t="str">
        <f>IFERROR(__xludf.DUMMYFUNCTION("GOOGLETRANSLATE(D103, ""en"", ""ur"")"),"A) ایک مکمل پیگ دیا جاتا ہے۔")</f>
        <v>A) ایک مکمل پیگ دیا جاتا ہے۔</v>
      </c>
      <c r="O103" s="5" t="str">
        <f>IFERROR(__xludf.DUMMYFUNCTION("GOOGLETRANSLATE(E103, ""en"", ""ur"")"),"جس انداز میں کھونٹی کو لانس کے ساتھ جوڑا گیا ہے اس سے کوئی فرق نہیں پڑتا ہے۔ جب تک اسے اٹھا کر لے جایا جاتا ہے، یہ مکمل سکور ہے۔")</f>
        <v>جس انداز میں کھونٹی کو لانس کے ساتھ جوڑا گیا ہے اس سے کوئی فرق نہیں پڑتا ہے۔ جب تک اسے اٹھا کر لے جایا جاتا ہے، یہ مکمل سکور ہے۔</v>
      </c>
    </row>
    <row r="104">
      <c r="A104" s="3">
        <v>103.0</v>
      </c>
      <c r="B104" s="4" t="s">
        <v>3225</v>
      </c>
      <c r="C104" s="4" t="s">
        <v>3226</v>
      </c>
      <c r="D104" s="4" t="s">
        <v>3227</v>
      </c>
      <c r="E104" s="4" t="s">
        <v>3228</v>
      </c>
      <c r="K104" s="5" t="str">
        <f>IFERROR(__xludf.DUMMYFUNCTION("GOOGLETRANSLATE(A104, ""en"", ""ur"")"),"103")</f>
        <v>103</v>
      </c>
      <c r="L104" s="5" t="str">
        <f>IFERROR(__xludf.DUMMYFUNCTION("GOOGLETRANSLATE(B104, ""en"", ""ur"")"),"ٹائی بریکر میں، اہلکار کس طرح مشکل میں اضافہ کر سکتے ہیں؟")</f>
        <v>ٹائی بریکر میں، اہلکار کس طرح مشکل میں اضافہ کر سکتے ہیں؟</v>
      </c>
      <c r="M104" s="5" t="str">
        <f>IFERROR(__xludf.DUMMYFUNCTION("GOOGLETRANSLATE(C104, ""en"", ""ur"")"),"A) سواروں کو بھاری لینس کا استعمال کریں، B) پیگ کی چوڑائی کو کم کریں، C) سواروں کو تیز تر بنائیں، D) ٹریک کو لمبا بنائیں")</f>
        <v>A) سواروں کو بھاری لینس کا استعمال کریں، B) پیگ کی چوڑائی کو کم کریں، C) سواروں کو تیز تر بنائیں، D) ٹریک کو لمبا بنائیں</v>
      </c>
      <c r="N104" s="5" t="str">
        <f>IFERROR(__xludf.DUMMYFUNCTION("GOOGLETRANSLATE(D104, ""en"", ""ur"")"),"ب) پیگ کی چوڑائی کو کم کریں۔")</f>
        <v>ب) پیگ کی چوڑائی کو کم کریں۔</v>
      </c>
      <c r="O104" s="5" t="str">
        <f>IFERROR(__xludf.DUMMYFUNCTION("GOOGLETRANSLATE(E104, ""en"", ""ur"")"),"بہترین سواروں کو الگ کرنے کے لیے، چھوٹے ہدف کا استعمال کرتے ہوئے چیلنج کو بڑھایا جاتا ہے۔")</f>
        <v>بہترین سواروں کو الگ کرنے کے لیے، چھوٹے ہدف کا استعمال کرتے ہوئے چیلنج کو بڑھایا جاتا ہے۔</v>
      </c>
    </row>
    <row r="105">
      <c r="A105" s="3">
        <v>104.0</v>
      </c>
      <c r="B105" s="4" t="s">
        <v>3229</v>
      </c>
      <c r="C105" s="4" t="s">
        <v>3230</v>
      </c>
      <c r="D105" s="4" t="s">
        <v>3231</v>
      </c>
      <c r="E105" s="4" t="s">
        <v>3140</v>
      </c>
      <c r="K105" s="5" t="str">
        <f>IFERROR(__xludf.DUMMYFUNCTION("GOOGLETRANSLATE(A105, ""en"", ""ur"")"),"104")</f>
        <v>104</v>
      </c>
      <c r="L105" s="5" t="str">
        <f>IFERROR(__xludf.DUMMYFUNCTION("GOOGLETRANSLATE(B105, ""en"", ""ur"")"),"ایک سوار اپنے اڈے کے قریب لانس رکھنے کی بنیادی وجہ کیا ہے؟")</f>
        <v>ایک سوار اپنے اڈے کے قریب لانس رکھنے کی بنیادی وجہ کیا ہے؟</v>
      </c>
      <c r="M105" s="5" t="str">
        <f>IFERROR(__xludf.DUMMYFUNCTION("GOOGLETRANSLATE(C105, ""en"", ""ur"")"),"A) یہ ایک اصول ہے، B) یہ زیادہ سے زیادہ رسائی اور فائدہ فراہم کرتا ہے، C) توازن رکھنا آسان ہے، D) یہ ہاتھ کی حفاظت کرتا ہے")</f>
        <v>A) یہ ایک اصول ہے، B) یہ زیادہ سے زیادہ رسائی اور فائدہ فراہم کرتا ہے، C) توازن رکھنا آسان ہے، D) یہ ہاتھ کی حفاظت کرتا ہے</v>
      </c>
      <c r="N105" s="5" t="str">
        <f>IFERROR(__xludf.DUMMYFUNCTION("GOOGLETRANSLATE(D105, ""en"", ""ur"")"),"ب) یہ زیادہ سے زیادہ رسائی اور فائدہ فراہم کرتا ہے۔")</f>
        <v>ب) یہ زیادہ سے زیادہ رسائی اور فائدہ فراہم کرتا ہے۔</v>
      </c>
      <c r="O105" s="5" t="str">
        <f>IFERROR(__xludf.DUMMYFUNCTION("GOOGLETRANSLATE(E105, ""en"", ""ur"")"),"لانس کو اس کے سرے پر رکھنا، پول کیو کی طرح، بازو کی طویل ترین اور مستحکم توسیع کی اجازت دیتا ہے۔")</f>
        <v>لانس کو اس کے سرے پر رکھنا، پول کیو کی طرح، بازو کی طویل ترین اور مستحکم توسیع کی اجازت دیتا ہے۔</v>
      </c>
    </row>
    <row r="106">
      <c r="A106" s="3">
        <v>105.0</v>
      </c>
      <c r="B106" s="4" t="s">
        <v>3232</v>
      </c>
      <c r="C106" s="4" t="s">
        <v>3233</v>
      </c>
      <c r="D106" s="4" t="s">
        <v>3234</v>
      </c>
      <c r="E106" s="4" t="s">
        <v>3235</v>
      </c>
      <c r="K106" s="5" t="str">
        <f>IFERROR(__xludf.DUMMYFUNCTION("GOOGLETRANSLATE(A106, ""en"", ""ur"")"),"105")</f>
        <v>105</v>
      </c>
      <c r="L106" s="5" t="str">
        <f>IFERROR(__xludf.DUMMYFUNCTION("GOOGLETRANSLATE(B106, ""en"", ""ur"")"),"غیر قانونی طور پر تیز لانس ٹپ استعمال کرنے کی سزا کیا ہے؟")</f>
        <v>غیر قانونی طور پر تیز لانس ٹپ استعمال کرنے کی سزا کیا ہے؟</v>
      </c>
      <c r="M106" s="5" t="str">
        <f>IFERROR(__xludf.DUMMYFUNCTION("GOOGLETRANSLATE(C106, ""en"", ""ur"")"),"A) انہیں اسے ختم کرنا ہوگا، B) فوری نااہلی، C) ایک پوائنٹ جرمانہ، D) ایک انتباہ")</f>
        <v>A) انہیں اسے ختم کرنا ہوگا، B) فوری نااہلی، C) ایک پوائنٹ جرمانہ، D) ایک انتباہ</v>
      </c>
      <c r="N106" s="5" t="str">
        <f>IFERROR(__xludf.DUMMYFUNCTION("GOOGLETRANSLATE(D106, ""en"", ""ur"")"),"ب) فوری نااہلی")</f>
        <v>ب) فوری نااہلی</v>
      </c>
      <c r="O106" s="5" t="str">
        <f>IFERROR(__xludf.DUMMYFUNCTION("GOOGLETRANSLATE(E106, ""en"", ""ur"")"),"تیز لانس ایک بڑی حفاظتی خلاف ورزی ہے جو گھوڑے کو شدید چوٹ پہنچا سکتی ہے اگر سوار چھوٹ جائے۔")</f>
        <v>تیز لانس ایک بڑی حفاظتی خلاف ورزی ہے جو گھوڑے کو شدید چوٹ پہنچا سکتی ہے اگر سوار چھوٹ جائے۔</v>
      </c>
    </row>
    <row r="107">
      <c r="A107" s="3">
        <v>106.0</v>
      </c>
      <c r="B107" s="4" t="s">
        <v>3236</v>
      </c>
      <c r="C107" s="4" t="s">
        <v>3237</v>
      </c>
      <c r="D107" s="4" t="s">
        <v>3000</v>
      </c>
      <c r="E107" s="4" t="s">
        <v>3238</v>
      </c>
      <c r="K107" s="5" t="str">
        <f>IFERROR(__xludf.DUMMYFUNCTION("GOOGLETRANSLATE(A107, ""en"", ""ur"")"),"106")</f>
        <v>106</v>
      </c>
      <c r="L107" s="5" t="str">
        <f>IFERROR(__xludf.DUMMYFUNCTION("GOOGLETRANSLATE(B107, ""en"", ""ur"")"),"ایک سوار 5 سیکنڈ میں رن مکمل کرتا ہے اور اسے مکمل پیگ ملتا ہے۔ کیا یہ درست ہے؟")</f>
        <v>ایک سوار 5 سیکنڈ میں رن مکمل کرتا ہے اور اسے مکمل پیگ ملتا ہے۔ کیا یہ درست ہے؟</v>
      </c>
      <c r="M107" s="5" t="str">
        <f>IFERROR(__xludf.DUMMYFUNCTION("GOOGLETRANSLATE(C107, ""en"", ""ur"")"),"A) جی ہاں، سپیڈ بونس کے ساتھ، B) نہیں، رن بہت تیز تھا، C) ہاں، کیونکہ یہ زیادہ سے زیادہ وقت کی حد کے تحت ہے، D) نہیں، کم از کم وقت کی حد ہے")</f>
        <v>A) جی ہاں، سپیڈ بونس کے ساتھ، B) نہیں، رن بہت تیز تھا، C) ہاں، کیونکہ یہ زیادہ سے زیادہ وقت کی حد کے تحت ہے، D) نہیں، کم از کم وقت کی حد ہے</v>
      </c>
      <c r="N107" s="5" t="str">
        <f>IFERROR(__xludf.DUMMYFUNCTION("GOOGLETRANSLATE(D107, ""en"", ""ur"")"),"ج) جی ہاں، جیسا کہ یہ زیادہ سے زیادہ وقت کی حد کے تحت ہے۔")</f>
        <v>ج) جی ہاں، جیسا کہ یہ زیادہ سے زیادہ وقت کی حد کے تحت ہے۔</v>
      </c>
      <c r="O107" s="5" t="str">
        <f>IFERROR(__xludf.DUMMYFUNCTION("GOOGLETRANSLATE(E107, ""en"", ""ur"")"),"زیادہ سے زیادہ وقت کی حد ہے، لیکن کوئی کم از کم نہیں۔ تیز دوڑنا ایک ہنر مند سوار کی علامت ہے۔")</f>
        <v>زیادہ سے زیادہ وقت کی حد ہے، لیکن کوئی کم از کم نہیں۔ تیز دوڑنا ایک ہنر مند سوار کی علامت ہے۔</v>
      </c>
    </row>
    <row r="108">
      <c r="A108" s="3">
        <v>107.0</v>
      </c>
      <c r="B108" s="4" t="s">
        <v>3239</v>
      </c>
      <c r="C108" s="4" t="s">
        <v>3240</v>
      </c>
      <c r="D108" s="4" t="s">
        <v>3241</v>
      </c>
      <c r="E108" s="4" t="s">
        <v>3242</v>
      </c>
      <c r="K108" s="5" t="str">
        <f>IFERROR(__xludf.DUMMYFUNCTION("GOOGLETRANSLATE(A108, ""en"", ""ur"")"),"107")</f>
        <v>107</v>
      </c>
      <c r="L108" s="5" t="str">
        <f>IFERROR(__xludf.DUMMYFUNCTION("GOOGLETRANSLATE(B108, ""en"", ""ur"")"),"""لانس"" اور ""تلوار"" رن میں کیا فرق ہے؟")</f>
        <v>"لانس" اور "تلوار" رن میں کیا فرق ہے؟</v>
      </c>
      <c r="M108" s="5" t="str">
        <f>IFERROR(__xludf.DUMMYFUNCTION("GOOGLETRANSLATE(C108, ""en"", ""ur"")"),"A) لانس چھیدتا ہے، تلوار کاٹتی ہے، B) تلوار کی دوڑ سست ہے، C) لانس زیادہ محفوظ ہے، D) کوئی فرق نہیں ہے")</f>
        <v>A) لانس چھیدتا ہے، تلوار کاٹتی ہے، B) تلوار کی دوڑ سست ہے، C) لانس زیادہ محفوظ ہے، D) کوئی فرق نہیں ہے</v>
      </c>
      <c r="N108" s="5" t="str">
        <f>IFERROR(__xludf.DUMMYFUNCTION("GOOGLETRANSLATE(D108, ""en"", ""ur"")"),"ا) لانس چھیدتی ہے، تلوار کاٹتی ہے۔")</f>
        <v>ا) لانس چھیدتی ہے، تلوار کاٹتی ہے۔</v>
      </c>
      <c r="O108" s="5" t="str">
        <f>IFERROR(__xludf.DUMMYFUNCTION("GOOGLETRANSLATE(E108, ""en"", ""ur"")"),"یہ مضامین دو مختلف تاریخی گھڑسوار کی مہارتوں کی جانچ کرتے ہیں: لانس کا زور اور سبری کا ٹکڑا۔")</f>
        <v>یہ مضامین دو مختلف تاریخی گھڑسوار کی مہارتوں کی جانچ کرتے ہیں: لانس کا زور اور سبری کا ٹکڑا۔</v>
      </c>
    </row>
    <row r="109">
      <c r="A109" s="3">
        <v>108.0</v>
      </c>
      <c r="B109" s="4" t="s">
        <v>3243</v>
      </c>
      <c r="C109" s="4" t="s">
        <v>3244</v>
      </c>
      <c r="D109" s="4" t="s">
        <v>3245</v>
      </c>
      <c r="E109" s="4" t="s">
        <v>3246</v>
      </c>
      <c r="K109" s="5" t="str">
        <f>IFERROR(__xludf.DUMMYFUNCTION("GOOGLETRANSLATE(A109, ""en"", ""ur"")"),"108")</f>
        <v>108</v>
      </c>
      <c r="L109" s="5" t="str">
        <f>IFERROR(__xludf.DUMMYFUNCTION("GOOGLETRANSLATE(B109, ""en"", ""ur"")"),"ٹریک کی سطح کی سب سے اہم خصوصیت کیا ہے؟")</f>
        <v>ٹریک کی سطح کی سب سے اہم خصوصیت کیا ہے؟</v>
      </c>
      <c r="M109" s="5" t="str">
        <f>IFERROR(__xludf.DUMMYFUNCTION("GOOGLETRANSLATE(C109, ""en"", ""ur"")"),"A) یہ گھاس ہونا چاہئے، B) یہ ریت کا ہونا چاہئے، C) یہ سطح، مضبوط، اور رکاوٹوں سے پاک ہونا چاہئے، D) یہ ڈھلوان ہونا چاہئے")</f>
        <v>A) یہ گھاس ہونا چاہئے، B) یہ ریت کا ہونا چاہئے، C) یہ سطح، مضبوط، اور رکاوٹوں سے پاک ہونا چاہئے، D) یہ ڈھلوان ہونا چاہئے</v>
      </c>
      <c r="N109" s="5" t="str">
        <f>IFERROR(__xludf.DUMMYFUNCTION("GOOGLETRANSLATE(D109, ""en"", ""ur"")"),"ج) یہ سطح، مضبوط اور رکاوٹوں سے پاک ہونا چاہیے۔")</f>
        <v>ج) یہ سطح، مضبوط اور رکاوٹوں سے پاک ہونا چاہیے۔</v>
      </c>
      <c r="O109" s="5" t="str">
        <f>IFERROR(__xludf.DUMMYFUNCTION("GOOGLETRANSLATE(E109, ""en"", ""ur"")"),"گھوڑوں کو ٹھوکریں کھانے سے روکنے کے لیے ایک محفوظ اور منصفانہ ٹریک مستقل اور پیش قیاسی ہونا چاہیے۔")</f>
        <v>گھوڑوں کو ٹھوکریں کھانے سے روکنے کے لیے ایک محفوظ اور منصفانہ ٹریک مستقل اور پیش قیاسی ہونا چاہیے۔</v>
      </c>
    </row>
    <row r="110">
      <c r="A110" s="3">
        <v>109.0</v>
      </c>
      <c r="B110" s="4" t="s">
        <v>3247</v>
      </c>
      <c r="C110" s="4" t="s">
        <v>3248</v>
      </c>
      <c r="D110" s="4" t="s">
        <v>3249</v>
      </c>
      <c r="E110" s="4" t="s">
        <v>3250</v>
      </c>
      <c r="K110" s="5" t="str">
        <f>IFERROR(__xludf.DUMMYFUNCTION("GOOGLETRANSLATE(A110, ""en"", ""ur"")"),"109")</f>
        <v>109</v>
      </c>
      <c r="L110" s="5" t="str">
        <f>IFERROR(__xludf.DUMMYFUNCTION("GOOGLETRANSLATE(B110, ""en"", ""ur"")"),"""ہنر پر ہتھیار"" واقعہ کیا ہے؟")</f>
        <v>"ہنر پر ہتھیار" واقعہ کیا ہے؟</v>
      </c>
      <c r="M110" s="5" t="str">
        <f>IFERROR(__xludf.DUMMYFUNCTION("GOOGLETRANSLATE(C110, ""en"", ""ur"")"),"A) ایک سے زیادہ کاموں کے ساتھ ایک ہی دوڑ، جیسے کھونٹی کو نیزہ مارنا اور لیموں کاٹنا، B) جمپنگ رکاوٹیں، C) ڈریسیج ٹیسٹ، D) گھوڑوں کی دوڑ")</f>
        <v>A) ایک سے زیادہ کاموں کے ساتھ ایک ہی دوڑ، جیسے کھونٹی کو نیزہ مارنا اور لیموں کاٹنا، B) جمپنگ رکاوٹیں، C) ڈریسیج ٹیسٹ، D) گھوڑوں کی دوڑ</v>
      </c>
      <c r="N110" s="5" t="str">
        <f>IFERROR(__xludf.DUMMYFUNCTION("GOOGLETRANSLATE(D110, ""en"", ""ur"")"),"A) متعدد کاموں کے ساتھ ایک ہی دوڑ، جیسے کھونٹی کو نیزہ مارنا اور لیموں کاٹنا")</f>
        <v>A) متعدد کاموں کے ساتھ ایک ہی دوڑ، جیسے کھونٹی کو نیزہ مارنا اور لیموں کاٹنا</v>
      </c>
      <c r="O110" s="5" t="str">
        <f>IFERROR(__xludf.DUMMYFUNCTION("GOOGLETRANSLATE(E110, ""en"", ""ur"")"),"یہ ایک جامع واقعہ ہے جو ایک ہی بار میں مختلف ہتھیاروں اور ہدف سازی کی مہارتوں میں سوار کی مہارت کو جانچتا ہے۔")</f>
        <v>یہ ایک جامع واقعہ ہے جو ایک ہی بار میں مختلف ہتھیاروں اور ہدف سازی کی مہارتوں میں سوار کی مہارت کو جانچتا ہے۔</v>
      </c>
    </row>
    <row r="111">
      <c r="A111" s="3">
        <v>110.0</v>
      </c>
      <c r="B111" s="4" t="s">
        <v>3251</v>
      </c>
      <c r="C111" s="4" t="s">
        <v>3252</v>
      </c>
      <c r="D111" s="4" t="s">
        <v>3159</v>
      </c>
      <c r="E111" s="4" t="s">
        <v>3013</v>
      </c>
      <c r="K111" s="5" t="str">
        <f>IFERROR(__xludf.DUMMYFUNCTION("GOOGLETRANSLATE(A111, ""en"", ""ur"")"),"110")</f>
        <v>110</v>
      </c>
      <c r="L111" s="5" t="str">
        <f>IFERROR(__xludf.DUMMYFUNCTION("GOOGLETRANSLATE(B111, ""en"", ""ur"")"),"سواروں کو ایڑی والے جوتے کیوں پہننے چاہئیں؟")</f>
        <v>سواروں کو ایڑی والے جوتے کیوں پہننے چاہئیں؟</v>
      </c>
      <c r="M111" s="5" t="str">
        <f>IFERROR(__xludf.DUMMYFUNCTION("GOOGLETRANSLATE(C111, ""en"", ""ur"")"),"A) یہ ایک روایت ہے، B) وہ بہتر گرفت فراہم کرتے ہیں، C) ایڑی پاؤں کو رکاب سے پھسلنے سے روکتی ہے، D) وہ پیشہ ور نظر آتے ہیں۔")</f>
        <v>A) یہ ایک روایت ہے، B) وہ بہتر گرفت فراہم کرتے ہیں، C) ایڑی پاؤں کو رکاب سے پھسلنے سے روکتی ہے، D) وہ پیشہ ور نظر آتے ہیں۔</v>
      </c>
      <c r="N111" s="5" t="str">
        <f>IFERROR(__xludf.DUMMYFUNCTION("GOOGLETRANSLATE(D111, ""en"", ""ur"")"),"ج) ایڑی پاؤں کو رکاب کے ذریعے پھسلنے سے روکتی ہے۔")</f>
        <v>ج) ایڑی پاؤں کو رکاب کے ذریعے پھسلنے سے روکتی ہے۔</v>
      </c>
      <c r="O111" s="5" t="str">
        <f>IFERROR(__xludf.DUMMYFUNCTION("GOOGLETRANSLATE(E111, ""en"", ""ur"")"),"ایڑی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112">
      <c r="A112" s="3">
        <v>111.0</v>
      </c>
      <c r="B112" s="4" t="s">
        <v>3162</v>
      </c>
      <c r="C112" s="4" t="s">
        <v>3253</v>
      </c>
      <c r="D112" s="4" t="s">
        <v>3254</v>
      </c>
      <c r="E112" s="4" t="s">
        <v>3165</v>
      </c>
      <c r="K112" s="5" t="str">
        <f>IFERROR(__xludf.DUMMYFUNCTION("GOOGLETRANSLATE(A112, ""en"", ""ur"")"),"111")</f>
        <v>111</v>
      </c>
      <c r="L112" s="5" t="str">
        <f>IFERROR(__xludf.DUMMYFUNCTION("GOOGLETRANSLATE(B112, ""en"", ""ur"")"),"""کلین رن"" کیا ہے؟")</f>
        <v>"کلین رن" کیا ہے؟</v>
      </c>
      <c r="M112" s="5" t="str">
        <f>IFERROR(__xludf.DUMMYFUNCTION("GOOGLETRANSLATE(C112, ""en"", ""ur"")"),"A) ایک مکمل پیگ کے ساتھ ایک دوڑ، B) بغیر کسی جرمانے یا فاؤل کے مکمل ہونے والی رن، C) ایک رن جہاں یونیفارم صاف رہے، D) بہت تیز دوڑ")</f>
        <v>A) ایک مکمل پیگ کے ساتھ ایک دوڑ، B) بغیر کسی جرمانے یا فاؤل کے مکمل ہونے والی رن، C) ایک رن جہاں یونیفارم صاف رہے، D) بہت تیز دوڑ</v>
      </c>
      <c r="N112" s="5" t="str">
        <f>IFERROR(__xludf.DUMMYFUNCTION("GOOGLETRANSLATE(D112, ""en"", ""ur"")"),"ب) ایک رن بغیر کسی جرمانے یا فاؤل کے مکمل ہوا۔")</f>
        <v>ب) ایک رن بغیر کسی جرمانے یا فاؤل کے مکمل ہوا۔</v>
      </c>
      <c r="O112" s="5" t="str">
        <f>IFERROR(__xludf.DUMMYFUNCTION("GOOGLETRANSLATE(E112, ""en"", ""ur"")"),"""کلین رن"" وہ ہوتا ہے جہاں سوار کوئی غلطی نہیں کرتا، جیسے غلط آغاز، وقت کی غلطی، یا اپنا ہتھیار گرانا۔")</f>
        <v>"کلین رن" وہ ہوتا ہے جہاں سوار کوئی غلطی نہیں کرتا، جیسے غلط آغاز، وقت کی غلطی، یا اپنا ہتھیار گرانا۔</v>
      </c>
    </row>
    <row r="113">
      <c r="A113" s="3">
        <v>112.0</v>
      </c>
      <c r="B113" s="4" t="s">
        <v>3255</v>
      </c>
      <c r="C113" s="4" t="s">
        <v>3192</v>
      </c>
      <c r="D113" s="4" t="s">
        <v>3193</v>
      </c>
      <c r="E113" s="4" t="s">
        <v>3194</v>
      </c>
      <c r="K113" s="5" t="str">
        <f>IFERROR(__xludf.DUMMYFUNCTION("GOOGLETRANSLATE(A113, ""en"", ""ur"")"),"112")</f>
        <v>112</v>
      </c>
      <c r="L113" s="5" t="str">
        <f>IFERROR(__xludf.DUMMYFUNCTION("GOOGLETRANSLATE(B113, ""en"", ""ur"")"),"سلو موشن ری پلے کیمرے کا مقصد کیا ہے؟")</f>
        <v>سلو موشن ری پلے کیمرے کا مقصد کیا ہے؟</v>
      </c>
      <c r="M113" s="5" t="str">
        <f>IFERROR(__xludf.DUMMYFUNCTION("GOOGLETRANSLATE(C113, ""en"", ""ur"")"),"A) ایونٹ کو ڈرامائی بنانے کے لئے، B) ججوں کو درست فیصلے کرنے میں مدد کرنے کے لئے، C) کوچوں کی مدد کرنے کے لئے، D) ہجوم کو تفریح ​​​​کرنے کے لئے")</f>
        <v>A) ایونٹ کو ڈرامائی بنانے کے لئے، B) ججوں کو درست فیصلے کرنے میں مدد کرنے کے لئے، C) کوچوں کی مدد کرنے کے لئے، D) ہجوم کو تفریح ​​​​کرنے کے لئے</v>
      </c>
      <c r="N113" s="5" t="str">
        <f>IFERROR(__xludf.DUMMYFUNCTION("GOOGLETRANSLATE(D113, ""en"", ""ur"")"),"ب) ججوں کو درست فیصلے کرنے میں مدد کرنا")</f>
        <v>ب) ججوں کو درست فیصلے کرنے میں مدد کرنا</v>
      </c>
      <c r="O113" s="5" t="str">
        <f>IFERROR(__xludf.DUMMYFUNCTION("GOOGLETRANSLATE(E113, ""en"", ""ur"")"),"قریبی کالوں اور احتجاج کا جائزہ لینے کے لیے سلو موشن ری پلے ایک اہم آفیشل ٹول ہے۔")</f>
        <v>قریبی کالوں اور احتجاج کا جائزہ لینے کے لیے سلو موشن ری پلے ایک اہم آفیشل ٹول ہے۔</v>
      </c>
    </row>
    <row r="114">
      <c r="A114" s="3">
        <v>113.0</v>
      </c>
      <c r="B114" s="4" t="s">
        <v>3170</v>
      </c>
      <c r="C114" s="4" t="s">
        <v>3171</v>
      </c>
      <c r="D114" s="4" t="s">
        <v>3172</v>
      </c>
      <c r="E114" s="4" t="s">
        <v>3173</v>
      </c>
      <c r="K114" s="5" t="str">
        <f>IFERROR(__xludf.DUMMYFUNCTION("GOOGLETRANSLATE(A114, ""en"", ""ur"")"),"113")</f>
        <v>113</v>
      </c>
      <c r="L114" s="5" t="str">
        <f>IFERROR(__xludf.DUMMYFUNCTION("GOOGLETRANSLATE(B114, ""en"", ""ur"")"),"سوار کے لیے ""نرم ہاتھ"" ہونے کا کیا مطلب ہے؟")</f>
        <v>سوار کے لیے "نرم ہاتھ" ہونے کا کیا مطلب ہے؟</v>
      </c>
      <c r="M114" s="5" t="str">
        <f>IFERROR(__xludf.DUMMYFUNCTION("GOOGLETRANSLATE(C114, ""en"", ""ur"")"),"A) ان کے ہاتھ کمزور ہیں، B) وہ ہلکے لگام کے اشارے سے گھوڑے کی رہنمائی کرتے ہیں، C) وہ نرم دستانے پہنتے ہیں، D) وہ ابتدائی ہیں")</f>
        <v>A) ان کے ہاتھ کمزور ہیں، B) وہ ہلکے لگام کے اشارے سے گھوڑے کی رہنمائی کرتے ہیں، C) وہ نرم دستانے پہنتے ہیں، D) وہ ابتدائی ہیں</v>
      </c>
      <c r="N114" s="5" t="str">
        <f>IFERROR(__xludf.DUMMYFUNCTION("GOOGLETRANSLATE(D114, ""en"", ""ur"")"),"ب) وہ ہلکے لگام کے اشاروں سے گھوڑے کی رہنمائی کرتے ہیں۔")</f>
        <v>ب) وہ ہلکے لگام کے اشاروں سے گھوڑے کی رہنمائی کرتے ہیں۔</v>
      </c>
      <c r="O114" s="5" t="str">
        <f>IFERROR(__xludf.DUMMYFUNCTION("GOOGLETRANSLATE(E114, ""en"", ""ur"")"),"""نرم ہاتھ"" ایک ماہر گھڑ سوار کو کہتے ہیں جو لطیف اشاروں کے ذریعے بات چیت کرتا ہے۔")</f>
        <v>"نرم ہاتھ" ایک ماہر گھڑ سوار کو کہتے ہیں جو لطیف اشاروں کے ذریعے بات چیت کرتا ہے۔</v>
      </c>
    </row>
    <row r="115">
      <c r="A115" s="3">
        <v>114.0</v>
      </c>
      <c r="B115" s="4" t="s">
        <v>3174</v>
      </c>
      <c r="C115" s="4" t="s">
        <v>3175</v>
      </c>
      <c r="D115" s="4" t="s">
        <v>3176</v>
      </c>
      <c r="E115" s="4" t="s">
        <v>3177</v>
      </c>
      <c r="K115" s="5" t="str">
        <f>IFERROR(__xludf.DUMMYFUNCTION("GOOGLETRANSLATE(A115, ""en"", ""ur"")"),"114")</f>
        <v>114</v>
      </c>
      <c r="L115" s="5" t="str">
        <f>IFERROR(__xludf.DUMMYFUNCTION("GOOGLETRANSLATE(B115, ""en"", ""ur"")"),"اگر کوئی سوار سورج کی روشنی کے بارے میں احتجاج کرے تو اس کا کیا حکم ہے؟")</f>
        <v>اگر کوئی سوار سورج کی روشنی کے بارے میں احتجاج کرے تو اس کا کیا حکم ہے؟</v>
      </c>
      <c r="M115" s="5" t="str">
        <f>IFERROR(__xludf.DUMMYFUNCTION("GOOGLETRANSLATE(C115, ""en"", ""ur"")"),"A) انہیں دوبارہ رن ملتا ہے، B) احتجاج کو مسترد کر دیا جاتا ہے، C) مقابلہ روک دیا جاتا ہے، D) انہیں جزوی پوائنٹس ملتے ہیں")</f>
        <v>A) انہیں دوبارہ رن ملتا ہے، B) احتجاج کو مسترد کر دیا جاتا ہے، C) مقابلہ روک دیا جاتا ہے، D) انہیں جزوی پوائنٹس ملتے ہیں</v>
      </c>
      <c r="N115" s="5" t="str">
        <f>IFERROR(__xludf.DUMMYFUNCTION("GOOGLETRANSLATE(D115, ""en"", ""ur"")"),"ب) احتجاج کو مسترد کر دیا جاتا ہے۔")</f>
        <v>ب) احتجاج کو مسترد کر دیا جاتا ہے۔</v>
      </c>
      <c r="O115" s="5" t="str">
        <f>IFERROR(__xludf.DUMMYFUNCTION("GOOGLETRANSLATE(E115, ""en"", ""ur"")"),"سورج کی چمک جیسے ماحولیاتی حالات کو کھیل کے چیلنج کا حصہ سمجھا جاتا ہے۔")</f>
        <v>سورج کی چمک جیسے ماحولیاتی حالات کو کھیل کے چیلنج کا حصہ سمجھا جاتا ہے۔</v>
      </c>
    </row>
    <row r="116">
      <c r="A116" s="3">
        <v>115.0</v>
      </c>
      <c r="B116" s="4" t="s">
        <v>3178</v>
      </c>
      <c r="C116" s="4" t="s">
        <v>3179</v>
      </c>
      <c r="D116" s="4" t="s">
        <v>3180</v>
      </c>
      <c r="E116" s="4" t="s">
        <v>3181</v>
      </c>
      <c r="K116" s="5" t="str">
        <f>IFERROR(__xludf.DUMMYFUNCTION("GOOGLETRANSLATE(A116, ""en"", ""ur"")"),"115")</f>
        <v>115</v>
      </c>
      <c r="L116" s="5" t="str">
        <f>IFERROR(__xludf.DUMMYFUNCTION("GOOGLETRANSLATE(B116, ""en"", ""ur"")"),"لانس اور نیزہ کے درمیان بنیادی فرق کیا ہے؟")</f>
        <v>لانس اور نیزہ کے درمیان بنیادی فرق کیا ہے؟</v>
      </c>
      <c r="M116" s="5" t="str">
        <f>IFERROR(__xludf.DUMMYFUNCTION("GOOGLETRANSLATE(C116, ""en"", ""ur"")"),"A) کوئی فرق نہیں، B) ایک لانس گھوڑے کی پیٹھ پر استعمال کے لئے ہے، C) ایک نیزہ لمبا ہے، D) ایک لانس دھات ہے")</f>
        <v>A) کوئی فرق نہیں، B) ایک لانس گھوڑے کی پیٹھ پر استعمال کے لئے ہے، C) ایک نیزہ لمبا ہے، D) ایک لانس دھات ہے</v>
      </c>
      <c r="N116" s="5" t="str">
        <f>IFERROR(__xludf.DUMMYFUNCTION("GOOGLETRANSLATE(D116, ""en"", ""ur"")"),"ب) ایک لانس گھوڑے کی پیٹھ پر استعمال کے لیے ہے۔")</f>
        <v>ب) ایک لانس گھوڑے کی پیٹھ پر استعمال کے لیے ہے۔</v>
      </c>
      <c r="O116" s="5" t="str">
        <f>IFERROR(__xludf.DUMMYFUNCTION("GOOGLETRANSLATE(E116, ""en"", ""ur"")"),"لانس ایک قسم کا نیزہ ہے جو خاص طور پر گھڑسواروں کے استعمال کے لیے ڈھال لیا جاتا ہے۔")</f>
        <v>لانس ایک قسم کا نیزہ ہے جو خاص طور پر گھڑسواروں کے استعمال کے لیے ڈھال لیا جاتا ہے۔</v>
      </c>
    </row>
    <row r="117">
      <c r="A117" s="3">
        <v>116.0</v>
      </c>
      <c r="B117" s="4" t="s">
        <v>3256</v>
      </c>
      <c r="C117" s="4" t="s">
        <v>3257</v>
      </c>
      <c r="D117" s="4" t="s">
        <v>361</v>
      </c>
      <c r="E117" s="4" t="s">
        <v>3258</v>
      </c>
      <c r="K117" s="5" t="str">
        <f>IFERROR(__xludf.DUMMYFUNCTION("GOOGLETRANSLATE(A117, ""en"", ""ur"")"),"116")</f>
        <v>116</v>
      </c>
      <c r="L117" s="5" t="str">
        <f>IFERROR(__xludf.DUMMYFUNCTION("GOOGLETRANSLATE(B117, ""en"", ""ur"")"),"گھوڑوں کے لیے ""غیر حساسیت کی تربیت"" کا بنیادی مقصد کیا ہے؟")</f>
        <v>گھوڑوں کے لیے "غیر حساسیت کی تربیت" کا بنیادی مقصد کیا ہے؟</v>
      </c>
      <c r="M117" s="5" t="str">
        <f>IFERROR(__xludf.DUMMYFUNCTION("GOOGLETRANSLATE(C117, ""en"", ""ur"")"),"A) سامعین کے شور اور اچانک حرکت کو نظر انداز کرنا، B) لانس تھرسٹس کو قبول کرنا، C) جھنڈوں کے خوف کو کم کرنا، D) مندرجہ بالا سبھی")</f>
        <v>A) سامعین کے شور اور اچانک حرکت کو نظر انداز کرنا، B) لانس تھرسٹس کو قبول کرنا، C) جھنڈوں کے خوف کو کم کرنا، D) مندرجہ بالا سبھی</v>
      </c>
      <c r="N117" s="5" t="str">
        <f>IFERROR(__xludf.DUMMYFUNCTION("GOOGLETRANSLATE(D117, ""en"", ""ur"")"),"D) مذکورہ بالا تمام")</f>
        <v>D) مذکورہ بالا تمام</v>
      </c>
      <c r="O117" s="5" t="str">
        <f>IFERROR(__xludf.DUMMYFUNCTION("GOOGLETRANSLATE(E117, ""en"", ""ur"")"),"محفوظ طریقے سے اور مؤثر طریقے سے کارکردگی کا مظاہرہ کرنے کے لیے گھوڑوں کو اونچی آواز میں، اچانک اور غیر معمولی مسابقتی محرکات کے باوجود پرسکون رہنا چاہیے۔")</f>
        <v>محفوظ طریقے سے اور مؤثر طریقے سے کارکردگی کا مظاہرہ کرنے کے لیے گھوڑوں کو اونچی آواز میں، اچانک اور غیر معمولی مسابقتی محرکات کے باوجود پرسکون رہنا چاہیے۔</v>
      </c>
    </row>
    <row r="118">
      <c r="A118" s="3">
        <v>117.0</v>
      </c>
      <c r="B118" s="4" t="s">
        <v>3259</v>
      </c>
      <c r="C118" s="4" t="s">
        <v>3260</v>
      </c>
      <c r="D118" s="4" t="s">
        <v>3261</v>
      </c>
      <c r="E118" s="4" t="s">
        <v>3262</v>
      </c>
      <c r="K118" s="5" t="str">
        <f>IFERROR(__xludf.DUMMYFUNCTION("GOOGLETRANSLATE(A118, ""en"", ""ur"")"),"117")</f>
        <v>117</v>
      </c>
      <c r="L118" s="5" t="str">
        <f>IFERROR(__xludf.DUMMYFUNCTION("GOOGLETRANSLATE(B118, ""en"", ""ur"")"),"کون سا نظم و ضبط سوار سے ہتھیاروں کو درمیانی دوڑ میں تبدیل کرنے کا مطالبہ کرتا ہے؟")</f>
        <v>کون سا نظم و ضبط سوار سے ہتھیاروں کو درمیانی دوڑ میں تبدیل کرنے کا مطالبہ کرتا ہے؟</v>
      </c>
      <c r="M118" s="5" t="str">
        <f>IFERROR(__xludf.DUMMYFUNCTION("GOOGLETRANSLATE(C118, ""en"", ""ur"")"),"A) لیموں کی کٹائی، B) ڈبل پیگنگ، C) تلوار اور لانس ایونٹ، D) ریلے پیگنگ")</f>
        <v>A) لیموں کی کٹائی، B) ڈبل پیگنگ، C) تلوار اور لانس ایونٹ، D) ریلے پیگنگ</v>
      </c>
      <c r="N118" s="5" t="str">
        <f>IFERROR(__xludf.DUMMYFUNCTION("GOOGLETRANSLATE(D118, ""en"", ""ur"")"),"C) تلوار اور لانس واقعہ")</f>
        <v>C) تلوار اور لانس واقعہ</v>
      </c>
      <c r="O118" s="5" t="str">
        <f>IFERROR(__xludf.DUMMYFUNCTION("GOOGLETRANSLATE(E118, ""en"", ""ur"")"),"یہ نایاب فارمیٹ دونوں ہتھیاروں کی مہارت کو ایک سرپٹ میں جانچتا ہے، جس میں سوار کو ایک سے دوسرے میں سوئچ کرنے کی ضرورت ہوتی ہے۔")</f>
        <v>یہ نایاب فارمیٹ دونوں ہتھیاروں کی مہارت کو ایک سرپٹ میں جانچتا ہے، جس میں سوار کو ایک سے دوسرے میں سوئچ کرنے کی ضرورت ہوتی ہے۔</v>
      </c>
    </row>
    <row r="119">
      <c r="A119" s="3">
        <v>118.0</v>
      </c>
      <c r="B119" s="4" t="s">
        <v>3263</v>
      </c>
      <c r="C119" s="4" t="s">
        <v>3264</v>
      </c>
      <c r="D119" s="4" t="s">
        <v>3265</v>
      </c>
      <c r="E119" s="4" t="s">
        <v>3266</v>
      </c>
      <c r="K119" s="5" t="str">
        <f>IFERROR(__xludf.DUMMYFUNCTION("GOOGLETRANSLATE(A119, ""en"", ""ur"")"),"118")</f>
        <v>118</v>
      </c>
      <c r="L119" s="5" t="str">
        <f>IFERROR(__xludf.DUMMYFUNCTION("GOOGLETRANSLATE(B119, ""en"", ""ur"")"),"اگر کھونٹی ماری جائے لیکن ڈھیلی مٹی کی وجہ سے اچھل جائے تو کیا حکم ہے؟")</f>
        <v>اگر کھونٹی ماری جائے لیکن ڈھیلی مٹی کی وجہ سے اچھل جائے تو کیا حکم ہے؟</v>
      </c>
      <c r="M119" s="5" t="str">
        <f>IFERROR(__xludf.DUMMYFUNCTION("GOOGLETRANSLATE(C119, ""en"", ""ur"")"),"A) مکمل پوائنٹس، B) نصف پوائنٹس، C) مارشل فیصلہ کرتا ہے، D) کوئی پوائنٹس نہیں۔")</f>
        <v>A) مکمل پوائنٹس، B) نصف پوائنٹس، C) مارشل فیصلہ کرتا ہے، D) کوئی پوائنٹس نہیں۔</v>
      </c>
      <c r="N119" s="5" t="str">
        <f>IFERROR(__xludf.DUMMYFUNCTION("GOOGLETRANSLATE(D119, ""en"", ""ur"")"),"A) مکمل پوائنٹس")</f>
        <v>A) مکمل پوائنٹس</v>
      </c>
      <c r="O119" s="5" t="str">
        <f>IFERROR(__xludf.DUMMYFUNCTION("GOOGLETRANSLATE(E119, ""en"", ""ur"")"),"مٹی کی حالت سے قطع نظر، زمین سے نکلنے والی کھونٹی کو ایک درست تنزلی کے طور پر شمار کیا جاتا ہے۔")</f>
        <v>مٹی کی حالت سے قطع نظر، زمین سے نکلنے والی کھونٹی کو ایک درست تنزلی کے طور پر شمار کیا جاتا ہے۔</v>
      </c>
    </row>
    <row r="120">
      <c r="A120" s="3">
        <v>119.0</v>
      </c>
      <c r="B120" s="4" t="s">
        <v>3267</v>
      </c>
      <c r="C120" s="4" t="s">
        <v>3268</v>
      </c>
      <c r="D120" s="4" t="s">
        <v>3269</v>
      </c>
      <c r="E120" s="4" t="s">
        <v>3270</v>
      </c>
      <c r="K120" s="5" t="str">
        <f>IFERROR(__xludf.DUMMYFUNCTION("GOOGLETRANSLATE(A120, ""en"", ""ur"")"),"119")</f>
        <v>119</v>
      </c>
      <c r="L120" s="5" t="str">
        <f>IFERROR(__xludf.DUMMYFUNCTION("GOOGLETRANSLATE(B120, ""en"", ""ur"")"),"ابتدائی مشقوں میں گھوڑوں کو اکثر سیڈلز کے بغیر کیوں تربیت دی جاتی ہے؟")</f>
        <v>ابتدائی مشقوں میں گھوڑوں کو اکثر سیڈلز کے بغیر کیوں تربیت دی جاتی ہے؟</v>
      </c>
      <c r="M120" s="5" t="str">
        <f>IFERROR(__xludf.DUMMYFUNCTION("GOOGLETRANSLATE(C120, ""en"", ""ur"")"),"A) سواروں کو سخت کرنے کے لئے، B) سوار کے بنیادی توازن اور ٹانگوں کی گرفت کو بہتر بنانے کے لئے، C) سیڈل کو پہنچنے والے نقصان کو روکنے کے لئے، D) گھوڑے کی صلاحیت کو بڑھانے کے لئے")</f>
        <v>A) سواروں کو سخت کرنے کے لئے، B) سوار کے بنیادی توازن اور ٹانگوں کی گرفت کو بہتر بنانے کے لئے، C) سیڈل کو پہنچنے والے نقصان کو روکنے کے لئے، D) گھوڑے کی صلاحیت کو بڑھانے کے لئے</v>
      </c>
      <c r="N120" s="5" t="str">
        <f>IFERROR(__xludf.DUMMYFUNCTION("GOOGLETRANSLATE(D120, ""en"", ""ur"")"),"ب) سوار کے بنیادی توازن اور ٹانگوں کی گرفت کو بہتر بنانا")</f>
        <v>ب) سوار کے بنیادی توازن اور ٹانگوں کی گرفت کو بہتر بنانا</v>
      </c>
      <c r="O120" s="5" t="str">
        <f>IFERROR(__xludf.DUMMYFUNCTION("GOOGLETRANSLATE(E120, ""en"", ""ur"")"),"بیئر بیک ٹریننگ گھڑ سواری کی ایک بنیادی مشق ہے جو کاٹھی استعمال کرنے سے پہلے سوار کے توازن اور استحکام کو بڑھاتی ہے۔")</f>
        <v>بیئر بیک ٹریننگ گھڑ سواری کی ایک بنیادی مشق ہے جو کاٹھی استعمال کرنے سے پہلے سوار کے توازن اور استحکام کو بڑھاتی ہے۔</v>
      </c>
    </row>
    <row r="121">
      <c r="A121" s="3">
        <v>120.0</v>
      </c>
      <c r="B121" s="4" t="s">
        <v>3271</v>
      </c>
      <c r="C121" s="4" t="s">
        <v>3272</v>
      </c>
      <c r="D121" s="4" t="s">
        <v>3273</v>
      </c>
      <c r="E121" s="4" t="s">
        <v>3274</v>
      </c>
      <c r="K121" s="5" t="str">
        <f>IFERROR(__xludf.DUMMYFUNCTION("GOOGLETRANSLATE(A121, ""en"", ""ur"")"),"120")</f>
        <v>120</v>
      </c>
      <c r="L121" s="5" t="str">
        <f>IFERROR(__xludf.DUMMYFUNCTION("GOOGLETRANSLATE(B121, ""en"", ""ur"")"),"اگر کوئی سوار مقررہ وقت سے کم دوڑ لے لیکن پیگ چھوٹ جائے تو اس کا کیا حکم ہے؟")</f>
        <v>اگر کوئی سوار مقررہ وقت سے کم دوڑ لے لیکن پیگ چھوٹ جائے تو اس کا کیا حکم ہے؟</v>
      </c>
      <c r="M121" s="5" t="str">
        <f>IFERROR(__xludf.DUMMYFUNCTION("GOOGLETRANSLATE(C121, ""en"", ""ur"")"),"A) بونس ٹائم پوائنٹس، B) کوئی پوائنٹ نہیں ملے، C) 2 پوائنٹ کی کٹوتی، D) وارننگ جاری کی جاتی ہے")</f>
        <v>A) بونس ٹائم پوائنٹس، B) کوئی پوائنٹ نہیں ملے، C) 2 پوائنٹ کی کٹوتی، D) وارننگ جاری کی جاتی ہے</v>
      </c>
      <c r="N121" s="5" t="str">
        <f>IFERROR(__xludf.DUMMYFUNCTION("GOOGLETRANSLATE(D121, ""en"", ""ur"")"),"ب) کوئی پوائنٹس نہیں بنائے جاتے")</f>
        <v>ب) کوئی پوائنٹس نہیں بنائے جاتے</v>
      </c>
      <c r="O121" s="5" t="str">
        <f>IFERROR(__xludf.DUMMYFUNCTION("GOOGLETRANSLATE(E121, ""en"", ""ur"")"),"ٹینٹ پیگنگ میں درستگی کے بغیر رفتار کا کوئی اجر نہیں ہے۔ بنیادی مقصد ہدف کو نشانہ بنانا ہے۔")</f>
        <v>ٹینٹ پیگنگ میں درستگی کے بغیر رفتار کا کوئی اجر نہیں ہے۔ بنیادی مقصد ہدف کو نشانہ بنانا ہے۔</v>
      </c>
    </row>
    <row r="122">
      <c r="A122" s="3">
        <v>121.0</v>
      </c>
      <c r="B122" s="4" t="s">
        <v>3275</v>
      </c>
      <c r="C122" s="4" t="s">
        <v>3276</v>
      </c>
      <c r="D122" s="4" t="s">
        <v>3277</v>
      </c>
      <c r="E122" s="4" t="s">
        <v>3278</v>
      </c>
      <c r="K122" s="5" t="str">
        <f>IFERROR(__xludf.DUMMYFUNCTION("GOOGLETRANSLATE(A122, ""en"", ""ur"")"),"121")</f>
        <v>121</v>
      </c>
      <c r="L122" s="5" t="str">
        <f>IFERROR(__xludf.DUMMYFUNCTION("GOOGLETRANSLATE(B122, ""en"", ""ur"")"),"کس ملک نے ""انٹرنیشنل ریلے پیگنگ"" کو ایک مشہور شوکیس کھیل کے طور پر متعارف کرایا؟")</f>
        <v>کس ملک نے "انٹرنیشنل ریلے پیگنگ" کو ایک مشہور شوکیس کھیل کے طور پر متعارف کرایا؟</v>
      </c>
      <c r="M122" s="5" t="str">
        <f>IFERROR(__xludf.DUMMYFUNCTION("GOOGLETRANSLATE(C122, ""en"", ""ur"")"),"A) UAE، B) عمان، C) پاکستان، D) آسٹریلیا")</f>
        <v>A) UAE، B) عمان، C) پاکستان، D) آسٹریلیا</v>
      </c>
      <c r="N122" s="5" t="str">
        <f>IFERROR(__xludf.DUMMYFUNCTION("GOOGLETRANSLATE(D122, ""en"", ""ur"")"),"ڈی) آسٹریلیا")</f>
        <v>ڈی) آسٹریلیا</v>
      </c>
      <c r="O122" s="5" t="str">
        <f>IFERROR(__xludf.DUMMYFUNCTION("GOOGLETRANSLATE(E122, ""en"", ""ur"")"),"آسٹریلیا بین الاقوامی نمائشوں میں تیز رفتار اور تماشائیوں کے لیے دوستانہ ریلے پیگنگ فارمیٹ کا کلیدی پروموٹر رہا ہے۔")</f>
        <v>آسٹریلیا بین الاقوامی نمائشوں میں تیز رفتار اور تماشائیوں کے لیے دوستانہ ریلے پیگنگ فارمیٹ کا کلیدی پروموٹر رہا ہے۔</v>
      </c>
    </row>
    <row r="123">
      <c r="A123" s="3">
        <v>122.0</v>
      </c>
      <c r="B123" s="4" t="s">
        <v>3279</v>
      </c>
      <c r="C123" s="4" t="s">
        <v>3280</v>
      </c>
      <c r="D123" s="4" t="s">
        <v>3281</v>
      </c>
      <c r="E123" s="4" t="s">
        <v>3282</v>
      </c>
      <c r="K123" s="5" t="str">
        <f>IFERROR(__xludf.DUMMYFUNCTION("GOOGLETRANSLATE(A123, ""en"", ""ur"")"),"122")</f>
        <v>122</v>
      </c>
      <c r="L123" s="5" t="str">
        <f>IFERROR(__xludf.DUMMYFUNCTION("GOOGLETRANSLATE(B123, ""en"", ""ur"")"),"مقابلوں میں لانس کبھی بھی مکمل طور پر دھات سے کیوں نہیں بنتے؟")</f>
        <v>مقابلوں میں لانس کبھی بھی مکمل طور پر دھات سے کیوں نہیں بنتے؟</v>
      </c>
      <c r="M123" s="5" t="str">
        <f>IFERROR(__xludf.DUMMYFUNCTION("GOOGLETRANSLATE(C123, ""en"", ""ur"")"),"A) وہ بہت زیادہ بھاری ہوں گے، B) دھات کا ٹوٹا ہوا لانس خطرناک تیز دھار پیدا کرے گا، C) وہ بہت مہنگے ہیں، D) یہ روایتی مواد نہیں ہے۔")</f>
        <v>A) وہ بہت زیادہ بھاری ہوں گے، B) دھات کا ٹوٹا ہوا لانس خطرناک تیز دھار پیدا کرے گا، C) وہ بہت مہنگے ہیں، D) یہ روایتی مواد نہیں ہے۔</v>
      </c>
      <c r="N123" s="5" t="str">
        <f>IFERROR(__xludf.DUMMYFUNCTION("GOOGLETRANSLATE(D123, ""en"", ""ur"")"),"ب) ایک ٹوٹا ہوا دھاتی لانس خطرناک تیز دھار پیدا کرے گا۔")</f>
        <v>ب) ایک ٹوٹا ہوا دھاتی لانس خطرناک تیز دھار پیدا کرے گا۔</v>
      </c>
      <c r="O123" s="5" t="str">
        <f>IFERROR(__xludf.DUMMYFUNCTION("GOOGLETRANSLATE(E123, ""en"", ""ur"")"),"لکڑی یا فائبر گلاس کے چھلکوں کے مقابلے میں دھاتی شارڈز ایک اہم خطرہ ہیں، جو انہیں کھیل کے لیے غیر محفوظ بناتے ہیں۔")</f>
        <v>لکڑی یا فائبر گلاس کے چھلکوں کے مقابلے میں دھاتی شارڈز ایک اہم خطرہ ہیں، جو انہیں کھیل کے لیے غیر محفوظ بناتے ہیں۔</v>
      </c>
    </row>
    <row r="124">
      <c r="A124" s="3">
        <v>123.0</v>
      </c>
      <c r="B124" s="4" t="s">
        <v>3283</v>
      </c>
      <c r="C124" s="4" t="s">
        <v>3284</v>
      </c>
      <c r="D124" s="4" t="s">
        <v>3285</v>
      </c>
      <c r="E124" s="4" t="s">
        <v>3286</v>
      </c>
      <c r="K124" s="5" t="str">
        <f>IFERROR(__xludf.DUMMYFUNCTION("GOOGLETRANSLATE(A124, ""en"", ""ur"")"),"123")</f>
        <v>123</v>
      </c>
      <c r="L124" s="5" t="str">
        <f>IFERROR(__xludf.DUMMYFUNCTION("GOOGLETRANSLATE(B124, ""en"", ""ur"")"),"کون سا گھڑ سواری واقعہ ٹینٹ پیگنگ کے ساتھ مہارت کے سیٹ میں قریب ترین مماثلت رکھتا ہے؟")</f>
        <v>کون سا گھڑ سواری واقعہ ٹینٹ پیگنگ کے ساتھ مہارت کے سیٹ میں قریب ترین مماثلت رکھتا ہے؟</v>
      </c>
      <c r="M124" s="5" t="str">
        <f>IFERROR(__xludf.DUMMYFUNCTION("GOOGLETRANSLATE(C124, ""en"", ""ur"")"),"A) Jousting، B) پولو، C) نصب تیر اندازی، D) ڈریسج")</f>
        <v>A) Jousting، B) پولو، C) نصب تیر اندازی، D) ڈریسج</v>
      </c>
      <c r="N124" s="5" t="str">
        <f>IFERROR(__xludf.DUMMYFUNCTION("GOOGLETRANSLATE(D124, ""en"", ""ur"")"),"C) نصب تیر اندازی")</f>
        <v>C) نصب تیر اندازی</v>
      </c>
      <c r="O124" s="5" t="str">
        <f>IFERROR(__xludf.DUMMYFUNCTION("GOOGLETRANSLATE(E124, ""en"", ""ur"")"),"ٹینٹ پیگنگ اور ماؤنٹڈ آرچری دونوں میں سوار کو ہتھیاروں پر مبنی ایکشن کو انجام دیتے ہوئے اپنی ٹانگوں سے رفتار سے گھوڑے کو کنٹرول کرنے کی ضرورت ہوتی ہے۔")</f>
        <v>ٹینٹ پیگنگ اور ماؤنٹڈ آرچری دونوں میں سوار کو ہتھیاروں پر مبنی ایکشن کو انجام دیتے ہوئے اپنی ٹانگوں سے رفتار سے گھوڑے کو کنٹرول کرنے کی ضرورت ہوتی ہے۔</v>
      </c>
    </row>
    <row r="125">
      <c r="A125" s="3">
        <v>124.0</v>
      </c>
      <c r="B125" s="4" t="s">
        <v>3287</v>
      </c>
      <c r="C125" s="4" t="s">
        <v>3288</v>
      </c>
      <c r="D125" s="4" t="s">
        <v>3289</v>
      </c>
      <c r="E125" s="4" t="s">
        <v>3290</v>
      </c>
      <c r="K125" s="5" t="str">
        <f>IFERROR(__xludf.DUMMYFUNCTION("GOOGLETRANSLATE(A125, ""en"", ""ur"")"),"124")</f>
        <v>124</v>
      </c>
      <c r="L125" s="5" t="str">
        <f>IFERROR(__xludf.DUMMYFUNCTION("GOOGLETRANSLATE(B125, ""en"", ""ur"")"),"ایک ""رنگ پیگنگ"" رن میں زیادہ سے زیادہ کتنی تعداد میں معطلی کی اجازت ہے؟")</f>
        <v>ایک "رنگ پیگنگ" رن میں زیادہ سے زیادہ کتنی تعداد میں معطلی کی اجازت ہے؟</v>
      </c>
      <c r="M125" s="5" t="str">
        <f>IFERROR(__xludf.DUMMYFUNCTION("GOOGLETRANSLATE(C125, ""en"", ""ur"")"),"A) 1، B) 2، C) 3، D) 4")</f>
        <v>A) 1، B) 2، C) 3، D) 4</v>
      </c>
      <c r="N125" s="5" t="str">
        <f>IFERROR(__xludf.DUMMYFUNCTION("GOOGLETRANSLATE(D125, ""en"", ""ur"")"),"ب) 2")</f>
        <v>ب) 2</v>
      </c>
      <c r="O125" s="5" t="str">
        <f>IFERROR(__xludf.DUMMYFUNCTION("GOOGLETRANSLATE(E125, ""en"", ""ur"")"),"ضابطے عام طور پر ایک ہی رن میں زیادہ سے زیادہ دو انگوٹھیوں کو جمع کرنے کی اجازت دیتے ہیں، درستگی اور رفتار دونوں کی جانچ کرتے ہیں۔")</f>
        <v>ضابطے عام طور پر ایک ہی رن میں زیادہ سے زیادہ دو انگوٹھیوں کو جمع کرنے کی اجازت دیتے ہیں، درستگی اور رفتار دونوں کی جانچ کرتے ہیں۔</v>
      </c>
    </row>
    <row r="126">
      <c r="A126" s="3">
        <v>125.0</v>
      </c>
      <c r="B126" s="4" t="s">
        <v>3291</v>
      </c>
      <c r="C126" s="4" t="s">
        <v>3292</v>
      </c>
      <c r="D126" s="4" t="s">
        <v>361</v>
      </c>
      <c r="E126" s="4" t="s">
        <v>3293</v>
      </c>
      <c r="K126" s="5" t="str">
        <f>IFERROR(__xludf.DUMMYFUNCTION("GOOGLETRANSLATE(A126, ""en"", ""ur"")"),"125")</f>
        <v>125</v>
      </c>
      <c r="L126" s="5" t="str">
        <f>IFERROR(__xludf.DUMMYFUNCTION("GOOGLETRANSLATE(B126, ""en"", ""ur"")"),"ابتدائی سگنل کے اہم ہونے کی بنیادی وجہ کیا ہے؟")</f>
        <v>ابتدائی سگنل کے اہم ہونے کی بنیادی وجہ کیا ہے؟</v>
      </c>
      <c r="M126" s="5" t="str">
        <f>IFERROR(__xludf.DUMMYFUNCTION("GOOGLETRANSLATE(C126, ""en"", ""ur"")"),"A) ٹیم ایونٹس کے لیے سواروں کو سنکرونائز کرنے کے لیے، B) جلد شروع ہونے والے تنازعات کو روکنے کے لیے، C) تمام حریفوں کے لیے منصفانہ اور مستقل وقت کو یقینی بنانے کے لیے، D) مندرجہ بالا سبھی")</f>
        <v>A) ٹیم ایونٹس کے لیے سواروں کو سنکرونائز کرنے کے لیے، B) جلد شروع ہونے والے تنازعات کو روکنے کے لیے، C) تمام حریفوں کے لیے منصفانہ اور مستقل وقت کو یقینی بنانے کے لیے، D) مندرجہ بالا سبھی</v>
      </c>
      <c r="N126" s="5" t="str">
        <f>IFERROR(__xludf.DUMMYFUNCTION("GOOGLETRANSLATE(D126, ""en"", ""ur"")"),"D) مذکورہ بالا تمام")</f>
        <v>D) مذکورہ بالا تمام</v>
      </c>
      <c r="O126" s="5" t="str">
        <f>IFERROR(__xludf.DUMMYFUNCTION("GOOGLETRANSLATE(E126, ""en"", ""ur"")"),"ایک واضح اور مستقل آغاز کا اشارہ مقابلہ کی منصفانہ، وقت اور تنظیم کے لیے بنیادی ہے۔")</f>
        <v>ایک واضح اور مستقل آغاز کا اشارہ مقابلہ کی منصفانہ، وقت اور تنظیم کے لیے بنیادی ہے۔</v>
      </c>
    </row>
    <row r="127">
      <c r="A127" s="3">
        <v>126.0</v>
      </c>
      <c r="B127" s="4" t="s">
        <v>3294</v>
      </c>
      <c r="C127" s="4" t="s">
        <v>3295</v>
      </c>
      <c r="D127" s="4" t="s">
        <v>3296</v>
      </c>
      <c r="E127" s="4" t="s">
        <v>3297</v>
      </c>
      <c r="K127" s="5" t="str">
        <f>IFERROR(__xludf.DUMMYFUNCTION("GOOGLETRANSLATE(A127, ""en"", ""ur"")"),"126")</f>
        <v>126</v>
      </c>
      <c r="L127" s="5" t="str">
        <f>IFERROR(__xludf.DUMMYFUNCTION("GOOGLETRANSLATE(B127, ""en"", ""ur"")"),"مختصر ٹینٹ پیگنگ ٹریک کے لیے گھوڑوں کی کون سی نسل بہترین سرعت رکھتی ہے؟")</f>
        <v>مختصر ٹینٹ پیگنگ ٹریک کے لیے گھوڑوں کی کون سی نسل بہترین سرعت رکھتی ہے؟</v>
      </c>
      <c r="M127" s="5" t="str">
        <f>IFERROR(__xludf.DUMMYFUNCTION("GOOGLETRANSLATE(C127, ""en"", ""ur"")"),"A) عربی، B) مارواڑی، C) اچھی نسل، D) کاٹھیاواڑی۔")</f>
        <v>A) عربی، B) مارواڑی، C) اچھی نسل، D) کاٹھیاواڑی۔</v>
      </c>
      <c r="N127" s="5" t="str">
        <f>IFERROR(__xludf.DUMMYFUNCTION("GOOGLETRANSLATE(D127, ""en"", ""ur"")"),"ج) اچھی نسل والا")</f>
        <v>ج) اچھی نسل والا</v>
      </c>
      <c r="O127" s="5" t="str">
        <f>IFERROR(__xludf.DUMMYFUNCTION("GOOGLETRANSLATE(E127, ""en"", ""ur"")"),"Thoroughbreds ان کی دھماکہ خیز سپرنٹ کی رفتار کے لیے مشہور ہیں، جو انہیں مختصر، وقتی ٹریک کے لیے بہترین بناتے ہیں۔")</f>
        <v>Thoroughbreds ان کی دھماکہ خیز سپرنٹ کی رفتار کے لیے مشہور ہیں، جو انہیں مختصر، وقتی ٹریک کے لیے بہترین بناتے ہیں۔</v>
      </c>
    </row>
    <row r="128">
      <c r="A128" s="3">
        <v>127.0</v>
      </c>
      <c r="B128" s="4" t="s">
        <v>3298</v>
      </c>
      <c r="C128" s="4" t="s">
        <v>3299</v>
      </c>
      <c r="D128" s="4" t="s">
        <v>3300</v>
      </c>
      <c r="E128" s="4" t="s">
        <v>3301</v>
      </c>
      <c r="K128" s="5" t="str">
        <f>IFERROR(__xludf.DUMMYFUNCTION("GOOGLETRANSLATE(A128, ""en"", ""ur"")"),"127")</f>
        <v>127</v>
      </c>
      <c r="L128" s="5" t="str">
        <f>IFERROR(__xludf.DUMMYFUNCTION("GOOGLETRANSLATE(B128, ""en"", ""ur"")"),"ہر رن مکمل ہونے کے فوراً بعد جج کا کیا کردار ہوتا ہے؟")</f>
        <v>ہر رن مکمل ہونے کے فوراً بعد جج کا کیا کردار ہوتا ہے؟</v>
      </c>
      <c r="M128" s="5" t="str">
        <f>IFERROR(__xludf.DUMMYFUNCTION("GOOGLETRANSLATE(C128, ""en"", ""ur"")"),"A) لانس کی لمبائی کی پیمائش کرنے کے لئے، B) مٹی کی گہرائی کا معائنہ کرنے کے لئے، C) اس دوڑ کے لئے بنائے گئے پوائنٹس کو واضح طور پر اشارہ کرنے کے لئے، D) اس بات کو یقینی بنانے کے لئے کہ گھوڑا محفوظ طریقے سے ٹریک سے باہر نکل جائے")</f>
        <v>A) لانس کی لمبائی کی پیمائش کرنے کے لئے، B) مٹی کی گہرائی کا معائنہ کرنے کے لئے، C) اس دوڑ کے لئے بنائے گئے پوائنٹس کو واضح طور پر اشارہ کرنے کے لئے، D) اس بات کو یقینی بنانے کے لئے کہ گھوڑا محفوظ طریقے سے ٹریک سے باہر نکل جائے</v>
      </c>
      <c r="N128" s="5" t="str">
        <f>IFERROR(__xludf.DUMMYFUNCTION("GOOGLETRANSLATE(D128, ""en"", ""ur"")"),"ج) اس رن کے لیے بنائے گئے پوائنٹس کو واضح طور پر بتانا")</f>
        <v>ج) اس رن کے لیے بنائے گئے پوائنٹس کو واضح طور پر بتانا</v>
      </c>
      <c r="O128" s="5" t="str">
        <f>IFERROR(__xludf.DUMMYFUNCTION("GOOGLETRANSLATE(E128, ""en"", ""ur"")"),"ججوں کو ایونٹ کے بہاؤ کو برقرار رکھنے کے لیے اسکور کرنے والوں اور سامعین کو نتیجہ (جیسے جھنڈوں کے ساتھ) کو فوری اور واضح طور پر اشارہ کرنا چاہیے۔")</f>
        <v>ججوں کو ایونٹ کے بہاؤ کو برقرار رکھنے کے لیے اسکور کرنے والوں اور سامعین کو نتیجہ (جیسے جھنڈوں کے ساتھ) کو فوری اور واضح طور پر اشارہ کرنا چاہیے۔</v>
      </c>
    </row>
    <row r="129">
      <c r="A129" s="3">
        <v>128.0</v>
      </c>
      <c r="B129" s="4" t="s">
        <v>3302</v>
      </c>
      <c r="C129" s="4" t="s">
        <v>3303</v>
      </c>
      <c r="D129" s="4" t="s">
        <v>3304</v>
      </c>
      <c r="E129" s="4" t="s">
        <v>3305</v>
      </c>
      <c r="K129" s="5" t="str">
        <f>IFERROR(__xludf.DUMMYFUNCTION("GOOGLETRANSLATE(A129, ""en"", ""ur"")"),"128")</f>
        <v>128</v>
      </c>
      <c r="L129" s="5" t="str">
        <f>IFERROR(__xludf.DUMMYFUNCTION("GOOGLETRANSLATE(B129, ""en"", ""ur"")"),"ایک سوار کے پاس بہترین قلبی فٹنس ہونے کی بنیادی وجہ کیا ہے؟")</f>
        <v>ایک سوار کے پاس بہترین قلبی فٹنس ہونے کی بنیادی وجہ کیا ہے؟</v>
      </c>
      <c r="M129" s="5" t="str">
        <f>IFERROR(__xludf.DUMMYFUNCTION("GOOGLETRANSLATE(C129, ""en"", ""ur"")"),"A) گھوڑے نہ ہونے کی صورت میں دوڑنا، B) طاقتور عمل کرتے ہوئے تیز رفتاری سے گھوڑے کو کنٹرول کرنے کی جسمانی مشقت کو برداشت کرنا، C) دیر تک سانس روکنا، D) یہ اہم نہیں ہے۔")</f>
        <v>A) گھوڑے نہ ہونے کی صورت میں دوڑنا، B) طاقتور عمل کرتے ہوئے تیز رفتاری سے گھوڑے کو کنٹرول کرنے کی جسمانی مشقت کو برداشت کرنا، C) دیر تک سانس روکنا، D) یہ اہم نہیں ہے۔</v>
      </c>
      <c r="N129" s="5" t="str">
        <f>IFERROR(__xludf.DUMMYFUNCTION("GOOGLETRANSLATE(D129, ""en"", ""ur"")"),"ب) ایک طاقتور کارروائی کرتے ہوئے رفتار سے گھوڑے کو کنٹرول کرنے کی جسمانی مشقت کو برداشت کرنا")</f>
        <v>ب) ایک طاقتور کارروائی کرتے ہوئے رفتار سے گھوڑے کو کنٹرول کرنے کی جسمانی مشقت کو برداشت کرنا</v>
      </c>
      <c r="O129" s="5" t="str">
        <f>IFERROR(__xludf.DUMMYFUNCTION("GOOGLETRANSLATE(E129, ""en"", ""ur"")"),"ٹینٹ پیگنگ ایک شدید جسمانی کھیل ہے جس میں کنٹرول اور درستگی کو برقرار رکھنے کے لیے سوار سے اعلیٰ سطح کی فٹنس کی ضرورت ہوتی ہے۔")</f>
        <v>ٹینٹ پیگنگ ایک شدید جسمانی کھیل ہے جس میں کنٹرول اور درستگی کو برقرار رکھنے کے لیے سوار سے اعلیٰ سطح کی فٹنس کی ضرورت ہوتی ہے۔</v>
      </c>
    </row>
    <row r="130">
      <c r="A130" s="3">
        <v>129.0</v>
      </c>
      <c r="B130" s="4" t="s">
        <v>3306</v>
      </c>
      <c r="C130" s="4" t="s">
        <v>3307</v>
      </c>
      <c r="D130" s="4" t="s">
        <v>3308</v>
      </c>
      <c r="E130" s="4" t="s">
        <v>3309</v>
      </c>
      <c r="K130" s="5" t="str">
        <f>IFERROR(__xludf.DUMMYFUNCTION("GOOGLETRANSLATE(A130, ""en"", ""ur"")"),"129")</f>
        <v>129</v>
      </c>
      <c r="L130" s="5" t="str">
        <f>IFERROR(__xludf.DUMMYFUNCTION("GOOGLETRANSLATE(B130, ""en"", ""ur"")"),"جس ٹیم کے ممبران میچنگ یونیفارم نہیں پہنے ہوئے ہیں اس کے لیے کیا سزا ہے؟")</f>
        <v>جس ٹیم کے ممبران میچنگ یونیفارم نہیں پہنے ہوئے ہیں اس کے لیے کیا سزا ہے؟</v>
      </c>
      <c r="M130" s="5" t="str">
        <f>IFERROR(__xludf.DUMMYFUNCTION("GOOGLETRANSLATE(C130, ""en"", ""ur"")"),"A) انہیں مقابلہ کرنے کی اجازت نہیں ہے، B) ایک پوائنٹ کی کٹوتی، C) جرمانہ عائد کیا جاتا ہے، D) ایک زبانی انتباہ دیا جاتا ہے")</f>
        <v>A) انہیں مقابلہ کرنے کی اجازت نہیں ہے، B) ایک پوائنٹ کی کٹوتی، C) جرمانہ عائد کیا جاتا ہے، D) ایک زبانی انتباہ دیا جاتا ہے</v>
      </c>
      <c r="N130" s="5" t="str">
        <f>IFERROR(__xludf.DUMMYFUNCTION("GOOGLETRANSLATE(D130, ""en"", ""ur"")"),"ا) انہیں مقابلہ کرنے کی اجازت نہیں ہے۔")</f>
        <v>ا) انہیں مقابلہ کرنے کی اجازت نہیں ہے۔</v>
      </c>
      <c r="O130" s="5" t="str">
        <f>IFERROR(__xludf.DUMMYFUNCTION("GOOGLETRANSLATE(E130, ""en"", ""ur"")"),"باضابطہ ٹیم ایونٹس میں، پیشہ ورانہ اور منظم ظاہری شکل کو یقینی بنانے کے لیے شرکت کے لیے مماثل لباس ضروری ہے۔")</f>
        <v>باضابطہ ٹیم ایونٹس میں، پیشہ ورانہ اور منظم ظاہری شکل کو یقینی بنانے کے لیے شرکت کے لیے مماثل لباس ضروری ہے۔</v>
      </c>
    </row>
    <row r="131">
      <c r="A131" s="3">
        <v>130.0</v>
      </c>
      <c r="B131" s="4" t="s">
        <v>3310</v>
      </c>
      <c r="C131" s="4" t="s">
        <v>3311</v>
      </c>
      <c r="D131" s="4" t="s">
        <v>3312</v>
      </c>
      <c r="E131" s="4" t="s">
        <v>3313</v>
      </c>
      <c r="K131" s="5" t="str">
        <f>IFERROR(__xludf.DUMMYFUNCTION("GOOGLETRANSLATE(A131, ""en"", ""ur"")"),"130")</f>
        <v>130</v>
      </c>
      <c r="L131" s="5" t="str">
        <f>IFERROR(__xludf.DUMMYFUNCTION("GOOGLETRANSLATE(B131, ""en"", ""ur"")"),"2013 میں آئی ٹی پی ایف ورلڈ کپ کس ملک میں ہوا؟")</f>
        <v>2013 میں آئی ٹی پی ایف ورلڈ کپ کس ملک میں ہوا؟</v>
      </c>
      <c r="M131" s="5" t="str">
        <f>IFERROR(__xludf.DUMMYFUNCTION("GOOGLETRANSLATE(C131, ""en"", ""ur"")"),"A) پاکستان، B) بھارت، C) عمان، D) جنوبی افریقہ")</f>
        <v>A) پاکستان، B) بھارت، C) عمان، D) جنوبی افریقہ</v>
      </c>
      <c r="N131" s="5" t="str">
        <f>IFERROR(__xludf.DUMMYFUNCTION("GOOGLETRANSLATE(D131, ""en"", ""ur"")"),"ڈی) جنوبی افریقہ")</f>
        <v>ڈی) جنوبی افریقہ</v>
      </c>
      <c r="O131" s="5" t="str">
        <f>IFERROR(__xludf.DUMMYFUNCTION("GOOGLETRANSLATE(E131, ""en"", ""ur"")"),"افتتاحی ITPF ورلڈ کپ، کھیل کی جدید کاری میں ایک اہم قدم، پریٹوریا، جنوبی افریقہ میں منعقد ہوا۔")</f>
        <v>افتتاحی ITPF ورلڈ کپ، کھیل کی جدید کاری میں ایک اہم قدم، پریٹوریا، جنوبی افریقہ میں منعقد ہوا۔</v>
      </c>
    </row>
    <row r="132">
      <c r="A132" s="3">
        <v>131.0</v>
      </c>
      <c r="B132" s="4" t="s">
        <v>1633</v>
      </c>
      <c r="C132" s="4" t="s">
        <v>3314</v>
      </c>
      <c r="D132" s="4" t="s">
        <v>3315</v>
      </c>
      <c r="E132" s="4" t="s">
        <v>1636</v>
      </c>
      <c r="K132" s="5" t="str">
        <f>IFERROR(__xludf.DUMMYFUNCTION("GOOGLETRANSLATE(A132, ""en"", ""ur"")"),"131")</f>
        <v>131</v>
      </c>
      <c r="L132" s="5" t="str">
        <f>IFERROR(__xludf.DUMMYFUNCTION("GOOGLETRANSLATE(B132, ""en"", ""ur"")"),"چابک سے نہ ڈرنے کے لیے گھوڑے کو تربیت دینا کیوں ضروری ہے؟")</f>
        <v>چابک سے نہ ڈرنے کے لیے گھوڑے کو تربیت دینا کیوں ضروری ہے؟</v>
      </c>
      <c r="M132" s="5" t="str">
        <f>IFERROR(__xludf.DUMMYFUNCTION("GOOGLETRANSLATE(C132, ""en"", ""ur"")"),"A)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f>
        <v>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v>
      </c>
      <c r="N132" s="5" t="str">
        <f>IFERROR(__xludf.DUMMYFUNCTION("GOOGLETRANSLATE(D132, ""en"", ""ur"")"),"ب) ایک گھوڑا جو کوڑے سے ڈرتا ہے جب اسے اشارے کے لیے استعمال کیا جائے تو وہ گھبرا سکتا ہے یا بولٹ سکتا ہے۔")</f>
        <v>ب) ایک گھوڑا جو کوڑے سے ڈرتا ہے جب اسے اشارے کے لیے استعمال کیا جائے تو وہ گھبرا سکتا ہے یا بولٹ سکتا ہے۔</v>
      </c>
      <c r="O132" s="5" t="str">
        <f>IFERROR(__xludf.DUMMYFUNCTION("GOOGLETRANSLATE(E132, ""en"", ""ur"")"),"کوڑا رہنمائی کا ایک ذریعہ ہے۔ گھوڑے کو سگنل کے طور پر جواب دینے کے لیے تربیت دی جانی چاہیے، خوف کے ساتھ ردعمل ظاہر کرنے کے لیے نہیں، جو اسے بے قابو کر دے گا۔")</f>
        <v>کوڑا رہنمائی کا ایک ذریعہ ہے۔ گھوڑے کو سگنل کے طور پر جواب دینے کے لیے تربیت دی جانی چاہیے، خوف کے ساتھ ردعمل ظاہر کرنے کے لیے نہیں، جو اسے بے قابو کر دے گا۔</v>
      </c>
    </row>
    <row r="133">
      <c r="A133" s="3">
        <v>132.0</v>
      </c>
      <c r="B133" s="4" t="s">
        <v>3316</v>
      </c>
      <c r="C133" s="4" t="s">
        <v>3317</v>
      </c>
      <c r="D133" s="4" t="s">
        <v>3318</v>
      </c>
      <c r="E133" s="4" t="s">
        <v>3319</v>
      </c>
      <c r="K133" s="5" t="str">
        <f>IFERROR(__xludf.DUMMYFUNCTION("GOOGLETRANSLATE(A133, ""en"", ""ur"")"),"132")</f>
        <v>132</v>
      </c>
      <c r="L133" s="5" t="str">
        <f>IFERROR(__xludf.DUMMYFUNCTION("GOOGLETRANSLATE(B133, ""en"", ""ur"")"),"ٹیم میں ""انڈین فائل"" ایونٹ کا ٹیسٹ کیا ہوتا ہے؟")</f>
        <v>ٹیم میں "انڈین فائل" ایونٹ کا ٹیسٹ کیا ہوتا ہے؟</v>
      </c>
      <c r="M133" s="5" t="str">
        <f>IFERROR(__xludf.DUMMYFUNCTION("GOOGLETRANSLATE(C133, ""en"", ""ur"")"),"A) ٹیم کی اجتماعی رفتار، B) سخت فارمیشن میں سواری کے دوران ہر سوار کی انفرادی توجہ، C) ایک ہی لانس شیئر کرنے کی ٹیم کی صلاحیت، D) گھوڑوں کی خوبصورتی")</f>
        <v>A) ٹیم کی اجتماعی رفتار، B) سخت فارمیشن میں سواری کے دوران ہر سوار کی انفرادی توجہ، C) ایک ہی لانس شیئر کرنے کی ٹیم کی صلاحیت، D) گھوڑوں کی خوبصورتی</v>
      </c>
      <c r="N133" s="5" t="str">
        <f>IFERROR(__xludf.DUMMYFUNCTION("GOOGLETRANSLATE(D133, ""en"", ""ur"")"),"ب) سخت شکل میں سواری کے دوران ہر سوار کی انفرادی توجہ")</f>
        <v>ب) سخت شکل میں سواری کے دوران ہر سوار کی انفرادی توجہ</v>
      </c>
      <c r="O133" s="5" t="str">
        <f>IFERROR(__xludf.DUMMYFUNCTION("GOOGLETRANSLATE(E133, ""en"", ""ur"")"),"اس ایونٹ میں، سوار یکے بعد دیگرے چلتے ہیں، اور ہر ایک کو سامنے والے سوار کی طرف سے توجہ ہٹائے بغیر اپنے ہدف پر توجہ مرکوز کرنی چاہیے۔")</f>
        <v>اس ایونٹ میں، سوار یکے بعد دیگرے چلتے ہیں، اور ہر ایک کو سامنے والے سوار کی طرف سے توجہ ہٹائے بغیر اپنے ہدف پر توجہ مرکوز کرنی چاہیے۔</v>
      </c>
    </row>
    <row r="134">
      <c r="A134" s="3">
        <v>133.0</v>
      </c>
      <c r="B134" s="4" t="s">
        <v>3320</v>
      </c>
      <c r="C134" s="4" t="s">
        <v>3321</v>
      </c>
      <c r="D134" s="4" t="s">
        <v>3322</v>
      </c>
      <c r="E134" s="4" t="s">
        <v>3323</v>
      </c>
      <c r="K134" s="5" t="str">
        <f>IFERROR(__xludf.DUMMYFUNCTION("GOOGLETRANSLATE(A134, ""en"", ""ur"")"),"133")</f>
        <v>133</v>
      </c>
      <c r="L134" s="5" t="str">
        <f>IFERROR(__xludf.DUMMYFUNCTION("GOOGLETRANSLATE(B134, ""en"", ""ur"")"),"ٹینٹ پیگنگ سوار کے لیے سب سے عام سنگین چوٹ کیا ہے؟")</f>
        <v>ٹینٹ پیگنگ سوار کے لیے سب سے عام سنگین چوٹ کیا ہے؟</v>
      </c>
      <c r="M134" s="5" t="str">
        <f>IFERROR(__xludf.DUMMYFUNCTION("GOOGLETRANSLATE(C134, ""en"", ""ur"")"),"A) لانس سے کلائی کا تناؤ، B) ہڑتال کی طاقت سے کندھے کی نقل مکانی یا چوٹ، C) کمر کے نچلے حصے میں تناؤ، D) گرنے سے ٹانگوں کا ٹوٹ جانا")</f>
        <v>A) لانس سے کلائی کا تناؤ، B) ہڑتال کی طاقت سے کندھے کی نقل مکانی یا چوٹ، C) کمر کے نچلے حصے میں تناؤ، D) گرنے سے ٹانگوں کا ٹوٹ جانا</v>
      </c>
      <c r="N134" s="5" t="str">
        <f>IFERROR(__xludf.DUMMYFUNCTION("GOOGLETRANSLATE(D134, ""en"", ""ur"")"),"ب) ہڑتال کی طاقت سے کندھے کی نقل مکانی یا چوٹ")</f>
        <v>ب) ہڑتال کی طاقت سے کندھے کی نقل مکانی یا چوٹ</v>
      </c>
      <c r="O134" s="5" t="str">
        <f>IFERROR(__xludf.DUMMYFUNCTION("GOOGLETRANSLATE(E134, ""en"", ""ur"")"),"لانس تھرسٹ کے دوران پیدا ہونے والی بے پناہ قوت، خاص طور پر اگر لانس پھنس جائے، تو کندھے کے جوڑ کو چوٹ لگنے کے زیادہ خطرے میں ڈال دیتی ہے۔")</f>
        <v>لانس تھرسٹ کے دوران پیدا ہونے والی بے پناہ قوت، خاص طور پر اگر لانس پھنس جائے، تو کندھے کے جوڑ کو چوٹ لگنے کے زیادہ خطرے میں ڈال دیتی ہے۔</v>
      </c>
    </row>
    <row r="135">
      <c r="A135" s="3">
        <v>134.0</v>
      </c>
      <c r="B135" s="4" t="s">
        <v>3324</v>
      </c>
      <c r="C135" s="4" t="s">
        <v>3325</v>
      </c>
      <c r="D135" s="4" t="s">
        <v>3326</v>
      </c>
      <c r="E135" s="4" t="s">
        <v>3327</v>
      </c>
      <c r="K135" s="5" t="str">
        <f>IFERROR(__xludf.DUMMYFUNCTION("GOOGLETRANSLATE(A135, ""en"", ""ur"")"),"134")</f>
        <v>134</v>
      </c>
      <c r="L135" s="5" t="str">
        <f>IFERROR(__xludf.DUMMYFUNCTION("GOOGLETRANSLATE(B135, ""en"", ""ur"")"),"سواروں کے ذریعہ اسکورنگ کی کونسی غلطی کو اکثر چیلنج کیا جاتا ہے؟")</f>
        <v>سواروں کے ذریعہ اسکورنگ کی کونسی غلطی کو اکثر چیلنج کیا جاتا ہے؟</v>
      </c>
      <c r="M135" s="5" t="str">
        <f>IFERROR(__xludf.DUMMYFUNCTION("GOOGLETRANSLATE(C135, ""en"", ""ur"")"),"A) رن کا وقت، B) ""ڈرون پیگ"" (2 پوائنٹس) اور ایک مس (0 پوائنٹس) کے درمیان فرق، C) ٹریک کی چوڑائی سے باہر نکلنے والا گھوڑا، D) لانس کا وزن")</f>
        <v>A) رن کا وقت، B) "ڈرون پیگ" (2 پوائنٹس) اور ایک مس (0 پوائنٹس) کے درمیان فرق، C) ٹریک کی چوڑائی سے باہر نکلنے والا گھوڑا، D) لانس کا وزن</v>
      </c>
      <c r="N135" s="5" t="str">
        <f>IFERROR(__xludf.DUMMYFUNCTION("GOOGLETRANSLATE(D135, ""en"", ""ur"")"),"ب) ""ڈرا پیگ"" (2 پوائنٹس) اور ایک مس (0 پوائنٹس) کے درمیان فرق")</f>
        <v>ب) "ڈرا پیگ" (2 پوائنٹس) اور ایک مس (0 پوائنٹس) کے درمیان فرق</v>
      </c>
      <c r="O135" s="5" t="str">
        <f>IFERROR(__xludf.DUMMYFUNCTION("GOOGLETRANSLATE(E135, ""en"", ""ur"")"),"اس بات کا تعین کرنا کہ آیا کھونٹی کو تھوڑا سا منتقل کیا گیا تھا یا زمین سے مکمل طور پر ہٹا دیا گیا تھا، تنازعہ کا ایک عام نقطہ ہے۔")</f>
        <v>اس بات کا تعین کرنا کہ آیا کھونٹی کو تھوڑا سا منتقل کیا گیا تھا یا زمین سے مکمل طور پر ہٹا دیا گیا تھا، تنازعہ کا ایک عام نقطہ ہے۔</v>
      </c>
    </row>
    <row r="136">
      <c r="A136" s="3">
        <v>135.0</v>
      </c>
      <c r="B136" s="4" t="s">
        <v>3328</v>
      </c>
      <c r="C136" s="4" t="s">
        <v>3329</v>
      </c>
      <c r="D136" s="4" t="s">
        <v>3330</v>
      </c>
      <c r="E136" s="4" t="s">
        <v>3331</v>
      </c>
      <c r="K136" s="5" t="str">
        <f>IFERROR(__xludf.DUMMYFUNCTION("GOOGLETRANSLATE(A136, ""en"", ""ur"")"),"135")</f>
        <v>135</v>
      </c>
      <c r="L136" s="5" t="str">
        <f>IFERROR(__xludf.DUMMYFUNCTION("GOOGLETRANSLATE(B136, ""en"", ""ur"")"),"اسٹارٹ لائن سے پہلے ""رن اپ"" ایریا کا بنیادی مقصد کیا ہے؟")</f>
        <v>اسٹارٹ لائن سے پہلے "رن اپ" ایریا کا بنیادی مقصد کیا ہے؟</v>
      </c>
      <c r="M136" s="5" t="str">
        <f>IFERROR(__xludf.DUMMYFUNCTION("GOOGLETRANSLATE(C136, ""en"", ""ur"")"),"A) یہ سواروں کے لیے انتظار کی جگہ ہے، B) یہ گھوڑے کو ایک مستحکم اور کنٹرول شدہ سرپٹ بنانے کی اجازت دیتا ہے، C) یہ گھوڑے کو گرم کرنے کے لیے ہے، D) یہ دیکھنے والوں کے لیے گھوڑوں کو دیکھنے کے لیے ہے۔")</f>
        <v>A) یہ سواروں کے لیے انتظار کی جگہ ہے، B) یہ گھوڑے کو ایک مستحکم اور کنٹرول شدہ سرپٹ بنانے کی اجازت دیتا ہے، C) یہ گھوڑے کو گرم کرنے کے لیے ہے، D) یہ دیکھنے والوں کے لیے گھوڑوں کو دیکھنے کے لیے ہے۔</v>
      </c>
      <c r="N136" s="5" t="str">
        <f>IFERROR(__xludf.DUMMYFUNCTION("GOOGLETRANSLATE(D136, ""en"", ""ur"")"),"ب) یہ گھوڑے کو ایک مستحکم اور کنٹرول شدہ سرپٹ بنانے کی اجازت دیتا ہے۔")</f>
        <v>ب) یہ گھوڑے کو ایک مستحکم اور کنٹرول شدہ سرپٹ بنانے کی اجازت دیتا ہے۔</v>
      </c>
      <c r="O136" s="5" t="str">
        <f>IFERROR(__xludf.DUMMYFUNCTION("GOOGLETRANSLATE(E136, ""en"", ""ur"")"),"گھوڑے کو دوڑ کا مقررہ حصہ شروع ہونے سے پہلے تیز کرنے اور اپنی تال تلاش کرنے کے لیے اس جگہ کی ضرورت ہوتی ہے۔")</f>
        <v>گھوڑے کو دوڑ کا مقررہ حصہ شروع ہونے سے پہلے تیز کرنے اور اپنی تال تلاش کرنے کے لیے اس جگہ کی ضرورت ہوتی ہے۔</v>
      </c>
    </row>
    <row r="137">
      <c r="A137" s="3">
        <v>136.0</v>
      </c>
      <c r="B137" s="4" t="s">
        <v>3332</v>
      </c>
      <c r="C137" s="4" t="s">
        <v>3333</v>
      </c>
      <c r="D137" s="4" t="s">
        <v>3334</v>
      </c>
      <c r="E137" s="4" t="s">
        <v>3335</v>
      </c>
      <c r="K137" s="5" t="str">
        <f>IFERROR(__xludf.DUMMYFUNCTION("GOOGLETRANSLATE(A137, ""en"", ""ur"")"),"136")</f>
        <v>136</v>
      </c>
      <c r="L137" s="5" t="str">
        <f>IFERROR(__xludf.DUMMYFUNCTION("GOOGLETRANSLATE(B137, ""en"", ""ur"")"),"ایک سوار کو ""غیر روایتی"" سواری کا انداز استعمال کرنے پر نااہل قرار دیا جاتا ہے۔ انہوں نے کیا کیا ہوگا؟")</f>
        <v>ایک سوار کو "غیر روایتی" سواری کا انداز استعمال کرنے پر نااہل قرار دیا جاتا ہے۔ انہوں نے کیا کیا ہوگا؟</v>
      </c>
      <c r="M137" s="5" t="str">
        <f>IFERROR(__xludf.DUMMYFUNCTION("GOOGLETRANSLATE(C137, ""en"", ""ur"")"),"A) بہت تیزی سے سوار ہونا، B) ہڑتال کے دوران دو ہاتھوں سے لانس پکڑنا، C) دوڑ کے دوران چیخنا، D) غلط رنگ کی وردی پہننا")</f>
        <v>A) بہت تیزی سے سوار ہونا، B) ہڑتال کے دوران دو ہاتھوں سے لانس پکڑنا، C) دوڑ کے دوران چیخنا، D) غلط رنگ کی وردی پہننا</v>
      </c>
      <c r="N137" s="5" t="str">
        <f>IFERROR(__xludf.DUMMYFUNCTION("GOOGLETRANSLATE(D137, ""en"", ""ur"")"),"ب) ہڑتال کے دوران لانس کو دو ہاتھوں سے پکڑنا")</f>
        <v>ب) ہڑتال کے دوران لانس کو دو ہاتھوں سے پکڑنا</v>
      </c>
      <c r="O137" s="5" t="str">
        <f>IFERROR(__xludf.DUMMYFUNCTION("GOOGLETRANSLATE(E137, ""en"", ""ur"")"),"کھیل کو مناسب ایک ہاتھ کی گھڑ سواری کی ضرورت ہوتی ہے۔ دو ہاتھوں کا استعمال، کاٹھی پر کھڑے ہونا، یا دیگر غیر معیاری کرنسی فاؤل ہیں۔")</f>
        <v>کھیل کو مناسب ایک ہاتھ کی گھڑ سواری کی ضرورت ہوتی ہے۔ دو ہاتھوں کا استعمال، کاٹھی پر کھڑے ہونا، یا دیگر غیر معیاری کرنسی فاؤل ہیں۔</v>
      </c>
    </row>
    <row r="138">
      <c r="A138" s="3">
        <v>137.0</v>
      </c>
      <c r="B138" s="4" t="s">
        <v>3336</v>
      </c>
      <c r="C138" s="4" t="s">
        <v>3337</v>
      </c>
      <c r="D138" s="4" t="s">
        <v>3269</v>
      </c>
      <c r="E138" s="4" t="s">
        <v>3338</v>
      </c>
      <c r="K138" s="5" t="str">
        <f>IFERROR(__xludf.DUMMYFUNCTION("GOOGLETRANSLATE(A138, ""en"", ""ur"")"),"137")</f>
        <v>137</v>
      </c>
      <c r="L138" s="5" t="str">
        <f>IFERROR(__xludf.DUMMYFUNCTION("GOOGLETRANSLATE(B138, ""en"", ""ur"")"),"گھوڑوں کو اپنی ابتدائی مشقوں کے دوران اکثر سیڈلز کے بغیر کیوں تربیت دی جاتی ہے؟")</f>
        <v>گھوڑوں کو اپنی ابتدائی مشقوں کے دوران اکثر سیڈلز کے بغیر کیوں تربیت دی جاتی ہے؟</v>
      </c>
      <c r="M138" s="5" t="str">
        <f>IFERROR(__xludf.DUMMYFUNCTION("GOOGLETRANSLATE(C138, ""en"", ""ur"")"),"A) سواروں کو سخت کرنے کے لئے، B) سوار کے بنیادی توازن اور ٹانگوں کی گرفت کو بہتر بنانے کے لئے، C) مہنگی زینوں کو پہنچنے والے نقصان کو روکنے کے لئے، D) گھوڑے کی قوت برداشت کو بڑھانے کے لئے")</f>
        <v>A) سواروں کو سخت کرنے کے لئے، B) سوار کے بنیادی توازن اور ٹانگوں کی گرفت کو بہتر بنانے کے لئے، C) مہنگی زینوں کو پہنچنے والے نقصان کو روکنے کے لئے، D) گھوڑے کی قوت برداشت کو بڑھانے کے لئے</v>
      </c>
      <c r="N138" s="5" t="str">
        <f>IFERROR(__xludf.DUMMYFUNCTION("GOOGLETRANSLATE(D138, ""en"", ""ur"")"),"ب) سوار کے بنیادی توازن اور ٹانگوں کی گرفت کو بہتر بنانا")</f>
        <v>ب) سوار کے بنیادی توازن اور ٹانگوں کی گرفت کو بہتر بنانا</v>
      </c>
      <c r="O138" s="5" t="str">
        <f>IFERROR(__xludf.DUMMYFUNCTION("GOOGLETRANSLATE(E138, ""en"", ""ur"")"),"بیئر بیک سواری گھڑ سواری کی ایک بنیادی مشق ہے جو سوار کے توازن اور استحکام کو بڑھاتی ہے اس سے پہلے کہ وہ کاٹھی استعمال کریں۔")</f>
        <v>بیئر بیک سواری گھڑ سواری کی ایک بنیادی مشق ہے جو سوار کے توازن اور استحکام کو بڑھاتی ہے اس سے پہلے کہ وہ کاٹھی استعمال کریں۔</v>
      </c>
    </row>
    <row r="139">
      <c r="A139" s="3">
        <v>138.0</v>
      </c>
      <c r="B139" s="4" t="s">
        <v>3339</v>
      </c>
      <c r="C139" s="4" t="s">
        <v>2979</v>
      </c>
      <c r="D139" s="4" t="s">
        <v>2980</v>
      </c>
      <c r="E139" s="4" t="s">
        <v>3340</v>
      </c>
      <c r="K139" s="5" t="str">
        <f>IFERROR(__xludf.DUMMYFUNCTION("GOOGLETRANSLATE(A139, ""en"", ""ur"")"),"138")</f>
        <v>138</v>
      </c>
      <c r="L139" s="5" t="str">
        <f>IFERROR(__xludf.DUMMYFUNCTION("GOOGLETRANSLATE(B139, ""en"", ""ur"")"),"ٹینٹ پیگنگ کی جدید بحالی اور بین الاقوامی فروغ کا سہرا اکثر کس ملک کو دیا جاتا ہے؟")</f>
        <v>ٹینٹ پیگنگ کی جدید بحالی اور بین الاقوامی فروغ کا سہرا اکثر کس ملک کو دیا جاتا ہے؟</v>
      </c>
      <c r="M139" s="5" t="str">
        <f>IFERROR(__xludf.DUMMYFUNCTION("GOOGLETRANSLATE(C139, ""en"", ""ur"")"),"A) پاکستان، B) عمان، C) بھارت، D) جنوبی افریقہ")</f>
        <v>A) پاکستان، B) عمان، C) بھارت، D) جنوبی افریقہ</v>
      </c>
      <c r="N139" s="5" t="str">
        <f>IFERROR(__xludf.DUMMYFUNCTION("GOOGLETRANSLATE(D139, ""en"", ""ur"")"),"ب) عمان")</f>
        <v>ب) عمان</v>
      </c>
      <c r="O139" s="5" t="str">
        <f>IFERROR(__xludf.DUMMYFUNCTION("GOOGLETRANSLATE(E139, ""en"", ""ur"")"),"اگرچہ یہ کھیل جنوبی ایشیا میں مقبول ہے، سلطنت عمان نے عالمی معیار کی سہولیات پیدا کرنے اور بڑے بین الاقوامی ٹورنامنٹس کی میزبانی میں بہت زیادہ سرمایہ کاری کی ہے۔")</f>
        <v>اگرچہ یہ کھیل جنوبی ایشیا میں مقبول ہے، سلطنت عمان نے عالمی معیار کی سہولیات پیدا کرنے اور بڑے بین الاقوامی ٹورنامنٹس کی میزبانی میں بہت زیادہ سرمایہ کاری کی ہے۔</v>
      </c>
    </row>
    <row r="140">
      <c r="A140" s="3">
        <v>139.0</v>
      </c>
      <c r="B140" s="4" t="s">
        <v>3341</v>
      </c>
      <c r="C140" s="4" t="s">
        <v>3342</v>
      </c>
      <c r="D140" s="4" t="s">
        <v>3343</v>
      </c>
      <c r="E140" s="4" t="s">
        <v>3344</v>
      </c>
      <c r="K140" s="5" t="str">
        <f>IFERROR(__xludf.DUMMYFUNCTION("GOOGLETRANSLATE(A140, ""en"", ""ur"")"),"139")</f>
        <v>139</v>
      </c>
      <c r="L140" s="5" t="str">
        <f>IFERROR(__xludf.DUMMYFUNCTION("GOOGLETRANSLATE(B140, ""en"", ""ur"")"),"لانس مڈ رن کو پیگ تک پہنچنے سے پہلے گرانے کی کیا سزا ہے؟")</f>
        <v>لانس مڈ رن کو پیگ تک پہنچنے سے پہلے گرانے کی کیا سزا ہے؟</v>
      </c>
      <c r="M140" s="5" t="str">
        <f>IFERROR(__xludf.DUMMYFUNCTION("GOOGLETRANSLATE(C140, ""en"", ""ur"")"),"A) رن دوبارہ چلایا جاتا ہے، B) رن کو نااہل قرار دیا جاتا ہے اور اسکور صفر ہوتا ہے، C) 2 نکاتی کٹوتی کا اطلاق ہوتا ہے، D) ایک زبانی وارننگ جاری کی جاتی ہے۔")</f>
        <v>A) رن دوبارہ چلایا جاتا ہے، B) رن کو نااہل قرار دیا جاتا ہے اور اسکور صفر ہوتا ہے، C) 2 نکاتی کٹوتی کا اطلاق ہوتا ہے، D) ایک زبانی وارننگ جاری کی جاتی ہے۔</v>
      </c>
      <c r="N140" s="5" t="str">
        <f>IFERROR(__xludf.DUMMYFUNCTION("GOOGLETRANSLATE(D140, ""en"", ""ur"")"),"ب) رن کو نااہل قرار دیا گیا اور اسکور صفر ہے۔")</f>
        <v>ب) رن کو نااہل قرار دیا گیا اور اسکور صفر ہے۔</v>
      </c>
      <c r="O140" s="5" t="str">
        <f>IFERROR(__xludf.DUMMYFUNCTION("GOOGLETRANSLATE(E140, ""en"", ""ur"")"),"ایک سوار کو رن کے درست ہونے کی پوری کوشش کے دوران اپنے ہتھیار کا کنٹرول برقرار رکھنا چاہیے۔")</f>
        <v>ایک سوار کو رن کے درست ہونے کی پوری کوشش کے دوران اپنے ہتھیار کا کنٹرول برقرار رکھنا چاہیے۔</v>
      </c>
    </row>
    <row r="141">
      <c r="A141" s="3">
        <v>140.0</v>
      </c>
      <c r="B141" s="4" t="s">
        <v>3345</v>
      </c>
      <c r="C141" s="4" t="s">
        <v>3346</v>
      </c>
      <c r="D141" s="4" t="s">
        <v>3347</v>
      </c>
      <c r="E141" s="4" t="s">
        <v>3348</v>
      </c>
      <c r="K141" s="5" t="str">
        <f>IFERROR(__xludf.DUMMYFUNCTION("GOOGLETRANSLATE(A141, ""en"", ""ur"")"),"140")</f>
        <v>140</v>
      </c>
      <c r="L141" s="5" t="str">
        <f>IFERROR(__xludf.DUMMYFUNCTION("GOOGLETRANSLATE(B141, ""en"", ""ur"")"),"ITPF قوانین کے مطابق ایک کھونٹی کو مٹی کے اوپر کتنی اونچائی پر رکھا جا سکتا ہے؟")</f>
        <v>ITPF قوانین کے مطابق ایک کھونٹی کو مٹی کے اوپر کتنی اونچائی پر رکھا جا سکتا ہے؟</v>
      </c>
      <c r="M141" s="5" t="str">
        <f>IFERROR(__xludf.DUMMYFUNCTION("GOOGLETRANSLATE(C141, ""en"", ""ur"")"),"A) 8 سینٹی میٹر، B) 10 سینٹی میٹر، C) 15 سینٹی میٹر، D) 20 سینٹی میٹر")</f>
        <v>A) 8 سینٹی میٹر، B) 10 سینٹی میٹر، C) 15 سینٹی میٹر، D) 20 سینٹی میٹر</v>
      </c>
      <c r="N141" s="5" t="str">
        <f>IFERROR(__xludf.DUMMYFUNCTION("GOOGLETRANSLATE(D141, ""en"", ""ur"")"),"C) 15 سینٹی میٹر")</f>
        <v>C) 15 سینٹی میٹر</v>
      </c>
      <c r="O141" s="5" t="str">
        <f>IFERROR(__xludf.DUMMYFUNCTION("GOOGLETRANSLATE(E141, ""en"", ""ur"")"),"پیگ کی اونچائی معیاری ہے (تقریباً 12-15 سینٹی میٹر) تاکہ مرئیت کو یقینی بنایا جا سکے اور تمام سواروں کے لیے ایک مناسب چیلنج ہو۔")</f>
        <v>پیگ کی اونچائی معیاری ہے (تقریباً 12-15 سینٹی میٹر) تاکہ مرئیت کو یقینی بنایا جا سکے اور تمام سواروں کے لیے ایک مناسب چیلنج ہو۔</v>
      </c>
    </row>
    <row r="142">
      <c r="A142" s="3">
        <v>141.0</v>
      </c>
      <c r="B142" s="4" t="s">
        <v>3349</v>
      </c>
      <c r="C142" s="4" t="s">
        <v>3350</v>
      </c>
      <c r="D142" s="4" t="s">
        <v>3351</v>
      </c>
      <c r="E142" s="4" t="s">
        <v>3352</v>
      </c>
      <c r="K142" s="5" t="str">
        <f>IFERROR(__xludf.DUMMYFUNCTION("GOOGLETRANSLATE(A142, ""en"", ""ur"")"),"141")</f>
        <v>141</v>
      </c>
      <c r="L142" s="5" t="str">
        <f>IFERROR(__xludf.DUMMYFUNCTION("GOOGLETRANSLATE(B142, ""en"", ""ur"")"),"کون سا گھڑ سواری واقعہ ٹینٹ پیگنگ کے ساتھ قریب ترین تاریخی اصل کا اشتراک کرتا ہے؟")</f>
        <v>کون سا گھڑ سواری واقعہ ٹینٹ پیگنگ کے ساتھ قریب ترین تاریخی اصل کا اشتراک کرتا ہے؟</v>
      </c>
      <c r="M142" s="5" t="str">
        <f>IFERROR(__xludf.DUMMYFUNCTION("GOOGLETRANSLATE(C142, ""en"", ""ur"")"),"اے) پولو، بی) بیرل ریسنگ، سی) جوسٹنگ، ڈی) ڈریسج")</f>
        <v>اے) پولو، بی) بیرل ریسنگ، سی) جوسٹنگ، ڈی) ڈریسج</v>
      </c>
      <c r="N142" s="5" t="str">
        <f>IFERROR(__xludf.DUMMYFUNCTION("GOOGLETRANSLATE(D142, ""en"", ""ur"")"),"ج) جوسٹنگ")</f>
        <v>ج) جوسٹنگ</v>
      </c>
      <c r="O142" s="5" t="str">
        <f>IFERROR(__xludf.DUMMYFUNCTION("GOOGLETRANSLATE(E142, ""en"", ""ur"")"),"ٹینٹ پیگنگ اور جوسٹنگ دونوں قرون وسطیٰ کی کیولری مشقوں سے تیار ہوئے جس میں ہدف پر حملہ کرنے کے لیے گھوڑے کی پیٹھ سے لانس کا استعمال شامل تھا۔")</f>
        <v>ٹینٹ پیگنگ اور جوسٹنگ دونوں قرون وسطیٰ کی کیولری مشقوں سے تیار ہوئے جس میں ہدف پر حملہ کرنے کے لیے گھوڑے کی پیٹھ سے لانس کا استعمال شامل تھا۔</v>
      </c>
    </row>
    <row r="143">
      <c r="A143" s="3">
        <v>142.0</v>
      </c>
      <c r="B143" s="4" t="s">
        <v>3353</v>
      </c>
      <c r="C143" s="4" t="s">
        <v>3354</v>
      </c>
      <c r="D143" s="4" t="s">
        <v>3355</v>
      </c>
      <c r="E143" s="4" t="s">
        <v>3356</v>
      </c>
      <c r="K143" s="5" t="str">
        <f>IFERROR(__xludf.DUMMYFUNCTION("GOOGLETRANSLATE(A143, ""en"", ""ur"")"),"142")</f>
        <v>142</v>
      </c>
      <c r="L143" s="5" t="str">
        <f>IFERROR(__xludf.DUMMYFUNCTION("GOOGLETRANSLATE(B143, ""en"", ""ur"")"),"اگر کوئی سوار 8 سیکنڈ کی حد سے کم وقت میں رن مکمل کرتا ہے لیکن پیگ چھوٹ جاتا ہے تو اس کا کیا حکم ہے؟")</f>
        <v>اگر کوئی سوار 8 سیکنڈ کی حد سے کم وقت میں رن مکمل کرتا ہے لیکن پیگ چھوٹ جاتا ہے تو اس کا کیا حکم ہے؟</v>
      </c>
      <c r="M143" s="5" t="str">
        <f>IFERROR(__xludf.DUMMYFUNCTION("GOOGLETRANSLATE(C143, ""en"", ""ur"")"),"A) انہیں رفتار کے لیے بونس پوائنٹس ملتے ہیں، B) 0 کا سکور دیا جاتا ہے، C) انہیں مس ہونے پر 2 پوائنٹ کی کٹوتی ملتی ہے، D) ایک انتباہ جاری کیا جاتا ہے۔")</f>
        <v>A) انہیں رفتار کے لیے بونس پوائنٹس ملتے ہیں، B) 0 کا سکور دیا جاتا ہے، C) انہیں مس ہونے پر 2 پوائنٹ کی کٹوتی ملتی ہے، D) ایک انتباہ جاری کیا جاتا ہے۔</v>
      </c>
      <c r="N143" s="5" t="str">
        <f>IFERROR(__xludf.DUMMYFUNCTION("GOOGLETRANSLATE(D143, ""en"", ""ur"")"),"ب) 0 کا سکور دیا جاتا ہے۔")</f>
        <v>ب) 0 کا سکور دیا جاتا ہے۔</v>
      </c>
      <c r="O143" s="5" t="str">
        <f>IFERROR(__xludf.DUMMYFUNCTION("GOOGLETRANSLATE(E143, ""en"", ""ur"")"),"ٹینٹ پیگنگ میں درستگی کے بغیر رفتار کا کوئی اجر نہیں ہے۔ بنیادی مقصد ہدف کو کامیابی سے نشانہ بنانا ہے۔")</f>
        <v>ٹینٹ پیگنگ میں درستگی کے بغیر رفتار کا کوئی اجر نہیں ہے۔ بنیادی مقصد ہدف کو کامیابی سے نشانہ بنانا ہے۔</v>
      </c>
    </row>
    <row r="144">
      <c r="A144" s="3">
        <v>143.0</v>
      </c>
      <c r="B144" s="4" t="s">
        <v>3357</v>
      </c>
      <c r="C144" s="4" t="s">
        <v>3358</v>
      </c>
      <c r="D144" s="4" t="s">
        <v>3359</v>
      </c>
      <c r="E144" s="4" t="s">
        <v>3282</v>
      </c>
      <c r="K144" s="5" t="str">
        <f>IFERROR(__xludf.DUMMYFUNCTION("GOOGLETRANSLATE(A144, ""en"", ""ur"")"),"143")</f>
        <v>143</v>
      </c>
      <c r="L144" s="5" t="str">
        <f>IFERROR(__xludf.DUMMYFUNCTION("GOOGLETRANSLATE(B144, ""en"", ""ur"")"),"جدید مقابلوں میں لینس دھات سے نہ بننے کی بنیادی وجہ کیا ہے؟")</f>
        <v>جدید مقابلوں میں لینس دھات سے نہ بننے کی بنیادی وجہ کیا ہے؟</v>
      </c>
      <c r="M144" s="5" t="str">
        <f>IFERROR(__xludf.DUMMYFUNCTION("GOOGLETRANSLATE(C144, ""en"", ""ur"")"),"A) وہ بہت زیادہ بھاری ہوں گے، B) ایک ٹوٹا ہوا دھاتی لانس خطرناک تیز دھار یا شارپنل بنائے گا، C) وہ بہت مہنگے ہیں، D) یہ روایتی مواد نہیں ہے۔")</f>
        <v>A) وہ بہت زیادہ بھاری ہوں گے، B) ایک ٹوٹا ہوا دھاتی لانس خطرناک تیز دھار یا شارپنل بنائے گا، C) وہ بہت مہنگے ہیں، D) یہ روایتی مواد نہیں ہے۔</v>
      </c>
      <c r="N144" s="5" t="str">
        <f>IFERROR(__xludf.DUMMYFUNCTION("GOOGLETRANSLATE(D144, ""en"", ""ur"")"),"ب) ایک ٹوٹا ہوا دھاتی لانس خطرناک تیز کناروں یا چھینٹے پیدا کرے گا۔")</f>
        <v>ب) ایک ٹوٹا ہوا دھاتی لانس خطرناک تیز کناروں یا چھینٹے پیدا کرے گا۔</v>
      </c>
      <c r="O144" s="5" t="str">
        <f>IFERROR(__xludf.DUMMYFUNCTION("GOOGLETRANSLATE(E144, ""en"", ""ur"")"),"لکڑی یا فائبر گلاس کے چھلکوں کے مقابلے میں دھاتی شارڈز ایک اہم خطرہ ہیں، جو انہیں کھیل کے لیے غیر محفوظ بناتے ہیں۔")</f>
        <v>لکڑی یا فائبر گلاس کے چھلکوں کے مقابلے میں دھاتی شارڈز ایک اہم خطرہ ہیں، جو انہیں کھیل کے لیے غیر محفوظ بناتے ہیں۔</v>
      </c>
    </row>
    <row r="145">
      <c r="A145" s="3">
        <v>144.0</v>
      </c>
      <c r="B145" s="4" t="s">
        <v>3360</v>
      </c>
      <c r="C145" s="4" t="s">
        <v>3361</v>
      </c>
      <c r="D145" s="4" t="s">
        <v>3362</v>
      </c>
      <c r="E145" s="4" t="s">
        <v>3363</v>
      </c>
      <c r="K145" s="5" t="str">
        <f>IFERROR(__xludf.DUMMYFUNCTION("GOOGLETRANSLATE(A145, ""en"", ""ur"")"),"144")</f>
        <v>144</v>
      </c>
      <c r="L145" s="5" t="str">
        <f>IFERROR(__xludf.DUMMYFUNCTION("GOOGLETRANSLATE(B145, ""en"", ""ur"")"),"جس زمین پر کھونٹی رکھی ہے وہ مضبوط اور مستقل کیوں ہونی چاہیے؟")</f>
        <v>جس زمین پر کھونٹی رکھی ہے وہ مضبوط اور مستقل کیوں ہونی چاہیے؟</v>
      </c>
      <c r="M145" s="5" t="str">
        <f>IFERROR(__xludf.DUMMYFUNCTION("GOOGLETRANSLATE(C145, ""en"", ""ur"")"),"A) کھونٹی کو اٹھانا مشکل بنانے کے لیے، B) اس بات کو یقینی بنانے کے لیے کہ پیگ اپنا زاویہ رکھتا ہے اور ہر سوار کے لیے یکساں مزاحمت فراہم کرتا ہے، C) گھوڑے کو پھسلنے سے روکنے کے لیے، D) یہ کوئی ضرورت نہیں ہے۔")</f>
        <v>A) کھونٹی کو اٹھانا مشکل بنانے کے لیے، B) اس بات کو یقینی بنانے کے لیے کہ پیگ اپنا زاویہ رکھتا ہے اور ہر سوار کے لیے یکساں مزاحمت فراہم کرتا ہے، C) گھوڑے کو پھسلنے سے روکنے کے لیے، D) یہ کوئی ضرورت نہیں ہے۔</v>
      </c>
      <c r="N145" s="5" t="str">
        <f>IFERROR(__xludf.DUMMYFUNCTION("GOOGLETRANSLATE(D145, ""en"", ""ur"")"),"ب) یہ یقینی بنانے کے لیے کہ پیگ اپنا زاویہ رکھتا ہے اور ہر سوار کے لیے یکساں مزاحمت فراہم کرتا ہے۔")</f>
        <v>ب) یہ یقینی بنانے کے لیے کہ پیگ اپنا زاویہ رکھتا ہے اور ہر سوار کے لیے یکساں مزاحمت فراہم کرتا ہے۔</v>
      </c>
      <c r="O145" s="5" t="str">
        <f>IFERROR(__xludf.DUMMYFUNCTION("GOOGLETRANSLATE(E145, ""en"", ""ur"")"),"منصفانہ مسابقت کا تقاضا ہے کہ ہدف میں ہر مدمقابل کے لیے یکساں سطح کی مشکل ہو۔")</f>
        <v>منصفانہ مسابقت کا تقاضا ہے کہ ہدف میں ہر مدمقابل کے لیے یکساں سطح کی مشکل ہو۔</v>
      </c>
    </row>
    <row r="146">
      <c r="A146" s="3">
        <v>145.0</v>
      </c>
      <c r="B146" s="4" t="s">
        <v>3364</v>
      </c>
      <c r="C146" s="4" t="s">
        <v>3365</v>
      </c>
      <c r="D146" s="4" t="s">
        <v>3366</v>
      </c>
      <c r="E146" s="4" t="s">
        <v>3367</v>
      </c>
      <c r="K146" s="5" t="str">
        <f>IFERROR(__xludf.DUMMYFUNCTION("GOOGLETRANSLATE(A146, ""en"", ""ur"")"),"145")</f>
        <v>145</v>
      </c>
      <c r="L146" s="5" t="str">
        <f>IFERROR(__xludf.DUMMYFUNCTION("GOOGLETRANSLATE(B146, ""en"", ""ur"")"),"ایک سوار کو بہت ہلکا لانس رکھنے پر نااہل قرار دیا جاتا ہے۔ کم از کم وزن کا اصول کیوں ہے؟")</f>
        <v>ایک سوار کو بہت ہلکا لانس رکھنے پر نااہل قرار دیا جاتا ہے۔ کم از کم وزن کا اصول کیوں ہے؟</v>
      </c>
      <c r="M146" s="5" t="str">
        <f>IFERROR(__xludf.DUMMYFUNCTION("GOOGLETRANSLATE(C146, ""en"", ""ur"")"),"A)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D) کھیل کو مزید چیلنجنگ بنانا")</f>
        <v>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D) کھیل کو مزید چیلنجنگ بنانا</v>
      </c>
      <c r="N146" s="5" t="str">
        <f>IFERROR(__xludf.DUMMYFUNCTION("GOOGLETRANSLATE(D146, ""en"", ""ur"")"),"ب) انصاف کو یقینی بنانا اور سواروں کو رفتار اور مقصد میں فائدہ حاصل کرنے سے روکنا")</f>
        <v>ب) انصاف کو یقینی بنانا اور سواروں کو رفتار اور مقصد میں فائدہ حاصل کرنے سے روکنا</v>
      </c>
      <c r="O146" s="5" t="str">
        <f>IFERROR(__xludf.DUMMYFUNCTION("GOOGLETRANSLATE(E146, ""en"", ""ur"")"),"ایک بہت ہلکا لانس مقصد اور تیز کرنا بہت آسان ہو گا، اس لیے منصفانہ مقابلے کے لیے ایک معیاری کم از کم وزن درکار ہے۔")</f>
        <v>ایک بہت ہلکا لانس مقصد اور تیز کرنا بہت آسان ہو گا، اس لیے منصفانہ مقابلے کے لیے ایک معیاری کم از کم وزن درکار ہے۔</v>
      </c>
    </row>
    <row r="147">
      <c r="A147" s="3">
        <v>146.0</v>
      </c>
      <c r="B147" s="4" t="s">
        <v>3368</v>
      </c>
      <c r="C147" s="4" t="s">
        <v>3369</v>
      </c>
      <c r="D147" s="4" t="s">
        <v>3370</v>
      </c>
      <c r="E147" s="4" t="s">
        <v>3371</v>
      </c>
      <c r="K147" s="5" t="str">
        <f>IFERROR(__xludf.DUMMYFUNCTION("GOOGLETRANSLATE(A147, ""en"", ""ur"")"),"146")</f>
        <v>146</v>
      </c>
      <c r="L147" s="5" t="str">
        <f>IFERROR(__xludf.DUMMYFUNCTION("GOOGLETRANSLATE(B147, ""en"", ""ur"")"),"ٹینٹ پیگنگ ایونٹ میں ""اسٹارٹر"" اہلکار کا کیا کردار ہے؟")</f>
        <v>ٹینٹ پیگنگ ایونٹ میں "اسٹارٹر" اہلکار کا کیا کردار ہے؟</v>
      </c>
      <c r="M147" s="5" t="str">
        <f>IFERROR(__xludf.DUMMYFUNCTION("GOOGLETRANSLATE(C147, ""en"", ""ur"")"),"A) گھوڑوں کا معائنہ کرنے کے لئے، B) ہر سوار کو اپنی دوڑ شروع کرنے کے لئے سرکاری سگنل دینے کے لئے، C) سکور برقرار رکھنے کے لئے، D) ہیڈ جج بننا")</f>
        <v>A) گھوڑوں کا معائنہ کرنے کے لئے، B) ہر سوار کو اپنی دوڑ شروع کرنے کے لئے سرکاری سگنل دینے کے لئے، C) سکور برقرار رکھنے کے لئے، D) ہیڈ جج بننا</v>
      </c>
      <c r="N147" s="5" t="str">
        <f>IFERROR(__xludf.DUMMYFUNCTION("GOOGLETRANSLATE(D147, ""en"", ""ur"")"),"ب) ہر سوار کو اپنی دوڑ شروع کرنے کے لیے سرکاری سگنل دینا")</f>
        <v>ب) ہر سوار کو اپنی دوڑ شروع کرنے کے لیے سرکاری سگنل دینا</v>
      </c>
      <c r="O147" s="5" t="str">
        <f>IFERROR(__xludf.DUMMYFUNCTION("GOOGLETRANSLATE(E147, ""en"", ""ur"")"),"سٹارٹر اس بات کو یقینی بنانے کے لیے ذمہ دار ہے کہ ہر رن منصفانہ اور صحیح وقت پر شروع ہو، اکثر جھنڈا گرا کر۔")</f>
        <v>سٹارٹر اس بات کو یقینی بنانے کے لیے ذمہ دار ہے کہ ہر رن منصفانہ اور صحیح وقت پر شروع ہو، اکثر جھنڈا گرا کر۔</v>
      </c>
    </row>
    <row r="148">
      <c r="A148" s="3">
        <v>147.0</v>
      </c>
      <c r="B148" s="4" t="s">
        <v>3372</v>
      </c>
      <c r="C148" s="4" t="s">
        <v>3373</v>
      </c>
      <c r="D148" s="4" t="s">
        <v>3374</v>
      </c>
      <c r="E148" s="4" t="s">
        <v>3375</v>
      </c>
      <c r="K148" s="5" t="str">
        <f>IFERROR(__xludf.DUMMYFUNCTION("GOOGLETRANSLATE(A148, ""en"", ""ur"")"),"147")</f>
        <v>147</v>
      </c>
      <c r="L148" s="5" t="str">
        <f>IFERROR(__xludf.DUMMYFUNCTION("GOOGLETRANSLATE(B148, ""en"", ""ur"")"),"ٹینٹ پیگنگ کے لیے پٹھوں کی تعمیر کے لیے ان میں سے کون سا گھوڑے کی خوراک کا اہم حصہ ہے؟")</f>
        <v>ٹینٹ پیگنگ کے لیے پٹھوں کی تعمیر کے لیے ان میں سے کون سا گھوڑے کی خوراک کا اہم حصہ ہے؟</v>
      </c>
      <c r="M148" s="5" t="str">
        <f>IFERROR(__xludf.DUMMYFUNCTION("GOOGLETRANSLATE(C148, ""en"", ""ur"")"),"A) شوگر کیوب اور سیب، B) اعلی معیار کے پروٹین کے ذرائع جیسے الفافہ اور مخصوص اناج، C) صرف تازہ گھاس، D) زیادہ تر پھل اور سبزیاں")</f>
        <v>A) شوگر کیوب اور سیب، B) اعلی معیار کے پروٹین کے ذرائع جیسے الفافہ اور مخصوص اناج، C) صرف تازہ گھاس، D) زیادہ تر پھل اور سبزیاں</v>
      </c>
      <c r="N148" s="5" t="str">
        <f>IFERROR(__xludf.DUMMYFUNCTION("GOOGLETRANSLATE(D148, ""en"", ""ur"")"),"ب) اعلیٰ قسم کے پروٹین کے ذرائع جیسے الفافہ اور مخصوص اناج")</f>
        <v>ب) اعلیٰ قسم کے پروٹین کے ذرائع جیسے الفافہ اور مخصوص اناج</v>
      </c>
      <c r="O148" s="5" t="str">
        <f>IFERROR(__xludf.DUMMYFUNCTION("GOOGLETRANSLATE(E148, ""en"", ""ur"")"),"ایک ایتھلیٹک گھوڑے کو پٹھوں کی نشوونما کے لیے پروٹین سے بھرپور متوازن غذا اور کارکردگی کے لیے توانائی سے بھرپور اناج کی ضرورت ہوتی ہے۔")</f>
        <v>ایک ایتھلیٹک گھوڑے کو پٹھوں کی نشوونما کے لیے پروٹین سے بھرپور متوازن غذا اور کارکردگی کے لیے توانائی سے بھرپور اناج کی ضرورت ہوتی ہے۔</v>
      </c>
    </row>
    <row r="149">
      <c r="A149" s="3">
        <v>148.0</v>
      </c>
      <c r="B149" s="4" t="s">
        <v>3376</v>
      </c>
      <c r="C149" s="4" t="s">
        <v>3377</v>
      </c>
      <c r="D149" s="4" t="s">
        <v>3378</v>
      </c>
      <c r="E149" s="4" t="s">
        <v>3379</v>
      </c>
      <c r="K149" s="5" t="str">
        <f>IFERROR(__xludf.DUMMYFUNCTION("GOOGLETRANSLATE(A149, ""en"", ""ur"")"),"148")</f>
        <v>148</v>
      </c>
      <c r="L149" s="5" t="str">
        <f>IFERROR(__xludf.DUMMYFUNCTION("GOOGLETRANSLATE(B149, ""en"", ""ur"")"),"ایک سوار بہت ڈھیلا، روایتی لباس پہنے ہوئے ہے۔ ایک ریفری ان سے رسمی مقابلے میں تبدیلی کے لیے کیوں کہہ سکتا ہے؟")</f>
        <v>ایک سوار بہت ڈھیلا، روایتی لباس پہنے ہوئے ہے۔ ایک ریفری ان سے رسمی مقابلے میں تبدیلی کے لیے کیوں کہہ سکتا ہے؟</v>
      </c>
      <c r="M149" s="5" t="str">
        <f>IFERROR(__xludf.DUMMYFUNCTION("GOOGLETRANSLATE(C149, ""en"", ""ur"")"),"A) لباس کا رنگ صحیح نہیں ہے، B) ڈھیلا لباس لانس یا سیڈل پر پکڑے جانے سے حفاظت کے لیے خطرہ ہو سکتا ہے، C) یہ کھیل کی بے عزتی ہے، D) یہ غیر منصفانہ ایروڈینامک فائدہ دیتا ہے۔")</f>
        <v>A) لباس کا رنگ صحیح نہیں ہے، B) ڈھیلا لباس لانس یا سیڈل پر پکڑے جانے سے حفاظت کے لیے خطرہ ہو سکتا ہے، C) یہ کھیل کی بے عزتی ہے، D) یہ غیر منصفانہ ایروڈینامک فائدہ دیتا ہے۔</v>
      </c>
      <c r="N149" s="5" t="str">
        <f>IFERROR(__xludf.DUMMYFUNCTION("GOOGLETRANSLATE(D149, ""en"", ""ur"")"),"ب) ڈھیلے کپڑے لانس یا سیڈل پر پھنسنے سے حفاظت کے لیے خطرہ ہو سکتے ہیں۔")</f>
        <v>ب) ڈھیلے کپڑے لانس یا سیڈل پر پھنسنے سے حفاظت کے لیے خطرہ ہو سکتے ہیں۔</v>
      </c>
      <c r="O149" s="5" t="str">
        <f>IFERROR(__xludf.DUMMYFUNCTION("GOOGLETRANSLATE(E149, ""en"", ""ur"")"),"حفاظت کے لیے، حادثوں سے بچنے کے لیے گھڑ سواری کا سامان ضروری ہے۔")</f>
        <v>حفاظت کے لیے، حادثوں سے بچنے کے لیے گھڑ سواری کا سامان ضروری ہے۔</v>
      </c>
    </row>
    <row r="150">
      <c r="A150" s="3">
        <v>149.0</v>
      </c>
      <c r="B150" s="4" t="s">
        <v>3380</v>
      </c>
      <c r="C150" s="4" t="s">
        <v>3381</v>
      </c>
      <c r="D150" s="4" t="s">
        <v>3382</v>
      </c>
      <c r="E150" s="4" t="s">
        <v>3383</v>
      </c>
      <c r="K150" s="5" t="str">
        <f>IFERROR(__xludf.DUMMYFUNCTION("GOOGLETRANSLATE(A150, ""en"", ""ur"")"),"149")</f>
        <v>149</v>
      </c>
      <c r="L150" s="5" t="str">
        <f>IFERROR(__xludf.DUMMYFUNCTION("GOOGLETRANSLATE(B150, ""en"", ""ur"")"),"کامل ""فل پیگ"" کی حتمی علامت کیا ہے؟")</f>
        <v>کامل "فل پیگ" کی حتمی علامت کیا ہے؟</v>
      </c>
      <c r="M150" s="5" t="str">
        <f>IFERROR(__xludf.DUMMYFUNCTION("GOOGLETRANSLATE(C150, ""en"", ""ur"")"),"A)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f>
        <v>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v>
      </c>
      <c r="N150" s="5" t="str">
        <f>IFERROR(__xludf.DUMMYFUNCTION("GOOGLETRANSLATE(D150, ""en"", ""ur"")"),"ب) کھونٹی کو زمین سے اُٹھایا جاتا ہے جس میں مٹی میں کوئی خلل نظر نہیں آتا")</f>
        <v>ب) کھونٹی کو زمین سے اُٹھایا جاتا ہے جس میں مٹی میں کوئی خلل نظر نہیں آتا</v>
      </c>
      <c r="O150" s="5" t="str">
        <f>IFERROR(__xludf.DUMMYFUNCTION("GOOGLETRANSLATE(E150, ""en"", ""ur"")"),"یہ ایک مکمل طور پر مقصد اور عمل میں لائی گئی ہڑتال کی نشاندہی کرتا ہے، جو کھیل کے ایک حقیقی ماسٹر کا نشان ہے۔")</f>
        <v>یہ ایک مکمل طور پر مقصد اور عمل میں لائی گئی ہڑتال کی نشاندہی کرتا ہے، جو کھیل کے ایک حقیقی ماسٹر کا نشان ہے۔</v>
      </c>
    </row>
    <row r="151">
      <c r="A151" s="3">
        <v>150.0</v>
      </c>
      <c r="B151" s="4" t="s">
        <v>3384</v>
      </c>
      <c r="C151" s="4" t="s">
        <v>3385</v>
      </c>
      <c r="D151" s="4" t="s">
        <v>3386</v>
      </c>
      <c r="E151" s="4" t="s">
        <v>3387</v>
      </c>
      <c r="K151" s="5" t="str">
        <f>IFERROR(__xludf.DUMMYFUNCTION("GOOGLETRANSLATE(A151, ""en"", ""ur"")"),"150")</f>
        <v>150</v>
      </c>
      <c r="L151" s="5" t="str">
        <f>IFERROR(__xludf.DUMMYFUNCTION("GOOGLETRANSLATE(B151, ""en"", ""ur"")"),"ایک ٹیم بونس کے ساتھ ""مکمل پاس"" جیتتی ہے۔ اس کا کیا مطلب ہے؟")</f>
        <v>ایک ٹیم بونس کے ساتھ "مکمل پاس" جیتتی ہے۔ اس کا کیا مطلب ہے؟</v>
      </c>
      <c r="M151" s="5" t="str">
        <f>IFERROR(__xludf.DUMMYFUNCTION("GOOGLETRANSLATE(C151, ""en"", ""ur"")"),"A) چاروں سواروں نے مکمل پیگ اسکور کیا، جس سے انہیں سٹینڈنگ میں اضافی پوائنٹس ملے، B) وہ اگلے راؤنڈ میں چلے گئے، C) چاروں سواروں نے پیگ چھوٹ دیا، D) انہوں نے مقررہ وقت کے تحت رن مکمل کیا۔")</f>
        <v>A) چاروں سواروں نے مکمل پیگ اسکور کیا، جس سے انہیں سٹینڈنگ میں اضافی پوائنٹس ملے، B) وہ اگلے راؤنڈ میں چلے گئے، C) چاروں سواروں نے پیگ چھوٹ دیا، D) انہوں نے مقررہ وقت کے تحت رن مکمل کیا۔</v>
      </c>
      <c r="N151" s="5" t="str">
        <f>IFERROR(__xludf.DUMMYFUNCTION("GOOGLETRANSLATE(D151, ""en"", ""ur"")"),"A) چاروں سواروں نے ایک مکمل پیگ اسکور کیا، جس سے انہیں سٹینڈنگ میں اضافی پوائنٹس ملے")</f>
        <v>A) چاروں سواروں نے ایک مکمل پیگ اسکور کیا، جس سے انہیں سٹینڈنگ میں اضافی پوائنٹس ملے</v>
      </c>
      <c r="O151" s="5" t="str">
        <f>IFERROR(__xludf.DUMMYFUNCTION("GOOGLETRANSLATE(E151, ""en"", ""ur"")"),"ایک ""مکمل پاس"" ایک بہترین رن ہے جہاں ٹیم کا ہر رکن زیادہ سے زیادہ پوائنٹس اسکور کرتا ہے، اور اسے اکثر ٹیم کے مجموعی اسکور پر بونس دیا جاتا ہے۔")</f>
        <v>ایک "مکمل پاس" ایک بہترین رن ہے جہاں ٹیم کا ہر رکن زیادہ سے زیادہ پوائنٹس اسکور کرتا ہے، اور اسے اکثر ٹیم کے مجموعی اسکور پر بونس دیا جاتا ہے۔</v>
      </c>
    </row>
  </sheetData>
  <drawing r:id="rId1"/>
  <tableParts count="2">
    <tablePart r:id="rId4"/>
    <tablePart r:id="rId5"/>
  </tableParts>
</worksheet>
</file>